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FoGBPD\"/>
    </mc:Choice>
  </mc:AlternateContent>
  <xr:revisionPtr revIDLastSave="0" documentId="13_ncr:1_{67D9D623-6155-44F0-814D-980B3CD49663}" xr6:coauthVersionLast="47" xr6:coauthVersionMax="47" xr10:uidLastSave="{00000000-0000-0000-0000-000000000000}"/>
  <bookViews>
    <workbookView xWindow="-120" yWindow="-120" windowWidth="29040" windowHeight="17520" xr2:uid="{DC12087C-9A27-4A43-B4A9-6B3F1E517F08}"/>
  </bookViews>
  <sheets>
    <sheet name="About" sheetId="1" r:id="rId1"/>
    <sheet name="S&amp;P" sheetId="5" r:id="rId2"/>
    <sheet name="FoGBP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</calcChain>
</file>

<file path=xl/sharedStrings.xml><?xml version="1.0" encoding="utf-8"?>
<sst xmlns="http://schemas.openxmlformats.org/spreadsheetml/2006/main" count="13" uniqueCount="12">
  <si>
    <t>Sources:</t>
  </si>
  <si>
    <t>Dmnl</t>
  </si>
  <si>
    <t>Notes:</t>
  </si>
  <si>
    <t>Fraction of Grid Batteries Produced Domestically</t>
  </si>
  <si>
    <t>This variable affects what portion of newly sold grid battery capacity qualifies for Vehicle Battery Production subsidies,</t>
  </si>
  <si>
    <t>https://www.spglobal.com/mobility/en/research-analysis/briefcase-the-game-of-tariffs-ev-battery-imports.html</t>
  </si>
  <si>
    <t>S&amp;P Global</t>
  </si>
  <si>
    <t>BriefCASE: The game of tariffs - US moves to stifle EV battery imports from mainland China</t>
  </si>
  <si>
    <t>Figure 1</t>
  </si>
  <si>
    <t>Current share of EV battery sourcing</t>
  </si>
  <si>
    <t>FoGBPD Fraction of Grid Batteries Produced Domestically</t>
  </si>
  <si>
    <t xml:space="preserve">if relevant.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</si>
</sst>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9" fontId="0" fillId="2" borderId="0" xfId="0" applyNumberFormat="1" applyFill="1"/>
    <xf numFmtId="0" fontId="0" fillId="3" borderId="0" xfId="0" applyFill="1"/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120650</xdr:colOff>
      <xdr:row>19</xdr:row>
      <xdr:rowOff>106928</xdr:rowOff>
    </xdr:to>
    <xdr:pic>
      <xdr:nvPicPr>
        <xdr:cNvPr id="2" name="Picture 1" descr="Country Sources for Lithion-ion Used in US Electric Vehicles ">
          <a:extLst>
            <a:ext uri="{FF2B5EF4-FFF2-40B4-BE49-F238E27FC236}">
              <a16:creationId xmlns:a16="http://schemas.microsoft.com/office/drawing/2014/main" id="{93CF438A-CB48-D04E-8FBA-86B0975D3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"/>
          <a:ext cx="5000625" cy="3367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1"/>
  <sheetViews>
    <sheetView tabSelected="1" workbookViewId="0">
      <selection activeCell="B18" sqref="B18"/>
    </sheetView>
  </sheetViews>
  <sheetFormatPr defaultRowHeight="15" x14ac:dyDescent="0.25"/>
  <cols>
    <col min="2" max="2" width="101.28515625" customWidth="1"/>
  </cols>
  <sheetData>
    <row r="1" spans="1:2" x14ac:dyDescent="0.25">
      <c r="A1" s="1" t="s">
        <v>10</v>
      </c>
    </row>
    <row r="3" spans="1:2" x14ac:dyDescent="0.25">
      <c r="A3" s="1" t="s">
        <v>0</v>
      </c>
      <c r="B3" s="5" t="s">
        <v>6</v>
      </c>
    </row>
    <row r="4" spans="1:2" x14ac:dyDescent="0.25">
      <c r="B4" s="2">
        <v>2024</v>
      </c>
    </row>
    <row r="5" spans="1:2" x14ac:dyDescent="0.25">
      <c r="B5" t="s">
        <v>7</v>
      </c>
    </row>
    <row r="6" spans="1:2" x14ac:dyDescent="0.25">
      <c r="B6" t="s">
        <v>5</v>
      </c>
    </row>
    <row r="7" spans="1:2" x14ac:dyDescent="0.25">
      <c r="B7" t="s">
        <v>8</v>
      </c>
    </row>
    <row r="8" spans="1:2" x14ac:dyDescent="0.25">
      <c r="A8" s="1"/>
    </row>
    <row r="9" spans="1:2" x14ac:dyDescent="0.25">
      <c r="A9" s="1" t="s">
        <v>2</v>
      </c>
    </row>
    <row r="10" spans="1:2" x14ac:dyDescent="0.25">
      <c r="A10" t="s">
        <v>4</v>
      </c>
    </row>
    <row r="11" spans="1:2" x14ac:dyDescent="0.25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29A9-70CB-4471-AE81-9A64EFDA202F}">
  <dimension ref="B21:B24"/>
  <sheetViews>
    <sheetView workbookViewId="0">
      <selection activeCell="B24" sqref="B24"/>
    </sheetView>
  </sheetViews>
  <sheetFormatPr defaultRowHeight="15" x14ac:dyDescent="0.25"/>
  <sheetData>
    <row r="21" spans="2:2" x14ac:dyDescent="0.25">
      <c r="B21" t="s">
        <v>5</v>
      </c>
    </row>
    <row r="23" spans="2:2" x14ac:dyDescent="0.25">
      <c r="B23" t="s">
        <v>9</v>
      </c>
    </row>
    <row r="24" spans="2:2" x14ac:dyDescent="0.25">
      <c r="B24" s="4">
        <v>0.62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A2"/>
  <sheetViews>
    <sheetView workbookViewId="0">
      <selection activeCell="B1" sqref="B1:E1048576"/>
    </sheetView>
  </sheetViews>
  <sheetFormatPr defaultRowHeight="15" x14ac:dyDescent="0.25"/>
  <cols>
    <col min="1" max="1" width="31.5703125" customWidth="1"/>
    <col min="2" max="2" width="10.42578125" bestFit="1" customWidth="1"/>
  </cols>
  <sheetData>
    <row r="1" spans="1:27" x14ac:dyDescent="0.25">
      <c r="A1" t="s">
        <v>1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s="3" customFormat="1" ht="30" x14ac:dyDescent="0.25">
      <c r="A2" s="3" t="s">
        <v>3</v>
      </c>
      <c r="B2" s="6">
        <f>'S&amp;P'!$B$24</f>
        <v>0.62</v>
      </c>
      <c r="C2" s="6">
        <f>'S&amp;P'!$B$24</f>
        <v>0.62</v>
      </c>
      <c r="D2" s="6">
        <f>'S&amp;P'!$B$24</f>
        <v>0.62</v>
      </c>
      <c r="E2" s="6">
        <f>'S&amp;P'!$B$24</f>
        <v>0.62</v>
      </c>
      <c r="F2" s="6">
        <f>'S&amp;P'!$B$24</f>
        <v>0.62</v>
      </c>
      <c r="G2" s="6">
        <f>'S&amp;P'!$B$24</f>
        <v>0.62</v>
      </c>
      <c r="H2" s="6">
        <f>'S&amp;P'!$B$24</f>
        <v>0.62</v>
      </c>
      <c r="I2" s="6">
        <f>'S&amp;P'!$B$24</f>
        <v>0.62</v>
      </c>
      <c r="J2" s="6">
        <f>'S&amp;P'!$B$24</f>
        <v>0.62</v>
      </c>
      <c r="K2" s="6">
        <f>'S&amp;P'!$B$24</f>
        <v>0.62</v>
      </c>
      <c r="L2" s="6">
        <f>'S&amp;P'!$B$24</f>
        <v>0.62</v>
      </c>
      <c r="M2" s="6">
        <f>'S&amp;P'!$B$24</f>
        <v>0.62</v>
      </c>
      <c r="N2" s="6">
        <f>'S&amp;P'!$B$24</f>
        <v>0.62</v>
      </c>
      <c r="O2" s="6">
        <f>'S&amp;P'!$B$24</f>
        <v>0.62</v>
      </c>
      <c r="P2" s="6">
        <f>'S&amp;P'!$B$24</f>
        <v>0.62</v>
      </c>
      <c r="Q2" s="6">
        <f>'S&amp;P'!$B$24</f>
        <v>0.62</v>
      </c>
      <c r="R2" s="6">
        <f>'S&amp;P'!$B$24</f>
        <v>0.62</v>
      </c>
      <c r="S2" s="6">
        <f>'S&amp;P'!$B$24</f>
        <v>0.62</v>
      </c>
      <c r="T2" s="6">
        <f>'S&amp;P'!$B$24</f>
        <v>0.62</v>
      </c>
      <c r="U2" s="6">
        <f>'S&amp;P'!$B$24</f>
        <v>0.62</v>
      </c>
      <c r="V2" s="6">
        <f>'S&amp;P'!$B$24</f>
        <v>0.62</v>
      </c>
      <c r="W2" s="6">
        <f>'S&amp;P'!$B$24</f>
        <v>0.62</v>
      </c>
      <c r="X2" s="6">
        <f>'S&amp;P'!$B$24</f>
        <v>0.62</v>
      </c>
      <c r="Y2" s="6">
        <f>'S&amp;P'!$B$24</f>
        <v>0.62</v>
      </c>
      <c r="Z2" s="6">
        <f>'S&amp;P'!$B$24</f>
        <v>0.62</v>
      </c>
      <c r="AA2" s="6">
        <f>'S&amp;P'!$B$24</f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S&amp;P</vt:lpstr>
      <vt:lpstr>FoGBPD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2023-05-03T18:24:38Z</dcterms:created>
  <dcterms:modified xsi:type="dcterms:W3CDTF">2026-08-28T19:31:11Z</dcterms:modified>
</cp:coreProperties>
</file>