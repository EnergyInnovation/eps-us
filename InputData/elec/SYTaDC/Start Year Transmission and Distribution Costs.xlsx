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YTaDC\"/>
    </mc:Choice>
  </mc:AlternateContent>
  <xr:revisionPtr revIDLastSave="0" documentId="13_ncr:1_{BE7C645E-00BA-47A5-BC98-9D6D7C1FD859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SYTaDC-Transmission OM" sheetId="3" r:id="rId2"/>
    <sheet name="SYTaDC-Distribution OM" sheetId="5" r:id="rId3"/>
    <sheet name="SYTaDC-Transmission Capital" sheetId="6" r:id="rId4"/>
    <sheet name="SYTaDC-Distribution Capital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2" i="3"/>
  <c r="B2" i="7"/>
  <c r="B2" i="6" l="1"/>
</calcChain>
</file>

<file path=xl/sharedStrings.xml><?xml version="1.0" encoding="utf-8"?>
<sst xmlns="http://schemas.openxmlformats.org/spreadsheetml/2006/main" count="32" uniqueCount="26">
  <si>
    <t>Note:</t>
  </si>
  <si>
    <t>See "cpi.xlsx" in the InputData folder for source information.</t>
  </si>
  <si>
    <t>Sources: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</si>
  <si>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</si>
  <si>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</si>
  <si>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</si>
  <si>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</si>
  <si>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</si>
  <si>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</si>
  <si>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</si>
  <si>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</si>
  <si>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</si>
  <si>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</si>
  <si>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</si>
  <si>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</si>
  <si>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</si>
  <si>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</si>
  <si>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We adjust 2024 dollars to 2012 dollars using the following conversion factor:</t>
  </si>
  <si>
    <t>T&amp;D Capital Spending</t>
  </si>
  <si>
    <t>Grid infrastructure investments drive increase in utility spending over last two decases</t>
  </si>
  <si>
    <t>https://www.eia.gov/todayinenergy/detail.php?id=63724</t>
  </si>
  <si>
    <t>Transmission and Distribution sections</t>
  </si>
  <si>
    <t>We adjust 2019 dollars to 2012 dollars using the following conversion factor:</t>
  </si>
  <si>
    <t>EIA does not appear to have more recent data on annual T&amp;D O&amp;M spending. Therefore,</t>
  </si>
  <si>
    <t>we assume spending is equivalent to 2019 levels, the most recent year we identified</t>
  </si>
  <si>
    <t>data. Capital costs correctly cite 2023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</si>
</sst>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0" fillId="0" borderId="0" xfId="0" applyFont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ia.gov/todayinenergy/detail.php?id=48136" TargetMode="External"/><Relationship Id="rId1" Type="http://schemas.openxmlformats.org/officeDocument/2006/relationships/hyperlink" Target="https://www.eia.gov/todayinenergy/detail.php?id=47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A28" sqref="A28"/>
    </sheetView>
  </sheetViews>
  <sheetFormatPr defaultRowHeight="14.5" x14ac:dyDescent="0.35"/>
  <cols>
    <col min="2" max="2" width="44.54296875" customWidth="1"/>
  </cols>
  <sheetData>
    <row r="1" spans="1:2" x14ac:dyDescent="0.35">
      <c r="A1" s="1" t="s">
        <v>12</v>
      </c>
    </row>
    <row r="3" spans="1:2" x14ac:dyDescent="0.35">
      <c r="A3" s="1" t="s">
        <v>2</v>
      </c>
      <c r="B3" s="6" t="s">
        <v>9</v>
      </c>
    </row>
    <row r="4" spans="1:2" x14ac:dyDescent="0.35">
      <c r="A4" s="1"/>
      <c r="B4" t="s">
        <v>5</v>
      </c>
    </row>
    <row r="5" spans="1:2" x14ac:dyDescent="0.35">
      <c r="A5" s="1"/>
      <c r="B5" s="2">
        <v>2021</v>
      </c>
    </row>
    <row r="6" spans="1:2" ht="29" x14ac:dyDescent="0.35">
      <c r="A6" s="1"/>
      <c r="B6" s="4" t="s">
        <v>10</v>
      </c>
    </row>
    <row r="7" spans="1:2" x14ac:dyDescent="0.35">
      <c r="A7" s="1"/>
      <c r="B7" s="3" t="s">
        <v>11</v>
      </c>
    </row>
    <row r="8" spans="1:2" x14ac:dyDescent="0.35">
      <c r="A8" s="1"/>
      <c r="B8" t="s">
        <v>7</v>
      </c>
    </row>
    <row r="9" spans="1:2" x14ac:dyDescent="0.35">
      <c r="A9" s="1"/>
    </row>
    <row r="10" spans="1:2" x14ac:dyDescent="0.35">
      <c r="A10" s="1"/>
      <c r="B10" s="6" t="s">
        <v>8</v>
      </c>
    </row>
    <row r="11" spans="1:2" x14ac:dyDescent="0.35">
      <c r="A11" s="1"/>
      <c r="B11" t="s">
        <v>5</v>
      </c>
    </row>
    <row r="12" spans="1:2" x14ac:dyDescent="0.35">
      <c r="A12" s="1"/>
      <c r="B12" s="2">
        <v>2021</v>
      </c>
    </row>
    <row r="13" spans="1:2" ht="29" x14ac:dyDescent="0.35">
      <c r="A13" s="1"/>
      <c r="B13" s="4" t="s">
        <v>6</v>
      </c>
    </row>
    <row r="14" spans="1:2" x14ac:dyDescent="0.35">
      <c r="A14" s="1"/>
      <c r="B14" s="3" t="s">
        <v>4</v>
      </c>
    </row>
    <row r="15" spans="1:2" x14ac:dyDescent="0.35">
      <c r="A15" s="1"/>
      <c r="B15" t="s">
        <v>7</v>
      </c>
    </row>
    <row r="16" spans="1:2" x14ac:dyDescent="0.35">
      <c r="A16" s="1"/>
    </row>
    <row r="17" spans="1:2" x14ac:dyDescent="0.35">
      <c r="A17" s="1"/>
      <c r="B17" s="6" t="s">
        <v>18</v>
      </c>
    </row>
    <row r="18" spans="1:2" x14ac:dyDescent="0.35">
      <c r="A18" s="1"/>
      <c r="B18" t="s">
        <v>5</v>
      </c>
    </row>
    <row r="19" spans="1:2" x14ac:dyDescent="0.35">
      <c r="A19" s="1"/>
      <c r="B19" s="2">
        <v>2024</v>
      </c>
    </row>
    <row r="20" spans="1:2" ht="29" x14ac:dyDescent="0.35">
      <c r="A20" s="1"/>
      <c r="B20" s="4" t="s">
        <v>19</v>
      </c>
    </row>
    <row r="21" spans="1:2" x14ac:dyDescent="0.35">
      <c r="A21" s="1"/>
      <c r="B21" s="3" t="s">
        <v>20</v>
      </c>
    </row>
    <row r="22" spans="1:2" x14ac:dyDescent="0.35">
      <c r="A22" s="1"/>
      <c r="B22" t="s">
        <v>21</v>
      </c>
    </row>
    <row r="23" spans="1:2" x14ac:dyDescent="0.35">
      <c r="A23" s="1"/>
    </row>
    <row r="24" spans="1:2" x14ac:dyDescent="0.35">
      <c r="A24" s="1" t="s">
        <v>0</v>
      </c>
    </row>
    <row r="25" spans="1:2" x14ac:dyDescent="0.35">
      <c r="A25" s="8" t="s">
        <v>23</v>
      </c>
    </row>
    <row r="26" spans="1:2" s="8" customFormat="1" x14ac:dyDescent="0.35">
      <c r="A26" s="8" t="s">
        <v>24</v>
      </c>
    </row>
    <row r="27" spans="1:2" s="8" customFormat="1" x14ac:dyDescent="0.35">
      <c r="A27" s="8" t="s">
        <v>25</v>
      </c>
    </row>
    <row r="28" spans="1:2" x14ac:dyDescent="0.35">
      <c r="A28" s="1"/>
    </row>
    <row r="29" spans="1:2" x14ac:dyDescent="0.35">
      <c r="A29" t="s">
        <v>17</v>
      </c>
    </row>
    <row r="30" spans="1:2" x14ac:dyDescent="0.35">
      <c r="A30" s="5">
        <v>0.73191600598044548</v>
      </c>
    </row>
    <row r="31" spans="1:2" x14ac:dyDescent="0.35">
      <c r="A31" t="s">
        <v>22</v>
      </c>
    </row>
    <row r="32" spans="1:2" x14ac:dyDescent="0.35">
      <c r="A32" s="5">
        <v>0.89805481563188172</v>
      </c>
    </row>
    <row r="33" spans="1:1" x14ac:dyDescent="0.35">
      <c r="A33" s="5"/>
    </row>
    <row r="34" spans="1:1" x14ac:dyDescent="0.35">
      <c r="A34" t="s">
        <v>1</v>
      </c>
    </row>
  </sheetData>
  <hyperlinks>
    <hyperlink ref="B7" r:id="rId1" location=":~:text=Utilities%20spent%20%2416.6%20billion%20on,7%25%20more%20than%20in%202018.&amp;text=Power%20plants%20are%20often%20located,power%20lines%20to%20deliver%20electricity." xr:uid="{E0BB13C5-52AE-40EF-BD14-EA4207372302}"/>
    <hyperlink ref="B14" r:id="rId2" location=":~:text=Annual%20spending%20on%20electricity%20distribution,2000%20after%20adjusting%20for%20inflation." xr:uid="{29CA9143-651E-47E0-9093-6F7D6C5C7B6A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24.81640625" customWidth="1"/>
    <col min="2" max="2" width="24.54296875" customWidth="1"/>
  </cols>
  <sheetData>
    <row r="1" spans="1:2" x14ac:dyDescent="0.35">
      <c r="B1" t="s">
        <v>3</v>
      </c>
    </row>
    <row r="2" spans="1:2" x14ac:dyDescent="0.35">
      <c r="A2" t="s">
        <v>14</v>
      </c>
      <c r="B2" s="7">
        <f>16600000000*About!A32</f>
        <v>14907709939.489237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24.81640625" customWidth="1"/>
    <col min="2" max="2" width="24.54296875" customWidth="1"/>
  </cols>
  <sheetData>
    <row r="1" spans="1:2" x14ac:dyDescent="0.35">
      <c r="B1" t="s">
        <v>3</v>
      </c>
    </row>
    <row r="2" spans="1:2" x14ac:dyDescent="0.35">
      <c r="A2" t="s">
        <v>13</v>
      </c>
      <c r="B2" s="7">
        <f>26100000000*About!A32</f>
        <v>23439230687.992111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4.5" x14ac:dyDescent="0.35"/>
  <cols>
    <col min="1" max="1" width="24.81640625" customWidth="1"/>
    <col min="2" max="2" width="24.54296875" customWidth="1"/>
  </cols>
  <sheetData>
    <row r="1" spans="1:2" x14ac:dyDescent="0.35">
      <c r="B1" t="s">
        <v>3</v>
      </c>
    </row>
    <row r="2" spans="1:2" x14ac:dyDescent="0.35">
      <c r="A2" t="s">
        <v>15</v>
      </c>
      <c r="B2" s="7">
        <f>27000000000*About!A30</f>
        <v>19761732161.472027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24.81640625" customWidth="1"/>
    <col min="2" max="2" width="24.54296875" customWidth="1"/>
  </cols>
  <sheetData>
    <row r="1" spans="1:2" x14ac:dyDescent="0.35">
      <c r="B1" t="s">
        <v>3</v>
      </c>
    </row>
    <row r="2" spans="1:2" x14ac:dyDescent="0.35">
      <c r="A2" t="s">
        <v>16</v>
      </c>
      <c r="B2" s="7">
        <f>(50.9*10^9)*About!A30</f>
        <v>37254524704.404678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2015-07-06T21:06:03Z</dcterms:created>
  <dcterms:modified xsi:type="dcterms:W3CDTF">2026-01-05T21:02:26Z</dcterms:modified>
</cp:coreProperties>
</file>