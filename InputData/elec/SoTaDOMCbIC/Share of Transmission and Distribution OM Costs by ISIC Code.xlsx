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actors applied" sheetId="2" state="visible" r:id="rId2"/>
    <sheet xmlns:r="http://schemas.openxmlformats.org/officeDocument/2006/relationships" name="OECD Mapping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SoTaDOMCbI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&quot;$&quot;#,##0"/>
    <numFmt numFmtId="166" formatCode="0.0%"/>
    <numFmt numFmtId="167" formatCode="0.00000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Calibri"/>
      <family val="2"/>
      <i val="1"/>
      <color theme="1"/>
      <sz val="11"/>
      <scheme val="minor"/>
    </font>
    <font>
      <name val="Arial"/>
      <sz val="10"/>
    </font>
    <font>
      <name val="Arial"/>
      <family val="2"/>
      <b val="1"/>
      <sz val="12"/>
    </font>
    <font>
      <name val="Arial"/>
      <family val="2"/>
      <color indexed="12"/>
      <sz val="10"/>
      <u val="single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1">
    <xf numFmtId="0" fontId="1" fillId="0" borderId="0"/>
    <xf numFmtId="9" fontId="1" fillId="0" borderId="0"/>
    <xf numFmtId="0" fontId="2" fillId="2" borderId="0"/>
    <xf numFmtId="0" fontId="8" fillId="0" borderId="0"/>
    <xf numFmtId="0" fontId="10" fillId="0" borderId="0"/>
    <xf numFmtId="167" fontId="13" fillId="0" borderId="0" applyAlignment="1">
      <alignment horizontal="left" wrapText="1"/>
    </xf>
    <xf numFmtId="43" fontId="7" fillId="0" borderId="0"/>
    <xf numFmtId="44" fontId="7" fillId="0" borderId="0"/>
    <xf numFmtId="0" fontId="15" fillId="0" borderId="0" applyAlignment="1" applyProtection="1">
      <alignment vertical="top"/>
      <protection locked="0" hidden="0"/>
    </xf>
    <xf numFmtId="167" fontId="7" fillId="0" borderId="0" applyAlignment="1">
      <alignment horizontal="left" wrapText="1"/>
    </xf>
    <xf numFmtId="9" fontId="7" fillId="0" borderId="0"/>
  </cellStyleXfs>
  <cellXfs count="54">
    <xf numFmtId="0" fontId="0" fillId="0" borderId="0" pivotButton="0" quotePrefix="0" xfId="0"/>
    <xf numFmtId="1" fontId="5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3"/>
    <xf numFmtId="0" fontId="3" fillId="0" borderId="0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2">
      <alignment horizontal="center" vertical="center"/>
    </xf>
    <xf numFmtId="0" fontId="9" fillId="0" borderId="5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9" fontId="5" fillId="0" borderId="3" applyAlignment="1" pivotButton="0" quotePrefix="0" xfId="1">
      <alignment horizontal="center"/>
    </xf>
    <xf numFmtId="1" fontId="5" fillId="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right"/>
    </xf>
    <xf numFmtId="0" fontId="12" fillId="0" borderId="0" pivotButton="0" quotePrefix="0" xfId="0"/>
    <xf numFmtId="165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1" fontId="13" fillId="0" borderId="0" pivotButton="0" quotePrefix="0" xfId="5"/>
    <xf numFmtId="1" fontId="5" fillId="0" borderId="0" pivotButton="0" quotePrefix="0" xfId="5"/>
    <xf numFmtId="1" fontId="6" fillId="0" borderId="0" pivotButton="0" quotePrefix="0" xfId="5"/>
    <xf numFmtId="9" fontId="13" fillId="0" borderId="0" pivotButton="0" quotePrefix="0" xfId="5"/>
    <xf numFmtId="1" fontId="13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left"/>
    </xf>
    <xf numFmtId="1" fontId="7" fillId="0" borderId="0" applyAlignment="1" pivotButton="0" quotePrefix="1" xfId="5">
      <alignment horizontal="left"/>
    </xf>
    <xf numFmtId="165" fontId="13" fillId="0" borderId="0" applyAlignment="1" pivotButton="0" quotePrefix="0" xfId="5">
      <alignment horizontal="center"/>
    </xf>
    <xf numFmtId="1" fontId="14" fillId="0" borderId="0" applyAlignment="1" pivotButton="0" quotePrefix="1" xfId="5">
      <alignment horizontal="left"/>
    </xf>
    <xf numFmtId="9" fontId="13" fillId="0" borderId="0" pivotButton="0" quotePrefix="0" xfId="10"/>
    <xf numFmtId="1" fontId="6" fillId="0" borderId="0" applyAlignment="1" pivotButton="0" quotePrefix="0" xfId="5">
      <alignment horizontal="left"/>
    </xf>
    <xf numFmtId="166" fontId="13" fillId="0" borderId="0" applyAlignment="1" pivotButton="0" quotePrefix="0" xfId="10">
      <alignment horizontal="center"/>
    </xf>
    <xf numFmtId="165" fontId="13" fillId="0" borderId="0" applyAlignment="1" pivotButton="0" quotePrefix="0" xfId="10">
      <alignment horizontal="center"/>
    </xf>
    <xf numFmtId="1" fontId="5" fillId="0" borderId="0" applyAlignment="1" pivotButton="0" quotePrefix="0" xfId="5">
      <alignment horizontal="left" wrapText="1"/>
    </xf>
    <xf numFmtId="1" fontId="11" fillId="0" borderId="0" pivotButton="0" quotePrefix="0" xfId="4"/>
    <xf numFmtId="167" fontId="7" fillId="0" borderId="0" applyAlignment="1" pivotButton="0" quotePrefix="0" xfId="9">
      <alignment wrapText="1"/>
    </xf>
    <xf numFmtId="167" fontId="7" fillId="0" borderId="0" applyAlignment="1" pivotButton="0" quotePrefix="0" xfId="9">
      <alignment wrapText="1"/>
    </xf>
    <xf numFmtId="167" fontId="7" fillId="0" borderId="0" pivotButton="0" quotePrefix="0" xfId="9"/>
    <xf numFmtId="166" fontId="5" fillId="0" borderId="0" applyAlignment="1" pivotButton="0" quotePrefix="0" xfId="10">
      <alignment horizontal="center"/>
    </xf>
    <xf numFmtId="0" fontId="16" fillId="0" borderId="0" pivotButton="0" quotePrefix="0" xfId="0"/>
    <xf numFmtId="0" fontId="0" fillId="0" borderId="9" pivotButton="0" quotePrefix="0" xfId="0"/>
    <xf numFmtId="0" fontId="0" fillId="0" borderId="6" pivotButton="0" quotePrefix="0" xfId="0"/>
    <xf numFmtId="165" fontId="13" fillId="0" borderId="0" applyAlignment="1" pivotButton="0" quotePrefix="0" xfId="5">
      <alignment horizontal="center"/>
    </xf>
    <xf numFmtId="165" fontId="13" fillId="0" borderId="0" applyAlignment="1" pivotButton="0" quotePrefix="0" xfId="10">
      <alignment horizontal="center"/>
    </xf>
    <xf numFmtId="167" fontId="7" fillId="0" borderId="0" applyAlignment="1" pivotButton="0" quotePrefix="0" xfId="9">
      <alignment wrapText="1"/>
    </xf>
    <xf numFmtId="166" fontId="5" fillId="0" borderId="0" applyAlignment="1" pivotButton="0" quotePrefix="0" xfId="10">
      <alignment horizontal="center"/>
    </xf>
    <xf numFmtId="166" fontId="13" fillId="0" borderId="0" applyAlignment="1" pivotButton="0" quotePrefix="0" xfId="10">
      <alignment horizontal="center"/>
    </xf>
    <xf numFmtId="167" fontId="7" fillId="0" borderId="0" pivotButton="0" quotePrefix="0" xfId="9"/>
    <xf numFmtId="165" fontId="0" fillId="0" borderId="2" applyAlignment="1" pivotButton="0" quotePrefix="0" xfId="0">
      <alignment horizontal="center" vertical="center"/>
    </xf>
    <xf numFmtId="0" fontId="17" fillId="0" borderId="0" pivotButton="0" quotePrefix="0" xfId="0"/>
  </cellXfs>
  <cellStyles count="11">
    <cellStyle name="Normal" xfId="0" builtinId="0"/>
    <cellStyle name="Percent" xfId="1" builtinId="5"/>
    <cellStyle name="Bad" xfId="2" builtinId="27"/>
    <cellStyle name="Hyperlink" xfId="3" builtinId="8"/>
    <cellStyle name="Normal_DefaultData" xfId="4"/>
    <cellStyle name="Normal 2" xfId="5"/>
    <cellStyle name="Comma 2" xfId="6"/>
    <cellStyle name="Currency 2" xfId="7"/>
    <cellStyle name="Hyperlink 2" xfId="8"/>
    <cellStyle name="Normal_JEDI" xfId="9"/>
    <cellStyle name="Percent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5" t="inlineStr">
        <is>
          <t>SoTCCbIC Share of Transmission and Distribution Capital Costs by ISIC Code</t>
        </is>
      </c>
    </row>
    <row r="2"/>
    <row r="3">
      <c r="A3" s="5" t="inlineStr">
        <is>
          <t>Source:</t>
        </is>
      </c>
      <c r="B3" t="inlineStr">
        <is>
          <t>NREL</t>
        </is>
      </c>
    </row>
    <row r="4">
      <c r="B4" s="10" t="n">
        <v>2016</v>
      </c>
    </row>
    <row r="5">
      <c r="B5" t="inlineStr">
        <is>
          <t>JEDI Transmission Model</t>
        </is>
      </c>
    </row>
    <row r="6">
      <c r="B6" s="4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43" t="inlineStr">
        <is>
          <t>52-code expansion (2026-07-17):</t>
        </is>
      </c>
    </row>
    <row r="10">
      <c r="A10" t="inlineStr">
        <is>
          <t>The output tabs produce the 52-code ISIC list. The derivation above is unchanged and live; output-tab formulas reference the derivation tabs</t>
        </is>
      </c>
    </row>
    <row r="11">
      <c r="A11" t="inlineStr">
        <is>
          <t>directly, with the original header-label criteria written as literals (the derivation tabs still use the pre-split 42-code labels).</t>
        </is>
      </c>
    </row>
    <row r="13">
      <c r="A13" t="inlineStr">
        <is>
          <t>Children of split parents multiply the parent's allocation by the factors on the 'Factors applied' tab (editable; defaults = BEA 2024 gross-</t>
        </is>
      </c>
    </row>
    <row r="14">
      <c r="A14" t="inlineStr">
        <is>
          <t>output shares from io-model/BObIC; semantic overrides documented per row with rationale).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44" customWidth="1" min="6" max="6"/>
  </cols>
  <sheetData>
    <row r="1">
      <c r="A1" s="43" t="inlineStr">
        <is>
          <t>Child factors applied inline in the output-tab formulas (editable). Defaults = BEA 2024 output shares; semantic overrides and fuel reroutes noted per row.</t>
        </is>
      </c>
    </row>
    <row r="2">
      <c r="A2" s="43" t="inlineStr">
        <is>
          <t>File</t>
        </is>
      </c>
      <c r="B2" s="43" t="inlineStr">
        <is>
          <t>Row context</t>
        </is>
      </c>
      <c r="C2" s="43" t="inlineStr">
        <is>
          <t>Child</t>
        </is>
      </c>
      <c r="D2" s="43" t="inlineStr">
        <is>
          <t>Parent</t>
        </is>
      </c>
      <c r="E2" s="43" t="inlineStr">
        <is>
          <t>Factor</t>
        </is>
      </c>
      <c r="F2" s="43" t="inlineStr">
        <is>
          <t>Rationale</t>
        </is>
      </c>
      <c r="G2" s="43" t="inlineStr">
        <is>
          <t>BEA 2024 output share</t>
        </is>
      </c>
    </row>
    <row r="3">
      <c r="A3" t="inlineStr">
        <is>
          <t>SoTaDOMCbIC.csv</t>
        </is>
      </c>
      <c r="B3" t="inlineStr">
        <is>
          <t>transmission costs</t>
        </is>
      </c>
      <c r="C3" t="inlineStr">
        <is>
          <t>ISIC 01</t>
        </is>
      </c>
      <c r="D3" t="inlineStr">
        <is>
          <t>ISIC 01T03</t>
        </is>
      </c>
      <c r="E3" t="n">
        <v>0.9429986826432329</v>
      </c>
      <c r="F3" t="inlineStr">
        <is>
          <t>BEA 2024 output share (default)</t>
        </is>
      </c>
      <c r="G3" t="n">
        <v>0.9429986826432329</v>
      </c>
    </row>
    <row r="4">
      <c r="A4" t="inlineStr">
        <is>
          <t>SoTaDOMCbIC.csv</t>
        </is>
      </c>
      <c r="B4" t="inlineStr">
        <is>
          <t>transmission costs</t>
        </is>
      </c>
      <c r="C4" t="inlineStr">
        <is>
          <t>ISIC 02</t>
        </is>
      </c>
      <c r="D4" t="inlineStr">
        <is>
          <t>ISIC 01T03</t>
        </is>
      </c>
      <c r="E4" t="n">
        <v>0.04176573136965662</v>
      </c>
      <c r="F4" t="inlineStr">
        <is>
          <t>BEA 2024 output share (default)</t>
        </is>
      </c>
      <c r="G4" t="n">
        <v>0.04176573136965662</v>
      </c>
    </row>
    <row r="5">
      <c r="A5" t="inlineStr">
        <is>
          <t>SoTaDOMCbIC.csv</t>
        </is>
      </c>
      <c r="B5" t="inlineStr">
        <is>
          <t>transmission costs</t>
        </is>
      </c>
      <c r="C5" t="inlineStr">
        <is>
          <t>ISIC 03</t>
        </is>
      </c>
      <c r="D5" t="inlineStr">
        <is>
          <t>ISIC 01T03</t>
        </is>
      </c>
      <c r="E5" t="n">
        <v>0.01523558598711041</v>
      </c>
      <c r="F5" t="inlineStr">
        <is>
          <t>BEA 2024 output share (default)</t>
        </is>
      </c>
      <c r="G5" t="n">
        <v>0.01523558598711041</v>
      </c>
    </row>
    <row r="6">
      <c r="A6" t="inlineStr">
        <is>
          <t>SoTaDOMCbIC.csv</t>
        </is>
      </c>
      <c r="B6" t="inlineStr">
        <is>
          <t>transmission costs</t>
        </is>
      </c>
      <c r="C6" t="inlineStr">
        <is>
          <t>ISIC 07</t>
        </is>
      </c>
      <c r="D6" t="inlineStr">
        <is>
          <t>ISIC 07T08</t>
        </is>
      </c>
      <c r="E6" t="n">
        <v>0.4327368836123752</v>
      </c>
      <c r="F6" t="inlineStr">
        <is>
          <t>BEA 2024 output share (default)</t>
        </is>
      </c>
      <c r="G6" t="n">
        <v>0.4327368836123752</v>
      </c>
    </row>
    <row r="7">
      <c r="A7" t="inlineStr">
        <is>
          <t>SoTaDOMCbIC.csv</t>
        </is>
      </c>
      <c r="B7" t="inlineStr">
        <is>
          <t>transmission costs</t>
        </is>
      </c>
      <c r="C7" t="inlineStr">
        <is>
          <t>ISIC 08</t>
        </is>
      </c>
      <c r="D7" t="inlineStr">
        <is>
          <t>ISIC 07T08</t>
        </is>
      </c>
      <c r="E7" t="n">
        <v>0.5672631163876248</v>
      </c>
      <c r="F7" t="inlineStr">
        <is>
          <t>BEA 2024 output share (default)</t>
        </is>
      </c>
      <c r="G7" t="n">
        <v>0.5672631163876248</v>
      </c>
    </row>
    <row r="8">
      <c r="A8" t="inlineStr">
        <is>
          <t>SoTaDOMCbIC.csv</t>
        </is>
      </c>
      <c r="B8" t="inlineStr">
        <is>
          <t>transmission costs</t>
        </is>
      </c>
      <c r="C8" t="inlineStr">
        <is>
          <t>ISIC 301</t>
        </is>
      </c>
      <c r="D8" t="inlineStr">
        <is>
          <t>ISIC 30</t>
        </is>
      </c>
      <c r="E8" t="n">
        <v>0.1171368722490322</v>
      </c>
      <c r="F8" t="inlineStr">
        <is>
          <t>BEA 2024 output share (default)</t>
        </is>
      </c>
      <c r="G8" t="n">
        <v>0.1171368722490322</v>
      </c>
    </row>
    <row r="9">
      <c r="A9" t="inlineStr">
        <is>
          <t>SoTaDOMCbIC.csv</t>
        </is>
      </c>
      <c r="B9" t="inlineStr">
        <is>
          <t>transmission costs</t>
        </is>
      </c>
      <c r="C9" t="inlineStr">
        <is>
          <t>ISIC 302T309</t>
        </is>
      </c>
      <c r="D9" t="inlineStr">
        <is>
          <t>ISIC 30</t>
        </is>
      </c>
      <c r="E9" t="n">
        <v>0.8828631277509678</v>
      </c>
      <c r="F9" t="inlineStr">
        <is>
          <t>BEA 2024 output share (default)</t>
        </is>
      </c>
      <c r="G9" t="n">
        <v>0.8828631277509678</v>
      </c>
    </row>
    <row r="10">
      <c r="A10" t="inlineStr">
        <is>
          <t>SoTaDOMCbIC.csv</t>
        </is>
      </c>
      <c r="B10" t="inlineStr">
        <is>
          <t>transmission costs</t>
        </is>
      </c>
      <c r="C10" t="inlineStr">
        <is>
          <t>ISIC 49</t>
        </is>
      </c>
      <c r="D10" t="inlineStr">
        <is>
          <t>ISIC 49T53</t>
        </is>
      </c>
      <c r="E10" t="n">
        <v>0.45630816353267</v>
      </c>
      <c r="F10" t="inlineStr">
        <is>
          <t>BEA 2024 output share (default)</t>
        </is>
      </c>
      <c r="G10" t="n">
        <v>0.45630816353267</v>
      </c>
    </row>
    <row r="11">
      <c r="A11" t="inlineStr">
        <is>
          <t>SoTaDOMCbIC.csv</t>
        </is>
      </c>
      <c r="B11" t="inlineStr">
        <is>
          <t>transmission costs</t>
        </is>
      </c>
      <c r="C11" t="inlineStr">
        <is>
          <t>ISIC 50</t>
        </is>
      </c>
      <c r="D11" t="inlineStr">
        <is>
          <t>ISIC 49T53</t>
        </is>
      </c>
      <c r="E11" t="n">
        <v>0.04437004750051631</v>
      </c>
      <c r="F11" t="inlineStr">
        <is>
          <t>BEA 2024 output share (default)</t>
        </is>
      </c>
      <c r="G11" t="n">
        <v>0.04437004750051631</v>
      </c>
    </row>
    <row r="12">
      <c r="A12" t="inlineStr">
        <is>
          <t>SoTaDOMCbIC.csv</t>
        </is>
      </c>
      <c r="B12" t="inlineStr">
        <is>
          <t>transmission costs</t>
        </is>
      </c>
      <c r="C12" t="inlineStr">
        <is>
          <t>ISIC 51</t>
        </is>
      </c>
      <c r="D12" t="inlineStr">
        <is>
          <t>ISIC 49T53</t>
        </is>
      </c>
      <c r="E12" t="n">
        <v>0.1883750452665103</v>
      </c>
      <c r="F12" t="inlineStr">
        <is>
          <t>BEA 2024 output share (default)</t>
        </is>
      </c>
      <c r="G12" t="n">
        <v>0.1883750452665103</v>
      </c>
    </row>
    <row r="13">
      <c r="A13" t="inlineStr">
        <is>
          <t>SoTaDOMCbIC.csv</t>
        </is>
      </c>
      <c r="B13" t="inlineStr">
        <is>
          <t>transmission costs</t>
        </is>
      </c>
      <c r="C13" t="inlineStr">
        <is>
          <t>ISIC 52</t>
        </is>
      </c>
      <c r="D13" t="inlineStr">
        <is>
          <t>ISIC 49T53</t>
        </is>
      </c>
      <c r="E13" t="n">
        <v>0.2228651226758185</v>
      </c>
      <c r="F13" t="inlineStr">
        <is>
          <t>BEA 2024 output share (default)</t>
        </is>
      </c>
      <c r="G13" t="n">
        <v>0.2228651226758185</v>
      </c>
    </row>
    <row r="14">
      <c r="A14" t="inlineStr">
        <is>
          <t>SoTaDOMCbIC.csv</t>
        </is>
      </c>
      <c r="B14" t="inlineStr">
        <is>
          <t>transmission costs</t>
        </is>
      </c>
      <c r="C14" t="inlineStr">
        <is>
          <t>ISIC 53</t>
        </is>
      </c>
      <c r="D14" t="inlineStr">
        <is>
          <t>ISIC 49T53</t>
        </is>
      </c>
      <c r="E14" t="n">
        <v>0.08808162102448482</v>
      </c>
      <c r="F14" t="inlineStr">
        <is>
          <t>BEA 2024 output share (default)</t>
        </is>
      </c>
      <c r="G14" t="n">
        <v>0.08808162102448482</v>
      </c>
    </row>
    <row r="15">
      <c r="A15" t="inlineStr">
        <is>
          <t>SoTaDOMCbIC.csv</t>
        </is>
      </c>
      <c r="B15" t="inlineStr">
        <is>
          <t>transmission costs</t>
        </is>
      </c>
      <c r="C15" t="inlineStr">
        <is>
          <t>ISIC 69T75</t>
        </is>
      </c>
      <c r="D15" t="inlineStr">
        <is>
          <t>ISIC 69T82</t>
        </is>
      </c>
      <c r="E15" t="n">
        <v>1</v>
      </c>
      <c r="F15" t="inlineStr">
        <is>
          <t>semantic override</t>
        </is>
      </c>
      <c r="G15" t="n">
        <v>0.7298219447914125</v>
      </c>
    </row>
    <row r="16">
      <c r="A16" t="inlineStr">
        <is>
          <t>SoTaDOMCbIC.csv</t>
        </is>
      </c>
      <c r="B16" t="inlineStr">
        <is>
          <t>transmission costs</t>
        </is>
      </c>
      <c r="C16" t="inlineStr">
        <is>
          <t>ISIC 77T82</t>
        </is>
      </c>
      <c r="D16" t="inlineStr">
        <is>
          <t>ISIC 69T82</t>
        </is>
      </c>
      <c r="E16" t="n">
        <v>0</v>
      </c>
      <c r="F16" t="inlineStr">
        <is>
          <t>semantic override</t>
        </is>
      </c>
      <c r="G16" t="n">
        <v>0.2701780552085875</v>
      </c>
    </row>
    <row r="17">
      <c r="A17" t="inlineStr">
        <is>
          <t>SoTaDOMCbIC.csv</t>
        </is>
      </c>
      <c r="B17" t="inlineStr">
        <is>
          <t>transmission costs</t>
        </is>
      </c>
      <c r="C17" t="inlineStr">
        <is>
          <t>ISIC 90T93</t>
        </is>
      </c>
      <c r="D17" t="inlineStr">
        <is>
          <t>ISIC 90T96</t>
        </is>
      </c>
      <c r="E17" t="n">
        <v>0.4216249514352275</v>
      </c>
      <c r="F17" t="inlineStr">
        <is>
          <t>BEA 2024 output share (default)</t>
        </is>
      </c>
      <c r="G17" t="n">
        <v>0.4216249514352275</v>
      </c>
    </row>
    <row r="18">
      <c r="A18" t="inlineStr">
        <is>
          <t>SoTaDOMCbIC.csv</t>
        </is>
      </c>
      <c r="B18" t="inlineStr">
        <is>
          <t>transmission costs</t>
        </is>
      </c>
      <c r="C18" t="inlineStr">
        <is>
          <t>ISIC 94T96</t>
        </is>
      </c>
      <c r="D18" t="inlineStr">
        <is>
          <t>ISIC 90T96</t>
        </is>
      </c>
      <c r="E18" t="n">
        <v>0.5783750485647725</v>
      </c>
      <c r="F18" t="inlineStr">
        <is>
          <t>BEA 2024 output share (default)</t>
        </is>
      </c>
      <c r="G18" t="n">
        <v>0.5783750485647725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5">
      <c r="A1" s="5" t="inlineStr">
        <is>
          <t>OECD Code</t>
        </is>
      </c>
      <c r="B1" s="5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85" zoomScaleNormal="85" workbookViewId="0">
      <selection activeCell="B27" sqref="B27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20" t="inlineStr">
        <is>
          <t>Transmission</t>
        </is>
      </c>
      <c r="B1" s="44" t="n"/>
      <c r="C1" s="44" t="n"/>
      <c r="D1" s="44" t="n"/>
      <c r="E1" s="44" t="n"/>
      <c r="F1" s="45" t="n"/>
    </row>
    <row r="2" ht="15.75" customHeight="1">
      <c r="A2" s="32" t="inlineStr">
        <is>
          <t>Annual Operating and Maintenance Costs</t>
        </is>
      </c>
      <c r="B2" s="28" t="inlineStr">
        <is>
          <t>Cost</t>
        </is>
      </c>
      <c r="C2" s="28" t="inlineStr">
        <is>
          <t>Cost</t>
        </is>
      </c>
      <c r="D2" s="15" t="inlineStr">
        <is>
          <t>Percent of Cost</t>
        </is>
      </c>
      <c r="E2" s="1" t="inlineStr">
        <is>
          <t>OECD Mapping</t>
        </is>
      </c>
      <c r="F2" s="1" t="inlineStr">
        <is>
          <t>ISIC Mapping</t>
        </is>
      </c>
      <c r="G2" s="1" t="inlineStr">
        <is>
          <t>Notes</t>
        </is>
      </c>
      <c r="H2" s="29" t="n"/>
      <c r="I2" s="29" t="n"/>
    </row>
    <row r="3">
      <c r="A3" s="34" t="inlineStr">
        <is>
          <t xml:space="preserve">  Transmission Line and ROW</t>
        </is>
      </c>
      <c r="B3" s="27" t="n"/>
      <c r="C3" s="28" t="inlineStr">
        <is>
          <t>Per MIle</t>
        </is>
      </c>
      <c r="D3" s="14" t="n"/>
      <c r="E3" s="3" t="n"/>
      <c r="F3" s="3" t="n"/>
      <c r="G3" s="3" t="n"/>
      <c r="H3" s="23" t="n"/>
      <c r="I3" s="23" t="n"/>
    </row>
    <row r="4">
      <c r="A4" s="30" t="inlineStr">
        <is>
          <t xml:space="preserve">    T-Line/ROW Labor</t>
        </is>
      </c>
      <c r="B4" s="46" t="n">
        <v>139104</v>
      </c>
      <c r="C4" s="47" t="n">
        <v>6955.2</v>
      </c>
      <c r="D4" s="14">
        <f>B4/$B$14</f>
        <v/>
      </c>
      <c r="E4" s="6">
        <f>'OECD Mapping'!A26</f>
        <v/>
      </c>
      <c r="F4" s="6">
        <f>'OECD Mapping'!B26</f>
        <v/>
      </c>
      <c r="G4" s="11" t="inlineStr">
        <is>
          <t>Mapping based on I-JEDI and judgment</t>
        </is>
      </c>
      <c r="H4" s="33" t="n"/>
      <c r="I4" s="33" t="n"/>
    </row>
    <row r="5">
      <c r="A5" s="30" t="inlineStr">
        <is>
          <t xml:space="preserve">    T-Line/ROW Maintenance Materials</t>
        </is>
      </c>
      <c r="B5" s="46" t="n">
        <v>34400</v>
      </c>
      <c r="C5" s="47" t="n">
        <v>1720</v>
      </c>
      <c r="D5" s="14">
        <f>B5/$B$14</f>
        <v/>
      </c>
      <c r="E5" s="7">
        <f>'OECD Mapping'!A26</f>
        <v/>
      </c>
      <c r="F5" s="7">
        <f>'OECD Mapping'!B26</f>
        <v/>
      </c>
      <c r="G5" s="11" t="inlineStr">
        <is>
          <t>Mapping based on I-JEDI and judgment</t>
        </is>
      </c>
      <c r="H5" s="33" t="n"/>
      <c r="I5" s="33" t="n"/>
    </row>
    <row r="6">
      <c r="A6" s="30" t="inlineStr">
        <is>
          <t xml:space="preserve">    Insurance</t>
        </is>
      </c>
      <c r="B6" s="46" t="n">
        <v>20000</v>
      </c>
      <c r="C6" s="47" t="n">
        <v>1000</v>
      </c>
      <c r="D6" s="14">
        <f>B6/$B$14</f>
        <v/>
      </c>
      <c r="E6" s="6">
        <f>'OECD Mapping'!A36</f>
        <v/>
      </c>
      <c r="F6" s="6">
        <f>'OECD Mapping'!B36</f>
        <v/>
      </c>
      <c r="G6" s="11" t="inlineStr">
        <is>
          <t>Mapping based on I-JEDI and judgment</t>
        </is>
      </c>
      <c r="H6" s="26" t="n"/>
      <c r="I6" s="26" t="n"/>
    </row>
    <row r="7">
      <c r="A7" s="30" t="inlineStr">
        <is>
          <t xml:space="preserve">    Replacement Parts/Equipment/ Spare Parts Inventory</t>
        </is>
      </c>
      <c r="B7" s="46" t="n">
        <v>20000</v>
      </c>
      <c r="C7" s="47" t="n">
        <v>1000</v>
      </c>
      <c r="D7" s="14">
        <f>B7/$B$14</f>
        <v/>
      </c>
      <c r="E7" s="6">
        <f>'OECD Mapping'!A19</f>
        <v/>
      </c>
      <c r="F7" s="6">
        <f>'OECD Mapping'!B19</f>
        <v/>
      </c>
      <c r="G7" s="11" t="inlineStr">
        <is>
          <t>Mapping based on I-JEDI and judgment</t>
        </is>
      </c>
      <c r="H7" s="26" t="n"/>
      <c r="I7" s="26" t="n"/>
    </row>
    <row r="8">
      <c r="A8" s="48" t="inlineStr">
        <is>
          <t xml:space="preserve">    Subtotal</t>
        </is>
      </c>
      <c r="B8" s="46" t="n">
        <v>213504</v>
      </c>
      <c r="C8" s="47" t="n">
        <v>10675.2</v>
      </c>
      <c r="D8" s="14" t="n"/>
      <c r="E8" s="6" t="n"/>
      <c r="F8" s="6" t="n"/>
      <c r="G8" s="11" t="inlineStr">
        <is>
          <t>Mapping based on I-JEDI and judgment</t>
        </is>
      </c>
      <c r="H8" s="33" t="n"/>
      <c r="I8" s="33" t="n"/>
    </row>
    <row r="9">
      <c r="A9" s="25" t="inlineStr">
        <is>
          <t xml:space="preserve">  Substation/Converter Station</t>
        </is>
      </c>
      <c r="B9" s="46" t="n"/>
      <c r="C9" s="49" t="inlineStr">
        <is>
          <t>Percent of P&amp;C</t>
        </is>
      </c>
      <c r="D9" s="14" t="n"/>
      <c r="E9" s="6" t="n"/>
      <c r="F9" s="6" t="n"/>
      <c r="G9" s="11" t="inlineStr">
        <is>
          <t>Mapping based on I-JEDI and judgment</t>
        </is>
      </c>
      <c r="H9" s="23" t="n"/>
      <c r="I9" s="23" t="n"/>
    </row>
    <row r="10">
      <c r="A10" s="38" t="inlineStr">
        <is>
          <t xml:space="preserve">    Labor/Personnel</t>
        </is>
      </c>
      <c r="B10" s="46" t="n">
        <v>5161.5</v>
      </c>
      <c r="C10" s="50" t="n">
        <v>0.0009300000000000001</v>
      </c>
      <c r="D10" s="14">
        <f>B10/$B$14</f>
        <v/>
      </c>
      <c r="E10" s="6">
        <f>'OECD Mapping'!A26</f>
        <v/>
      </c>
      <c r="F10" s="6">
        <f>'OECD Mapping'!B26</f>
        <v/>
      </c>
      <c r="G10" s="11" t="inlineStr">
        <is>
          <t>Mapping based on I-JEDI and judgment</t>
        </is>
      </c>
      <c r="H10" s="33" t="n"/>
      <c r="I10" s="33" t="n"/>
    </row>
    <row r="11">
      <c r="A11" s="51" t="inlineStr">
        <is>
          <t xml:space="preserve">    Insurance</t>
        </is>
      </c>
      <c r="B11" s="46" t="n">
        <v>11100</v>
      </c>
      <c r="C11" s="50" t="n">
        <v>0.002</v>
      </c>
      <c r="D11" s="14">
        <f>B11/$B$14</f>
        <v/>
      </c>
      <c r="E11" s="6">
        <f>'OECD Mapping'!A36</f>
        <v/>
      </c>
      <c r="F11" s="6">
        <f>'OECD Mapping'!B36</f>
        <v/>
      </c>
      <c r="G11" s="11" t="inlineStr">
        <is>
          <t>Mapping based on I-JEDI and judgment</t>
        </is>
      </c>
      <c r="H11" s="26" t="n"/>
      <c r="I11" s="26" t="n"/>
    </row>
    <row r="12">
      <c r="A12" s="48" t="inlineStr">
        <is>
          <t xml:space="preserve">    Replacement Parts/Equipment/ Spare Parts Inventory</t>
        </is>
      </c>
      <c r="B12" s="46" t="n">
        <v>5550</v>
      </c>
      <c r="C12" s="50" t="n">
        <v>0.001</v>
      </c>
      <c r="D12" s="14">
        <f>B12/$B$14</f>
        <v/>
      </c>
      <c r="E12" s="6">
        <f>'OECD Mapping'!A19</f>
        <v/>
      </c>
      <c r="F12" s="6">
        <f>'OECD Mapping'!B19</f>
        <v/>
      </c>
      <c r="G12" s="11" t="inlineStr">
        <is>
          <t>Mapping based on I-JEDI and judgment</t>
        </is>
      </c>
      <c r="H12" s="26" t="n"/>
      <c r="I12" s="26" t="n"/>
    </row>
    <row r="13" ht="15.75" customHeight="1" thickBot="1">
      <c r="A13" s="48" t="inlineStr">
        <is>
          <t xml:space="preserve">    Subtotal</t>
        </is>
      </c>
      <c r="B13" s="46" t="n">
        <v>21811.5</v>
      </c>
      <c r="C13" s="50" t="n">
        <v>0.00393</v>
      </c>
      <c r="D13" s="14" t="n"/>
      <c r="E13" s="8" t="n"/>
      <c r="F13" s="8" t="n"/>
      <c r="G13" s="13" t="inlineStr">
        <is>
          <t>Mapping based on I-JEDI and judgment</t>
        </is>
      </c>
      <c r="H13" s="26" t="n"/>
      <c r="I13" s="26" t="n"/>
    </row>
    <row r="14">
      <c r="A14" s="29" t="inlineStr">
        <is>
          <t xml:space="preserve">  Subtotal All O&amp;M Costs (without sales tax)</t>
        </is>
      </c>
      <c r="B14" s="46" t="n">
        <v>235315.5</v>
      </c>
      <c r="C14" s="46" t="n"/>
      <c r="D14" s="14" t="n"/>
      <c r="E14" s="52" t="n"/>
      <c r="F14" s="52" t="n"/>
      <c r="G14" s="13" t="inlineStr">
        <is>
          <t>Mapping based on I-JEDI and judgment</t>
        </is>
      </c>
      <c r="H14" s="26" t="n"/>
      <c r="I14" s="26" t="n"/>
    </row>
    <row r="15">
      <c r="A15" s="37" t="inlineStr">
        <is>
          <t xml:space="preserve">  Sales Tax (Materials &amp; Equipment Purchases)</t>
        </is>
      </c>
      <c r="B15" s="46" t="n">
        <v>3746.875</v>
      </c>
      <c r="C15" s="50" t="n"/>
      <c r="D15" s="14" t="n"/>
      <c r="E15" s="19" t="n"/>
      <c r="F15" s="19" t="n"/>
      <c r="G15" s="13" t="inlineStr">
        <is>
          <t>Mapping based on I-JEDI and judgment</t>
        </is>
      </c>
      <c r="H15" s="26" t="n"/>
      <c r="I15" s="26" t="n"/>
    </row>
    <row r="16" ht="15.75" customHeight="1" thickBot="1">
      <c r="A16" s="24" t="inlineStr">
        <is>
          <t xml:space="preserve">  Right of Way/Royalty Payments - Public land</t>
        </is>
      </c>
      <c r="B16" s="46" t="n">
        <v>18181.81818181818</v>
      </c>
      <c r="C16" s="50" t="n"/>
      <c r="D16" s="14" t="n"/>
      <c r="E16" s="2" t="n"/>
      <c r="F16" s="2" t="n"/>
      <c r="G16" s="12" t="inlineStr">
        <is>
          <t>Mapping based on I-JEDI and judgment</t>
        </is>
      </c>
      <c r="H16" s="26" t="n"/>
      <c r="I16" s="26" t="n"/>
    </row>
    <row r="17" ht="15.75" customHeight="1" thickBot="1">
      <c r="A17" s="24" t="inlineStr">
        <is>
          <t xml:space="preserve">  Total with Payments</t>
        </is>
      </c>
      <c r="B17" s="46" t="n">
        <v>257244.1931818182</v>
      </c>
      <c r="C17" s="50" t="n"/>
      <c r="D17" s="14" t="n"/>
      <c r="E17" s="2" t="n"/>
      <c r="F17" s="2" t="n"/>
      <c r="G17" s="12" t="inlineStr">
        <is>
          <t>Mapping based on I-JEDI and judgment</t>
        </is>
      </c>
      <c r="H17" s="23" t="n"/>
      <c r="I17" s="23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3" t="inlineStr">
        <is>
          <t>Validation checks</t>
        </is>
      </c>
    </row>
    <row r="3">
      <c r="A3" s="43" t="inlineStr">
        <is>
          <t>Child-factor groups sum to 1 (per file/context/parent; rate-file reroutes excluded)</t>
        </is>
      </c>
    </row>
    <row r="4">
      <c r="A4" t="inlineStr">
        <is>
          <t>SoTaDOMCbIC.csv | transmission costs | ISIC 01T03</t>
        </is>
      </c>
      <c r="B4">
        <f>('Factors applied'!$E$3+'Factors applied'!$E$4+'Factors applied'!$E$5)</f>
        <v/>
      </c>
      <c r="C4" s="43">
        <f>IF(ABS(B4-1)&lt;0.000000001,"PASS","FAIL")</f>
        <v/>
      </c>
    </row>
    <row r="5">
      <c r="A5" t="inlineStr">
        <is>
          <t>SoTaDOMCbIC.csv | transmission costs | ISIC 07T08</t>
        </is>
      </c>
      <c r="B5">
        <f>('Factors applied'!$E$6+'Factors applied'!$E$7)</f>
        <v/>
      </c>
      <c r="C5" s="43">
        <f>IF(ABS(B5-1)&lt;0.000000001,"PASS","FAIL")</f>
        <v/>
      </c>
    </row>
    <row r="6">
      <c r="A6" t="inlineStr">
        <is>
          <t>SoTaDOMCbIC.csv | transmission costs | ISIC 30</t>
        </is>
      </c>
      <c r="B6">
        <f>('Factors applied'!$E$8+'Factors applied'!$E$9)</f>
        <v/>
      </c>
      <c r="C6" s="43">
        <f>IF(ABS(B6-1)&lt;0.000000001,"PASS","FAIL")</f>
        <v/>
      </c>
    </row>
    <row r="7">
      <c r="A7" t="inlineStr">
        <is>
          <t>SoTaDOMCbIC.csv | transmission costs | ISIC 49T53</t>
        </is>
      </c>
      <c r="B7">
        <f>('Factors applied'!$E$10+'Factors applied'!$E$11+'Factors applied'!$E$12+'Factors applied'!$E$13+'Factors applied'!$E$14)</f>
        <v/>
      </c>
      <c r="C7" s="43">
        <f>IF(ABS(B7-1)&lt;0.000000001,"PASS","FAIL")</f>
        <v/>
      </c>
    </row>
    <row r="8">
      <c r="A8" t="inlineStr">
        <is>
          <t>SoTaDOMCbIC.csv | transmission costs | ISIC 69T82</t>
        </is>
      </c>
      <c r="B8">
        <f>('Factors applied'!$E$15+'Factors applied'!$E$16)</f>
        <v/>
      </c>
      <c r="C8" s="43">
        <f>IF(ABS(B8-1)&lt;0.000000001,"PASS","FAIL")</f>
        <v/>
      </c>
    </row>
    <row r="9">
      <c r="A9" t="inlineStr">
        <is>
          <t>SoTaDOMCbIC.csv | transmission costs | ISIC 90T96</t>
        </is>
      </c>
      <c r="B9">
        <f>('Factors applied'!$E$17+'Factors applied'!$E$18)</f>
        <v/>
      </c>
      <c r="C9" s="43">
        <f>IF(ABS(B9-1)&lt;0.000000001,"PASS","FAIL")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B2" sqref="B2:AQ2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53" t="inlineStr">
        <is>
          <t>Unit: dimensionless (% of costs)</t>
        </is>
      </c>
      <c r="B1" s="43" t="inlineStr">
        <is>
          <t>ISIC 01</t>
        </is>
      </c>
      <c r="C1" s="43" t="inlineStr">
        <is>
          <t>ISIC 02</t>
        </is>
      </c>
      <c r="D1" s="43" t="inlineStr">
        <is>
          <t>ISIC 03</t>
        </is>
      </c>
      <c r="E1" s="43" t="inlineStr">
        <is>
          <t>ISIC 05</t>
        </is>
      </c>
      <c r="F1" s="43" t="inlineStr">
        <is>
          <t>ISIC 06</t>
        </is>
      </c>
      <c r="G1" s="43" t="inlineStr">
        <is>
          <t>ISIC 07</t>
        </is>
      </c>
      <c r="H1" s="43" t="inlineStr">
        <is>
          <t>ISIC 08</t>
        </is>
      </c>
      <c r="I1" s="43" t="inlineStr">
        <is>
          <t>ISIC 09</t>
        </is>
      </c>
      <c r="J1" s="43" t="inlineStr">
        <is>
          <t>ISIC 10T12</t>
        </is>
      </c>
      <c r="K1" s="43" t="inlineStr">
        <is>
          <t>ISIC 13T15</t>
        </is>
      </c>
      <c r="L1" s="43" t="inlineStr">
        <is>
          <t>ISIC 16</t>
        </is>
      </c>
      <c r="M1" s="43" t="inlineStr">
        <is>
          <t>ISIC 17T18</t>
        </is>
      </c>
      <c r="N1" s="43" t="inlineStr">
        <is>
          <t>ISIC 19</t>
        </is>
      </c>
      <c r="O1" s="43" t="inlineStr">
        <is>
          <t>ISIC 20</t>
        </is>
      </c>
      <c r="P1" s="43" t="inlineStr">
        <is>
          <t>ISIC 21</t>
        </is>
      </c>
      <c r="Q1" s="43" t="inlineStr">
        <is>
          <t>ISIC 22</t>
        </is>
      </c>
      <c r="R1" s="43" t="inlineStr">
        <is>
          <t>ISIC 231</t>
        </is>
      </c>
      <c r="S1" s="43" t="inlineStr">
        <is>
          <t>ISIC 239</t>
        </is>
      </c>
      <c r="T1" s="43" t="inlineStr">
        <is>
          <t>ISIC 241</t>
        </is>
      </c>
      <c r="U1" s="43" t="inlineStr">
        <is>
          <t>ISIC 242</t>
        </is>
      </c>
      <c r="V1" s="43" t="inlineStr">
        <is>
          <t>ISIC 25</t>
        </is>
      </c>
      <c r="W1" s="43" t="inlineStr">
        <is>
          <t>ISIC 26</t>
        </is>
      </c>
      <c r="X1" s="43" t="inlineStr">
        <is>
          <t>ISIC 27</t>
        </is>
      </c>
      <c r="Y1" s="43" t="inlineStr">
        <is>
          <t>ISIC 28</t>
        </is>
      </c>
      <c r="Z1" s="43" t="inlineStr">
        <is>
          <t>ISIC 29</t>
        </is>
      </c>
      <c r="AA1" s="43" t="inlineStr">
        <is>
          <t>ISIC 301</t>
        </is>
      </c>
      <c r="AB1" s="43" t="inlineStr">
        <is>
          <t>ISIC 302T309</t>
        </is>
      </c>
      <c r="AC1" s="43" t="inlineStr">
        <is>
          <t>ISIC 31T33</t>
        </is>
      </c>
      <c r="AD1" s="43" t="inlineStr">
        <is>
          <t>ISIC 351</t>
        </is>
      </c>
      <c r="AE1" s="43" t="inlineStr">
        <is>
          <t>ISIC 352T353</t>
        </is>
      </c>
      <c r="AF1" s="43" t="inlineStr">
        <is>
          <t>ISIC 36T39</t>
        </is>
      </c>
      <c r="AG1" s="43" t="inlineStr">
        <is>
          <t>ISIC 41T43</t>
        </is>
      </c>
      <c r="AH1" s="43" t="inlineStr">
        <is>
          <t>ISIC 45T47</t>
        </is>
      </c>
      <c r="AI1" s="43" t="inlineStr">
        <is>
          <t>ISIC 49</t>
        </is>
      </c>
      <c r="AJ1" s="43" t="inlineStr">
        <is>
          <t>ISIC 50</t>
        </is>
      </c>
      <c r="AK1" s="43" t="inlineStr">
        <is>
          <t>ISIC 51</t>
        </is>
      </c>
      <c r="AL1" s="43" t="inlineStr">
        <is>
          <t>ISIC 52</t>
        </is>
      </c>
      <c r="AM1" s="43" t="inlineStr">
        <is>
          <t>ISIC 53</t>
        </is>
      </c>
      <c r="AN1" s="43" t="inlineStr">
        <is>
          <t>ISIC 55T56</t>
        </is>
      </c>
      <c r="AO1" s="43" t="inlineStr">
        <is>
          <t>ISIC 58T60</t>
        </is>
      </c>
      <c r="AP1" s="43" t="inlineStr">
        <is>
          <t>ISIC 61</t>
        </is>
      </c>
      <c r="AQ1" s="43" t="inlineStr">
        <is>
          <t>ISIC 62T63</t>
        </is>
      </c>
      <c r="AR1" s="43" t="inlineStr">
        <is>
          <t>ISIC 64T66</t>
        </is>
      </c>
      <c r="AS1" s="43" t="inlineStr">
        <is>
          <t>ISIC 68</t>
        </is>
      </c>
      <c r="AT1" s="43" t="inlineStr">
        <is>
          <t>ISIC 69T75</t>
        </is>
      </c>
      <c r="AU1" s="43" t="inlineStr">
        <is>
          <t>ISIC 77T82</t>
        </is>
      </c>
      <c r="AV1" s="43" t="inlineStr">
        <is>
          <t>ISIC 84</t>
        </is>
      </c>
      <c r="AW1" s="43" t="inlineStr">
        <is>
          <t>ISIC 85</t>
        </is>
      </c>
      <c r="AX1" s="43" t="inlineStr">
        <is>
          <t>ISIC 86T88</t>
        </is>
      </c>
      <c r="AY1" s="43" t="inlineStr">
        <is>
          <t>ISIC 90T93</t>
        </is>
      </c>
      <c r="AZ1" s="43" t="inlineStr">
        <is>
          <t>ISIC 94T96</t>
        </is>
      </c>
      <c r="BA1" s="43" t="inlineStr">
        <is>
          <t>ISIC 97T98</t>
        </is>
      </c>
    </row>
    <row r="2">
      <c r="A2" t="inlineStr">
        <is>
          <t>transmission costs</t>
        </is>
      </c>
      <c r="B2">
        <f>(SUMIF('Cost Breakdowns'!$F$4:$F$12,"ISIC 01T03",'Cost Breakdowns'!$D$4:$D$12))*'Factors applied'!$E$3</f>
        <v/>
      </c>
      <c r="C2">
        <f>(SUMIF('Cost Breakdowns'!$F$4:$F$12,"ISIC 01T03",'Cost Breakdowns'!$D$4:$D$12))*'Factors applied'!$E$4</f>
        <v/>
      </c>
      <c r="D2">
        <f>(SUMIF('Cost Breakdowns'!$F$4:$F$12,"ISIC 01T03",'Cost Breakdowns'!$D$4:$D$12))*'Factors applied'!$E$5</f>
        <v/>
      </c>
      <c r="E2">
        <f>(SUMIF('Cost Breakdowns'!$F$4:$F$12,"ISIC 05",'Cost Breakdowns'!$D$4:$D$12))</f>
        <v/>
      </c>
      <c r="F2">
        <f>(SUMIF('Cost Breakdowns'!$F$4:$F$12,"ISIC 06",'Cost Breakdowns'!$D$4:$D$12))</f>
        <v/>
      </c>
      <c r="G2">
        <f>(SUMIF('Cost Breakdowns'!$F$4:$F$12,"ISIC 07T08",'Cost Breakdowns'!$D$4:$D$12))*'Factors applied'!$E$6</f>
        <v/>
      </c>
      <c r="H2">
        <f>(SUMIF('Cost Breakdowns'!$F$4:$F$12,"ISIC 07T08",'Cost Breakdowns'!$D$4:$D$12))*'Factors applied'!$E$7</f>
        <v/>
      </c>
      <c r="I2">
        <f>(SUMIF('Cost Breakdowns'!$F$4:$F$12,"ISIC 09",'Cost Breakdowns'!$D$4:$D$12))</f>
        <v/>
      </c>
      <c r="J2">
        <f>(SUMIF('Cost Breakdowns'!$F$4:$F$12,"ISIC 10T12",'Cost Breakdowns'!$D$4:$D$12))</f>
        <v/>
      </c>
      <c r="K2">
        <f>(SUMIF('Cost Breakdowns'!$F$4:$F$12,"ISIC 13T15",'Cost Breakdowns'!$D$4:$D$12))</f>
        <v/>
      </c>
      <c r="L2">
        <f>(SUMIF('Cost Breakdowns'!$F$4:$F$12,"ISIC 16",'Cost Breakdowns'!$D$4:$D$12))</f>
        <v/>
      </c>
      <c r="M2">
        <f>(SUMIF('Cost Breakdowns'!$F$4:$F$12,"ISIC 17T18",'Cost Breakdowns'!$D$4:$D$12))</f>
        <v/>
      </c>
      <c r="N2">
        <f>(SUMIF('Cost Breakdowns'!$F$4:$F$12,"ISIC 19",'Cost Breakdowns'!$D$4:$D$12))</f>
        <v/>
      </c>
      <c r="O2">
        <f>(SUMIF('Cost Breakdowns'!$F$4:$F$12,"ISIC 20",'Cost Breakdowns'!$D$4:$D$12))</f>
        <v/>
      </c>
      <c r="P2">
        <f>(SUMIF('Cost Breakdowns'!$F$4:$F$12,"ISIC 21",'Cost Breakdowns'!$D$4:$D$12))</f>
        <v/>
      </c>
      <c r="Q2">
        <f>(SUMIF('Cost Breakdowns'!$F$4:$F$12,"ISIC 22",'Cost Breakdowns'!$D$4:$D$12))</f>
        <v/>
      </c>
      <c r="R2">
        <f>(SUMIF('Cost Breakdowns'!$F$4:$F$12,"ISIC 231",'Cost Breakdowns'!$D$4:$D$12))</f>
        <v/>
      </c>
      <c r="S2">
        <f>(SUMIF('Cost Breakdowns'!$F$4:$F$12,"ISIC 239",'Cost Breakdowns'!$D$4:$D$12))</f>
        <v/>
      </c>
      <c r="T2">
        <f>(SUMIF('Cost Breakdowns'!$F$4:$F$12,"ISIC 241",'Cost Breakdowns'!$D$4:$D$12))</f>
        <v/>
      </c>
      <c r="U2">
        <f>(SUMIF('Cost Breakdowns'!$F$4:$F$12,"ISIC 242",'Cost Breakdowns'!$D$4:$D$12))</f>
        <v/>
      </c>
      <c r="V2">
        <f>(SUMIF('Cost Breakdowns'!$F$4:$F$12,"ISIC 25",'Cost Breakdowns'!$D$4:$D$12))</f>
        <v/>
      </c>
      <c r="W2">
        <f>(SUMIF('Cost Breakdowns'!$F$4:$F$12,"ISIC 26",'Cost Breakdowns'!$D$4:$D$12))</f>
        <v/>
      </c>
      <c r="X2">
        <f>(SUMIF('Cost Breakdowns'!$F$4:$F$12,"ISIC 27",'Cost Breakdowns'!$D$4:$D$12))</f>
        <v/>
      </c>
      <c r="Y2">
        <f>(SUMIF('Cost Breakdowns'!$F$4:$F$12,"ISIC 28",'Cost Breakdowns'!$D$4:$D$12))</f>
        <v/>
      </c>
      <c r="Z2">
        <f>(SUMIF('Cost Breakdowns'!$F$4:$F$12,"ISIC 29",'Cost Breakdowns'!$D$4:$D$12))</f>
        <v/>
      </c>
      <c r="AA2">
        <f>(SUMIF('Cost Breakdowns'!$F$4:$F$12,"ISIC 30",'Cost Breakdowns'!$D$4:$D$12))*'Factors applied'!$E$8</f>
        <v/>
      </c>
      <c r="AB2">
        <f>(SUMIF('Cost Breakdowns'!$F$4:$F$12,"ISIC 30",'Cost Breakdowns'!$D$4:$D$12))*'Factors applied'!$E$9</f>
        <v/>
      </c>
      <c r="AC2">
        <f>(SUMIF('Cost Breakdowns'!$F$4:$F$12,"ISIC 31T33",'Cost Breakdowns'!$D$4:$D$12))</f>
        <v/>
      </c>
      <c r="AD2">
        <f>(SUMIF('Cost Breakdowns'!$F$4:$F$12,"ISIC 351",'Cost Breakdowns'!$D$4:$D$12))</f>
        <v/>
      </c>
      <c r="AE2">
        <f>(SUMIF('Cost Breakdowns'!$F$4:$F$12,"ISIC 352T353",'Cost Breakdowns'!$D$4:$D$12))</f>
        <v/>
      </c>
      <c r="AF2">
        <f>(SUMIF('Cost Breakdowns'!$F$4:$F$12,"ISIC 36T39",'Cost Breakdowns'!$D$4:$D$12))</f>
        <v/>
      </c>
      <c r="AG2">
        <f>(SUMIF('Cost Breakdowns'!$F$4:$F$12,"ISIC 41T43",'Cost Breakdowns'!$D$4:$D$12))</f>
        <v/>
      </c>
      <c r="AH2">
        <f>(SUMIF('Cost Breakdowns'!$F$4:$F$12,"ISIC 45T47",'Cost Breakdowns'!$D$4:$D$12))</f>
        <v/>
      </c>
      <c r="AI2">
        <f>(SUMIF('Cost Breakdowns'!$F$4:$F$12,"ISIC 49T53",'Cost Breakdowns'!$D$4:$D$12))*'Factors applied'!$E$10</f>
        <v/>
      </c>
      <c r="AJ2">
        <f>(SUMIF('Cost Breakdowns'!$F$4:$F$12,"ISIC 49T53",'Cost Breakdowns'!$D$4:$D$12))*'Factors applied'!$E$11</f>
        <v/>
      </c>
      <c r="AK2">
        <f>(SUMIF('Cost Breakdowns'!$F$4:$F$12,"ISIC 49T53",'Cost Breakdowns'!$D$4:$D$12))*'Factors applied'!$E$12</f>
        <v/>
      </c>
      <c r="AL2">
        <f>(SUMIF('Cost Breakdowns'!$F$4:$F$12,"ISIC 49T53",'Cost Breakdowns'!$D$4:$D$12))*'Factors applied'!$E$13</f>
        <v/>
      </c>
      <c r="AM2">
        <f>(SUMIF('Cost Breakdowns'!$F$4:$F$12,"ISIC 49T53",'Cost Breakdowns'!$D$4:$D$12))*'Factors applied'!$E$14</f>
        <v/>
      </c>
      <c r="AN2">
        <f>(SUMIF('Cost Breakdowns'!$F$4:$F$12,"ISIC 55T56",'Cost Breakdowns'!$D$4:$D$12))</f>
        <v/>
      </c>
      <c r="AO2">
        <f>(SUMIF('Cost Breakdowns'!$F$4:$F$12,"ISIC 58T60",'Cost Breakdowns'!$D$4:$D$12))</f>
        <v/>
      </c>
      <c r="AP2">
        <f>(SUMIF('Cost Breakdowns'!$F$4:$F$12,"ISIC 61",'Cost Breakdowns'!$D$4:$D$12))</f>
        <v/>
      </c>
      <c r="AQ2">
        <f>(SUMIF('Cost Breakdowns'!$F$4:$F$12,"ISIC 62T63",'Cost Breakdowns'!$D$4:$D$12))</f>
        <v/>
      </c>
      <c r="AR2">
        <f>(SUMIF('Cost Breakdowns'!$F$4:$F$12,"ISIC 64T66",'Cost Breakdowns'!$D$4:$D$12))</f>
        <v/>
      </c>
      <c r="AS2">
        <f>(SUMIF('Cost Breakdowns'!$F$4:$F$12,"ISIC 68",'Cost Breakdowns'!$D$4:$D$12))</f>
        <v/>
      </c>
      <c r="AT2">
        <f>(SUMIF('Cost Breakdowns'!$F$4:$F$12,"ISIC 69T82",'Cost Breakdowns'!$D$4:$D$12))*'Factors applied'!$E$15</f>
        <v/>
      </c>
      <c r="AU2">
        <f>(SUMIF('Cost Breakdowns'!$F$4:$F$12,"ISIC 69T82",'Cost Breakdowns'!$D$4:$D$12))*'Factors applied'!$E$16</f>
        <v/>
      </c>
      <c r="AV2">
        <f>(SUMIF('Cost Breakdowns'!$F$4:$F$12,"ISIC 84",'Cost Breakdowns'!$D$4:$D$12))</f>
        <v/>
      </c>
      <c r="AW2">
        <f>(SUMIF('Cost Breakdowns'!$F$4:$F$12,"ISIC 85",'Cost Breakdowns'!$D$4:$D$12))</f>
        <v/>
      </c>
      <c r="AX2">
        <f>(SUMIF('Cost Breakdowns'!$F$4:$F$12,"ISIC 86T88",'Cost Breakdowns'!$D$4:$D$12))</f>
        <v/>
      </c>
      <c r="AY2">
        <f>(SUMIF('Cost Breakdowns'!$F$4:$F$12,"ISIC 90T96",'Cost Breakdowns'!$D$4:$D$12))*'Factors applied'!$E$17</f>
        <v/>
      </c>
      <c r="AZ2">
        <f>(SUMIF('Cost Breakdowns'!$F$4:$F$12,"ISIC 90T96",'Cost Breakdowns'!$D$4:$D$12))*'Factors applied'!$E$18</f>
        <v/>
      </c>
      <c r="BA2">
        <f>(SUMIF('Cost Breakdowns'!$F$4:$F$12,"ISIC 97T98",'Cost Breakdowns'!$D$4:$D$12))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2026-07-21T14:40:50Z</dcterms:modified>
  <cp:lastModifiedBy>Megan Mahajan</cp:lastModifiedBy>
</cp:coreProperties>
</file>