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HYECFCA\"/>
    </mc:Choice>
  </mc:AlternateContent>
  <xr:revisionPtr revIDLastSave="0" documentId="13_ncr:1_{B3DE4846-ACEE-4A36-8C8F-2120F7B91DAD}" xr6:coauthVersionLast="47" xr6:coauthVersionMax="47" xr10:uidLastSave="{00000000-0000-0000-0000-000000000000}"/>
  <bookViews>
    <workbookView xWindow="-120" yWindow="-120" windowWidth="29040" windowHeight="17520" activeTab="2" xr2:uid="{2434D2BD-6D34-4476-A32C-19CE7C594793}"/>
  </bookViews>
  <sheets>
    <sheet name="About" sheetId="1" r:id="rId1"/>
    <sheet name="HYECFCA" sheetId="2" r:id="rId2"/>
    <sheet name="Calibration 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3" l="1"/>
  <c r="B18" i="2" s="1"/>
  <c r="D12" i="3"/>
  <c r="B15" i="2" s="1"/>
  <c r="D11" i="3"/>
  <c r="B11" i="2" s="1"/>
  <c r="D10" i="3"/>
  <c r="B10" i="2" s="1"/>
  <c r="D9" i="3"/>
  <c r="B9" i="2" s="1"/>
  <c r="D8" i="3"/>
  <c r="B8" i="2" s="1"/>
  <c r="D7" i="3"/>
  <c r="B7" i="2" s="1"/>
  <c r="D6" i="3"/>
  <c r="B6" i="2" s="1"/>
  <c r="D5" i="3"/>
  <c r="B5" i="2" s="1"/>
</calcChain>
</file>

<file path=xl/sharedStrings.xml><?xml version="1.0" encoding="utf-8"?>
<sst xmlns="http://schemas.openxmlformats.org/spreadsheetml/2006/main" count="46" uniqueCount="46">
  <si>
    <t>HYECFCA Historical Year Electricity Capacity Factor Calibration Adjustment</t>
  </si>
  <si>
    <t>Sources:</t>
  </si>
  <si>
    <t>hydrogen combined cycle es</t>
  </si>
  <si>
    <t>-&gt; electricity source within all fuels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</si>
  <si>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</si>
  <si>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</si>
  <si>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</si>
  <si>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</si>
  <si>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</si>
  <si>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</si>
  <si>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</si>
  <si>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</si>
  <si>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</si>
  <si>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</si>
  <si>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</si>
  <si>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</si>
  <si>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</si>
  <si>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</si>
  <si>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</si>
  <si>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</si>
  <si>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</si>
  <si>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</si>
  <si>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</si>
  <si>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</si>
  <si>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</si>
  <si>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</si>
  <si>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</si>
  <si>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multiplier (dmnl, %)</t>
  </si>
  <si>
    <t>2025 HYECFCA calibration: multiplier = EIA 2025 observed net generation / model 2025 generation at HYECFCA = 1</t>
  </si>
  <si>
    <t>Applies to SYSHECF-gated sources only (BDTPTUMCF = 0). MCF-gated sources (coal, gas, oil, CCS, H2) stay at 1 - their generation is set by economic dispatch, not capacity factors. 2026+ stays at 1 so the forecast is untouched. One iteration sufficed: the follow-up run reproduced every EIA value to &lt;0.005%.</t>
  </si>
  <si>
    <t>Source</t>
  </si>
  <si>
    <t>EIA 2025 net generation (MWh)</t>
  </si>
  <si>
    <t>HYECFCA 2025</t>
  </si>
  <si>
    <t>nuclear</t>
  </si>
  <si>
    <t>hydro</t>
  </si>
  <si>
    <t>onshore wind</t>
  </si>
  <si>
    <t>solar PV</t>
  </si>
  <si>
    <t>solar thermal</t>
  </si>
  <si>
    <t>biomass</t>
  </si>
  <si>
    <t>geothermal</t>
  </si>
  <si>
    <t>offshore wind</t>
  </si>
  <si>
    <t>municipal solid waste</t>
  </si>
  <si>
    <t>EIA source: EIA-923 2025 Early Release (30JUN2026 file), Page 1 Generation and Fuel Data, bucketed to EPS sources per the BGDPbES workbook fuel/prime-mover lookups and sector filters (Electric Utility + NAICS-22; industrial/commercial CHP excluded). The identical pasted dataset and SUMIFS live in the SYSHECF workbook's '923' tab (InputData/elec/SYSHECF) - its per-source sums reproduce column B exactly.</t>
  </si>
  <si>
    <t>Model run: eps-us develop_4.0.6, BAU (no .cin), run CAL25H0 2026-09-10 - HEAD 894015da plus the uncommitted 2026-09-10 SYSHECF calibration (biomass/MSW/peaker/petroleum tied to EIA 2025 CFs). Model 2025 gen values pasted from CAL25H0.tab (BAU Electricity Generation by Type). Re-derive by re-running BAU with HYECFCA set to 1.</t>
  </si>
  <si>
    <t>2025: EIA-923 2025 Early Release net generation vs model run at HYECFCA=1 - see 'Calibration 2025' tab (added 2026-09-10). All other years: 1 (no adjustment).</t>
  </si>
  <si>
    <t>Model 2025 generation, HYECFCA=1 (MWh, from CAL25H0.tab - Vensim exports 6 significant figures)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</si>
</sst>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E221-CC08-48E5-88DE-512F1AA684C0}">
  <dimension ref="A1:B3"/>
  <sheetViews>
    <sheetView workbookViewId="0">
      <selection activeCell="H10" sqref="H10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44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B056-5733-4310-8353-557550C17666}">
  <sheetPr>
    <tabColor rgb="FF002060"/>
  </sheetPr>
  <dimension ref="A1:AA26"/>
  <sheetViews>
    <sheetView workbookViewId="0">
      <selection activeCell="B2" sqref="B2:AA26"/>
    </sheetView>
  </sheetViews>
  <sheetFormatPr defaultRowHeight="15" x14ac:dyDescent="0.25"/>
  <cols>
    <col min="1" max="1" width="34" bestFit="1" customWidth="1"/>
  </cols>
  <sheetData>
    <row r="1" spans="1:27" x14ac:dyDescent="0.25">
      <c r="A1" t="s">
        <v>27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7</v>
      </c>
      <c r="B5">
        <f>'Calibration 2025'!D5</f>
        <v>0.99925866186869106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8</v>
      </c>
      <c r="B6">
        <f>'Calibration 2025'!D6</f>
        <v>0.97656769537997867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9</v>
      </c>
      <c r="B7">
        <f>'Calibration 2025'!D7</f>
        <v>0.99049996775136739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10</v>
      </c>
      <c r="B8">
        <f>'Calibration 2025'!D8</f>
        <v>1.0669161325664203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11</v>
      </c>
      <c r="B9">
        <f>'Calibration 2025'!D9</f>
        <v>0.93648670812995327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12</v>
      </c>
      <c r="B10">
        <f>'Calibration 2025'!D10</f>
        <v>1.0238947796972699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13</v>
      </c>
      <c r="B11">
        <f>'Calibration 2025'!D11</f>
        <v>1.0049882422482364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17</v>
      </c>
      <c r="B15">
        <f>'Calibration 2025'!D12</f>
        <v>1.0687524097695031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20</v>
      </c>
      <c r="B18">
        <f>'Calibration 2025'!D13</f>
        <v>0.99999935568255771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21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22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23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26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 x14ac:dyDescent="0.25">
      <c r="A26" t="s">
        <v>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7B30-2289-4DFA-B2A9-691D5E6D350E}">
  <dimension ref="A1:D16"/>
  <sheetViews>
    <sheetView tabSelected="1" workbookViewId="0"/>
  </sheetViews>
  <sheetFormatPr defaultRowHeight="15" x14ac:dyDescent="0.25"/>
  <sheetData>
    <row r="1" spans="1:4" x14ac:dyDescent="0.25">
      <c r="A1" t="s">
        <v>28</v>
      </c>
    </row>
    <row r="2" spans="1:4" x14ac:dyDescent="0.25">
      <c r="A2" t="s">
        <v>29</v>
      </c>
    </row>
    <row r="4" spans="1:4" x14ac:dyDescent="0.25">
      <c r="A4" t="s">
        <v>30</v>
      </c>
      <c r="B4" t="s">
        <v>31</v>
      </c>
      <c r="C4" t="s">
        <v>45</v>
      </c>
      <c r="D4" t="s">
        <v>32</v>
      </c>
    </row>
    <row r="5" spans="1:4" x14ac:dyDescent="0.25">
      <c r="A5" t="s">
        <v>33</v>
      </c>
      <c r="B5">
        <v>785304392</v>
      </c>
      <c r="C5">
        <v>785887000</v>
      </c>
      <c r="D5">
        <f t="shared" ref="D5:D13" si="0">B5/C5</f>
        <v>0.99925866186869106</v>
      </c>
    </row>
    <row r="6" spans="1:4" x14ac:dyDescent="0.25">
      <c r="A6" t="s">
        <v>34</v>
      </c>
      <c r="B6">
        <v>239131155</v>
      </c>
      <c r="C6">
        <v>244869000</v>
      </c>
      <c r="D6">
        <f t="shared" si="0"/>
        <v>0.97656769537997867</v>
      </c>
    </row>
    <row r="7" spans="1:4" x14ac:dyDescent="0.25">
      <c r="A7" t="s">
        <v>35</v>
      </c>
      <c r="B7">
        <v>460717193</v>
      </c>
      <c r="C7">
        <v>465136000</v>
      </c>
      <c r="D7">
        <f t="shared" si="0"/>
        <v>0.99049996775136739</v>
      </c>
    </row>
    <row r="8" spans="1:4" x14ac:dyDescent="0.25">
      <c r="A8" t="s">
        <v>36</v>
      </c>
      <c r="B8">
        <v>292148310</v>
      </c>
      <c r="C8">
        <v>273825000</v>
      </c>
      <c r="D8">
        <f t="shared" si="0"/>
        <v>1.0669161325664203</v>
      </c>
    </row>
    <row r="9" spans="1:4" x14ac:dyDescent="0.25">
      <c r="A9" t="s">
        <v>37</v>
      </c>
      <c r="B9">
        <v>2854861</v>
      </c>
      <c r="C9">
        <v>3048480</v>
      </c>
      <c r="D9">
        <f t="shared" si="0"/>
        <v>0.93648670812995327</v>
      </c>
    </row>
    <row r="10" spans="1:4" x14ac:dyDescent="0.25">
      <c r="A10" t="s">
        <v>38</v>
      </c>
      <c r="B10">
        <v>16850134</v>
      </c>
      <c r="C10">
        <v>16456900</v>
      </c>
      <c r="D10">
        <f t="shared" si="0"/>
        <v>1.0238947796972699</v>
      </c>
    </row>
    <row r="11" spans="1:4" x14ac:dyDescent="0.25">
      <c r="A11" t="s">
        <v>39</v>
      </c>
      <c r="B11">
        <v>15641838</v>
      </c>
      <c r="C11">
        <v>15564200</v>
      </c>
      <c r="D11">
        <f t="shared" si="0"/>
        <v>1.0049882422482364</v>
      </c>
    </row>
    <row r="12" spans="1:4" x14ac:dyDescent="0.25">
      <c r="A12" t="s">
        <v>40</v>
      </c>
      <c r="B12">
        <v>673578</v>
      </c>
      <c r="C12">
        <v>630247</v>
      </c>
      <c r="D12">
        <f t="shared" si="0"/>
        <v>1.0687524097695031</v>
      </c>
    </row>
    <row r="13" spans="1:4" x14ac:dyDescent="0.25">
      <c r="A13" t="s">
        <v>41</v>
      </c>
      <c r="B13">
        <v>6208116</v>
      </c>
      <c r="C13">
        <v>6208120</v>
      </c>
      <c r="D13">
        <f t="shared" si="0"/>
        <v>0.99999935568255771</v>
      </c>
    </row>
    <row r="15" spans="1:4" x14ac:dyDescent="0.25">
      <c r="A15" t="s">
        <v>42</v>
      </c>
    </row>
    <row r="16" spans="1:4" x14ac:dyDescent="0.25">
      <c r="A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HYECFCA</vt:lpstr>
      <vt:lpstr>Calibration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2026-07-20T17:54:12Z</dcterms:created>
  <dcterms:modified xsi:type="dcterms:W3CDTF">2026-09-10T16:59:34Z</dcterms:modified>
</cp:coreProperties>
</file>