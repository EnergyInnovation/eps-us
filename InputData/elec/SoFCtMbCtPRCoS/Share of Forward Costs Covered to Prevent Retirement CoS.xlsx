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FCtMbCtPRCoS\"/>
    </mc:Choice>
  </mc:AlternateContent>
  <xr:revisionPtr revIDLastSave="0" documentId="13_ncr:1_{71203381-1951-4BC6-8D26-50D7F7F172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Parameters" sheetId="2" r:id="rId2"/>
    <sheet name="Checks" sheetId="3" r:id="rId3"/>
    <sheet name="SoFCtMbCtPRC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5" i="4" s="1"/>
  <c r="B4" i="3" l="1"/>
  <c r="B4" i="4"/>
  <c r="B6" i="4"/>
  <c r="B7" i="4"/>
  <c r="B8" i="4"/>
  <c r="B2" i="4"/>
  <c r="B3" i="4"/>
  <c r="B9" i="4"/>
  <c r="B10" i="4"/>
  <c r="B14" i="4"/>
  <c r="B15" i="4"/>
  <c r="B16" i="4"/>
  <c r="B17" i="4"/>
  <c r="B11" i="4"/>
  <c r="B12" i="4"/>
  <c r="B13" i="4"/>
  <c r="B18" i="4"/>
  <c r="B19" i="4"/>
  <c r="B20" i="4"/>
  <c r="B21" i="4"/>
  <c r="B22" i="4"/>
  <c r="B23" i="4"/>
  <c r="B24" i="4"/>
  <c r="B5" i="4"/>
  <c r="B2" i="3" l="1"/>
  <c r="B3" i="3"/>
</calcChain>
</file>

<file path=xl/sharedStrings.xml><?xml version="1.0" encoding="utf-8"?>
<sst xmlns="http://schemas.openxmlformats.org/spreadsheetml/2006/main" count="161" uniqueCount="160">
  <si>
    <t>SoFCtMbCtPRCoS Share of Forward Costs that Must Be Covered to Prevent Retirement for Cost of Service Plants</t>
  </si>
  <si>
    <t>United States</t>
  </si>
  <si>
    <t>2026-08-25</t>
  </si>
  <si>
    <t>Alabama</t>
  </si>
  <si>
    <t>AL</t>
  </si>
  <si>
    <t>Alaska</t>
  </si>
  <si>
    <t>AK</t>
  </si>
  <si>
    <t>Sources:</t>
  </si>
  <si>
    <t>Primary anchor: regulated-vs-merchant exit-probability differential</t>
  </si>
  <si>
    <t>Arizona</t>
  </si>
  <si>
    <t>AZ</t>
  </si>
  <si>
    <t>Lucas W. Davis and Paige E. Weber</t>
  </si>
  <si>
    <t>Arkansas</t>
  </si>
  <si>
    <t>AR</t>
  </si>
  <si>
    <t>Does Regulation Distort Exit Decisions? Evidence from U.S. Power Plants - NBER Working Paper 34454</t>
  </si>
  <si>
    <t>California</t>
  </si>
  <si>
    <t>CA</t>
  </si>
  <si>
    <t>Colorado</t>
  </si>
  <si>
    <t>CO</t>
  </si>
  <si>
    <t>https://www.nber.org/papers/w34454</t>
  </si>
  <si>
    <t>Connecticut</t>
  </si>
  <si>
    <t>CT</t>
  </si>
  <si>
    <t>Generator-level data 2010-2023: regulated units are 45% less likely to exit than unregulated; merchant exits respond to wholesale prices and capital costs while regulated owners are largely insulated. The 0.55 here = 1 - 0.45, per the model developers mapping (2026-08-24). CAVEAT: a 45% lower exit PROBABILITY is not literally a 55% forward-cost-coverage share - this is an empirically anchored placeholder until the margin coefficients are pulled from the paper body or a PUDL survival model is run (FERC Form 1 costs + EIA-923 margins by Regulatory Status). Only the abstract was verified verbatim; see the literature section of NOTES-CoS-Retirement-Exposure-2026-08-24.md (EPS Structure Research folder) for the full verified/unverified citation ledger.</t>
  </si>
  <si>
    <t>Delaware</t>
  </si>
  <si>
    <t>DE</t>
  </si>
  <si>
    <t>Florida</t>
  </si>
  <si>
    <t>FL</t>
  </si>
  <si>
    <t>Complementary anchors (directional support)</t>
  </si>
  <si>
    <t>Georgia</t>
  </si>
  <si>
    <t>GA</t>
  </si>
  <si>
    <t>Gowrisankaran, Langer and Reguant</t>
  </si>
  <si>
    <t>Hawaii</t>
  </si>
  <si>
    <t>HI</t>
  </si>
  <si>
    <t>Energy Transitions in Regulated Markets - American Economic Review (2026); NBER WP 32088</t>
  </si>
  <si>
    <t>Idaho</t>
  </si>
  <si>
    <t>ID</t>
  </si>
  <si>
    <t>Illinois</t>
  </si>
  <si>
    <t>IL</t>
  </si>
  <si>
    <t>https://www.nber.org/papers/w32088</t>
  </si>
  <si>
    <t>Indiana</t>
  </si>
  <si>
    <t>IN</t>
  </si>
  <si>
    <t>Structural model of rate-of-return regulation: a regulated utility cuts short-run coal generation only ~48% as much as a cost-minimizer; a cost-minimizer retires substantially more coal capacity. Also RMI Utility Transition Hub economic-dispatch data and Sierra Club "Other Peoples Money" (2019) quantify regulated loss-tolerance in dollars (not independently verified - see NOTES doc).</t>
  </si>
  <si>
    <t>Iowa</t>
  </si>
  <si>
    <t>IA</t>
  </si>
  <si>
    <t>Kansas</t>
  </si>
  <si>
    <t>KS</t>
  </si>
  <si>
    <t>Notes:</t>
  </si>
  <si>
    <t>Kentucky</t>
  </si>
  <si>
    <t>KY</t>
  </si>
  <si>
    <t>What it does</t>
  </si>
  <si>
    <t>For plants under cost-of-service regulation, the share of forward-going costs (fuel, O&amp;M, and capital recovery going forward) that operating revenue must cover for the plant to stay online. Below this share, the plant becomes a candidate for economic retirement. It enters the retirement bar as a capacity-weighted blend: SoFCtMbCtPR = SoCtICoS x SoFCtMbCtPRCoS + (1 - SoCtICoS) x SoFCtMbCtPRM, where SoCtICoS is the cost-of-service share of capacity (own workbook in its folder) and SoFCtMbCtPRM is the merchant twin (set to 1.0: merchant plants must fully cover forward costs).</t>
  </si>
  <si>
    <t>Louisiana</t>
  </si>
  <si>
    <t>LA</t>
  </si>
  <si>
    <t>Why below 1.0</t>
  </si>
  <si>
    <t>Rate-regulated plants persist while covering only part of their forward costs because recovery flows through rates rather than market revenue: regulators retire plants slowly, undepreciated rate base creates inertia, and reliability/jobs considerations enter commission decisions. 0.55 encodes that a cost-of-service plant is tolerated while covering roughly half its forward costs, where a merchant plant covering less than all of them exits.</t>
  </si>
  <si>
    <t>Maine</t>
  </si>
  <si>
    <t>ME</t>
  </si>
  <si>
    <t>State configurability</t>
  </si>
  <si>
    <t>Cell B1 of this tab selects the region per the standard convention (B2 derives the abbreviation; calculations key on B2). The parameter is currently NOT state-differentiated - every state folder carries the identical 0.55 - so the selector is inert today. To differentiate a state, add a row to the override table on the Parameters tab; the output picks it up for that state automatically.</t>
  </si>
  <si>
    <t>Maryland</t>
  </si>
  <si>
    <t>MD</t>
  </si>
  <si>
    <t>How to revise</t>
  </si>
  <si>
    <t>Change the default on Parameters!B2 (all techs, all states) or add state/tech override rows. The output tab mirrors SoFCtMbCtPRCoS.csv exactly. Open and save in Excel before exporting so formula caches exist.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</si>
  <si>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</si>
  <si>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</si>
  <si>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</si>
  <si>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</si>
  <si>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</si>
  <si>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</si>
  <si>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</si>
  <si>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</si>
  <si>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</si>
  <si>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</si>
  <si>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</si>
  <si>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</si>
  <si>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</si>
  <si>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</si>
  <si>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</si>
  <si>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</si>
  <si>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</si>
  <si>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</si>
  <si>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</si>
  <si>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</si>
  <si>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</si>
  <si>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</si>
  <si>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</si>
  <si>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</si>
  <si>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</si>
  <si>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</si>
  <si>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</si>
  <si>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</si>
  <si>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</si>
  <si>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</si>
  <si>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</si>
  <si>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</si>
  <si>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</si>
  <si>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</si>
  <si>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</si>
  <si>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</si>
  <si>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</si>
  <si>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</si>
  <si>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</si>
  <si>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</si>
  <si>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</si>
  <si>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</si>
  <si>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</si>
  <si>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</si>
  <si>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</si>
  <si>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</si>
  <si>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</si>
  <si>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</si>
  <si>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</si>
  <si>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</si>
  <si>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</si>
  <si>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</si>
  <si>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</si>
  <si>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</si>
  <si>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</si>
  <si>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</si>
  <si>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</si>
  <si>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</si>
  <si>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</si>
  <si>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</si>
  <si>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US</t>
  </si>
  <si>
    <t>Editable parameters (region selector is on the About tab, cell B1)</t>
  </si>
  <si>
    <t>Default share of forward costs covered to prevent retirement (cost-of-service plants, all techs, all states)</t>
  </si>
  <si>
    <t>Optional state/tech overrides (empty = default everywhere)</t>
  </si>
  <si>
    <t>State</t>
  </si>
  <si>
    <t>EPS technology</t>
  </si>
  <si>
    <t>Value</t>
  </si>
  <si>
    <t>Validation checks</t>
  </si>
  <si>
    <t>All output values within [0,1]?</t>
  </si>
  <si>
    <t>CoS bar below merchant bar (should be &lt;= 1.0)?</t>
  </si>
  <si>
    <t>Override rows active for selected region (count)</t>
  </si>
  <si>
    <t>Unit: dimensionless (% of costs)</t>
  </si>
  <si>
    <t>Share of costs covered to be deemed profitable for cost of service plants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</si>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</sst>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ber.org/papers/w32088" TargetMode="External"/><Relationship Id="rId1" Type="http://schemas.openxmlformats.org/officeDocument/2006/relationships/hyperlink" Target="https://www.nber.org/papers/w34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5" x14ac:dyDescent="0.25"/>
  <cols>
    <col min="1" max="1" width="14" customWidth="1"/>
    <col min="2" max="2" width="110" customWidth="1"/>
    <col min="6" max="6" width="16" customWidth="1"/>
    <col min="7" max="7" width="6" customWidth="1"/>
  </cols>
  <sheetData>
    <row r="1" spans="1:7" x14ac:dyDescent="0.25">
      <c r="A1" s="1" t="s">
        <v>0</v>
      </c>
      <c r="B1" s="1" t="s">
        <v>1</v>
      </c>
      <c r="C1" t="s">
        <v>2</v>
      </c>
      <c r="F1" t="s">
        <v>3</v>
      </c>
      <c r="G1" t="s">
        <v>4</v>
      </c>
    </row>
    <row r="2" spans="1:7" x14ac:dyDescent="0.25">
      <c r="B2" t="str">
        <f>VLOOKUP($B$1,$F$1:$G$51,2,FALSE)</f>
        <v>US</v>
      </c>
      <c r="F2" t="s">
        <v>5</v>
      </c>
      <c r="G2" t="s">
        <v>6</v>
      </c>
    </row>
    <row r="3" spans="1:7" x14ac:dyDescent="0.25">
      <c r="A3" s="1" t="s">
        <v>7</v>
      </c>
      <c r="B3" s="2" t="s">
        <v>8</v>
      </c>
      <c r="F3" t="s">
        <v>9</v>
      </c>
      <c r="G3" t="s">
        <v>10</v>
      </c>
    </row>
    <row r="4" spans="1:7" x14ac:dyDescent="0.25">
      <c r="B4" s="3" t="s">
        <v>11</v>
      </c>
      <c r="F4" t="s">
        <v>12</v>
      </c>
      <c r="G4" t="s">
        <v>13</v>
      </c>
    </row>
    <row r="5" spans="1:7" x14ac:dyDescent="0.25">
      <c r="B5" s="3" t="s">
        <v>14</v>
      </c>
      <c r="F5" t="s">
        <v>15</v>
      </c>
      <c r="G5" t="s">
        <v>16</v>
      </c>
    </row>
    <row r="6" spans="1:7" x14ac:dyDescent="0.25">
      <c r="B6" s="3">
        <v>2025</v>
      </c>
      <c r="F6" t="s">
        <v>17</v>
      </c>
      <c r="G6" t="s">
        <v>18</v>
      </c>
    </row>
    <row r="7" spans="1:7" x14ac:dyDescent="0.25">
      <c r="B7" s="4" t="s">
        <v>19</v>
      </c>
      <c r="F7" t="s">
        <v>20</v>
      </c>
      <c r="G7" t="s">
        <v>21</v>
      </c>
    </row>
    <row r="8" spans="1:7" ht="105" x14ac:dyDescent="0.25">
      <c r="B8" s="3" t="s">
        <v>22</v>
      </c>
      <c r="F8" t="s">
        <v>23</v>
      </c>
      <c r="G8" t="s">
        <v>24</v>
      </c>
    </row>
    <row r="9" spans="1:7" x14ac:dyDescent="0.25">
      <c r="F9" t="s">
        <v>25</v>
      </c>
      <c r="G9" t="s">
        <v>26</v>
      </c>
    </row>
    <row r="10" spans="1:7" x14ac:dyDescent="0.25">
      <c r="B10" s="2" t="s">
        <v>27</v>
      </c>
      <c r="F10" t="s">
        <v>28</v>
      </c>
      <c r="G10" t="s">
        <v>29</v>
      </c>
    </row>
    <row r="11" spans="1:7" x14ac:dyDescent="0.25">
      <c r="B11" s="3" t="s">
        <v>30</v>
      </c>
      <c r="F11" t="s">
        <v>31</v>
      </c>
      <c r="G11" t="s">
        <v>32</v>
      </c>
    </row>
    <row r="12" spans="1:7" x14ac:dyDescent="0.25">
      <c r="B12" s="3" t="s">
        <v>33</v>
      </c>
      <c r="F12" t="s">
        <v>34</v>
      </c>
      <c r="G12" t="s">
        <v>35</v>
      </c>
    </row>
    <row r="13" spans="1:7" x14ac:dyDescent="0.25">
      <c r="B13" s="3">
        <v>2026</v>
      </c>
      <c r="F13" t="s">
        <v>36</v>
      </c>
      <c r="G13" t="s">
        <v>37</v>
      </c>
    </row>
    <row r="14" spans="1:7" x14ac:dyDescent="0.25">
      <c r="B14" s="4" t="s">
        <v>38</v>
      </c>
      <c r="F14" t="s">
        <v>39</v>
      </c>
      <c r="G14" t="s">
        <v>40</v>
      </c>
    </row>
    <row r="15" spans="1:7" ht="60" x14ac:dyDescent="0.25">
      <c r="B15" s="3" t="s">
        <v>41</v>
      </c>
      <c r="F15" t="s">
        <v>42</v>
      </c>
      <c r="G15" t="s">
        <v>43</v>
      </c>
    </row>
    <row r="16" spans="1:7" x14ac:dyDescent="0.25">
      <c r="F16" t="s">
        <v>44</v>
      </c>
      <c r="G16" t="s">
        <v>45</v>
      </c>
    </row>
    <row r="17" spans="1:7" x14ac:dyDescent="0.25">
      <c r="A17" s="1" t="s">
        <v>46</v>
      </c>
      <c r="F17" t="s">
        <v>47</v>
      </c>
      <c r="G17" t="s">
        <v>48</v>
      </c>
    </row>
    <row r="18" spans="1:7" ht="90" x14ac:dyDescent="0.25">
      <c r="A18" s="1" t="s">
        <v>49</v>
      </c>
      <c r="B18" s="3" t="s">
        <v>50</v>
      </c>
      <c r="F18" t="s">
        <v>51</v>
      </c>
      <c r="G18" t="s">
        <v>52</v>
      </c>
    </row>
    <row r="19" spans="1:7" ht="60" x14ac:dyDescent="0.25">
      <c r="A19" s="1" t="s">
        <v>53</v>
      </c>
      <c r="B19" s="3" t="s">
        <v>54</v>
      </c>
      <c r="F19" t="s">
        <v>55</v>
      </c>
      <c r="G19" t="s">
        <v>56</v>
      </c>
    </row>
    <row r="20" spans="1:7" ht="60" x14ac:dyDescent="0.25">
      <c r="A20" s="1" t="s">
        <v>57</v>
      </c>
      <c r="B20" s="3" t="s">
        <v>58</v>
      </c>
      <c r="F20" t="s">
        <v>59</v>
      </c>
      <c r="G20" t="s">
        <v>60</v>
      </c>
    </row>
    <row r="21" spans="1:7" ht="30" x14ac:dyDescent="0.25">
      <c r="A21" s="1" t="s">
        <v>61</v>
      </c>
      <c r="B21" s="3" t="s">
        <v>62</v>
      </c>
      <c r="F21" t="s">
        <v>63</v>
      </c>
      <c r="G21" t="s">
        <v>64</v>
      </c>
    </row>
    <row r="22" spans="1:7" x14ac:dyDescent="0.25">
      <c r="F22" t="s">
        <v>65</v>
      </c>
      <c r="G22" t="s">
        <v>66</v>
      </c>
    </row>
    <row r="23" spans="1:7" x14ac:dyDescent="0.25">
      <c r="F23" t="s">
        <v>67</v>
      </c>
      <c r="G23" t="s">
        <v>68</v>
      </c>
    </row>
    <row r="24" spans="1:7" x14ac:dyDescent="0.25">
      <c r="F24" t="s">
        <v>69</v>
      </c>
      <c r="G24" t="s">
        <v>70</v>
      </c>
    </row>
    <row r="25" spans="1:7" x14ac:dyDescent="0.25">
      <c r="F25" t="s">
        <v>71</v>
      </c>
      <c r="G25" t="s">
        <v>72</v>
      </c>
    </row>
    <row r="26" spans="1:7" x14ac:dyDescent="0.25">
      <c r="F26" t="s">
        <v>73</v>
      </c>
      <c r="G26" t="s">
        <v>74</v>
      </c>
    </row>
    <row r="27" spans="1:7" x14ac:dyDescent="0.25">
      <c r="F27" t="s">
        <v>75</v>
      </c>
      <c r="G27" t="s">
        <v>76</v>
      </c>
    </row>
    <row r="28" spans="1:7" x14ac:dyDescent="0.25">
      <c r="F28" t="s">
        <v>77</v>
      </c>
      <c r="G28" t="s">
        <v>78</v>
      </c>
    </row>
    <row r="29" spans="1:7" x14ac:dyDescent="0.25">
      <c r="F29" t="s">
        <v>79</v>
      </c>
      <c r="G29" t="s">
        <v>80</v>
      </c>
    </row>
    <row r="30" spans="1:7" x14ac:dyDescent="0.25">
      <c r="F30" t="s">
        <v>81</v>
      </c>
      <c r="G30" t="s">
        <v>82</v>
      </c>
    </row>
    <row r="31" spans="1:7" x14ac:dyDescent="0.25">
      <c r="F31" t="s">
        <v>83</v>
      </c>
      <c r="G31" t="s">
        <v>84</v>
      </c>
    </row>
    <row r="32" spans="1:7" x14ac:dyDescent="0.25">
      <c r="F32" t="s">
        <v>85</v>
      </c>
      <c r="G32" t="s">
        <v>86</v>
      </c>
    </row>
    <row r="33" spans="6:7" x14ac:dyDescent="0.25">
      <c r="F33" t="s">
        <v>87</v>
      </c>
      <c r="G33" t="s">
        <v>88</v>
      </c>
    </row>
    <row r="34" spans="6:7" x14ac:dyDescent="0.25">
      <c r="F34" t="s">
        <v>89</v>
      </c>
      <c r="G34" t="s">
        <v>90</v>
      </c>
    </row>
    <row r="35" spans="6:7" x14ac:dyDescent="0.25">
      <c r="F35" t="s">
        <v>91</v>
      </c>
      <c r="G35" t="s">
        <v>92</v>
      </c>
    </row>
    <row r="36" spans="6:7" x14ac:dyDescent="0.25">
      <c r="F36" t="s">
        <v>93</v>
      </c>
      <c r="G36" t="s">
        <v>94</v>
      </c>
    </row>
    <row r="37" spans="6:7" x14ac:dyDescent="0.25">
      <c r="F37" t="s">
        <v>95</v>
      </c>
      <c r="G37" t="s">
        <v>96</v>
      </c>
    </row>
    <row r="38" spans="6:7" x14ac:dyDescent="0.25">
      <c r="F38" t="s">
        <v>97</v>
      </c>
      <c r="G38" t="s">
        <v>98</v>
      </c>
    </row>
    <row r="39" spans="6:7" x14ac:dyDescent="0.25">
      <c r="F39" t="s">
        <v>99</v>
      </c>
      <c r="G39" t="s">
        <v>100</v>
      </c>
    </row>
    <row r="40" spans="6:7" x14ac:dyDescent="0.25">
      <c r="F40" t="s">
        <v>101</v>
      </c>
      <c r="G40" t="s">
        <v>102</v>
      </c>
    </row>
    <row r="41" spans="6:7" x14ac:dyDescent="0.25">
      <c r="F41" t="s">
        <v>103</v>
      </c>
      <c r="G41" t="s">
        <v>104</v>
      </c>
    </row>
    <row r="42" spans="6:7" x14ac:dyDescent="0.25">
      <c r="F42" t="s">
        <v>105</v>
      </c>
      <c r="G42" t="s">
        <v>106</v>
      </c>
    </row>
    <row r="43" spans="6:7" x14ac:dyDescent="0.25">
      <c r="F43" t="s">
        <v>107</v>
      </c>
      <c r="G43" t="s">
        <v>108</v>
      </c>
    </row>
    <row r="44" spans="6:7" x14ac:dyDescent="0.25">
      <c r="F44" t="s">
        <v>109</v>
      </c>
      <c r="G44" t="s">
        <v>110</v>
      </c>
    </row>
    <row r="45" spans="6:7" x14ac:dyDescent="0.25">
      <c r="F45" t="s">
        <v>111</v>
      </c>
      <c r="G45" t="s">
        <v>112</v>
      </c>
    </row>
    <row r="46" spans="6:7" x14ac:dyDescent="0.25">
      <c r="F46" t="s">
        <v>113</v>
      </c>
      <c r="G46" t="s">
        <v>114</v>
      </c>
    </row>
    <row r="47" spans="6:7" x14ac:dyDescent="0.25">
      <c r="F47" t="s">
        <v>115</v>
      </c>
      <c r="G47" t="s">
        <v>116</v>
      </c>
    </row>
    <row r="48" spans="6:7" x14ac:dyDescent="0.25">
      <c r="F48" t="s">
        <v>117</v>
      </c>
      <c r="G48" t="s">
        <v>118</v>
      </c>
    </row>
    <row r="49" spans="6:7" x14ac:dyDescent="0.25">
      <c r="F49" t="s">
        <v>119</v>
      </c>
      <c r="G49" t="s">
        <v>120</v>
      </c>
    </row>
    <row r="50" spans="6:7" x14ac:dyDescent="0.25">
      <c r="F50" t="s">
        <v>121</v>
      </c>
      <c r="G50" t="s">
        <v>122</v>
      </c>
    </row>
    <row r="51" spans="6:7" x14ac:dyDescent="0.25">
      <c r="F51" t="s">
        <v>1</v>
      </c>
      <c r="G51" t="s">
        <v>123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cols>
    <col min="1" max="1" width="58" customWidth="1"/>
    <col min="2" max="2" width="12" customWidth="1"/>
    <col min="4" max="4" width="8" customWidth="1"/>
    <col min="5" max="5" width="34" customWidth="1"/>
    <col min="6" max="6" width="10" customWidth="1"/>
  </cols>
  <sheetData>
    <row r="1" spans="1:6" x14ac:dyDescent="0.25">
      <c r="A1" s="1" t="s">
        <v>124</v>
      </c>
    </row>
    <row r="2" spans="1:6" x14ac:dyDescent="0.25">
      <c r="A2" t="s">
        <v>125</v>
      </c>
      <c r="B2" s="1">
        <v>0.55000000000000004</v>
      </c>
    </row>
    <row r="3" spans="1:6" x14ac:dyDescent="0.25">
      <c r="D3" s="1" t="s">
        <v>126</v>
      </c>
    </row>
    <row r="4" spans="1:6" x14ac:dyDescent="0.25">
      <c r="D4" s="5" t="s">
        <v>127</v>
      </c>
      <c r="E4" s="5" t="s">
        <v>128</v>
      </c>
      <c r="F4" s="5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62" customWidth="1"/>
    <col min="2" max="2" width="14" customWidth="1"/>
  </cols>
  <sheetData>
    <row r="1" spans="1:2" x14ac:dyDescent="0.25">
      <c r="A1" s="1" t="s">
        <v>130</v>
      </c>
    </row>
    <row r="2" spans="1:2" x14ac:dyDescent="0.25">
      <c r="A2" t="s">
        <v>131</v>
      </c>
      <c r="B2" t="str">
        <f>IF(AND(MIN(SoFCtMbCtPRCoS!$B$2:$B$25)&gt;=0,MAX(SoFCtMbCtPRCoS!$B$2:$B$25)&lt;=1),"PASS","FAIL")</f>
        <v>PASS</v>
      </c>
    </row>
    <row r="3" spans="1:2" x14ac:dyDescent="0.25">
      <c r="A3" t="s">
        <v>132</v>
      </c>
      <c r="B3" t="str">
        <f>IF(MAX(SoFCtMbCtPRCoS!$B$2:$B$25)&lt;=1,"PASS","FAIL")</f>
        <v>PASS</v>
      </c>
    </row>
    <row r="4" spans="1:2" x14ac:dyDescent="0.25">
      <c r="A4" t="s">
        <v>133</v>
      </c>
      <c r="B4">
        <f>COUNTIFS(Parameters!$D$5:$D$54,About!$B$2)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25"/>
  <sheetViews>
    <sheetView workbookViewId="0"/>
  </sheetViews>
  <sheetFormatPr defaultRowHeight="15" x14ac:dyDescent="0.25"/>
  <cols>
    <col min="1" max="1" width="34" customWidth="1"/>
    <col min="2" max="2" width="62" customWidth="1"/>
  </cols>
  <sheetData>
    <row r="1" spans="1:2" x14ac:dyDescent="0.25">
      <c r="A1" t="s">
        <v>134</v>
      </c>
      <c r="B1" t="s">
        <v>135</v>
      </c>
    </row>
    <row r="2" spans="1:2" x14ac:dyDescent="0.25">
      <c r="A2" t="s">
        <v>136</v>
      </c>
      <c r="B2">
        <f>IF(COUNTIFS(Parameters!$D$5:$D$54,About!$B$2,Parameters!$E$5:$E$54,$A2)&gt;0,SUMIFS(Parameters!$F$5:$F$54,Parameters!$D$5:$D$54,About!$B$2,Parameters!$E$5:$E$54,$A2),Parameters!$B$2)</f>
        <v>0.55000000000000004</v>
      </c>
    </row>
    <row r="3" spans="1:2" x14ac:dyDescent="0.25">
      <c r="A3" t="s">
        <v>137</v>
      </c>
      <c r="B3">
        <f>IF(COUNTIFS(Parameters!$D$5:$D$54,About!$B$2,Parameters!$E$5:$E$54,$A3)&gt;0,SUMIFS(Parameters!$F$5:$F$54,Parameters!$D$5:$D$54,About!$B$2,Parameters!$E$5:$E$54,$A3),Parameters!$B$2)</f>
        <v>0.55000000000000004</v>
      </c>
    </row>
    <row r="4" spans="1:2" x14ac:dyDescent="0.25">
      <c r="A4" t="s">
        <v>138</v>
      </c>
      <c r="B4">
        <f>IF(COUNTIFS(Parameters!$D$5:$D$54,About!$B$2,Parameters!$E$5:$E$54,$A4)&gt;0,SUMIFS(Parameters!$F$5:$F$54,Parameters!$D$5:$D$54,About!$B$2,Parameters!$E$5:$E$54,$A4),Parameters!$B$2)</f>
        <v>0.55000000000000004</v>
      </c>
    </row>
    <row r="5" spans="1:2" x14ac:dyDescent="0.25">
      <c r="A5" t="s">
        <v>139</v>
      </c>
      <c r="B5">
        <f>IF(COUNTIFS(Parameters!$D$5:$D$54,About!$B$2,Parameters!$E$5:$E$54,$A5)&gt;0,SUMIFS(Parameters!$F$5:$F$54,Parameters!$D$5:$D$54,About!$B$2,Parameters!$E$5:$E$54,$A5),Parameters!$B$2)</f>
        <v>0.55000000000000004</v>
      </c>
    </row>
    <row r="6" spans="1:2" x14ac:dyDescent="0.25">
      <c r="A6" t="s">
        <v>140</v>
      </c>
      <c r="B6">
        <f>IF(COUNTIFS(Parameters!$D$5:$D$54,About!$B$2,Parameters!$E$5:$E$54,$A6)&gt;0,SUMIFS(Parameters!$F$5:$F$54,Parameters!$D$5:$D$54,About!$B$2,Parameters!$E$5:$E$54,$A6),Parameters!$B$2)</f>
        <v>0.55000000000000004</v>
      </c>
    </row>
    <row r="7" spans="1:2" x14ac:dyDescent="0.25">
      <c r="A7" t="s">
        <v>141</v>
      </c>
      <c r="B7">
        <f>IF(COUNTIFS(Parameters!$D$5:$D$54,About!$B$2,Parameters!$E$5:$E$54,$A7)&gt;0,SUMIFS(Parameters!$F$5:$F$54,Parameters!$D$5:$D$54,About!$B$2,Parameters!$E$5:$E$54,$A7),Parameters!$B$2)</f>
        <v>0.55000000000000004</v>
      </c>
    </row>
    <row r="8" spans="1:2" x14ac:dyDescent="0.25">
      <c r="A8" t="s">
        <v>142</v>
      </c>
      <c r="B8">
        <f>IF(COUNTIFS(Parameters!$D$5:$D$54,About!$B$2,Parameters!$E$5:$E$54,$A8)&gt;0,SUMIFS(Parameters!$F$5:$F$54,Parameters!$D$5:$D$54,About!$B$2,Parameters!$E$5:$E$54,$A8),Parameters!$B$2)</f>
        <v>0.55000000000000004</v>
      </c>
    </row>
    <row r="9" spans="1:2" x14ac:dyDescent="0.25">
      <c r="A9" t="s">
        <v>143</v>
      </c>
      <c r="B9">
        <f>IF(COUNTIFS(Parameters!$D$5:$D$54,About!$B$2,Parameters!$E$5:$E$54,$A9)&gt;0,SUMIFS(Parameters!$F$5:$F$54,Parameters!$D$5:$D$54,About!$B$2,Parameters!$E$5:$E$54,$A9),Parameters!$B$2)</f>
        <v>0.55000000000000004</v>
      </c>
    </row>
    <row r="10" spans="1:2" x14ac:dyDescent="0.25">
      <c r="A10" t="s">
        <v>144</v>
      </c>
      <c r="B10">
        <f>IF(COUNTIFS(Parameters!$D$5:$D$54,About!$B$2,Parameters!$E$5:$E$54,$A10)&gt;0,SUMIFS(Parameters!$F$5:$F$54,Parameters!$D$5:$D$54,About!$B$2,Parameters!$E$5:$E$54,$A10),Parameters!$B$2)</f>
        <v>0.55000000000000004</v>
      </c>
    </row>
    <row r="11" spans="1:2" x14ac:dyDescent="0.25">
      <c r="A11" t="s">
        <v>145</v>
      </c>
      <c r="B11">
        <f>IF(COUNTIFS(Parameters!$D$5:$D$54,About!$B$2,Parameters!$E$5:$E$54,$A11)&gt;0,SUMIFS(Parameters!$F$5:$F$54,Parameters!$D$5:$D$54,About!$B$2,Parameters!$E$5:$E$54,$A11),Parameters!$B$2)</f>
        <v>0.55000000000000004</v>
      </c>
    </row>
    <row r="12" spans="1:2" x14ac:dyDescent="0.25">
      <c r="A12" t="s">
        <v>146</v>
      </c>
      <c r="B12">
        <f>IF(COUNTIFS(Parameters!$D$5:$D$54,About!$B$2,Parameters!$E$5:$E$54,$A12)&gt;0,SUMIFS(Parameters!$F$5:$F$54,Parameters!$D$5:$D$54,About!$B$2,Parameters!$E$5:$E$54,$A12),Parameters!$B$2)</f>
        <v>0.55000000000000004</v>
      </c>
    </row>
    <row r="13" spans="1:2" x14ac:dyDescent="0.25">
      <c r="A13" t="s">
        <v>147</v>
      </c>
      <c r="B13">
        <f>IF(COUNTIFS(Parameters!$D$5:$D$54,About!$B$2,Parameters!$E$5:$E$54,$A13)&gt;0,SUMIFS(Parameters!$F$5:$F$54,Parameters!$D$5:$D$54,About!$B$2,Parameters!$E$5:$E$54,$A13),Parameters!$B$2)</f>
        <v>0.55000000000000004</v>
      </c>
    </row>
    <row r="14" spans="1:2" x14ac:dyDescent="0.25">
      <c r="A14" t="s">
        <v>148</v>
      </c>
      <c r="B14">
        <f>IF(COUNTIFS(Parameters!$D$5:$D$54,About!$B$2,Parameters!$E$5:$E$54,$A14)&gt;0,SUMIFS(Parameters!$F$5:$F$54,Parameters!$D$5:$D$54,About!$B$2,Parameters!$E$5:$E$54,$A14),Parameters!$B$2)</f>
        <v>0.55000000000000004</v>
      </c>
    </row>
    <row r="15" spans="1:2" x14ac:dyDescent="0.25">
      <c r="A15" t="s">
        <v>149</v>
      </c>
      <c r="B15">
        <f>IF(COUNTIFS(Parameters!$D$5:$D$54,About!$B$2,Parameters!$E$5:$E$54,$A15)&gt;0,SUMIFS(Parameters!$F$5:$F$54,Parameters!$D$5:$D$54,About!$B$2,Parameters!$E$5:$E$54,$A15),Parameters!$B$2)</f>
        <v>0.55000000000000004</v>
      </c>
    </row>
    <row r="16" spans="1:2" x14ac:dyDescent="0.25">
      <c r="A16" t="s">
        <v>150</v>
      </c>
      <c r="B16">
        <f>IF(COUNTIFS(Parameters!$D$5:$D$54,About!$B$2,Parameters!$E$5:$E$54,$A16)&gt;0,SUMIFS(Parameters!$F$5:$F$54,Parameters!$D$5:$D$54,About!$B$2,Parameters!$E$5:$E$54,$A16),Parameters!$B$2)</f>
        <v>0.55000000000000004</v>
      </c>
    </row>
    <row r="17" spans="1:2" x14ac:dyDescent="0.25">
      <c r="A17" t="s">
        <v>151</v>
      </c>
      <c r="B17">
        <f>IF(COUNTIFS(Parameters!$D$5:$D$54,About!$B$2,Parameters!$E$5:$E$54,$A17)&gt;0,SUMIFS(Parameters!$F$5:$F$54,Parameters!$D$5:$D$54,About!$B$2,Parameters!$E$5:$E$54,$A17),Parameters!$B$2)</f>
        <v>0.55000000000000004</v>
      </c>
    </row>
    <row r="18" spans="1:2" x14ac:dyDescent="0.25">
      <c r="A18" t="s">
        <v>152</v>
      </c>
      <c r="B18">
        <f>IF(COUNTIFS(Parameters!$D$5:$D$54,About!$B$2,Parameters!$E$5:$E$54,$A18)&gt;0,SUMIFS(Parameters!$F$5:$F$54,Parameters!$D$5:$D$54,About!$B$2,Parameters!$E$5:$E$54,$A18),Parameters!$B$2)</f>
        <v>0.55000000000000004</v>
      </c>
    </row>
    <row r="19" spans="1:2" x14ac:dyDescent="0.25">
      <c r="A19" t="s">
        <v>153</v>
      </c>
      <c r="B19">
        <f>IF(COUNTIFS(Parameters!$D$5:$D$54,About!$B$2,Parameters!$E$5:$E$54,$A19)&gt;0,SUMIFS(Parameters!$F$5:$F$54,Parameters!$D$5:$D$54,About!$B$2,Parameters!$E$5:$E$54,$A19),Parameters!$B$2)</f>
        <v>0.55000000000000004</v>
      </c>
    </row>
    <row r="20" spans="1:2" x14ac:dyDescent="0.25">
      <c r="A20" t="s">
        <v>154</v>
      </c>
      <c r="B20">
        <f>IF(COUNTIFS(Parameters!$D$5:$D$54,About!$B$2,Parameters!$E$5:$E$54,$A20)&gt;0,SUMIFS(Parameters!$F$5:$F$54,Parameters!$D$5:$D$54,About!$B$2,Parameters!$E$5:$E$54,$A20),Parameters!$B$2)</f>
        <v>0.55000000000000004</v>
      </c>
    </row>
    <row r="21" spans="1:2" x14ac:dyDescent="0.25">
      <c r="A21" t="s">
        <v>155</v>
      </c>
      <c r="B21">
        <f>IF(COUNTIFS(Parameters!$D$5:$D$54,About!$B$2,Parameters!$E$5:$E$54,$A21)&gt;0,SUMIFS(Parameters!$F$5:$F$54,Parameters!$D$5:$D$54,About!$B$2,Parameters!$E$5:$E$54,$A21),Parameters!$B$2)</f>
        <v>0.55000000000000004</v>
      </c>
    </row>
    <row r="22" spans="1:2" x14ac:dyDescent="0.25">
      <c r="A22" t="s">
        <v>156</v>
      </c>
      <c r="B22">
        <f>IF(COUNTIFS(Parameters!$D$5:$D$54,About!$B$2,Parameters!$E$5:$E$54,$A22)&gt;0,SUMIFS(Parameters!$F$5:$F$54,Parameters!$D$5:$D$54,About!$B$2,Parameters!$E$5:$E$54,$A22),Parameters!$B$2)</f>
        <v>0.55000000000000004</v>
      </c>
    </row>
    <row r="23" spans="1:2" x14ac:dyDescent="0.25">
      <c r="A23" t="s">
        <v>157</v>
      </c>
      <c r="B23">
        <f>IF(COUNTIFS(Parameters!$D$5:$D$54,About!$B$2,Parameters!$E$5:$E$54,$A23)&gt;0,SUMIFS(Parameters!$F$5:$F$54,Parameters!$D$5:$D$54,About!$B$2,Parameters!$E$5:$E$54,$A23),Parameters!$B$2)</f>
        <v>0.55000000000000004</v>
      </c>
    </row>
    <row r="24" spans="1:2" x14ac:dyDescent="0.25">
      <c r="A24" t="s">
        <v>158</v>
      </c>
      <c r="B24">
        <f>IF(COUNTIFS(Parameters!$D$5:$D$54,About!$B$2,Parameters!$E$5:$E$54,$A24)&gt;0,SUMIFS(Parameters!$F$5:$F$54,Parameters!$D$5:$D$54,About!$B$2,Parameters!$E$5:$E$54,$A24),Parameters!$B$2)</f>
        <v>0.55000000000000004</v>
      </c>
    </row>
    <row r="25" spans="1:2" x14ac:dyDescent="0.25">
      <c r="A25" t="s">
        <v>159</v>
      </c>
      <c r="B25">
        <f>IF(COUNTIFS(Parameters!$D$5:$D$54,About!$B$2,Parameters!$E$5:$E$54,$A25)&gt;0,SUMIFS(Parameters!$F$5:$F$54,Parameters!$D$5:$D$54,About!$B$2,Parameters!$E$5:$E$54,$A25),Parameters!$B$2)</f>
        <v>0.55000000000000004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Parameters</vt:lpstr>
      <vt:lpstr>Checks</vt:lpstr>
      <vt:lpstr>SoFCtMbCtPRCoS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2026-08-25T19:22:53Z</dcterms:created>
  <dcterms:modified xsi:type="dcterms:W3CDTF">2026-08-25T19:52:14Z</dcterms:modified>
</cp:coreProperties>
</file>