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eganMahajan\Documents\eps-us\InputData\elec\ELCCAfR\"/>
    </mc:Choice>
  </mc:AlternateContent>
  <xr:revisionPtr revIDLastSave="0" documentId="13_ncr:1_{AA467EE2-2F37-4F62-94B1-AE5F98114E25}" xr6:coauthVersionLast="47" xr6:coauthVersionMax="47" xr10:uidLastSave="{00000000-0000-0000-0000-000000000000}"/>
  <bookViews>
    <workbookView xWindow="-120" yWindow="-120" windowWidth="29040" windowHeight="17520" xr2:uid="{00000000-000D-0000-FFFF-FFFF00000000}"/>
  </bookViews>
  <sheets>
    <sheet name="About" sheetId="1" r:id="rId1"/>
    <sheet name="DAT-derivation" sheetId="27" r:id="rId2"/>
    <sheet name="ELCCAfR-solar-pv" sheetId="2" r:id="rId3"/>
    <sheet name="ELCCAfR-solar-thermal" sheetId="3" r:id="rId4"/>
    <sheet name="ELCCAfR-onshore-wind" sheetId="4" r:id="rId5"/>
    <sheet name="ELCCAfR-offshore-wind" sheetId="5" r:id="rId6"/>
    <sheet name="ELCCAfR-MSW" sheetId="6" r:id="rId7"/>
    <sheet name="ELCCAfR-SMR" sheetId="7" r:id="rId8"/>
    <sheet name="ELCCAfR-biomass-CCS" sheetId="8" r:id="rId9"/>
    <sheet name="ELCCAfR-biomass" sheetId="9" r:id="rId10"/>
    <sheet name="ELCCAfR-combined-cycle-CCS" sheetId="10" r:id="rId11"/>
    <sheet name="ELCCAfR-combined-cycle" sheetId="11" r:id="rId12"/>
    <sheet name="ELCCAfR-crude-oil" sheetId="12" r:id="rId13"/>
    <sheet name="ELCCAfR-demand-altering-techs" sheetId="13" r:id="rId14"/>
    <sheet name="ELCCAfR-geothermal" sheetId="14" r:id="rId15"/>
    <sheet name="ELCCAfR-hard-coal-CCS" sheetId="15" r:id="rId16"/>
    <sheet name="ELCCAfR-hard-coal" sheetId="16" r:id="rId17"/>
    <sheet name="ELCCAfR-heavy-or-residual-oil" sheetId="17" r:id="rId18"/>
    <sheet name="ELCCAfR-hydro" sheetId="18" r:id="rId19"/>
    <sheet name="ELCCAfR-hydrogen-CC" sheetId="19" r:id="rId20"/>
    <sheet name="ELCCAfR-hydrogen-CT" sheetId="20" r:id="rId21"/>
    <sheet name="ELCCAfR-lignite-CCS" sheetId="21" r:id="rId22"/>
    <sheet name="ELCCAfR-lignite" sheetId="22" r:id="rId23"/>
    <sheet name="ELCCAfR-natural-gas-peaker" sheetId="23" r:id="rId24"/>
    <sheet name="ELCCAfR-nuclear" sheetId="24" r:id="rId25"/>
    <sheet name="ELCCAfR-petroleum" sheetId="25" r:id="rId26"/>
    <sheet name="ELCCAfR-steam-turbine" sheetId="26"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7" l="1"/>
  <c r="D6" i="27" s="1"/>
  <c r="D5" i="27" l="1"/>
  <c r="D7" i="27"/>
  <c r="B10" i="27" l="1"/>
  <c r="B12" i="27" s="1"/>
  <c r="B13" i="27" s="1"/>
  <c r="B2" i="13" l="1"/>
  <c r="D7" i="13"/>
  <c r="Q4" i="13"/>
  <c r="C2" i="13"/>
  <c r="I6" i="13"/>
  <c r="D2" i="13"/>
  <c r="E2" i="13"/>
  <c r="F2" i="13"/>
  <c r="B3" i="13"/>
  <c r="V3" i="13"/>
  <c r="R4" i="13"/>
  <c r="N5" i="13"/>
  <c r="J6" i="13"/>
  <c r="F7" i="13"/>
  <c r="F3" i="13"/>
  <c r="O6" i="13"/>
  <c r="H3" i="13"/>
  <c r="P6" i="13"/>
  <c r="M2" i="13"/>
  <c r="E4" i="13"/>
  <c r="Q6" i="13"/>
  <c r="Q2" i="13"/>
  <c r="Y5" i="13"/>
  <c r="J4" i="13"/>
  <c r="R7" i="13"/>
  <c r="G5" i="13"/>
  <c r="T2" i="13"/>
  <c r="X6" i="13"/>
  <c r="E6" i="13"/>
  <c r="V2" i="13"/>
  <c r="B7" i="13"/>
  <c r="C7" i="13"/>
  <c r="T3" i="13"/>
  <c r="Y7" i="13"/>
  <c r="G2" i="13"/>
  <c r="C3" i="13"/>
  <c r="W3" i="13"/>
  <c r="S4" i="13"/>
  <c r="O5" i="13"/>
  <c r="K6" i="13"/>
  <c r="G7" i="13"/>
  <c r="J2" i="13"/>
  <c r="V4" i="13"/>
  <c r="R5" i="13"/>
  <c r="N6" i="13"/>
  <c r="K2" i="13"/>
  <c r="W4" i="13"/>
  <c r="K7" i="13"/>
  <c r="L2" i="13"/>
  <c r="D4" i="13"/>
  <c r="T5" i="13"/>
  <c r="L7" i="13"/>
  <c r="I3" i="13"/>
  <c r="Y4" i="13"/>
  <c r="M7" i="13"/>
  <c r="E5" i="13"/>
  <c r="Q7" i="13"/>
  <c r="B6" i="13"/>
  <c r="K4" i="13"/>
  <c r="S7" i="13"/>
  <c r="D6" i="13"/>
  <c r="M4" i="13"/>
  <c r="J5" i="13"/>
  <c r="O4" i="13"/>
  <c r="X2" i="13"/>
  <c r="E7" i="13"/>
  <c r="H2" i="13"/>
  <c r="D3" i="13"/>
  <c r="X3" i="13"/>
  <c r="T4" i="13"/>
  <c r="P5" i="13"/>
  <c r="L6" i="13"/>
  <c r="H7" i="13"/>
  <c r="U5" i="13"/>
  <c r="M3" i="13"/>
  <c r="F5" i="13"/>
  <c r="O3" i="13"/>
  <c r="L4" i="13"/>
  <c r="Q3" i="13"/>
  <c r="U7" i="13"/>
  <c r="F6" i="13"/>
  <c r="K5" i="13"/>
  <c r="L5" i="13"/>
  <c r="Y2" i="13"/>
  <c r="I2" i="13"/>
  <c r="E3" i="13"/>
  <c r="Y3" i="13"/>
  <c r="U4" i="13"/>
  <c r="Q5" i="13"/>
  <c r="M6" i="13"/>
  <c r="I7" i="13"/>
  <c r="B4" i="13"/>
  <c r="J7" i="13"/>
  <c r="G3" i="13"/>
  <c r="C4" i="13"/>
  <c r="S5" i="13"/>
  <c r="X4" i="13"/>
  <c r="R2" i="13"/>
  <c r="C6" i="13"/>
  <c r="H5" i="13"/>
  <c r="U2" i="13"/>
  <c r="N4" i="13"/>
  <c r="S3" i="13"/>
  <c r="W7" i="13"/>
  <c r="H6" i="13"/>
  <c r="U3" i="13"/>
  <c r="N2" i="13"/>
  <c r="J3" i="13"/>
  <c r="F4" i="13"/>
  <c r="B5" i="13"/>
  <c r="V5" i="13"/>
  <c r="R6" i="13"/>
  <c r="N7" i="13"/>
  <c r="O2" i="13"/>
  <c r="K3" i="13"/>
  <c r="G4" i="13"/>
  <c r="C5" i="13"/>
  <c r="W5" i="13"/>
  <c r="S6" i="13"/>
  <c r="O7" i="13"/>
  <c r="P2" i="13"/>
  <c r="L3" i="13"/>
  <c r="H4" i="13"/>
  <c r="D5" i="13"/>
  <c r="X5" i="13"/>
  <c r="T6" i="13"/>
  <c r="P7" i="13"/>
  <c r="I4" i="13"/>
  <c r="U6" i="13"/>
  <c r="N3" i="13"/>
  <c r="V6" i="13"/>
  <c r="S2" i="13"/>
  <c r="W6" i="13"/>
  <c r="P3" i="13"/>
  <c r="T7" i="13"/>
  <c r="I5" i="13"/>
  <c r="Y6" i="13"/>
  <c r="R3" i="13"/>
  <c r="W2" i="13"/>
  <c r="G6" i="13"/>
  <c r="P4" i="13"/>
  <c r="X7" i="13"/>
  <c r="M5" i="13"/>
  <c r="V7" i="13"/>
</calcChain>
</file>

<file path=xl/sharedStrings.xml><?xml version="1.0" encoding="utf-8"?>
<sst xmlns="http://schemas.openxmlformats.org/spreadsheetml/2006/main" count="838" uniqueCount="115">
  <si>
    <t>ELCCAfR Effective Load Carrying Capability Adjustment for Reliability - per (tech, slice, hour)</t>
  </si>
  <si>
    <t>Sources:</t>
  </si>
  <si>
    <t>Hourly VRE Capacity Factors at Pinned Peak Days (solar PV, onshore wind)</t>
  </si>
  <si>
    <t>NREL</t>
  </si>
  <si>
    <t>NREL Cambium Scenarios 2024</t>
  </si>
  <si>
    <t>2024</t>
  </si>
  <si>
    <t>https://www.nrel.gov/analysis/cambium.html (downloads: https://scenarioviewer.nrel.gov)</t>
  </si>
  <si>
    <t>MidCase scenario, weather year 2012, USA national resolution, hourly (Eastern Time in the source file), 2025 model year. File: Cambium24_MidCase_hourly_usa_2025.csv. Applies to solar PV and onshore wind; offshore wind and solar thermal take different sources (see the next block). The hourly file is not pasted into this workbook - see the No raw source tabs note below. Manipulation: per-tech hourly output is read at each hour-of-day on the pinned Summer Peak and Winter Peak days (see pinned-day source below), and each output cell is computed as 70%-exceedance output / mean output across those days at that hour-of-day. Nameplate capacity cancels out of the ratio, so hourly generation (MWh) is used directly in place of capacity factors. Moved from Cambium 2022 to Cambium 2024 on 2026-08-26 (Megan): the national model now uses Cambium24, which also matches the vintage of the SHELF clustering that supplies the pinned days. STATE models stay on Cambium 2022, which retains state disaggregation Cambium24 does not provide - so this national file is no longer interchangeable with the state ELCCAfR files (see Deployment).</t>
  </si>
  <si>
    <t>Exceptions - offshore wind (later model year) and solar thermal (Cambium 2022)</t>
  </si>
  <si>
    <t>NREL Cambium Scenarios 2024 (offshore wind) / 2022 (solar thermal)</t>
  </si>
  <si>
    <t>2024 / 2022</t>
  </si>
  <si>
    <t>OFFSHORE WIND: same file family and method as above, but the 2040 model year (Cambium24_MidCase_hourly_usa_2040.csv, ~50 GW national offshore fleet). A later model year is required because the near-term offshore fleet is too small for the statistic to describe resource behaviour rather than single-site weather: the Cambium24 2025 offshore fleet is 1.7 GW, versus 50.3 GW in 2040. Every Cambium model year shares the 2012 weather year, so the pinned peak days line up across model years and the method is otherwise unchanged. SOLAR THERMAL: computed from Cambium22_MidCase_hourly_usa_2024.csv, because Cambium24 has no usable CSP fleet in any model year or scenario - 59 MW in MidCase (zero generating hours in 2025), 163 MW in the most CSP-heavy Cambium24 scenario, and zero in Cambium23 - whereas Cambium22 carries 1,323 MW across CA (918), AZ (296) and NV (110), flat from 2024 through 2040. The statistic, pinned days and degenerate/cap rules are identical to the other techs; only the source vintage differs. Solar thermal is immaterial in the national model regardless: BHRaSYC-StartYearCapacities gives it zero capacity.</t>
  </si>
  <si>
    <t>Pinned peak-day identities (which days count as Summer Peak / Winter Peak)</t>
  </si>
  <si>
    <t>Energy Innovation - EPS SHELF timeslice pipeline (internal)</t>
  </si>
  <si>
    <t>SHELF-days-per-timeslice.csv and "Seasonal Hourly Equipment Load Factors by End Use.xlsx" (Daily Summary tab), InputData/elec/SHELF</t>
  </si>
  <si>
    <t>2026</t>
  </si>
  <si>
    <t>n/a (internal model input; built by the state-data-pipeline SHELF builder)</t>
  </si>
  <si>
    <t>K6/H24 representative-day clustering on Cambium net load assigns each day-of-year to one of the six timeslices; the Summer Peak and Winter Peak day sets define the days the min/mean statistic runs over. These identities must come from the same pipeline run vintage as the deployed SHELF/SYSHECF files, or the statistic is taken over the wrong days.</t>
  </si>
  <si>
    <t>Energy Innovation - internal calibration (not computed from Cambium data)</t>
  </si>
  <si>
    <t>Notes:</t>
  </si>
  <si>
    <t>Concept</t>
  </si>
  <si>
    <t>Per-cell capacity-adequacy derate. Multiplied with SYSHECF in the reliability calculation, NOT in dispatch. Cells = 1.0 mean no derate (full SYSHECF contribution). Cells &lt; 1.0 mean VRE output at that hour-of-day is uncertain across pinned peak days.</t>
  </si>
  <si>
    <t>Methodology</t>
  </si>
  <si>
    <t>Per (tech, slice, hour) cell: ELCCAfR = 70%-exceedance CF / mean CF across the pinned peak days at that hour-of-day (70% exceedance = the 30th percentile of the pinned-day sample, linearly interpolated), with both statistics taken at the same hour-of-day. Adopted 2026-08-26, replacing a minimum-CF numerator: the minimum over 10-11 pinned days is a ~96% exceedance standard that no adopted accreditation framework uses, and one calm day sets the credit. The 70% exceedance level follows the CPUC Slice-of-Day resource-adequacy framework (D.23-04-010, levels updated triennially per D.24-06-004), which sets hourly wind and solar qualifying capacity from 70%-exceedance profiles over peak load days; expectation-based ELCC (PJM marginal ELCC, the NREL capacity-value literature) sits higher still, at the mean. Verify the exact exceedance language against D.23-04-010 and the current RA filing guide before any external use. Degenerate cells (negligible mean CF, e.g. solar overnight) are 1.0 - no effect, since SYSHECF is ~0 there anyway. Cells are capped at 1.0: unlike min/mean, a percentile numerator can exceed the mean where the pinned-day sample is left-skewed, and ELCCAfR is a derate, never a bonus. Under the current data 14 cells cap - 3 in offshore wind Winter Peak and 11 in solar thermal, whose three-site fleet is the most skewed sample. Two cells are exactly zero (solar thermal shoulder hours), meaning at least 30% of pinned days had no output at that hour; the previously deployed min-based file had a zero in the same summer hour. Model years: solar PV and onshore wind Cambium24 2025; offshore wind Cambium24 2040; solar thermal Cambium22 2024 (see Sources).</t>
  </si>
  <si>
    <t>Slice coverage</t>
  </si>
  <si>
    <t>Summer Peak and Winter Peak are computed per-hour from the pinned days. The four non-peak slices (Winter, Spring, Summer, Fall) are 1.0 across all hours: adequacy is not binding outside the peak slices, and non-peak ELCCAfR = 1.0 prevents incorrectly derating VRE for dispatch at midday.</t>
  </si>
  <si>
    <t>No raw source tabs</t>
  </si>
  <si>
    <t>Unlike most EPS input workbooks, the raw Cambium hourly files (8,760 rows x ~78 columns per model year) are not pasted into source tabs here, and the output tabs hold values rather than formulas. The national values in this workbook are produced by recompute_elccafr_national.py, which reads the pinned day-of-year to timeslice assignment from the pasted Cambium hourly source tab of the deployed SHELF workbook and verifies on every run that reading the Cambium24 2025 CSV reproduces that tab cell-for-cell (48/48 cells per tech) before writing anything. Note that the state-data-pipeline ELCCAfR builder no longer reproduces these national values, because the national file moved to Cambium24 while the builder and the state files remain on Cambium22. Note also that the PREVIOUSLY deployed national values could not be reproduced from any pinned-day set available in this repo: they were computed against a 27-summer / 20-winter-peak-day clustering (the day counts carried by commit 5243d9fe, which introduced them), while the deployed SHELF has carried 11 / 10 since commit 6fdfe6dd two days later - so the old values were stale with respect to the pinned days they claimed. The current values are computed on the deployed pinned days and gated against them. The per-state workbooks carry pasted pinned-day source tabs and live MIN/AVERAGE formulas - see any state ELCCAfR workbook in state-eps-data-repository for the fully auditable state version.</t>
  </si>
  <si>
    <t>Deployment</t>
  </si>
  <si>
    <t>CHANGED 2026-08-26: this national file is NO LONGER byte-identical to the state ELCCAfR files and must not be synced over them. National uses Cambium24 (except solar thermal, on Cambium22 for lack of a Cambium24 CSP fleet); state models stay on Cambium22, which retains the state disaggregation Cambium24 does not provide (Megan, 2026-08-26). Previously all 50 state ELCCAfR-offshore-wind.csv files inherited this file unchanged (state-eps-data-repository commit 08659643df). Any model-sync step that copies the national ELCCAfR folder into state input trees needs to be updated to exclude it, or states will silently pick up the Cambium24 national values. The state files also still carry the min/mean statistic; converting them to 70% exceedance on their Cambium22 basis is separate work.</t>
  </si>
  <si>
    <t>solar pv</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</si>
  <si>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</si>
  <si>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</si>
  <si>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</si>
  <si>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</si>
  <si>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</si>
  <si>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</si>
  <si>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</si>
  <si>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</si>
  <si>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</si>
  <si>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</si>
  <si>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</si>
  <si>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</si>
  <si>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</si>
  <si>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</si>
  <si>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</si>
  <si>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</si>
  <si>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</si>
  <si>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</si>
  <si>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</si>
  <si>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</si>
  <si>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</si>
  <si>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</si>
  <si>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</si>
  <si>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</si>
  <si>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Winter</t>
  </si>
  <si>
    <t>Spring</t>
  </si>
  <si>
    <t>Summer</t>
  </si>
  <si>
    <t>Fall</t>
  </si>
  <si>
    <t>Summer Peak</t>
  </si>
  <si>
    <t>Winter Peak</t>
  </si>
  <si>
    <t>solar thermal</t>
  </si>
  <si>
    <t>onshore wind</t>
  </si>
  <si>
    <t>offshore wind</t>
  </si>
  <si>
    <t>municipal solid waste</t>
  </si>
  <si>
    <t>small modular reactor</t>
  </si>
  <si>
    <t>biomass w CCS</t>
  </si>
  <si>
    <t>biomass</t>
  </si>
  <si>
    <t>natural gas combined cycle w CCS</t>
  </si>
  <si>
    <t>natural gas combined cycle</t>
  </si>
  <si>
    <t>crude oil</t>
  </si>
  <si>
    <t>Unit: dimensionless (ELCC fraction at hour)</t>
  </si>
  <si>
    <t>geothermal</t>
  </si>
  <si>
    <t>hard coal w CCS</t>
  </si>
  <si>
    <t>hard coal</t>
  </si>
  <si>
    <t>heavy or residual fuel oil</t>
  </si>
  <si>
    <t>hydro</t>
  </si>
  <si>
    <t>hydrogen combined cycle</t>
  </si>
  <si>
    <t>hydrogen combustion turbine</t>
  </si>
  <si>
    <t>lignite w CCS</t>
  </si>
  <si>
    <t>lignite</t>
  </si>
  <si>
    <t>natural gas peaker</t>
  </si>
  <si>
    <t>nuclear</t>
  </si>
  <si>
    <t>petroleum</t>
  </si>
  <si>
    <t>natural gas steam turbine</t>
  </si>
  <si>
    <t>Step 1 - Market accreditation by resource class, weighted by the EPS credited pool</t>
  </si>
  <si>
    <t>Resource</t>
  </si>
  <si>
    <t>Market accreditation</t>
  </si>
  <si>
    <t>EPS credited pool (GW)</t>
  </si>
  <si>
    <t>Pool share used (rounded)</t>
  </si>
  <si>
    <t>4-hour battery storage</t>
  </si>
  <si>
    <t>Demand response</t>
  </si>
  <si>
    <t>Pumped hydro (10-hr storage class rating)</t>
  </si>
  <si>
    <t>Total</t>
  </si>
  <si>
    <t>Step 2 - Blended effective credit target (sum of rating x share)</t>
  </si>
  <si>
    <t>Step 3 - RAF for demand-altering technologies (already applied separately in the model; see InputData/elec/RAF/RAF-demand-altering-techs.csv)</t>
  </si>
  <si>
    <t>Step 4 - ELCC value so that ELCC x RAF = blended target</t>
  </si>
  <si>
    <t>Deployed value (rounded to 2 decimals; feeds the ELCCAfR-demand-altering-techs tab)</t>
  </si>
  <si>
    <t>Firm/dispatchable source values (all output tabs except solar, wind, and demand-altering)</t>
  </si>
  <si>
    <t>All firm/dispatchable and demand-altering tabs are hard-coded to a flat 0.90, set via calibration to align expected capacity payments (2026-08-19; eps-us commit be4a8b08 "Bring ELCCAfR values for non-wind and solar down to 0.9 to align expected capacity payments"). These tabs exist so every ELCCAfR CSV has a matching output tab. NOTE 2026-09-22: the demand-altering tab no longer uses this flat 0.90; it is re-derived from market accreditation (see the PJM source entry below and the DAT-derivation tab). Firm/dispatchable tabs remain 0.90.</t>
  </si>
  <si>
    <t>Demand-altering technologies ELCC target (grid batteries, demand response, pumped hydro accreditation)</t>
  </si>
  <si>
    <t>PJM Interconnection</t>
  </si>
  <si>
    <t>ELCC Class Ratings for the 2026/2027 Base Residual Auction</t>
  </si>
  <si>
    <t>https://www.pjm.com/-/media/DotCom/planning/res-adeq/elcc/2026-27-bra-elcc-class-ratings.pdf (accessed September 22, 2026)</t>
  </si>
  <si>
    <t>Class ratings used: 4-hr Storage 50 percent, Demand Resource 69 percent, 10-hr Storage 72 percent (proxy for pumped hydro). Blended on the DAT-derivation tab into the flat 0.64 deployed on the demand-altering tab. PJM revises class ratings each auction - re-check before reuse. Supporting reference on storage ELCC declining with penetration: CPUC/Astrape battery ELCC analysis, 2019-20 IRP.</t>
  </si>
  <si>
    <t>US pumped hydro fleet capacity (pool-weight input to the demand-altering ELCC blend)</t>
  </si>
  <si>
    <t>EIA</t>
  </si>
  <si>
    <t>Preliminary Monthly Electric Generator Inventory (EIA-860M), July 2026 edition, Operating tab</t>
  </si>
  <si>
    <t>https://www.eia.gov/electricity/data/eia860m/ (accessed September 22, 2026)</t>
  </si>
  <si>
    <t>23.0 GW net summer pumped storage fleet (150 units; essentially unchanged since ~2000). Used with EPS BAU pool sizes (2028 grid battery fleet and demand response capacity) to weight the accreditation blend on the DAT-derivation tab.</t>
  </si>
  <si>
    <t>Demand-altering ELCC (2026-09-22)</t>
  </si>
  <si>
    <t>Sources and methodology notes: About tab (Sources and Notes sections).</t>
  </si>
  <si>
    <t>Pool GW basis: 2028 US BAU post 2026-09-22 planned-build refresh (batteries = grid battery fleet; DR = DRC input + electrolyzers; pumped hydro = 23.0 GW x ~0.65 binding-hour availability).</t>
  </si>
  <si>
    <t>Method: the deployed value is set so that ELCC times the 0.9 demand-altering RAF equals a blend of market capacity accreditation across the credited flexible pool - PJM 2026/27 class ratings weighted by the approximate 2028 US BAU pool (57 percent grid batteries, 31 percent demand response incl. electrolyzer flexibility, 11 percent pumped hydro at binding-hour availability). All arithmetic is live formulas on the DAT-derivation tab; the ELCCAfR-demand-altering-techs output tab reads that result by formula. Caveats: PJM ratings reflect one RTO and are revised each auction; the blend uses static 2028 weights while the pool shifts toward batteries over time (implied value drifts toward ~0.55 by the 2040s).</t>
  </si>
  <si>
    <t>Derivation of the demand-altering technologies ELCC value (deployed 2026-09-22)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</si>
</sst>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sz val="11"/>
      <name val="Calibri"/>
      <family val="2"/>
    </font>
    <font>
      <b/>
      <sz val="11"/>
      <name val="Calibri"/>
      <family val="2"/>
    </font>
  </fonts>
  <fills count="6">
    <fill>
      <patternFill patternType="none"/>
    </fill>
    <fill>
      <patternFill patternType="gray125"/>
    </fill>
    <fill>
      <patternFill patternType="solid">
        <fgColor rgb="FFD9E1F2"/>
        <bgColor rgb="FFD9E1F2"/>
      </patternFill>
    </fill>
    <fill>
      <patternFill patternType="solid">
        <fgColor rgb="FFF8CBAD"/>
        <bgColor rgb="FFF8CBAD"/>
      </patternFill>
    </fill>
    <fill>
      <patternFill patternType="solid">
        <fgColor rgb="FFFFD966"/>
        <bgColor rgb="FFFFD966"/>
      </patternFill>
    </fill>
    <fill>
      <patternFill patternType="solid">
        <fgColor rgb="FFD9E1F2"/>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15">
    <xf numFmtId="0" fontId="0" fillId="0" borderId="0" xfId="0"/>
    <xf numFmtId="0" fontId="1" fillId="0" borderId="0" xfId="0" applyFont="1"/>
    <xf numFmtId="0" fontId="1" fillId="2" borderId="0" xfId="0" applyFont="1" applyFill="1"/>
    <xf numFmtId="0" fontId="1" fillId="2" borderId="0" xfId="0" applyFont="1" applyFill="1" applyAlignment="1">
      <alignment horizontal="center"/>
    </xf>
    <xf numFmtId="0" fontId="1" fillId="0" borderId="1" xfId="0" applyFont="1" applyBorder="1"/>
    <xf numFmtId="0" fontId="0" fillId="0" borderId="1" xfId="0" applyBorder="1" applyAlignment="1">
      <alignment horizontal="center"/>
    </xf>
    <xf numFmtId="0" fontId="1" fillId="3" borderId="1" xfId="0" applyFont="1" applyFill="1" applyBorder="1"/>
    <xf numFmtId="0" fontId="0" fillId="4" borderId="1" xfId="0" applyFill="1" applyBorder="1" applyAlignment="1">
      <alignment horizontal="center"/>
    </xf>
    <xf numFmtId="0" fontId="1" fillId="5" borderId="0" xfId="0" applyFont="1" applyFill="1"/>
    <xf numFmtId="0" fontId="3" fillId="0" borderId="0" xfId="0" applyFont="1"/>
    <xf numFmtId="0" fontId="2" fillId="0" borderId="0" xfId="0" applyFont="1"/>
    <xf numFmtId="0" fontId="3" fillId="0" borderId="0" xfId="0" applyFont="1" applyAlignment="1">
      <alignment vertical="top" wrapText="1"/>
    </xf>
    <xf numFmtId="0" fontId="2" fillId="0" borderId="0" xfId="0" applyFont="1" applyAlignment="1">
      <alignment vertical="top" wrapText="1"/>
    </xf>
    <xf numFmtId="0" fontId="2" fillId="0" borderId="0" xfId="0" applyFont="1" applyAlignment="1">
      <alignment horizontal="lef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4"/>
  <sheetViews>
    <sheetView tabSelected="1" topLeftCell="A42" workbookViewId="0">
      <selection activeCell="B50" sqref="B50"/>
    </sheetView>
  </sheetViews>
  <sheetFormatPr defaultRowHeight="15" x14ac:dyDescent="0.25"/>
  <cols>
    <col min="1" max="1" width="14" customWidth="1"/>
    <col min="2" max="2" width="110" customWidth="1"/>
  </cols>
  <sheetData>
    <row r="1" spans="1:5" x14ac:dyDescent="0.25">
      <c r="A1" s="1" t="s">
        <v>0</v>
      </c>
      <c r="B1" s="10"/>
      <c r="C1" s="10"/>
      <c r="D1" s="10"/>
      <c r="E1" s="10"/>
    </row>
    <row r="2" spans="1:5" x14ac:dyDescent="0.25">
      <c r="A2" s="10"/>
      <c r="B2" s="10"/>
      <c r="C2" s="10"/>
      <c r="D2" s="10"/>
      <c r="E2" s="10"/>
    </row>
    <row r="3" spans="1:5" x14ac:dyDescent="0.25">
      <c r="A3" s="9" t="s">
        <v>1</v>
      </c>
      <c r="B3" s="11" t="s">
        <v>2</v>
      </c>
      <c r="C3" s="10"/>
      <c r="D3" s="10"/>
      <c r="E3" s="10"/>
    </row>
    <row r="4" spans="1:5" x14ac:dyDescent="0.25">
      <c r="A4" s="10"/>
      <c r="B4" s="12" t="s">
        <v>3</v>
      </c>
      <c r="C4" s="10"/>
      <c r="D4" s="10"/>
      <c r="E4" s="10"/>
    </row>
    <row r="5" spans="1:5" x14ac:dyDescent="0.25">
      <c r="A5" s="10"/>
      <c r="B5" s="12" t="s">
        <v>4</v>
      </c>
      <c r="C5" s="10"/>
      <c r="D5" s="10"/>
      <c r="E5" s="10"/>
    </row>
    <row r="6" spans="1:5" x14ac:dyDescent="0.25">
      <c r="A6" s="10"/>
      <c r="B6" s="12" t="s">
        <v>5</v>
      </c>
      <c r="C6" s="10"/>
      <c r="D6" s="10"/>
      <c r="E6" s="10"/>
    </row>
    <row r="7" spans="1:5" x14ac:dyDescent="0.25">
      <c r="A7" s="10"/>
      <c r="B7" s="12" t="s">
        <v>6</v>
      </c>
      <c r="C7" s="10"/>
      <c r="D7" s="10"/>
      <c r="E7" s="10"/>
    </row>
    <row r="8" spans="1:5" ht="75" customHeight="1" x14ac:dyDescent="0.25">
      <c r="A8" s="10"/>
      <c r="B8" s="12" t="s">
        <v>7</v>
      </c>
      <c r="C8" s="10"/>
      <c r="D8" s="10"/>
      <c r="E8" s="10"/>
    </row>
    <row r="9" spans="1:5" x14ac:dyDescent="0.25">
      <c r="A9" s="10"/>
      <c r="B9" s="10"/>
      <c r="C9" s="10"/>
      <c r="D9" s="10"/>
      <c r="E9" s="10"/>
    </row>
    <row r="10" spans="1:5" x14ac:dyDescent="0.25">
      <c r="A10" s="10"/>
      <c r="B10" s="11" t="s">
        <v>8</v>
      </c>
      <c r="C10" s="10"/>
      <c r="D10" s="10"/>
      <c r="E10" s="10"/>
    </row>
    <row r="11" spans="1:5" x14ac:dyDescent="0.25">
      <c r="A11" s="10"/>
      <c r="B11" s="12" t="s">
        <v>3</v>
      </c>
      <c r="C11" s="10"/>
      <c r="D11" s="10"/>
      <c r="E11" s="10"/>
    </row>
    <row r="12" spans="1:5" x14ac:dyDescent="0.25">
      <c r="A12" s="10"/>
      <c r="B12" s="12" t="s">
        <v>9</v>
      </c>
      <c r="C12" s="10"/>
      <c r="D12" s="10"/>
      <c r="E12" s="10"/>
    </row>
    <row r="13" spans="1:5" x14ac:dyDescent="0.25">
      <c r="A13" s="10"/>
      <c r="B13" s="12" t="s">
        <v>10</v>
      </c>
      <c r="C13" s="10"/>
      <c r="D13" s="10"/>
      <c r="E13" s="10"/>
    </row>
    <row r="14" spans="1:5" x14ac:dyDescent="0.25">
      <c r="A14" s="10"/>
      <c r="B14" s="12" t="s">
        <v>6</v>
      </c>
      <c r="C14" s="10"/>
      <c r="D14" s="10"/>
      <c r="E14" s="10"/>
    </row>
    <row r="15" spans="1:5" ht="75" customHeight="1" x14ac:dyDescent="0.25">
      <c r="A15" s="10"/>
      <c r="B15" s="12" t="s">
        <v>11</v>
      </c>
      <c r="C15" s="10"/>
      <c r="D15" s="10"/>
      <c r="E15" s="10"/>
    </row>
    <row r="16" spans="1:5" x14ac:dyDescent="0.25">
      <c r="A16" s="10"/>
      <c r="B16" s="10"/>
      <c r="C16" s="10"/>
      <c r="D16" s="10"/>
      <c r="E16" s="10"/>
    </row>
    <row r="17" spans="1:5" x14ac:dyDescent="0.25">
      <c r="A17" s="10"/>
      <c r="B17" s="11" t="s">
        <v>12</v>
      </c>
      <c r="C17" s="10"/>
      <c r="D17" s="10"/>
      <c r="E17" s="10"/>
    </row>
    <row r="18" spans="1:5" x14ac:dyDescent="0.25">
      <c r="A18" s="10"/>
      <c r="B18" s="12" t="s">
        <v>13</v>
      </c>
      <c r="C18" s="10"/>
      <c r="D18" s="10"/>
      <c r="E18" s="10"/>
    </row>
    <row r="19" spans="1:5" ht="30" customHeight="1" x14ac:dyDescent="0.25">
      <c r="A19" s="10"/>
      <c r="B19" s="12" t="s">
        <v>14</v>
      </c>
      <c r="C19" s="10"/>
      <c r="D19" s="10"/>
      <c r="E19" s="10"/>
    </row>
    <row r="20" spans="1:5" x14ac:dyDescent="0.25">
      <c r="A20" s="10"/>
      <c r="B20" s="12" t="s">
        <v>15</v>
      </c>
      <c r="C20" s="10"/>
      <c r="D20" s="10"/>
      <c r="E20" s="10"/>
    </row>
    <row r="21" spans="1:5" x14ac:dyDescent="0.25">
      <c r="A21" s="10"/>
      <c r="B21" s="12" t="s">
        <v>16</v>
      </c>
      <c r="C21" s="10"/>
      <c r="D21" s="10"/>
      <c r="E21" s="10"/>
    </row>
    <row r="22" spans="1:5" ht="45" customHeight="1" x14ac:dyDescent="0.25">
      <c r="A22" s="10"/>
      <c r="B22" s="12" t="s">
        <v>17</v>
      </c>
      <c r="C22" s="10"/>
      <c r="D22" s="10"/>
      <c r="E22" s="10"/>
    </row>
    <row r="23" spans="1:5" x14ac:dyDescent="0.25">
      <c r="A23" s="10"/>
      <c r="B23" s="10"/>
      <c r="C23" s="10"/>
      <c r="D23" s="10"/>
      <c r="E23" s="10"/>
    </row>
    <row r="24" spans="1:5" x14ac:dyDescent="0.25">
      <c r="A24" s="10"/>
      <c r="B24" s="11" t="s">
        <v>98</v>
      </c>
      <c r="C24" s="10"/>
      <c r="D24" s="10"/>
      <c r="E24" s="10"/>
    </row>
    <row r="25" spans="1:5" x14ac:dyDescent="0.25">
      <c r="A25" s="10"/>
      <c r="B25" s="12" t="s">
        <v>18</v>
      </c>
      <c r="C25" s="10"/>
      <c r="D25" s="10"/>
      <c r="E25" s="10"/>
    </row>
    <row r="26" spans="1:5" x14ac:dyDescent="0.25">
      <c r="A26" s="10"/>
      <c r="B26" s="12" t="s">
        <v>15</v>
      </c>
      <c r="C26" s="10"/>
      <c r="D26" s="10"/>
      <c r="E26" s="10"/>
    </row>
    <row r="27" spans="1:5" ht="45" customHeight="1" x14ac:dyDescent="0.25">
      <c r="A27" s="10"/>
      <c r="B27" s="12" t="s">
        <v>99</v>
      </c>
      <c r="C27" s="10"/>
      <c r="D27" s="10"/>
      <c r="E27" s="10"/>
    </row>
    <row r="28" spans="1:5" ht="45" customHeight="1" x14ac:dyDescent="0.25">
      <c r="A28" s="10"/>
      <c r="B28" s="12"/>
      <c r="C28" s="10"/>
      <c r="D28" s="10"/>
      <c r="E28" s="10"/>
    </row>
    <row r="29" spans="1:5" ht="15" customHeight="1" x14ac:dyDescent="0.25">
      <c r="A29" s="10"/>
      <c r="B29" s="11" t="s">
        <v>100</v>
      </c>
      <c r="C29" s="10"/>
      <c r="D29" s="10"/>
      <c r="E29" s="10"/>
    </row>
    <row r="30" spans="1:5" ht="15" customHeight="1" x14ac:dyDescent="0.25">
      <c r="A30" s="10"/>
      <c r="B30" s="12" t="s">
        <v>101</v>
      </c>
      <c r="C30" s="10"/>
      <c r="D30" s="10"/>
      <c r="E30" s="10"/>
    </row>
    <row r="31" spans="1:5" ht="15" customHeight="1" x14ac:dyDescent="0.25">
      <c r="A31" s="10"/>
      <c r="B31" s="12" t="s">
        <v>102</v>
      </c>
      <c r="C31" s="10"/>
      <c r="D31" s="10"/>
      <c r="E31" s="10"/>
    </row>
    <row r="32" spans="1:5" ht="15" customHeight="1" x14ac:dyDescent="0.25">
      <c r="A32" s="10"/>
      <c r="B32" s="13">
        <v>2025</v>
      </c>
      <c r="C32" s="10"/>
      <c r="D32" s="10"/>
      <c r="E32" s="10"/>
    </row>
    <row r="33" spans="1:5" ht="15" customHeight="1" x14ac:dyDescent="0.25">
      <c r="A33" s="10"/>
      <c r="B33" s="12" t="s">
        <v>103</v>
      </c>
      <c r="C33" s="10"/>
      <c r="D33" s="10"/>
      <c r="E33" s="10"/>
    </row>
    <row r="34" spans="1:5" ht="15" customHeight="1" x14ac:dyDescent="0.25">
      <c r="A34" s="10"/>
      <c r="B34" s="12" t="s">
        <v>104</v>
      </c>
      <c r="C34" s="10"/>
      <c r="D34" s="10"/>
      <c r="E34" s="10"/>
    </row>
    <row r="35" spans="1:5" ht="15" customHeight="1" x14ac:dyDescent="0.25">
      <c r="A35" s="10"/>
      <c r="B35" s="12"/>
      <c r="C35" s="10"/>
      <c r="D35" s="10"/>
      <c r="E35" s="10"/>
    </row>
    <row r="36" spans="1:5" ht="15" customHeight="1" x14ac:dyDescent="0.25">
      <c r="A36" s="10"/>
      <c r="B36" s="14" t="s">
        <v>105</v>
      </c>
      <c r="C36" s="10"/>
      <c r="D36" s="10"/>
      <c r="E36" s="10"/>
    </row>
    <row r="37" spans="1:5" ht="15" customHeight="1" x14ac:dyDescent="0.25">
      <c r="A37" s="10"/>
      <c r="B37" s="12" t="s">
        <v>106</v>
      </c>
      <c r="C37" s="10"/>
      <c r="D37" s="10"/>
      <c r="E37" s="10"/>
    </row>
    <row r="38" spans="1:5" ht="15" customHeight="1" x14ac:dyDescent="0.25">
      <c r="A38" s="10"/>
      <c r="B38" s="12" t="s">
        <v>107</v>
      </c>
      <c r="C38" s="10"/>
      <c r="D38" s="10"/>
      <c r="E38" s="10"/>
    </row>
    <row r="39" spans="1:5" ht="15" customHeight="1" x14ac:dyDescent="0.25">
      <c r="A39" s="10"/>
      <c r="B39" s="13">
        <v>2026</v>
      </c>
      <c r="C39" s="10"/>
      <c r="D39" s="10"/>
      <c r="E39" s="10"/>
    </row>
    <row r="40" spans="1:5" ht="15" customHeight="1" x14ac:dyDescent="0.25">
      <c r="A40" s="10"/>
      <c r="B40" s="12" t="s">
        <v>108</v>
      </c>
      <c r="C40" s="10"/>
      <c r="D40" s="10"/>
      <c r="E40" s="10"/>
    </row>
    <row r="41" spans="1:5" ht="15" customHeight="1" x14ac:dyDescent="0.25">
      <c r="A41" s="10"/>
      <c r="B41" s="12" t="s">
        <v>109</v>
      </c>
      <c r="C41" s="10"/>
      <c r="D41" s="10"/>
      <c r="E41" s="10"/>
    </row>
    <row r="42" spans="1:5" x14ac:dyDescent="0.25">
      <c r="A42" s="10"/>
      <c r="B42" s="10"/>
      <c r="C42" s="10"/>
      <c r="D42" s="10"/>
      <c r="E42" s="10"/>
    </row>
    <row r="43" spans="1:5" x14ac:dyDescent="0.25">
      <c r="A43" s="9" t="s">
        <v>19</v>
      </c>
      <c r="B43" s="10"/>
      <c r="C43" s="10"/>
      <c r="D43" s="10"/>
      <c r="E43" s="10"/>
    </row>
    <row r="44" spans="1:5" ht="45" customHeight="1" x14ac:dyDescent="0.25">
      <c r="A44" s="10" t="s">
        <v>20</v>
      </c>
      <c r="B44" s="12" t="s">
        <v>21</v>
      </c>
      <c r="C44" s="10"/>
      <c r="D44" s="10"/>
      <c r="E44" s="10"/>
    </row>
    <row r="45" spans="1:5" ht="60" customHeight="1" x14ac:dyDescent="0.25">
      <c r="A45" s="10" t="s">
        <v>22</v>
      </c>
      <c r="B45" s="12" t="s">
        <v>23</v>
      </c>
      <c r="C45" s="10"/>
      <c r="D45" s="10"/>
      <c r="E45" s="10"/>
    </row>
    <row r="46" spans="1:5" ht="45" customHeight="1" x14ac:dyDescent="0.25">
      <c r="A46" s="10" t="s">
        <v>24</v>
      </c>
      <c r="B46" s="12" t="s">
        <v>25</v>
      </c>
      <c r="C46" s="10"/>
      <c r="D46" s="10"/>
      <c r="E46" s="10"/>
    </row>
    <row r="47" spans="1:5" ht="120" customHeight="1" x14ac:dyDescent="0.25">
      <c r="A47" s="10" t="s">
        <v>26</v>
      </c>
      <c r="B47" s="12" t="s">
        <v>27</v>
      </c>
      <c r="C47" s="10"/>
      <c r="D47" s="10"/>
      <c r="E47" s="10"/>
    </row>
    <row r="48" spans="1:5" ht="45" customHeight="1" x14ac:dyDescent="0.25">
      <c r="A48" s="10" t="s">
        <v>28</v>
      </c>
      <c r="B48" s="12" t="s">
        <v>29</v>
      </c>
      <c r="C48" s="10"/>
      <c r="D48" s="10"/>
      <c r="E48" s="10"/>
    </row>
    <row r="49" spans="1:5" ht="45" customHeight="1" x14ac:dyDescent="0.25">
      <c r="A49" s="10" t="s">
        <v>110</v>
      </c>
      <c r="B49" s="12" t="s">
        <v>113</v>
      </c>
      <c r="C49" s="10"/>
      <c r="D49" s="10"/>
      <c r="E49" s="10"/>
    </row>
    <row r="50" spans="1:5" x14ac:dyDescent="0.25">
      <c r="A50" s="10"/>
      <c r="B50" s="10"/>
      <c r="C50" s="10"/>
      <c r="D50" s="10"/>
      <c r="E50" s="10"/>
    </row>
    <row r="51" spans="1:5" x14ac:dyDescent="0.25">
      <c r="A51" s="10"/>
      <c r="B51" s="10"/>
      <c r="C51" s="10"/>
      <c r="D51" s="10"/>
      <c r="E51" s="10"/>
    </row>
    <row r="52" spans="1:5" x14ac:dyDescent="0.25">
      <c r="A52" s="10"/>
      <c r="B52" s="10"/>
      <c r="C52" s="10"/>
      <c r="D52" s="10"/>
      <c r="E52" s="10"/>
    </row>
    <row r="53" spans="1:5" x14ac:dyDescent="0.25">
      <c r="A53" s="10"/>
      <c r="B53" s="10"/>
      <c r="C53" s="10"/>
      <c r="D53" s="10"/>
      <c r="E53" s="10"/>
    </row>
    <row r="54" spans="1:5" x14ac:dyDescent="0.25">
      <c r="A54" s="10"/>
      <c r="B54" s="10"/>
      <c r="C54" s="10"/>
      <c r="D54" s="10"/>
      <c r="E54" s="10"/>
    </row>
    <row r="55" spans="1:5" x14ac:dyDescent="0.25">
      <c r="A55" s="10"/>
      <c r="B55" s="10"/>
      <c r="C55" s="10"/>
      <c r="D55" s="10"/>
      <c r="E55" s="10"/>
    </row>
    <row r="56" spans="1:5" x14ac:dyDescent="0.25">
      <c r="A56" s="10"/>
      <c r="B56" s="10"/>
      <c r="C56" s="10"/>
      <c r="D56" s="10"/>
      <c r="E56" s="10"/>
    </row>
    <row r="57" spans="1:5" x14ac:dyDescent="0.25">
      <c r="A57" s="10"/>
      <c r="B57" s="10"/>
      <c r="C57" s="10"/>
      <c r="D57" s="10"/>
      <c r="E57" s="10"/>
    </row>
    <row r="58" spans="1:5" x14ac:dyDescent="0.25">
      <c r="A58" s="10"/>
      <c r="B58" s="10"/>
      <c r="C58" s="10"/>
      <c r="D58" s="10"/>
      <c r="E58" s="10"/>
    </row>
    <row r="59" spans="1:5" x14ac:dyDescent="0.25">
      <c r="A59" s="10"/>
      <c r="B59" s="10"/>
      <c r="C59" s="10"/>
      <c r="D59" s="10"/>
      <c r="E59" s="10"/>
    </row>
    <row r="60" spans="1:5" x14ac:dyDescent="0.25">
      <c r="A60" s="10"/>
      <c r="B60" s="10"/>
      <c r="C60" s="10"/>
      <c r="D60" s="10"/>
      <c r="E60" s="10"/>
    </row>
    <row r="61" spans="1:5" x14ac:dyDescent="0.25">
      <c r="A61" s="10"/>
      <c r="B61" s="10"/>
      <c r="C61" s="10"/>
      <c r="D61" s="10"/>
      <c r="E61" s="10"/>
    </row>
    <row r="62" spans="1:5" x14ac:dyDescent="0.25">
      <c r="A62" s="10"/>
      <c r="B62" s="10"/>
      <c r="C62" s="10"/>
      <c r="D62" s="10"/>
      <c r="E62" s="10"/>
    </row>
    <row r="63" spans="1:5" x14ac:dyDescent="0.25">
      <c r="A63" s="10"/>
      <c r="B63" s="10"/>
      <c r="C63" s="10"/>
      <c r="D63" s="10"/>
      <c r="E63" s="10"/>
    </row>
    <row r="64" spans="1:5" x14ac:dyDescent="0.25">
      <c r="A64" s="10"/>
      <c r="B64" s="10"/>
      <c r="C64" s="10"/>
      <c r="D64" s="10"/>
      <c r="E64" s="10"/>
    </row>
    <row r="65" spans="1:5" x14ac:dyDescent="0.25">
      <c r="A65" s="10"/>
      <c r="B65" s="10"/>
      <c r="C65" s="10"/>
      <c r="D65" s="10"/>
      <c r="E65" s="10"/>
    </row>
    <row r="66" spans="1:5" x14ac:dyDescent="0.25">
      <c r="A66" s="10"/>
      <c r="B66" s="10"/>
      <c r="C66" s="10"/>
      <c r="D66" s="10"/>
      <c r="E66" s="10"/>
    </row>
    <row r="67" spans="1:5" x14ac:dyDescent="0.25">
      <c r="A67" s="10"/>
      <c r="B67" s="10"/>
      <c r="C67" s="10"/>
      <c r="D67" s="10"/>
      <c r="E67" s="10"/>
    </row>
    <row r="68" spans="1:5" x14ac:dyDescent="0.25">
      <c r="A68" s="10"/>
      <c r="B68" s="10"/>
      <c r="C68" s="10"/>
      <c r="D68" s="10"/>
      <c r="E68" s="10"/>
    </row>
    <row r="69" spans="1:5" x14ac:dyDescent="0.25">
      <c r="A69" s="10"/>
      <c r="B69" s="10"/>
      <c r="C69" s="10"/>
      <c r="D69" s="10"/>
      <c r="E69" s="10"/>
    </row>
    <row r="70" spans="1:5" x14ac:dyDescent="0.25">
      <c r="A70" s="10"/>
      <c r="B70" s="10"/>
      <c r="C70" s="10"/>
      <c r="D70" s="10"/>
      <c r="E70" s="10"/>
    </row>
    <row r="71" spans="1:5" x14ac:dyDescent="0.25">
      <c r="A71" s="10"/>
      <c r="B71" s="10"/>
      <c r="C71" s="10"/>
      <c r="D71" s="10"/>
      <c r="E71" s="10"/>
    </row>
    <row r="72" spans="1:5" x14ac:dyDescent="0.25">
      <c r="A72" s="10"/>
      <c r="B72" s="10"/>
      <c r="C72" s="10"/>
      <c r="D72" s="10"/>
      <c r="E72" s="10"/>
    </row>
    <row r="73" spans="1:5" x14ac:dyDescent="0.25">
      <c r="A73" s="10"/>
      <c r="B73" s="10"/>
      <c r="C73" s="10"/>
      <c r="D73" s="10"/>
      <c r="E73" s="10"/>
    </row>
    <row r="74" spans="1:5" x14ac:dyDescent="0.25">
      <c r="A74" s="10"/>
      <c r="B74" s="10"/>
      <c r="C74" s="10"/>
      <c r="D74" s="10"/>
      <c r="E74" s="10"/>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4F9BB-D346-4D0A-96D8-4A620EBA831C}">
  <dimension ref="A1:D17"/>
  <sheetViews>
    <sheetView workbookViewId="0"/>
  </sheetViews>
  <sheetFormatPr defaultRowHeight="15" x14ac:dyDescent="0.25"/>
  <cols>
    <col min="1" max="1" width="110.7109375" customWidth="1"/>
    <col min="2" max="2" width="20.7109375" customWidth="1"/>
    <col min="3" max="3" width="22.7109375" customWidth="1"/>
    <col min="4" max="4" width="24.7109375" customWidth="1"/>
  </cols>
  <sheetData>
    <row r="1" spans="1:4" x14ac:dyDescent="0.25">
      <c r="A1" t="s">
        <v>114</v>
      </c>
    </row>
    <row r="3" spans="1:4" x14ac:dyDescent="0.25">
      <c r="A3" t="s">
        <v>85</v>
      </c>
    </row>
    <row r="4" spans="1:4" x14ac:dyDescent="0.25">
      <c r="A4" t="s">
        <v>86</v>
      </c>
      <c r="B4" t="s">
        <v>87</v>
      </c>
      <c r="C4" t="s">
        <v>88</v>
      </c>
      <c r="D4" t="s">
        <v>89</v>
      </c>
    </row>
    <row r="5" spans="1:4" x14ac:dyDescent="0.25">
      <c r="A5" t="s">
        <v>90</v>
      </c>
      <c r="B5">
        <v>0.5</v>
      </c>
      <c r="C5">
        <v>75.599999999999994</v>
      </c>
      <c r="D5">
        <f>ROUND(C5/$C$8,2)</f>
        <v>0.56999999999999995</v>
      </c>
    </row>
    <row r="6" spans="1:4" x14ac:dyDescent="0.25">
      <c r="A6" t="s">
        <v>91</v>
      </c>
      <c r="B6">
        <v>0.69</v>
      </c>
      <c r="C6">
        <v>41.4</v>
      </c>
      <c r="D6">
        <f>ROUND(C6/$C$8,2)</f>
        <v>0.31</v>
      </c>
    </row>
    <row r="7" spans="1:4" x14ac:dyDescent="0.25">
      <c r="A7" t="s">
        <v>92</v>
      </c>
      <c r="B7">
        <v>0.72</v>
      </c>
      <c r="C7">
        <v>15</v>
      </c>
      <c r="D7">
        <f>ROUND(C7/$C$8,2)</f>
        <v>0.11</v>
      </c>
    </row>
    <row r="8" spans="1:4" x14ac:dyDescent="0.25">
      <c r="A8" t="s">
        <v>93</v>
      </c>
      <c r="C8">
        <f>SUM(C5:C7)</f>
        <v>132</v>
      </c>
    </row>
    <row r="10" spans="1:4" x14ac:dyDescent="0.25">
      <c r="A10" t="s">
        <v>94</v>
      </c>
      <c r="B10">
        <f>SUMPRODUCT(B5:B7,D5:D7)</f>
        <v>0.57809999999999995</v>
      </c>
    </row>
    <row r="11" spans="1:4" x14ac:dyDescent="0.25">
      <c r="A11" t="s">
        <v>95</v>
      </c>
      <c r="B11">
        <v>0.9</v>
      </c>
    </row>
    <row r="12" spans="1:4" x14ac:dyDescent="0.25">
      <c r="A12" t="s">
        <v>96</v>
      </c>
      <c r="B12">
        <f>B10/B11</f>
        <v>0.64233333333333331</v>
      </c>
    </row>
    <row r="13" spans="1:4" x14ac:dyDescent="0.25">
      <c r="A13" t="s">
        <v>97</v>
      </c>
      <c r="B13">
        <f>ROUND(B12,2)</f>
        <v>0.64</v>
      </c>
    </row>
    <row r="16" spans="1:4" x14ac:dyDescent="0.25">
      <c r="A16" t="s">
        <v>111</v>
      </c>
    </row>
    <row r="17" spans="1:1" x14ac:dyDescent="0.25">
      <c r="A17" t="s">
        <v>112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30</v>
      </c>
      <c r="B1" s="3" t="s">
        <v>31</v>
      </c>
      <c r="C1" s="3" t="s">
        <v>32</v>
      </c>
      <c r="D1" s="3" t="s">
        <v>33</v>
      </c>
      <c r="E1" s="3" t="s">
        <v>34</v>
      </c>
      <c r="F1" s="3" t="s">
        <v>35</v>
      </c>
      <c r="G1" s="3" t="s">
        <v>36</v>
      </c>
      <c r="H1" s="3" t="s">
        <v>37</v>
      </c>
      <c r="I1" s="3" t="s">
        <v>38</v>
      </c>
      <c r="J1" s="3" t="s">
        <v>39</v>
      </c>
      <c r="K1" s="3" t="s">
        <v>40</v>
      </c>
      <c r="L1" s="3" t="s">
        <v>41</v>
      </c>
      <c r="M1" s="3" t="s">
        <v>42</v>
      </c>
      <c r="N1" s="3" t="s">
        <v>43</v>
      </c>
      <c r="O1" s="3" t="s">
        <v>44</v>
      </c>
      <c r="P1" s="3" t="s">
        <v>45</v>
      </c>
      <c r="Q1" s="3" t="s">
        <v>46</v>
      </c>
      <c r="R1" s="3" t="s">
        <v>47</v>
      </c>
      <c r="S1" s="3" t="s">
        <v>48</v>
      </c>
      <c r="T1" s="3" t="s">
        <v>49</v>
      </c>
      <c r="U1" s="3" t="s">
        <v>50</v>
      </c>
      <c r="V1" s="3" t="s">
        <v>51</v>
      </c>
      <c r="W1" s="3" t="s">
        <v>52</v>
      </c>
      <c r="X1" s="3" t="s">
        <v>53</v>
      </c>
      <c r="Y1" s="3" t="s">
        <v>54</v>
      </c>
    </row>
    <row r="2" spans="1:25" x14ac:dyDescent="0.25">
      <c r="A2" s="4" t="s">
        <v>55</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56</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57</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58</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59</v>
      </c>
      <c r="B6" s="5">
        <v>1</v>
      </c>
      <c r="C6" s="5">
        <v>1</v>
      </c>
      <c r="D6" s="5">
        <v>1</v>
      </c>
      <c r="E6" s="5">
        <v>1</v>
      </c>
      <c r="F6" s="7">
        <v>0.23300000000000001</v>
      </c>
      <c r="G6" s="7">
        <v>0.72799999999999998</v>
      </c>
      <c r="H6" s="7">
        <v>0.88009999999999999</v>
      </c>
      <c r="I6" s="7">
        <v>0.92520000000000002</v>
      </c>
      <c r="J6" s="7">
        <v>0.94710000000000005</v>
      </c>
      <c r="K6" s="7">
        <v>0.95</v>
      </c>
      <c r="L6" s="7">
        <v>0.97099999999999997</v>
      </c>
      <c r="M6" s="7">
        <v>0.97389999999999999</v>
      </c>
      <c r="N6" s="7">
        <v>0.97009999999999996</v>
      </c>
      <c r="O6" s="7">
        <v>0.96579999999999999</v>
      </c>
      <c r="P6" s="7">
        <v>0.96309999999999996</v>
      </c>
      <c r="Q6" s="7">
        <v>0.96740000000000004</v>
      </c>
      <c r="R6" s="7">
        <v>0.94110000000000005</v>
      </c>
      <c r="S6" s="7">
        <v>0.95469999999999999</v>
      </c>
      <c r="T6" s="7">
        <v>0.94199999999999995</v>
      </c>
      <c r="U6" s="7">
        <v>0.87960000000000005</v>
      </c>
      <c r="V6" s="7">
        <v>0.79139999999999999</v>
      </c>
      <c r="W6" s="5">
        <v>0.79200000000000004</v>
      </c>
      <c r="X6" s="5">
        <v>1</v>
      </c>
      <c r="Y6" s="5">
        <v>1</v>
      </c>
    </row>
    <row r="7" spans="1:25" x14ac:dyDescent="0.25">
      <c r="A7" s="6" t="s">
        <v>60</v>
      </c>
      <c r="B7" s="5">
        <v>1</v>
      </c>
      <c r="C7" s="5">
        <v>1</v>
      </c>
      <c r="D7" s="5">
        <v>1</v>
      </c>
      <c r="E7" s="5">
        <v>1</v>
      </c>
      <c r="F7" s="5">
        <v>1</v>
      </c>
      <c r="G7" s="5">
        <v>1</v>
      </c>
      <c r="H7" s="7">
        <v>1</v>
      </c>
      <c r="I7" s="7">
        <v>0.91820000000000002</v>
      </c>
      <c r="J7" s="7">
        <v>0.88980000000000004</v>
      </c>
      <c r="K7" s="7">
        <v>0.87790000000000001</v>
      </c>
      <c r="L7" s="7">
        <v>0.88090000000000002</v>
      </c>
      <c r="M7" s="7">
        <v>0.90290000000000004</v>
      </c>
      <c r="N7" s="7">
        <v>0.93200000000000005</v>
      </c>
      <c r="O7" s="7">
        <v>0.92700000000000005</v>
      </c>
      <c r="P7" s="7">
        <v>0.89710000000000001</v>
      </c>
      <c r="Q7" s="7">
        <v>0.87209999999999999</v>
      </c>
      <c r="R7" s="7">
        <v>0.84419999999999995</v>
      </c>
      <c r="S7" s="7">
        <v>0.86119999999999997</v>
      </c>
      <c r="T7" s="7">
        <v>0.69</v>
      </c>
      <c r="U7" s="7">
        <v>0.02</v>
      </c>
      <c r="V7" s="5">
        <v>1</v>
      </c>
      <c r="W7" s="5">
        <v>1</v>
      </c>
      <c r="X7" s="5">
        <v>1</v>
      </c>
      <c r="Y7" s="5">
        <v>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61</v>
      </c>
      <c r="B1" s="3" t="s">
        <v>31</v>
      </c>
      <c r="C1" s="3" t="s">
        <v>32</v>
      </c>
      <c r="D1" s="3" t="s">
        <v>33</v>
      </c>
      <c r="E1" s="3" t="s">
        <v>34</v>
      </c>
      <c r="F1" s="3" t="s">
        <v>35</v>
      </c>
      <c r="G1" s="3" t="s">
        <v>36</v>
      </c>
      <c r="H1" s="3" t="s">
        <v>37</v>
      </c>
      <c r="I1" s="3" t="s">
        <v>38</v>
      </c>
      <c r="J1" s="3" t="s">
        <v>39</v>
      </c>
      <c r="K1" s="3" t="s">
        <v>40</v>
      </c>
      <c r="L1" s="3" t="s">
        <v>41</v>
      </c>
      <c r="M1" s="3" t="s">
        <v>42</v>
      </c>
      <c r="N1" s="3" t="s">
        <v>43</v>
      </c>
      <c r="O1" s="3" t="s">
        <v>44</v>
      </c>
      <c r="P1" s="3" t="s">
        <v>45</v>
      </c>
      <c r="Q1" s="3" t="s">
        <v>46</v>
      </c>
      <c r="R1" s="3" t="s">
        <v>47</v>
      </c>
      <c r="S1" s="3" t="s">
        <v>48</v>
      </c>
      <c r="T1" s="3" t="s">
        <v>49</v>
      </c>
      <c r="U1" s="3" t="s">
        <v>50</v>
      </c>
      <c r="V1" s="3" t="s">
        <v>51</v>
      </c>
      <c r="W1" s="3" t="s">
        <v>52</v>
      </c>
      <c r="X1" s="3" t="s">
        <v>53</v>
      </c>
      <c r="Y1" s="3" t="s">
        <v>54</v>
      </c>
    </row>
    <row r="2" spans="1:25" x14ac:dyDescent="0.25">
      <c r="A2" s="4" t="s">
        <v>55</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56</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57</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58</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59</v>
      </c>
      <c r="B6" s="5">
        <v>1</v>
      </c>
      <c r="C6" s="5">
        <v>1</v>
      </c>
      <c r="D6" s="5">
        <v>1</v>
      </c>
      <c r="E6" s="5">
        <v>1</v>
      </c>
      <c r="F6" s="5">
        <v>1</v>
      </c>
      <c r="G6" s="5">
        <v>1</v>
      </c>
      <c r="H6" s="5">
        <v>1</v>
      </c>
      <c r="I6" s="7">
        <v>0</v>
      </c>
      <c r="J6" s="7">
        <v>0.8639</v>
      </c>
      <c r="K6" s="7">
        <v>1</v>
      </c>
      <c r="L6" s="7">
        <v>1</v>
      </c>
      <c r="M6" s="7">
        <v>0.97160000000000002</v>
      </c>
      <c r="N6" s="7">
        <v>0.96719999999999995</v>
      </c>
      <c r="O6" s="7">
        <v>1</v>
      </c>
      <c r="P6" s="7">
        <v>1</v>
      </c>
      <c r="Q6" s="7">
        <v>1</v>
      </c>
      <c r="R6" s="7">
        <v>1</v>
      </c>
      <c r="S6" s="7">
        <v>1</v>
      </c>
      <c r="T6" s="7">
        <v>1</v>
      </c>
      <c r="U6" s="7">
        <v>0.93130000000000002</v>
      </c>
      <c r="V6" s="7">
        <v>0.70220000000000005</v>
      </c>
      <c r="W6" s="5">
        <v>1</v>
      </c>
      <c r="X6" s="5">
        <v>1</v>
      </c>
      <c r="Y6" s="5">
        <v>1</v>
      </c>
    </row>
    <row r="7" spans="1:25" x14ac:dyDescent="0.25">
      <c r="A7" s="6" t="s">
        <v>60</v>
      </c>
      <c r="B7" s="5">
        <v>1</v>
      </c>
      <c r="C7" s="5">
        <v>1</v>
      </c>
      <c r="D7" s="5">
        <v>1</v>
      </c>
      <c r="E7" s="5">
        <v>1</v>
      </c>
      <c r="F7" s="5">
        <v>1</v>
      </c>
      <c r="G7" s="5">
        <v>1</v>
      </c>
      <c r="H7" s="5">
        <v>1</v>
      </c>
      <c r="I7" s="5">
        <v>1</v>
      </c>
      <c r="J7" s="7">
        <v>1</v>
      </c>
      <c r="K7" s="7">
        <v>0.2419</v>
      </c>
      <c r="L7" s="7">
        <v>0.95320000000000005</v>
      </c>
      <c r="M7" s="7">
        <v>0.88039999999999996</v>
      </c>
      <c r="N7" s="7">
        <v>0.97819999999999996</v>
      </c>
      <c r="O7" s="7">
        <v>0.98950000000000005</v>
      </c>
      <c r="P7" s="7">
        <v>0.99270000000000003</v>
      </c>
      <c r="Q7" s="7">
        <v>1</v>
      </c>
      <c r="R7" s="7">
        <v>1</v>
      </c>
      <c r="S7" s="7">
        <v>1</v>
      </c>
      <c r="T7" s="7">
        <v>0.89019999999999999</v>
      </c>
      <c r="U7" s="7">
        <v>0</v>
      </c>
      <c r="V7" s="5">
        <v>1</v>
      </c>
      <c r="W7" s="5">
        <v>1</v>
      </c>
      <c r="X7" s="5">
        <v>1</v>
      </c>
      <c r="Y7" s="5">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62</v>
      </c>
      <c r="B1" s="3" t="s">
        <v>31</v>
      </c>
      <c r="C1" s="3" t="s">
        <v>32</v>
      </c>
      <c r="D1" s="3" t="s">
        <v>33</v>
      </c>
      <c r="E1" s="3" t="s">
        <v>34</v>
      </c>
      <c r="F1" s="3" t="s">
        <v>35</v>
      </c>
      <c r="G1" s="3" t="s">
        <v>36</v>
      </c>
      <c r="H1" s="3" t="s">
        <v>37</v>
      </c>
      <c r="I1" s="3" t="s">
        <v>38</v>
      </c>
      <c r="J1" s="3" t="s">
        <v>39</v>
      </c>
      <c r="K1" s="3" t="s">
        <v>40</v>
      </c>
      <c r="L1" s="3" t="s">
        <v>41</v>
      </c>
      <c r="M1" s="3" t="s">
        <v>42</v>
      </c>
      <c r="N1" s="3" t="s">
        <v>43</v>
      </c>
      <c r="O1" s="3" t="s">
        <v>44</v>
      </c>
      <c r="P1" s="3" t="s">
        <v>45</v>
      </c>
      <c r="Q1" s="3" t="s">
        <v>46</v>
      </c>
      <c r="R1" s="3" t="s">
        <v>47</v>
      </c>
      <c r="S1" s="3" t="s">
        <v>48</v>
      </c>
      <c r="T1" s="3" t="s">
        <v>49</v>
      </c>
      <c r="U1" s="3" t="s">
        <v>50</v>
      </c>
      <c r="V1" s="3" t="s">
        <v>51</v>
      </c>
      <c r="W1" s="3" t="s">
        <v>52</v>
      </c>
      <c r="X1" s="3" t="s">
        <v>53</v>
      </c>
      <c r="Y1" s="3" t="s">
        <v>54</v>
      </c>
    </row>
    <row r="2" spans="1:25" x14ac:dyDescent="0.25">
      <c r="A2" s="4" t="s">
        <v>55</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56</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57</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58</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59</v>
      </c>
      <c r="B6" s="7">
        <v>0.92130000000000001</v>
      </c>
      <c r="C6" s="7">
        <v>0.92800000000000005</v>
      </c>
      <c r="D6" s="7">
        <v>0.95289999999999997</v>
      </c>
      <c r="E6" s="7">
        <v>0.94940000000000002</v>
      </c>
      <c r="F6" s="7">
        <v>0.93440000000000001</v>
      </c>
      <c r="G6" s="7">
        <v>0.94220000000000004</v>
      </c>
      <c r="H6" s="7">
        <v>0.96179999999999999</v>
      </c>
      <c r="I6" s="7">
        <v>0.91600000000000004</v>
      </c>
      <c r="J6" s="7">
        <v>0.81699999999999995</v>
      </c>
      <c r="K6" s="7">
        <v>0.7732</v>
      </c>
      <c r="L6" s="7">
        <v>0.76719999999999999</v>
      </c>
      <c r="M6" s="7">
        <v>0.75590000000000002</v>
      </c>
      <c r="N6" s="7">
        <v>0.69110000000000005</v>
      </c>
      <c r="O6" s="7">
        <v>0.75690000000000002</v>
      </c>
      <c r="P6" s="7">
        <v>0.82179999999999997</v>
      </c>
      <c r="Q6" s="7">
        <v>0.83940000000000003</v>
      </c>
      <c r="R6" s="7">
        <v>0.86229999999999996</v>
      </c>
      <c r="S6" s="7">
        <v>0.89380000000000004</v>
      </c>
      <c r="T6" s="7">
        <v>0.9103</v>
      </c>
      <c r="U6" s="7">
        <v>0.9335</v>
      </c>
      <c r="V6" s="7">
        <v>0.92900000000000005</v>
      </c>
      <c r="W6" s="7">
        <v>0.9536</v>
      </c>
      <c r="X6" s="7">
        <v>0.97609999999999997</v>
      </c>
      <c r="Y6" s="7">
        <v>0.98950000000000005</v>
      </c>
    </row>
    <row r="7" spans="1:25" x14ac:dyDescent="0.25">
      <c r="A7" s="6" t="s">
        <v>60</v>
      </c>
      <c r="B7" s="7">
        <v>0.88390000000000002</v>
      </c>
      <c r="C7" s="7">
        <v>0.8569</v>
      </c>
      <c r="D7" s="7">
        <v>0.83889999999999998</v>
      </c>
      <c r="E7" s="7">
        <v>0.8246</v>
      </c>
      <c r="F7" s="7">
        <v>0.80969999999999998</v>
      </c>
      <c r="G7" s="7">
        <v>0.77990000000000004</v>
      </c>
      <c r="H7" s="7">
        <v>0.79559999999999997</v>
      </c>
      <c r="I7" s="7">
        <v>0.80669999999999997</v>
      </c>
      <c r="J7" s="7">
        <v>0.85460000000000003</v>
      </c>
      <c r="K7" s="7">
        <v>0.89159999999999995</v>
      </c>
      <c r="L7" s="7">
        <v>0.94589999999999996</v>
      </c>
      <c r="M7" s="7">
        <v>0.95920000000000005</v>
      </c>
      <c r="N7" s="7">
        <v>0.97199999999999998</v>
      </c>
      <c r="O7" s="7">
        <v>0.96030000000000004</v>
      </c>
      <c r="P7" s="7">
        <v>0.88890000000000002</v>
      </c>
      <c r="Q7" s="7">
        <v>0.85070000000000001</v>
      </c>
      <c r="R7" s="7">
        <v>0.92669999999999997</v>
      </c>
      <c r="S7" s="7">
        <v>0.88770000000000004</v>
      </c>
      <c r="T7" s="7">
        <v>0.87509999999999999</v>
      </c>
      <c r="U7" s="7">
        <v>0.84089999999999998</v>
      </c>
      <c r="V7" s="7">
        <v>0.81079999999999997</v>
      </c>
      <c r="W7" s="7">
        <v>0.80730000000000002</v>
      </c>
      <c r="X7" s="7">
        <v>0.79849999999999999</v>
      </c>
      <c r="Y7" s="7">
        <v>0.78990000000000005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63</v>
      </c>
      <c r="B1" s="3" t="s">
        <v>31</v>
      </c>
      <c r="C1" s="3" t="s">
        <v>32</v>
      </c>
      <c r="D1" s="3" t="s">
        <v>33</v>
      </c>
      <c r="E1" s="3" t="s">
        <v>34</v>
      </c>
      <c r="F1" s="3" t="s">
        <v>35</v>
      </c>
      <c r="G1" s="3" t="s">
        <v>36</v>
      </c>
      <c r="H1" s="3" t="s">
        <v>37</v>
      </c>
      <c r="I1" s="3" t="s">
        <v>38</v>
      </c>
      <c r="J1" s="3" t="s">
        <v>39</v>
      </c>
      <c r="K1" s="3" t="s">
        <v>40</v>
      </c>
      <c r="L1" s="3" t="s">
        <v>41</v>
      </c>
      <c r="M1" s="3" t="s">
        <v>42</v>
      </c>
      <c r="N1" s="3" t="s">
        <v>43</v>
      </c>
      <c r="O1" s="3" t="s">
        <v>44</v>
      </c>
      <c r="P1" s="3" t="s">
        <v>45</v>
      </c>
      <c r="Q1" s="3" t="s">
        <v>46</v>
      </c>
      <c r="R1" s="3" t="s">
        <v>47</v>
      </c>
      <c r="S1" s="3" t="s">
        <v>48</v>
      </c>
      <c r="T1" s="3" t="s">
        <v>49</v>
      </c>
      <c r="U1" s="3" t="s">
        <v>50</v>
      </c>
      <c r="V1" s="3" t="s">
        <v>51</v>
      </c>
      <c r="W1" s="3" t="s">
        <v>52</v>
      </c>
      <c r="X1" s="3" t="s">
        <v>53</v>
      </c>
      <c r="Y1" s="3" t="s">
        <v>54</v>
      </c>
    </row>
    <row r="2" spans="1:25" x14ac:dyDescent="0.25">
      <c r="A2" s="4" t="s">
        <v>55</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56</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57</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58</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59</v>
      </c>
      <c r="B6" s="7">
        <v>0.40810000000000002</v>
      </c>
      <c r="C6" s="7">
        <v>0.4239</v>
      </c>
      <c r="D6" s="7">
        <v>0.45760000000000001</v>
      </c>
      <c r="E6" s="7">
        <v>0.50319999999999998</v>
      </c>
      <c r="F6" s="7">
        <v>0.53649999999999998</v>
      </c>
      <c r="G6" s="7">
        <v>0.59399999999999997</v>
      </c>
      <c r="H6" s="7">
        <v>0.61929999999999996</v>
      </c>
      <c r="I6" s="7">
        <v>0.68859999999999999</v>
      </c>
      <c r="J6" s="7">
        <v>0.73480000000000001</v>
      </c>
      <c r="K6" s="7">
        <v>0.84350000000000003</v>
      </c>
      <c r="L6" s="7">
        <v>0.78200000000000003</v>
      </c>
      <c r="M6" s="7">
        <v>0.74650000000000005</v>
      </c>
      <c r="N6" s="7">
        <v>0.63690000000000002</v>
      </c>
      <c r="O6" s="7">
        <v>0.60860000000000003</v>
      </c>
      <c r="P6" s="7">
        <v>0.64339999999999997</v>
      </c>
      <c r="Q6" s="7">
        <v>0.69269999999999998</v>
      </c>
      <c r="R6" s="7">
        <v>0.71450000000000002</v>
      </c>
      <c r="S6" s="7">
        <v>0.75070000000000003</v>
      </c>
      <c r="T6" s="7">
        <v>0.72489999999999999</v>
      </c>
      <c r="U6" s="7">
        <v>0.66049999999999998</v>
      </c>
      <c r="V6" s="7">
        <v>0.69140000000000001</v>
      </c>
      <c r="W6" s="7">
        <v>0.63080000000000003</v>
      </c>
      <c r="X6" s="7">
        <v>0.63429999999999997</v>
      </c>
      <c r="Y6" s="7">
        <v>0.64390000000000003</v>
      </c>
    </row>
    <row r="7" spans="1:25" x14ac:dyDescent="0.25">
      <c r="A7" s="6" t="s">
        <v>60</v>
      </c>
      <c r="B7" s="7">
        <v>0.95309999999999995</v>
      </c>
      <c r="C7" s="7">
        <v>0.95030000000000003</v>
      </c>
      <c r="D7" s="7">
        <v>0.95540000000000003</v>
      </c>
      <c r="E7" s="7">
        <v>0.96679999999999999</v>
      </c>
      <c r="F7" s="7">
        <v>1</v>
      </c>
      <c r="G7" s="7">
        <v>1</v>
      </c>
      <c r="H7" s="7">
        <v>1</v>
      </c>
      <c r="I7" s="7">
        <v>0.99209999999999998</v>
      </c>
      <c r="J7" s="7">
        <v>0.90149999999999997</v>
      </c>
      <c r="K7" s="7">
        <v>0.79779999999999995</v>
      </c>
      <c r="L7" s="7">
        <v>0.71879999999999999</v>
      </c>
      <c r="M7" s="7">
        <v>0.67300000000000004</v>
      </c>
      <c r="N7" s="7">
        <v>0.60860000000000003</v>
      </c>
      <c r="O7" s="7">
        <v>0.58009999999999995</v>
      </c>
      <c r="P7" s="7">
        <v>0.58799999999999997</v>
      </c>
      <c r="Q7" s="7">
        <v>0.61019999999999996</v>
      </c>
      <c r="R7" s="7">
        <v>0.61839999999999995</v>
      </c>
      <c r="S7" s="7">
        <v>0.60909999999999997</v>
      </c>
      <c r="T7" s="7">
        <v>0.62880000000000003</v>
      </c>
      <c r="U7" s="7">
        <v>0.72889999999999999</v>
      </c>
      <c r="V7" s="7">
        <v>0.84719999999999995</v>
      </c>
      <c r="W7" s="7">
        <v>0.92220000000000002</v>
      </c>
      <c r="X7" s="7">
        <v>0.86950000000000005</v>
      </c>
      <c r="Y7" s="7">
        <v>0.8054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Y7"/>
  <sheetViews>
    <sheetView workbookViewId="0"/>
  </sheetViews>
  <sheetFormatPr defaultRowHeight="15" x14ac:dyDescent="0.25"/>
  <cols>
    <col min="1" max="1" width="14" customWidth="1"/>
  </cols>
  <sheetData>
    <row r="1" spans="1:25" x14ac:dyDescent="0.25">
      <c r="A1" s="8" t="s">
        <v>64</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Y7"/>
  <sheetViews>
    <sheetView workbookViewId="0"/>
  </sheetViews>
  <sheetFormatPr defaultRowHeight="15" x14ac:dyDescent="0.25"/>
  <cols>
    <col min="1" max="1" width="14" customWidth="1"/>
  </cols>
  <sheetData>
    <row r="1" spans="1:25" x14ac:dyDescent="0.25">
      <c r="A1" s="8" t="s">
        <v>65</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Y7"/>
  <sheetViews>
    <sheetView workbookViewId="0"/>
  </sheetViews>
  <sheetFormatPr defaultRowHeight="15" x14ac:dyDescent="0.25"/>
  <cols>
    <col min="1" max="1" width="14" customWidth="1"/>
  </cols>
  <sheetData>
    <row r="1" spans="1:25" x14ac:dyDescent="0.25">
      <c r="A1" s="8" t="s">
        <v>66</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Y7"/>
  <sheetViews>
    <sheetView workbookViewId="0"/>
  </sheetViews>
  <sheetFormatPr defaultRowHeight="15" x14ac:dyDescent="0.25"/>
  <cols>
    <col min="1" max="1" width="14" customWidth="1"/>
  </cols>
  <sheetData>
    <row r="1" spans="1:25" x14ac:dyDescent="0.25">
      <c r="A1" s="8" t="s">
        <v>67</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Y7"/>
  <sheetViews>
    <sheetView workbookViewId="0"/>
  </sheetViews>
  <sheetFormatPr defaultRowHeight="15" x14ac:dyDescent="0.25"/>
  <cols>
    <col min="1" max="1" width="14" customWidth="1"/>
  </cols>
  <sheetData>
    <row r="1" spans="1:25" x14ac:dyDescent="0.25">
      <c r="A1" s="8" t="s">
        <v>68</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Y7"/>
  <sheetViews>
    <sheetView workbookViewId="0"/>
  </sheetViews>
  <sheetFormatPr defaultRowHeight="15" x14ac:dyDescent="0.25"/>
  <cols>
    <col min="1" max="1" width="14" customWidth="1"/>
  </cols>
  <sheetData>
    <row r="1" spans="1:25" x14ac:dyDescent="0.25">
      <c r="A1" s="8" t="s">
        <v>69</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Y7"/>
  <sheetViews>
    <sheetView workbookViewId="0"/>
  </sheetViews>
  <sheetFormatPr defaultRowHeight="15" x14ac:dyDescent="0.25"/>
  <cols>
    <col min="1" max="1" width="14" customWidth="1"/>
  </cols>
  <sheetData>
    <row r="1" spans="1:25" x14ac:dyDescent="0.25">
      <c r="A1" s="8" t="s">
        <v>70</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Y7"/>
  <sheetViews>
    <sheetView workbookViewId="0"/>
  </sheetViews>
  <sheetFormatPr defaultRowHeight="15" x14ac:dyDescent="0.25"/>
  <cols>
    <col min="1" max="1" width="14" customWidth="1"/>
  </cols>
  <sheetData>
    <row r="1" spans="1:25" x14ac:dyDescent="0.25">
      <c r="A1" s="8" t="s">
        <v>71</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f>'DAT-derivation'!$B$13</f>
        <v>0.64</v>
      </c>
      <c r="C2">
        <f>'DAT-derivation'!$B$13</f>
        <v>0.64</v>
      </c>
      <c r="D2">
        <f>'DAT-derivation'!$B$13</f>
        <v>0.64</v>
      </c>
      <c r="E2">
        <f>'DAT-derivation'!$B$13</f>
        <v>0.64</v>
      </c>
      <c r="F2">
        <f>'DAT-derivation'!$B$13</f>
        <v>0.64</v>
      </c>
      <c r="G2">
        <f>'DAT-derivation'!$B$13</f>
        <v>0.64</v>
      </c>
      <c r="H2">
        <f>'DAT-derivation'!$B$13</f>
        <v>0.64</v>
      </c>
      <c r="I2">
        <f>'DAT-derivation'!$B$13</f>
        <v>0.64</v>
      </c>
      <c r="J2">
        <f>'DAT-derivation'!$B$13</f>
        <v>0.64</v>
      </c>
      <c r="K2">
        <f>'DAT-derivation'!$B$13</f>
        <v>0.64</v>
      </c>
      <c r="L2">
        <f>'DAT-derivation'!$B$13</f>
        <v>0.64</v>
      </c>
      <c r="M2">
        <f>'DAT-derivation'!$B$13</f>
        <v>0.64</v>
      </c>
      <c r="N2">
        <f>'DAT-derivation'!$B$13</f>
        <v>0.64</v>
      </c>
      <c r="O2">
        <f>'DAT-derivation'!$B$13</f>
        <v>0.64</v>
      </c>
      <c r="P2">
        <f>'DAT-derivation'!$B$13</f>
        <v>0.64</v>
      </c>
      <c r="Q2">
        <f>'DAT-derivation'!$B$13</f>
        <v>0.64</v>
      </c>
      <c r="R2">
        <f>'DAT-derivation'!$B$13</f>
        <v>0.64</v>
      </c>
      <c r="S2">
        <f>'DAT-derivation'!$B$13</f>
        <v>0.64</v>
      </c>
      <c r="T2">
        <f>'DAT-derivation'!$B$13</f>
        <v>0.64</v>
      </c>
      <c r="U2">
        <f>'DAT-derivation'!$B$13</f>
        <v>0.64</v>
      </c>
      <c r="V2">
        <f>'DAT-derivation'!$B$13</f>
        <v>0.64</v>
      </c>
      <c r="W2">
        <f>'DAT-derivation'!$B$13</f>
        <v>0.64</v>
      </c>
      <c r="X2">
        <f>'DAT-derivation'!$B$13</f>
        <v>0.64</v>
      </c>
      <c r="Y2">
        <f>'DAT-derivation'!$B$13</f>
        <v>0.64</v>
      </c>
    </row>
    <row r="3" spans="1:25" x14ac:dyDescent="0.25">
      <c r="A3" t="s">
        <v>56</v>
      </c>
      <c r="B3">
        <f>'DAT-derivation'!$B$13</f>
        <v>0.64</v>
      </c>
      <c r="C3">
        <f>'DAT-derivation'!$B$13</f>
        <v>0.64</v>
      </c>
      <c r="D3">
        <f>'DAT-derivation'!$B$13</f>
        <v>0.64</v>
      </c>
      <c r="E3">
        <f>'DAT-derivation'!$B$13</f>
        <v>0.64</v>
      </c>
      <c r="F3">
        <f>'DAT-derivation'!$B$13</f>
        <v>0.64</v>
      </c>
      <c r="G3">
        <f>'DAT-derivation'!$B$13</f>
        <v>0.64</v>
      </c>
      <c r="H3">
        <f>'DAT-derivation'!$B$13</f>
        <v>0.64</v>
      </c>
      <c r="I3">
        <f>'DAT-derivation'!$B$13</f>
        <v>0.64</v>
      </c>
      <c r="J3">
        <f>'DAT-derivation'!$B$13</f>
        <v>0.64</v>
      </c>
      <c r="K3">
        <f>'DAT-derivation'!$B$13</f>
        <v>0.64</v>
      </c>
      <c r="L3">
        <f>'DAT-derivation'!$B$13</f>
        <v>0.64</v>
      </c>
      <c r="M3">
        <f>'DAT-derivation'!$B$13</f>
        <v>0.64</v>
      </c>
      <c r="N3">
        <f>'DAT-derivation'!$B$13</f>
        <v>0.64</v>
      </c>
      <c r="O3">
        <f>'DAT-derivation'!$B$13</f>
        <v>0.64</v>
      </c>
      <c r="P3">
        <f>'DAT-derivation'!$B$13</f>
        <v>0.64</v>
      </c>
      <c r="Q3">
        <f>'DAT-derivation'!$B$13</f>
        <v>0.64</v>
      </c>
      <c r="R3">
        <f>'DAT-derivation'!$B$13</f>
        <v>0.64</v>
      </c>
      <c r="S3">
        <f>'DAT-derivation'!$B$13</f>
        <v>0.64</v>
      </c>
      <c r="T3">
        <f>'DAT-derivation'!$B$13</f>
        <v>0.64</v>
      </c>
      <c r="U3">
        <f>'DAT-derivation'!$B$13</f>
        <v>0.64</v>
      </c>
      <c r="V3">
        <f>'DAT-derivation'!$B$13</f>
        <v>0.64</v>
      </c>
      <c r="W3">
        <f>'DAT-derivation'!$B$13</f>
        <v>0.64</v>
      </c>
      <c r="X3">
        <f>'DAT-derivation'!$B$13</f>
        <v>0.64</v>
      </c>
      <c r="Y3">
        <f>'DAT-derivation'!$B$13</f>
        <v>0.64</v>
      </c>
    </row>
    <row r="4" spans="1:25" x14ac:dyDescent="0.25">
      <c r="A4" t="s">
        <v>57</v>
      </c>
      <c r="B4">
        <f>'DAT-derivation'!$B$13</f>
        <v>0.64</v>
      </c>
      <c r="C4">
        <f>'DAT-derivation'!$B$13</f>
        <v>0.64</v>
      </c>
      <c r="D4">
        <f>'DAT-derivation'!$B$13</f>
        <v>0.64</v>
      </c>
      <c r="E4">
        <f>'DAT-derivation'!$B$13</f>
        <v>0.64</v>
      </c>
      <c r="F4">
        <f>'DAT-derivation'!$B$13</f>
        <v>0.64</v>
      </c>
      <c r="G4">
        <f>'DAT-derivation'!$B$13</f>
        <v>0.64</v>
      </c>
      <c r="H4">
        <f>'DAT-derivation'!$B$13</f>
        <v>0.64</v>
      </c>
      <c r="I4">
        <f>'DAT-derivation'!$B$13</f>
        <v>0.64</v>
      </c>
      <c r="J4">
        <f>'DAT-derivation'!$B$13</f>
        <v>0.64</v>
      </c>
      <c r="K4">
        <f>'DAT-derivation'!$B$13</f>
        <v>0.64</v>
      </c>
      <c r="L4">
        <f>'DAT-derivation'!$B$13</f>
        <v>0.64</v>
      </c>
      <c r="M4">
        <f>'DAT-derivation'!$B$13</f>
        <v>0.64</v>
      </c>
      <c r="N4">
        <f>'DAT-derivation'!$B$13</f>
        <v>0.64</v>
      </c>
      <c r="O4">
        <f>'DAT-derivation'!$B$13</f>
        <v>0.64</v>
      </c>
      <c r="P4">
        <f>'DAT-derivation'!$B$13</f>
        <v>0.64</v>
      </c>
      <c r="Q4">
        <f>'DAT-derivation'!$B$13</f>
        <v>0.64</v>
      </c>
      <c r="R4">
        <f>'DAT-derivation'!$B$13</f>
        <v>0.64</v>
      </c>
      <c r="S4">
        <f>'DAT-derivation'!$B$13</f>
        <v>0.64</v>
      </c>
      <c r="T4">
        <f>'DAT-derivation'!$B$13</f>
        <v>0.64</v>
      </c>
      <c r="U4">
        <f>'DAT-derivation'!$B$13</f>
        <v>0.64</v>
      </c>
      <c r="V4">
        <f>'DAT-derivation'!$B$13</f>
        <v>0.64</v>
      </c>
      <c r="W4">
        <f>'DAT-derivation'!$B$13</f>
        <v>0.64</v>
      </c>
      <c r="X4">
        <f>'DAT-derivation'!$B$13</f>
        <v>0.64</v>
      </c>
      <c r="Y4">
        <f>'DAT-derivation'!$B$13</f>
        <v>0.64</v>
      </c>
    </row>
    <row r="5" spans="1:25" x14ac:dyDescent="0.25">
      <c r="A5" t="s">
        <v>58</v>
      </c>
      <c r="B5">
        <f>'DAT-derivation'!$B$13</f>
        <v>0.64</v>
      </c>
      <c r="C5">
        <f>'DAT-derivation'!$B$13</f>
        <v>0.64</v>
      </c>
      <c r="D5">
        <f>'DAT-derivation'!$B$13</f>
        <v>0.64</v>
      </c>
      <c r="E5">
        <f>'DAT-derivation'!$B$13</f>
        <v>0.64</v>
      </c>
      <c r="F5">
        <f>'DAT-derivation'!$B$13</f>
        <v>0.64</v>
      </c>
      <c r="G5">
        <f>'DAT-derivation'!$B$13</f>
        <v>0.64</v>
      </c>
      <c r="H5">
        <f>'DAT-derivation'!$B$13</f>
        <v>0.64</v>
      </c>
      <c r="I5">
        <f>'DAT-derivation'!$B$13</f>
        <v>0.64</v>
      </c>
      <c r="J5">
        <f>'DAT-derivation'!$B$13</f>
        <v>0.64</v>
      </c>
      <c r="K5">
        <f>'DAT-derivation'!$B$13</f>
        <v>0.64</v>
      </c>
      <c r="L5">
        <f>'DAT-derivation'!$B$13</f>
        <v>0.64</v>
      </c>
      <c r="M5">
        <f>'DAT-derivation'!$B$13</f>
        <v>0.64</v>
      </c>
      <c r="N5">
        <f>'DAT-derivation'!$B$13</f>
        <v>0.64</v>
      </c>
      <c r="O5">
        <f>'DAT-derivation'!$B$13</f>
        <v>0.64</v>
      </c>
      <c r="P5">
        <f>'DAT-derivation'!$B$13</f>
        <v>0.64</v>
      </c>
      <c r="Q5">
        <f>'DAT-derivation'!$B$13</f>
        <v>0.64</v>
      </c>
      <c r="R5">
        <f>'DAT-derivation'!$B$13</f>
        <v>0.64</v>
      </c>
      <c r="S5">
        <f>'DAT-derivation'!$B$13</f>
        <v>0.64</v>
      </c>
      <c r="T5">
        <f>'DAT-derivation'!$B$13</f>
        <v>0.64</v>
      </c>
      <c r="U5">
        <f>'DAT-derivation'!$B$13</f>
        <v>0.64</v>
      </c>
      <c r="V5">
        <f>'DAT-derivation'!$B$13</f>
        <v>0.64</v>
      </c>
      <c r="W5">
        <f>'DAT-derivation'!$B$13</f>
        <v>0.64</v>
      </c>
      <c r="X5">
        <f>'DAT-derivation'!$B$13</f>
        <v>0.64</v>
      </c>
      <c r="Y5">
        <f>'DAT-derivation'!$B$13</f>
        <v>0.64</v>
      </c>
    </row>
    <row r="6" spans="1:25" x14ac:dyDescent="0.25">
      <c r="A6" t="s">
        <v>59</v>
      </c>
      <c r="B6">
        <f>'DAT-derivation'!$B$13</f>
        <v>0.64</v>
      </c>
      <c r="C6">
        <f>'DAT-derivation'!$B$13</f>
        <v>0.64</v>
      </c>
      <c r="D6">
        <f>'DAT-derivation'!$B$13</f>
        <v>0.64</v>
      </c>
      <c r="E6">
        <f>'DAT-derivation'!$B$13</f>
        <v>0.64</v>
      </c>
      <c r="F6">
        <f>'DAT-derivation'!$B$13</f>
        <v>0.64</v>
      </c>
      <c r="G6">
        <f>'DAT-derivation'!$B$13</f>
        <v>0.64</v>
      </c>
      <c r="H6">
        <f>'DAT-derivation'!$B$13</f>
        <v>0.64</v>
      </c>
      <c r="I6">
        <f>'DAT-derivation'!$B$13</f>
        <v>0.64</v>
      </c>
      <c r="J6">
        <f>'DAT-derivation'!$B$13</f>
        <v>0.64</v>
      </c>
      <c r="K6">
        <f>'DAT-derivation'!$B$13</f>
        <v>0.64</v>
      </c>
      <c r="L6">
        <f>'DAT-derivation'!$B$13</f>
        <v>0.64</v>
      </c>
      <c r="M6">
        <f>'DAT-derivation'!$B$13</f>
        <v>0.64</v>
      </c>
      <c r="N6">
        <f>'DAT-derivation'!$B$13</f>
        <v>0.64</v>
      </c>
      <c r="O6">
        <f>'DAT-derivation'!$B$13</f>
        <v>0.64</v>
      </c>
      <c r="P6">
        <f>'DAT-derivation'!$B$13</f>
        <v>0.64</v>
      </c>
      <c r="Q6">
        <f>'DAT-derivation'!$B$13</f>
        <v>0.64</v>
      </c>
      <c r="R6">
        <f>'DAT-derivation'!$B$13</f>
        <v>0.64</v>
      </c>
      <c r="S6">
        <f>'DAT-derivation'!$B$13</f>
        <v>0.64</v>
      </c>
      <c r="T6">
        <f>'DAT-derivation'!$B$13</f>
        <v>0.64</v>
      </c>
      <c r="U6">
        <f>'DAT-derivation'!$B$13</f>
        <v>0.64</v>
      </c>
      <c r="V6">
        <f>'DAT-derivation'!$B$13</f>
        <v>0.64</v>
      </c>
      <c r="W6">
        <f>'DAT-derivation'!$B$13</f>
        <v>0.64</v>
      </c>
      <c r="X6">
        <f>'DAT-derivation'!$B$13</f>
        <v>0.64</v>
      </c>
      <c r="Y6">
        <f>'DAT-derivation'!$B$13</f>
        <v>0.64</v>
      </c>
    </row>
    <row r="7" spans="1:25" x14ac:dyDescent="0.25">
      <c r="A7" t="s">
        <v>60</v>
      </c>
      <c r="B7">
        <f>'DAT-derivation'!$B$13</f>
        <v>0.64</v>
      </c>
      <c r="C7">
        <f>'DAT-derivation'!$B$13</f>
        <v>0.64</v>
      </c>
      <c r="D7">
        <f>'DAT-derivation'!$B$13</f>
        <v>0.64</v>
      </c>
      <c r="E7">
        <f>'DAT-derivation'!$B$13</f>
        <v>0.64</v>
      </c>
      <c r="F7">
        <f>'DAT-derivation'!$B$13</f>
        <v>0.64</v>
      </c>
      <c r="G7">
        <f>'DAT-derivation'!$B$13</f>
        <v>0.64</v>
      </c>
      <c r="H7">
        <f>'DAT-derivation'!$B$13</f>
        <v>0.64</v>
      </c>
      <c r="I7">
        <f>'DAT-derivation'!$B$13</f>
        <v>0.64</v>
      </c>
      <c r="J7">
        <f>'DAT-derivation'!$B$13</f>
        <v>0.64</v>
      </c>
      <c r="K7">
        <f>'DAT-derivation'!$B$13</f>
        <v>0.64</v>
      </c>
      <c r="L7">
        <f>'DAT-derivation'!$B$13</f>
        <v>0.64</v>
      </c>
      <c r="M7">
        <f>'DAT-derivation'!$B$13</f>
        <v>0.64</v>
      </c>
      <c r="N7">
        <f>'DAT-derivation'!$B$13</f>
        <v>0.64</v>
      </c>
      <c r="O7">
        <f>'DAT-derivation'!$B$13</f>
        <v>0.64</v>
      </c>
      <c r="P7">
        <f>'DAT-derivation'!$B$13</f>
        <v>0.64</v>
      </c>
      <c r="Q7">
        <f>'DAT-derivation'!$B$13</f>
        <v>0.64</v>
      </c>
      <c r="R7">
        <f>'DAT-derivation'!$B$13</f>
        <v>0.64</v>
      </c>
      <c r="S7">
        <f>'DAT-derivation'!$B$13</f>
        <v>0.64</v>
      </c>
      <c r="T7">
        <f>'DAT-derivation'!$B$13</f>
        <v>0.64</v>
      </c>
      <c r="U7">
        <f>'DAT-derivation'!$B$13</f>
        <v>0.64</v>
      </c>
      <c r="V7">
        <f>'DAT-derivation'!$B$13</f>
        <v>0.64</v>
      </c>
      <c r="W7">
        <f>'DAT-derivation'!$B$13</f>
        <v>0.64</v>
      </c>
      <c r="X7">
        <f>'DAT-derivation'!$B$13</f>
        <v>0.64</v>
      </c>
      <c r="Y7">
        <f>'DAT-derivation'!$B$13</f>
        <v>0.64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Y7"/>
  <sheetViews>
    <sheetView workbookViewId="0"/>
  </sheetViews>
  <sheetFormatPr defaultRowHeight="15" x14ac:dyDescent="0.25"/>
  <cols>
    <col min="1" max="1" width="14" customWidth="1"/>
  </cols>
  <sheetData>
    <row r="1" spans="1:25" x14ac:dyDescent="0.25">
      <c r="A1" s="8" t="s">
        <v>72</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Y7"/>
  <sheetViews>
    <sheetView workbookViewId="0"/>
  </sheetViews>
  <sheetFormatPr defaultRowHeight="15" x14ac:dyDescent="0.25"/>
  <cols>
    <col min="1" max="1" width="14" customWidth="1"/>
  </cols>
  <sheetData>
    <row r="1" spans="1:25" x14ac:dyDescent="0.25">
      <c r="A1" s="8" t="s">
        <v>73</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Y7"/>
  <sheetViews>
    <sheetView workbookViewId="0"/>
  </sheetViews>
  <sheetFormatPr defaultRowHeight="15" x14ac:dyDescent="0.25"/>
  <cols>
    <col min="1" max="1" width="14" customWidth="1"/>
  </cols>
  <sheetData>
    <row r="1" spans="1:25" x14ac:dyDescent="0.25">
      <c r="A1" s="8" t="s">
        <v>74</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Y7"/>
  <sheetViews>
    <sheetView workbookViewId="0"/>
  </sheetViews>
  <sheetFormatPr defaultRowHeight="15" x14ac:dyDescent="0.25"/>
  <cols>
    <col min="1" max="1" width="14" customWidth="1"/>
  </cols>
  <sheetData>
    <row r="1" spans="1:25" x14ac:dyDescent="0.25">
      <c r="A1" s="8" t="s">
        <v>75</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Y7"/>
  <sheetViews>
    <sheetView workbookViewId="0"/>
  </sheetViews>
  <sheetFormatPr defaultRowHeight="15" x14ac:dyDescent="0.25"/>
  <cols>
    <col min="1" max="1" width="14" customWidth="1"/>
  </cols>
  <sheetData>
    <row r="1" spans="1:25" x14ac:dyDescent="0.25">
      <c r="A1" s="8" t="s">
        <v>76</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Y7"/>
  <sheetViews>
    <sheetView workbookViewId="0"/>
  </sheetViews>
  <sheetFormatPr defaultRowHeight="15" x14ac:dyDescent="0.25"/>
  <cols>
    <col min="1" max="1" width="14" customWidth="1"/>
  </cols>
  <sheetData>
    <row r="1" spans="1:25" x14ac:dyDescent="0.25">
      <c r="A1" s="8" t="s">
        <v>77</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Y7"/>
  <sheetViews>
    <sheetView workbookViewId="0"/>
  </sheetViews>
  <sheetFormatPr defaultRowHeight="15" x14ac:dyDescent="0.25"/>
  <cols>
    <col min="1" max="1" width="14" customWidth="1"/>
  </cols>
  <sheetData>
    <row r="1" spans="1:25" x14ac:dyDescent="0.25">
      <c r="A1" s="8" t="s">
        <v>78</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Y7"/>
  <sheetViews>
    <sheetView workbookViewId="0"/>
  </sheetViews>
  <sheetFormatPr defaultRowHeight="15" x14ac:dyDescent="0.25"/>
  <cols>
    <col min="1" max="1" width="14" customWidth="1"/>
  </cols>
  <sheetData>
    <row r="1" spans="1:25" x14ac:dyDescent="0.25">
      <c r="A1" s="8" t="s">
        <v>79</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Y7"/>
  <sheetViews>
    <sheetView workbookViewId="0"/>
  </sheetViews>
  <sheetFormatPr defaultRowHeight="15" x14ac:dyDescent="0.25"/>
  <cols>
    <col min="1" max="1" width="14" customWidth="1"/>
  </cols>
  <sheetData>
    <row r="1" spans="1:25" x14ac:dyDescent="0.25">
      <c r="A1" s="8" t="s">
        <v>80</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Y7"/>
  <sheetViews>
    <sheetView workbookViewId="0"/>
  </sheetViews>
  <sheetFormatPr defaultRowHeight="15" x14ac:dyDescent="0.25"/>
  <cols>
    <col min="1" max="1" width="14" customWidth="1"/>
  </cols>
  <sheetData>
    <row r="1" spans="1:25" x14ac:dyDescent="0.25">
      <c r="A1" s="8" t="s">
        <v>81</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Y7"/>
  <sheetViews>
    <sheetView workbookViewId="0"/>
  </sheetViews>
  <sheetFormatPr defaultRowHeight="15" x14ac:dyDescent="0.25"/>
  <cols>
    <col min="1" max="1" width="14" customWidth="1"/>
  </cols>
  <sheetData>
    <row r="1" spans="1:25" x14ac:dyDescent="0.25">
      <c r="A1" s="8" t="s">
        <v>82</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Y7"/>
  <sheetViews>
    <sheetView workbookViewId="0"/>
  </sheetViews>
  <sheetFormatPr defaultRowHeight="15" x14ac:dyDescent="0.25"/>
  <cols>
    <col min="1" max="1" width="14" customWidth="1"/>
  </cols>
  <sheetData>
    <row r="1" spans="1:25" x14ac:dyDescent="0.25">
      <c r="A1" s="8" t="s">
        <v>83</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Y7"/>
  <sheetViews>
    <sheetView workbookViewId="0"/>
  </sheetViews>
  <sheetFormatPr defaultRowHeight="15" x14ac:dyDescent="0.25"/>
  <cols>
    <col min="1" max="1" width="14" customWidth="1"/>
  </cols>
  <sheetData>
    <row r="1" spans="1:25" x14ac:dyDescent="0.25">
      <c r="A1" s="8" t="s">
        <v>84</v>
      </c>
      <c r="B1" s="8" t="s">
        <v>31</v>
      </c>
      <c r="C1" s="8" t="s">
        <v>32</v>
      </c>
      <c r="D1" s="8" t="s">
        <v>33</v>
      </c>
      <c r="E1" s="8" t="s">
        <v>34</v>
      </c>
      <c r="F1" s="8" t="s">
        <v>35</v>
      </c>
      <c r="G1" s="8" t="s">
        <v>36</v>
      </c>
      <c r="H1" s="8" t="s">
        <v>37</v>
      </c>
      <c r="I1" s="8" t="s">
        <v>38</v>
      </c>
      <c r="J1" s="8" t="s">
        <v>39</v>
      </c>
      <c r="K1" s="8" t="s">
        <v>40</v>
      </c>
      <c r="L1" s="8" t="s">
        <v>41</v>
      </c>
      <c r="M1" s="8" t="s">
        <v>42</v>
      </c>
      <c r="N1" s="8" t="s">
        <v>43</v>
      </c>
      <c r="O1" s="8" t="s">
        <v>44</v>
      </c>
      <c r="P1" s="8" t="s">
        <v>45</v>
      </c>
      <c r="Q1" s="8" t="s">
        <v>46</v>
      </c>
      <c r="R1" s="8" t="s">
        <v>47</v>
      </c>
      <c r="S1" s="8" t="s">
        <v>48</v>
      </c>
      <c r="T1" s="8" t="s">
        <v>49</v>
      </c>
      <c r="U1" s="8" t="s">
        <v>50</v>
      </c>
      <c r="V1" s="8" t="s">
        <v>51</v>
      </c>
      <c r="W1" s="8" t="s">
        <v>52</v>
      </c>
      <c r="X1" s="8" t="s">
        <v>53</v>
      </c>
      <c r="Y1" s="8" t="s">
        <v>54</v>
      </c>
    </row>
    <row r="2" spans="1:25" x14ac:dyDescent="0.25">
      <c r="A2" t="s">
        <v>55</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56</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57</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58</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59</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60</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DAT-derivation</vt:lpstr>
      <vt:lpstr>ELCCAfR-solar-pv</vt:lpstr>
      <vt:lpstr>ELCCAfR-solar-thermal</vt:lpstr>
      <vt:lpstr>ELCCAfR-onshore-wind</vt:lpstr>
      <vt:lpstr>ELCCAfR-offshore-wind</vt:lpstr>
      <vt:lpstr>ELCCAfR-MSW</vt:lpstr>
      <vt:lpstr>ELCCAfR-SMR</vt:lpstr>
      <vt:lpstr>ELCCAfR-biomass-CCS</vt:lpstr>
      <vt:lpstr>ELCCAfR-biomass</vt:lpstr>
      <vt:lpstr>ELCCAfR-combined-cycle-CCS</vt:lpstr>
      <vt:lpstr>ELCCAfR-combined-cycle</vt:lpstr>
      <vt:lpstr>ELCCAfR-crude-oil</vt:lpstr>
      <vt:lpstr>ELCCAfR-demand-altering-techs</vt:lpstr>
      <vt:lpstr>ELCCAfR-geothermal</vt:lpstr>
      <vt:lpstr>ELCCAfR-hard-coal-CCS</vt:lpstr>
      <vt:lpstr>ELCCAfR-hard-coal</vt:lpstr>
      <vt:lpstr>ELCCAfR-heavy-or-residual-oil</vt:lpstr>
      <vt:lpstr>ELCCAfR-hydro</vt:lpstr>
      <vt:lpstr>ELCCAfR-hydrogen-CC</vt:lpstr>
      <vt:lpstr>ELCCAfR-hydrogen-CT</vt:lpstr>
      <vt:lpstr>ELCCAfR-lignite-CCS</vt:lpstr>
      <vt:lpstr>ELCCAfR-lignite</vt:lpstr>
      <vt:lpstr>ELCCAfR-natural-gas-peaker</vt:lpstr>
      <vt:lpstr>ELCCAfR-nuclear</vt:lpstr>
      <vt:lpstr>ELCCAfR-petroleum</vt:lpstr>
      <vt:lpstr>ELCCAfR-steam-turbine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Megan Mahajan</cp:lastModifiedBy>
  <dcterms:created xsi:type="dcterms:W3CDTF">2026-05-11T18:41:09Z</dcterms:created>
  <dcterms:modified xsi:type="dcterms:W3CDTF">2026-09-22T19:48:59Z</dcterms:modified>
</cp:coreProperties>
</file>