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eganMahajan\Documents\eps-us\InputData\elec\ELCCAfR\"/>
    </mc:Choice>
  </mc:AlternateContent>
  <xr:revisionPtr revIDLastSave="0" documentId="13_ncr:1_{96EBC0AE-6E22-4DA3-9CB0-5A9541A53AD6}" xr6:coauthVersionLast="47" xr6:coauthVersionMax="47" xr10:uidLastSave="{00000000-0000-0000-0000-000000000000}"/>
  <bookViews>
    <workbookView xWindow="4545" yWindow="3765" windowWidth="21600" windowHeight="12645" xr2:uid="{00000000-000D-0000-FFFF-FFFF00000000}"/>
  </bookViews>
  <sheets>
    <sheet name="About" sheetId="1" r:id="rId1"/>
    <sheet name="DAT-derivation" sheetId="2" r:id="rId2"/>
    <sheet name="ELCCAfR-solar-pv" sheetId="3" r:id="rId3"/>
    <sheet name="ELCCAfR-solar-thermal" sheetId="4" r:id="rId4"/>
    <sheet name="ELCCAfR-onshore-wind" sheetId="5" r:id="rId5"/>
    <sheet name="ELCCAfR-offshore-wind" sheetId="6" r:id="rId6"/>
    <sheet name="ELCCAfR-MSW" sheetId="7" r:id="rId7"/>
    <sheet name="ELCCAfR-SMR" sheetId="8" r:id="rId8"/>
    <sheet name="ELCCAfR-biomass-CCS" sheetId="9" r:id="rId9"/>
    <sheet name="ELCCAfR-biomass" sheetId="10" r:id="rId10"/>
    <sheet name="ELCCAfR-combined-cycle-CCS" sheetId="11" r:id="rId11"/>
    <sheet name="ELCCAfR-combined-cycle" sheetId="12" r:id="rId12"/>
    <sheet name="ELCCAfR-crude-oil" sheetId="13" r:id="rId13"/>
    <sheet name="ELCCAfR-demand-altering-techs" sheetId="14" r:id="rId14"/>
    <sheet name="ELCCAfR-geothermal" sheetId="15" r:id="rId15"/>
    <sheet name="ELCCAfR-hard-coal-CCS" sheetId="16" r:id="rId16"/>
    <sheet name="ELCCAfR-hard-coal" sheetId="17" r:id="rId17"/>
    <sheet name="ELCCAfR-heavy-or-residual-oil" sheetId="18" r:id="rId18"/>
    <sheet name="ELCCAfR-hydro" sheetId="19" r:id="rId19"/>
    <sheet name="ELCCAfR-hydrogen-CC" sheetId="20" r:id="rId20"/>
    <sheet name="ELCCAfR-hydrogen-CT" sheetId="21" r:id="rId21"/>
    <sheet name="ELCCAfR-lignite-CCS" sheetId="22" r:id="rId22"/>
    <sheet name="ELCCAfR-lignite" sheetId="23" r:id="rId23"/>
    <sheet name="ELCCAfR-natural-gas-peaker" sheetId="24" r:id="rId24"/>
    <sheet name="ELCCAfR-nuclear" sheetId="25" r:id="rId25"/>
    <sheet name="ELCCAfR-petroleum" sheetId="26" r:id="rId26"/>
    <sheet name="ELCCAfR-steam-turbine"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D5" i="2" s="1"/>
  <c r="D6" i="2" l="1"/>
  <c r="D7" i="2"/>
  <c r="B10" i="2" l="1"/>
  <c r="B12" i="2" s="1"/>
  <c r="B13" i="2" s="1"/>
  <c r="Y7" i="14" s="1"/>
  <c r="E7" i="14"/>
  <c r="I6" i="14"/>
  <c r="M5" i="14"/>
  <c r="Q4" i="14"/>
  <c r="U3" i="14"/>
  <c r="Y2" i="14"/>
  <c r="E2" i="14"/>
  <c r="C7" i="14"/>
  <c r="K5" i="14"/>
  <c r="S3" i="14"/>
  <c r="C2" i="14"/>
  <c r="F6" i="14"/>
  <c r="N4" i="14"/>
  <c r="V2" i="14"/>
  <c r="U7" i="14"/>
  <c r="I5" i="14"/>
  <c r="Q3" i="14"/>
  <c r="X6" i="14"/>
  <c r="P3" i="14"/>
  <c r="C6" i="14"/>
  <c r="K4" i="14"/>
  <c r="S2" i="14"/>
  <c r="R7" i="14"/>
  <c r="B6" i="14"/>
  <c r="F5" i="14"/>
  <c r="J4" i="14"/>
  <c r="N3" i="14"/>
  <c r="R2" i="14"/>
  <c r="P5" i="14"/>
  <c r="K6" i="14"/>
  <c r="G2" i="14"/>
  <c r="R4" i="14"/>
  <c r="F2" i="14"/>
  <c r="X7" i="14"/>
  <c r="D7" i="14"/>
  <c r="H6" i="14"/>
  <c r="L5" i="14"/>
  <c r="P4" i="14"/>
  <c r="X2" i="14"/>
  <c r="D2" i="14"/>
  <c r="W7" i="14"/>
  <c r="G6" i="14"/>
  <c r="O4" i="14"/>
  <c r="W2" i="14"/>
  <c r="B7" i="14"/>
  <c r="J5" i="14"/>
  <c r="R3" i="14"/>
  <c r="B2" i="14"/>
  <c r="Y6" i="14"/>
  <c r="E6" i="14"/>
  <c r="M4" i="14"/>
  <c r="U2" i="14"/>
  <c r="T7" i="14"/>
  <c r="D6" i="14"/>
  <c r="H5" i="14"/>
  <c r="L4" i="14"/>
  <c r="T2" i="14"/>
  <c r="G5" i="14"/>
  <c r="O3" i="14"/>
  <c r="H3" i="14"/>
  <c r="S5" i="14"/>
  <c r="K2" i="14"/>
  <c r="R5" i="14"/>
  <c r="B4" i="14"/>
  <c r="I7" i="14"/>
  <c r="L6" i="14"/>
  <c r="X3" i="14"/>
  <c r="G7" i="14"/>
  <c r="W3" i="14"/>
  <c r="F7" i="14"/>
  <c r="V7" i="14"/>
  <c r="V6" i="14"/>
  <c r="X5" i="14"/>
  <c r="L3" i="14"/>
  <c r="S6" i="14"/>
  <c r="C5" i="14"/>
  <c r="B5" i="14"/>
  <c r="Q6" i="14"/>
  <c r="I3" i="14"/>
  <c r="P6" i="14"/>
  <c r="X4" i="14"/>
  <c r="L2" i="14"/>
  <c r="O6" i="14"/>
  <c r="C4" i="14"/>
  <c r="N6" i="14"/>
  <c r="F3" i="14"/>
  <c r="Q5" i="14"/>
  <c r="E3" i="14"/>
  <c r="T4" i="14"/>
  <c r="D3" i="14"/>
  <c r="S4" i="14"/>
  <c r="J6" i="14"/>
  <c r="B3" i="14"/>
  <c r="Q7" i="14"/>
  <c r="U6" i="14"/>
  <c r="E5" i="14"/>
  <c r="I4" i="14"/>
  <c r="M3" i="14"/>
  <c r="Q2" i="14"/>
  <c r="P7" i="14"/>
  <c r="T6" i="14"/>
  <c r="D5" i="14"/>
  <c r="H4" i="14"/>
  <c r="P2" i="14"/>
  <c r="O7" i="14"/>
  <c r="W5" i="14"/>
  <c r="G4" i="14"/>
  <c r="O2" i="14"/>
  <c r="N7" i="14"/>
  <c r="R6" i="14"/>
  <c r="V5" i="14"/>
  <c r="F4" i="14"/>
  <c r="J3" i="14"/>
  <c r="N2" i="14"/>
  <c r="M7" i="14"/>
  <c r="U5" i="14"/>
  <c r="Y4" i="14"/>
  <c r="E4" i="14"/>
  <c r="M2" i="14"/>
  <c r="L7" i="14"/>
  <c r="T5" i="14"/>
  <c r="D4" i="14"/>
  <c r="K7" i="14"/>
  <c r="W4" i="14"/>
  <c r="G3" i="14"/>
  <c r="J7" i="14"/>
  <c r="V4" i="14"/>
  <c r="J2" i="14"/>
  <c r="M6" i="14"/>
  <c r="U4" i="14"/>
  <c r="Y3" i="14"/>
  <c r="I2" i="14"/>
  <c r="H7" i="14"/>
  <c r="H2" i="14"/>
  <c r="O5" i="14"/>
  <c r="C3" i="14"/>
  <c r="N5" i="14"/>
  <c r="V3" i="14"/>
  <c r="Y5" i="14" l="1"/>
  <c r="K3" i="14"/>
  <c r="W6" i="14"/>
  <c r="T3" i="14"/>
  <c r="S7" i="14"/>
</calcChain>
</file>

<file path=xl/sharedStrings.xml><?xml version="1.0" encoding="utf-8"?>
<sst xmlns="http://schemas.openxmlformats.org/spreadsheetml/2006/main" count="840" uniqueCount="117">
  <si>
    <t>ELCCAfR Effective Load Carrying Capability Adjustment for Reliability - per (tech, slice, hour)</t>
  </si>
  <si>
    <t>Sources:</t>
  </si>
  <si>
    <t>Hourly VRE output at pinned peak days (regional statistic for solar PV, onshore wind and offshore wind; solar thermal national)</t>
  </si>
  <si>
    <t>NREL</t>
  </si>
  <si>
    <t>NREL Cambium Scenarios 2024</t>
  </si>
  <si>
    <t>2024</t>
  </si>
  <si>
    <t>https://www.nrel.gov/analysis/cambium.html (downloads: https://scenarioviewer.nrel.gov)</t>
  </si>
  <si>
    <t>MidCase scenario, weather year 2012, hourly (timestamps in Eastern Time), 2025 model year. SOLAR PV and ONSHORE WIND (regional statistic, changed 2026-09-24): the 133 balancing-area files Cambium24_MidCase_hourly_p&lt;NNN&gt;_2025.csv (Cambium24_MidCase_hourly_balancingArea.zip), aggregated to the 18 Cambium 'gea' regions listed in each file's header (CAISO, ERCOT, FRCC, ISONE, MISO_Central/North/South, NYISO, NorthernGrid_East/South/West, PJM_East/West, SERTP, SPP_North/South, WestConnect_North/South), together with the national file for the denominator. Gate: the 133 balancing areas sum to the national file within 1 MWh at every pinned hour. Nameplate capacity cancels out of the ratio, so hourly generation (MWh) is used in place of capacity factors. The raw hourly files are not pasted into this workbook (see the No raw source tabs note). Vintage history: Cambium22 -&gt; Cambium24 on 2026-08-26 (Megan); state models stay on Cambium22 and are not interchangeable with this national file (see Deployment).</t>
  </si>
  <si>
    <t>Exceptions - offshore wind (later model year) and solar thermal (Cambium 2022)</t>
  </si>
  <si>
    <t>NREL Cambium Scenarios 2024 (offshore wind) / 2022 (solar thermal)</t>
  </si>
  <si>
    <t>2024 / 2022</t>
  </si>
  <si>
    <t>OFFSHORE WIND: same file family and method as above, but the 2040 model year (Cambium24_MidCase_hourly_usa_2040.csv, ~50 GW national offshore fleet). A later model year is required because the near-term offshore fleet is too small for the statistic to describe resource behaviour rather than single-site weather: the Cambium24 2025 offshore fleet is 1.7 GW, versus 50.3 GW in 2040. Every Cambium model year shares the 2012 weather year, so the pinned peak days line up across model years and the method is otherwise unchanged. SOLAR THERMAL: computed from Cambium22_MidCase_hourly_usa_2024.csv, because Cambium24 has no usable CSP fleet in any model year or scenario - 59 MW in MidCase (zero generating hours in 2025), 163 MW in the most CSP-heavy Cambium24 scenario, and zero in Cambium23 - whereas Cambium22 carries 1,323 MW across CA (918), AZ (296) and NV (110), flat from 2024 through 2040. The statistic, pinned days and degenerate/cap rules are identical to the other techs; only the source vintage differs. Solar thermal is immaterial in the national model regardless: BHRaSYC-StartYearCapacities gives it zero capacity.</t>
  </si>
  <si>
    <t>Pinned peak-day identities (which days count as Summer Peak / Winter Peak)</t>
  </si>
  <si>
    <t>Energy Innovation - EPS SHELF timeslice pipeline (internal)</t>
  </si>
  <si>
    <t>SHELF-days-per-timeslice.csv and "Seasonal Hourly Equipment Load Factors by End Use.xlsx" (Daily Summary tab), InputData/elec/SHELF</t>
  </si>
  <si>
    <t>2026</t>
  </si>
  <si>
    <t>n/a (internal model input; built by the state-data-pipeline SHELF builder)</t>
  </si>
  <si>
    <t>K6/H24 representative-day clustering on Cambium net load assigns each day-of-year to one of the six timeslices; the Summer Peak and Winter Peak day sets define the days the exceedance statistics run over. These identities must come from the same pipeline run vintage as the deployed SHELF/SYSHECF files, or the statistic is taken over the wrong days.</t>
  </si>
  <si>
    <t>Firm/dispatchable source values (all output tabs except solar, wind, and demand-altering)</t>
  </si>
  <si>
    <t>Energy Innovation - internal calibration (not computed from Cambium data)</t>
  </si>
  <si>
    <t>All firm/dispatchable and demand-altering tabs are hard-coded to a flat 0.90, set via calibration to align expected capacity payments (2026-08-19; eps-us commit be4a8b08 "Bring ELCCAfR values for non-wind and solar down to 0.9 to align expected capacity payments"). These tabs exist so every ELCCAfR CSV has a matching output tab. NOTE 2026-09-22: the demand-altering tab no longer uses this flat 0.90; it is re-derived from market accreditation (see the PJM source entry below and the DAT-derivation tab). Firm/dispatchable tabs remain 0.90.</t>
  </si>
  <si>
    <t>Demand-altering technologies ELCC target (grid batteries, demand response, pumped hydro accreditation)</t>
  </si>
  <si>
    <t>PJM Interconnection</t>
  </si>
  <si>
    <t>ELCC Class Ratings for the 2026/2027 Base Residual Auction</t>
  </si>
  <si>
    <t>https://www.pjm.com/-/media/DotCom/planning/res-adeq/elcc/2026-27-bra-elcc-class-ratings.pdf (accessed September 22, 2026)</t>
  </si>
  <si>
    <t>Class ratings used: 4-hr Storage 50 percent, Demand Resource 69 percent, 10-hr Storage 72 percent (proxy for pumped hydro). Blended on the DAT-derivation tab into the flat 0.64 deployed on the demand-altering tab. PJM revises class ratings each auction - re-check before reuse. Supporting reference on storage ELCC declining with penetration: CPUC/Astrape battery ELCC analysis, 2019-20 IRP.</t>
  </si>
  <si>
    <t>US pumped hydro fleet capacity (pool-weight input to the demand-altering ELCC blend)</t>
  </si>
  <si>
    <t>EIA</t>
  </si>
  <si>
    <t>Preliminary Monthly Electric Generator Inventory (EIA-860M), July 2026 edition, Operating tab</t>
  </si>
  <si>
    <t>https://www.eia.gov/electricity/data/eia860m/ (accessed September 22, 2026)</t>
  </si>
  <si>
    <t>23.0 GW net summer pumped storage fleet (150 units; essentially unchanged since ~2000). Used with EPS BAU pool sizes (2028 grid battery fleet and demand response capacity) to weight the accreditation blend on the DAT-derivation tab.</t>
  </si>
  <si>
    <t>Notes:</t>
  </si>
  <si>
    <t>Concept</t>
  </si>
  <si>
    <t>Per-cell capacity-adequacy derate. Multiplied with SYSHECF in the reliability calculation, NOT in dispatch. Cells = 1.0 mean no derate (full SYSHECF contribution). Cells &lt; 1.0 mean VRE output at that hour-of-day is uncertain across pinned peak days.</t>
  </si>
  <si>
    <t>Methodology</t>
  </si>
  <si>
    <t>SOLAR THERMAL only (national statistic): per (slice, hour) cell, ELCCAfR = 70%-exceedance output / mean output across the pinned peak days at that hour-of-day (70% exceedance = the 30th percentile of the pinned-day sample, linearly interpolated), both statistics at the same hour-of-day. SOLAR PV, ONSHORE WIND and OFFSHORE WIND (regional statistic, adopted 2026-09-24 - see the dedicated note below): at each hour-of-day, the 30th percentile across the pinned days is taken separately for each of the 18 Cambium GEA regions, those 18 regional values are ADDED, and the sum is divided by the NATIONAL mean output at that hour (which equals the sum of the regional means, since the balancing areas add up to the national file). In words: the national method takes the bad day of the national total; the regional method takes the sum of each region's own bad day. The second is always lower, and the gap is the inter-regional diversity benefit that only unlimited transmission could deliver. Day pool: identical for both methods - only the pinned Summer Peak (11) and Winter Peak (10) days; a region's 'bad day' is its 30th-percentile day WITHIN that pool, not its worst day of the year, and the pool itself is pinned on national net load. The 70% exceedance level (adopted 2026-08-26, replacing a minimum-CF numerator that is a ~96% exceedance standard no accreditation framework uses) follows the CPUC Slice-of-Day resource-adequacy framework (D.23-04-010, levels updated per D.24-06-004); verify the exact exceedance language against D.23-04-010 before any external use. Degenerate cells (negligible mean output, e.g. solar overnight) are 1.0. Cells are capped at 1.0: a percentile numerator can exceed the mean on a left-skewed sample and ELCCAfR is a derate, never a bonus. Model years: solar PV and onshore wind Cambium24 2025; offshore wind Cambium24 2040; solar thermal Cambium22 2024 (see Sources).</t>
  </si>
  <si>
    <t>Slice coverage</t>
  </si>
  <si>
    <t>Summer Peak and Winter Peak are computed per-hour from the pinned days. The four non-peak slices (Winter, Spring, Summer, Fall) are 1.0 across all hours: adequacy is not binding outside the peak slices, and non-peak ELCCAfR = 1.0 prevents incorrectly derating VRE for dispatch at midday.</t>
  </si>
  <si>
    <t>No raw source tabs</t>
  </si>
  <si>
    <t>Unlike most EPS input workbooks, the raw Cambium hourly files (8,760 rows x ~78 columns per model year; 133 files per model year at balancing-area resolution) are not pasted into source tabs here, and the VRE output tabs hold values rather than formulas. Solar thermal values are produced by recompute_elccafr_national.py; solar PV, onshore and offshore wind values by optionA_c24.py (both kept in the ELCC tooling folder and in eps-us _claude/scratch/elcc-geo). Both scripts read the pinned day-of-year to timeslice assignment from the pasted Cambium hourly source tab of the deployed SHELF workbook. Gates run on every execution: recompute_elccafr_national.py verifies that reading the Cambium24 2025 CSV reproduces that SHELF tab cell-for-cell (48/48 per tech); optionA_c24.py verifies (1) that the 133 balancing-area files sum to the national file within 1 MWh at every pinned hour and (2) that its own national-P30 recomputation reproduces the deployed solar PV CSV to 4 dp. The state-data-pipeline ELCCAfR builder does not reproduce these national values (the states remain on Cambium22 and a national min/mean statistic). The PREVIOUSLY deployed (pre-2026-08-26) national values could not be reproduced from any pinned-day set in this repo: they were computed on a 27-summer / 20-winter-peak-day clustering (commit 5243d9fe) while the deployed SHELF has carried 11 / 10 since commit 6fdfe6dd - stale against their own pinned days. The per-state workbooks carry pasted pinned-day source tabs and live MIN/AVERAGE formulas - see any state ELCCAfR workbook in state-eps-data-repository.</t>
  </si>
  <si>
    <t>Deployment</t>
  </si>
  <si>
    <t>CHANGED 2026-08-26: this national file is NO LONGER byte-identical to the state ELCCAfR files and must not be synced over them. National uses Cambium24 (except solar thermal, on Cambium22 for lack of a Cambium24 CSP fleet); state models stay on Cambium22, which retains the state disaggregation Cambium24 does not provide (Megan, 2026-08-26). Previously all 50 state ELCCAfR-offshore-wind.csv files inherited this file unchanged (state-eps-data-repository commit 08659643df). Any model-sync step that copies the national ELCCAfR folder into state input trees needs to be updated to exclude it, or states will silently pick up the Cambium24 national values. The state files also still carry the min/mean statistic; converting them to 70% exceedance on their Cambium22 basis is separate work.</t>
  </si>
  <si>
    <t>Demand-altering ELCC (2026-09-22)</t>
  </si>
  <si>
    <t>Method: the deployed value is set so that ELCC times the 0.9 demand-altering RAF equals a blend of market capacity accreditation across the credited flexible pool - PJM 2026/27 class ratings weighted by the approximate 2028 US BAU pool (57 percent grid batteries, 31 percent demand response incl. electrolyzer flexibility, 11 percent pumped hydro at binding-hour availability). All arithmetic is live formulas on the DAT-derivation tab; the ELCCAfR-demand-altering-techs output tab reads that result by formula. Caveats: PJM ratings reflect one RTO and are revised each auction; the blend uses static 2028 weights while the pool shifts toward batteries over time (implied value drifts toward ~0.55 by the 2040s).</t>
  </si>
  <si>
    <t>VRE regional statistic (2026-09-24)</t>
  </si>
  <si>
    <t>WHAT CHANGED: the Summer Peak and Winter Peak rows of ELCCAfR-solar-pv, ELCCAfR-onshore-wind and ELCCAfR-offshore-wind were recomputed with the regional statistic described under Methodology (one treatment for all VRE; Megan 2026-09-24); solar thermal (Cambium22 basis, zero BAU capacity) and all other tabs are unchanged. SOLAR PV is barely affected at the hours that matter: at Summer Peak Hour20 the regional value is 0.794 vs 0.791 national, because solar's inter-regional diversity is mostly time-zone structure (present every day) rather than weather, so each region's P30 sits near its own mean; the larger drops are at Hour21 (0.79 -&gt; 0.50, where solar output is ~0) and in Winter Peak mornings (Hour7-8 0.92 -&gt; 0.74), which do not bind. WHY: the EPS models the US as a single region with no transmission limits, and a national P30 credits wind for calm days in one region being offset by windy days in another - a diversity benefit the real grid cannot fully deliver (wind in the Plains cannot serve a calm evening in California). Summing each region's own P30 at the same hour removes that inter-regional smoothing while keeping every value at one hour on one clock (all Cambium24 timestamps are Eastern Time). DATA: Cambium24 MidCase hourly balancing-area files (Cambium24_MidCase_hourly_balancingArea.zip, downloaded 2026-09-23 from scenarioviewer.nrel.gov), aggregated by the 'gea' field in each file's header to the 18 GEA regions; 2025 model year for onshore, 2040 for offshore, as before. EFFECT: onshore wind Summer Peak Hour20 (the binding hour) 0.9335 -&gt; 0.8029; Winter Peak Hour20 0.81 -&gt; 0.68; offshore wind falls further but has ~6 GW of BAU capacity and is immaterial. Diversity ACROSS DAYS within a region is retained. In a US BAU test run (eps-us HEAD e147e53f basis, 2026-09-23) nothing changed before 2033 (capacity market not binding); afterwards the reliability channel buys more gas and batteries and less wind (2050 onshore wind 564 -&gt; 449 GW, gas CC +56 GW, batteries +26 GW). NOT CAPTURED: regions peak at different hours (e.g. CAISO ~3 hours after the Eastern peak) and the pinned peak days are chosen on national net load; a regional peak-timing correction would require a regional reliability check in the model, not a data change. Balancing-area resolution (133 regions, no transmission even within an ISO) was computed as a lower bound (Hour20 0.75) and not adopted. STATE MODELS are single regions and keep their own Cambium22 national-style statistic; this change does not apply to them. Reviewed by: (pending) - Robbie's recorded view of 2026-09-22 was that the national P30 should stand; the argument here is not the percentile but the free-transmission assumption embedded in the national aggregate.</t>
  </si>
  <si>
    <t>Derivation of the demand-altering technologies ELCC value (deployed 2026-09-22)</t>
  </si>
  <si>
    <t>Step 1 - Market accreditation by resource class, weighted by the EPS credited pool</t>
  </si>
  <si>
    <t>Resource</t>
  </si>
  <si>
    <t>Market accreditation</t>
  </si>
  <si>
    <t>EPS credited pool (GW)</t>
  </si>
  <si>
    <t>Pool share used (rounded)</t>
  </si>
  <si>
    <t>4-hour battery storage</t>
  </si>
  <si>
    <t>Demand response</t>
  </si>
  <si>
    <t>Pumped hydro (10-hr storage class rating)</t>
  </si>
  <si>
    <t>Total</t>
  </si>
  <si>
    <t>Step 2 - Blended effective credit target (sum of rating x share)</t>
  </si>
  <si>
    <t>Step 3 - RAF for demand-altering technologies (already applied separately in the model; see InputData/elec/RAF/RAF-demand-altering-techs.csv)</t>
  </si>
  <si>
    <t>Step 4 - ELCC value so that ELCC x RAF = blended target</t>
  </si>
  <si>
    <t>Deployed value (rounded to 2 decimals; feeds the ELCCAfR-demand-altering-techs tab)</t>
  </si>
  <si>
    <t>Sources and methodology notes: About tab (Sources and Notes sections).</t>
  </si>
  <si>
    <t>Pool GW basis: 2028 US BAU post 2026-09-22 planned-build refresh (batteries = grid battery fleet; DR = DRC input + electrolyzers; pumped hydro = 23.0 GW x ~0.65 binding-hour availability).</t>
  </si>
  <si>
    <t>solar pv</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</si>
  <si>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</si>
  <si>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</si>
  <si>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</si>
  <si>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</si>
  <si>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</si>
  <si>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</si>
  <si>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</si>
  <si>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</si>
  <si>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</si>
  <si>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</si>
  <si>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</si>
  <si>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</si>
  <si>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</si>
  <si>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</si>
  <si>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</si>
  <si>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</si>
  <si>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</si>
  <si>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</si>
  <si>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</si>
  <si>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</si>
  <si>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</si>
  <si>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</si>
  <si>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</si>
  <si>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</si>
  <si>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Winter</t>
  </si>
  <si>
    <t>Spring</t>
  </si>
  <si>
    <t>Summer</t>
  </si>
  <si>
    <t>Fall</t>
  </si>
  <si>
    <t>Summer Peak</t>
  </si>
  <si>
    <t>Winter Peak</t>
  </si>
  <si>
    <t>solar thermal</t>
  </si>
  <si>
    <t>onshore wind</t>
  </si>
  <si>
    <t>offshore wind</t>
  </si>
  <si>
    <t>municipal solid waste</t>
  </si>
  <si>
    <t>small modular reactor</t>
  </si>
  <si>
    <t>biomass w CCS</t>
  </si>
  <si>
    <t>biomass</t>
  </si>
  <si>
    <t>natural gas combined cycle w CCS</t>
  </si>
  <si>
    <t>natural gas combined cycle</t>
  </si>
  <si>
    <t>crude oil</t>
  </si>
  <si>
    <t>Unit: dimensionless (ELCC fraction at hour)</t>
  </si>
  <si>
    <t>geothermal</t>
  </si>
  <si>
    <t>hard coal w CCS</t>
  </si>
  <si>
    <t>hard coal</t>
  </si>
  <si>
    <t>heavy or residual fuel oil</t>
  </si>
  <si>
    <t>hydro</t>
  </si>
  <si>
    <t>hydrogen combined cycle</t>
  </si>
  <si>
    <t>hydrogen combustion turbine</t>
  </si>
  <si>
    <t>lignite w CCS</t>
  </si>
  <si>
    <t>lignite</t>
  </si>
  <si>
    <t>natural gas peaker</t>
  </si>
  <si>
    <t>nuclear</t>
  </si>
  <si>
    <t>petroleum</t>
  </si>
  <si>
    <t>natural gas steam turbine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</si>
</sst>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amily val="2"/>
    </font>
    <font>
      <sz val="11"/>
      <name val="Calibri"/>
      <family val="2"/>
    </font>
    <font>
      <b/>
      <sz val="11"/>
      <name val="Calibri"/>
      <family val="2"/>
    </font>
  </fonts>
  <fills count="6">
    <fill>
      <patternFill patternType="none"/>
    </fill>
    <fill>
      <patternFill patternType="gray125"/>
    </fill>
    <fill>
      <patternFill patternType="solid">
        <fgColor rgb="FFD9E1F2"/>
        <bgColor rgb="FFD9E1F2"/>
      </patternFill>
    </fill>
    <fill>
      <patternFill patternType="solid">
        <fgColor rgb="FFF8CBAD"/>
        <bgColor rgb="FFF8CBAD"/>
      </patternFill>
    </fill>
    <fill>
      <patternFill patternType="solid">
        <fgColor rgb="FFFFD966"/>
        <bgColor rgb="FFFFD966"/>
      </patternFill>
    </fill>
    <fill>
      <patternFill patternType="solid">
        <fgColor rgb="FFD9E1F2"/>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15">
    <xf numFmtId="0" fontId="0" fillId="0" borderId="0" xfId="0"/>
    <xf numFmtId="0" fontId="1" fillId="0" borderId="0" xfId="0" applyFont="1"/>
    <xf numFmtId="0" fontId="1" fillId="2" borderId="0" xfId="0" applyFont="1" applyFill="1"/>
    <xf numFmtId="0" fontId="1" fillId="2" borderId="0" xfId="0" applyFont="1" applyFill="1" applyAlignment="1">
      <alignment horizontal="center"/>
    </xf>
    <xf numFmtId="0" fontId="1" fillId="0" borderId="1" xfId="0" applyFont="1" applyBorder="1"/>
    <xf numFmtId="0" fontId="0" fillId="0" borderId="1" xfId="0" applyBorder="1" applyAlignment="1">
      <alignment horizontal="center"/>
    </xf>
    <xf numFmtId="0" fontId="1" fillId="3" borderId="1" xfId="0" applyFont="1" applyFill="1" applyBorder="1"/>
    <xf numFmtId="0" fontId="0" fillId="4" borderId="1" xfId="0" applyFill="1" applyBorder="1" applyAlignment="1">
      <alignment horizontal="center"/>
    </xf>
    <xf numFmtId="0" fontId="1" fillId="5" borderId="0" xfId="0" applyFont="1" applyFill="1"/>
    <xf numFmtId="0" fontId="3" fillId="0" borderId="0" xfId="0" applyFont="1"/>
    <xf numFmtId="0" fontId="2" fillId="0" borderId="0" xfId="0" applyFont="1"/>
    <xf numFmtId="0" fontId="3" fillId="0" borderId="0" xfId="0" applyFont="1" applyAlignment="1">
      <alignment vertical="top" wrapText="1"/>
    </xf>
    <xf numFmtId="0" fontId="2" fillId="0" borderId="0" xfId="0" applyFont="1" applyAlignment="1">
      <alignment vertical="top" wrapText="1"/>
    </xf>
    <xf numFmtId="0" fontId="2" fillId="0" borderId="0" xfId="0" applyFont="1" applyAlignment="1">
      <alignment horizontal="lef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4"/>
  <sheetViews>
    <sheetView tabSelected="1" topLeftCell="A42" workbookViewId="0">
      <selection activeCell="B50" sqref="B50"/>
    </sheetView>
  </sheetViews>
  <sheetFormatPr defaultRowHeight="15" x14ac:dyDescent="0.25"/>
  <cols>
    <col min="1" max="1" width="14" customWidth="1"/>
    <col min="2" max="2" width="110" customWidth="1"/>
  </cols>
  <sheetData>
    <row r="1" spans="1:5" x14ac:dyDescent="0.25">
      <c r="A1" s="1" t="s">
        <v>0</v>
      </c>
      <c r="B1" s="10"/>
      <c r="C1" s="10"/>
      <c r="D1" s="10"/>
      <c r="E1" s="10"/>
    </row>
    <row r="2" spans="1:5" x14ac:dyDescent="0.25">
      <c r="A2" s="10"/>
      <c r="B2" s="10"/>
      <c r="C2" s="10"/>
      <c r="D2" s="10"/>
      <c r="E2" s="10"/>
    </row>
    <row r="3" spans="1:5" ht="30" x14ac:dyDescent="0.25">
      <c r="A3" s="9" t="s">
        <v>1</v>
      </c>
      <c r="B3" s="11" t="s">
        <v>2</v>
      </c>
      <c r="C3" s="10"/>
      <c r="D3" s="10"/>
      <c r="E3" s="10"/>
    </row>
    <row r="4" spans="1:5" x14ac:dyDescent="0.25">
      <c r="A4" s="10"/>
      <c r="B4" s="12" t="s">
        <v>3</v>
      </c>
      <c r="C4" s="10"/>
      <c r="D4" s="10"/>
      <c r="E4" s="10"/>
    </row>
    <row r="5" spans="1:5" x14ac:dyDescent="0.25">
      <c r="A5" s="10"/>
      <c r="B5" s="12" t="s">
        <v>4</v>
      </c>
      <c r="C5" s="10"/>
      <c r="D5" s="10"/>
      <c r="E5" s="10"/>
    </row>
    <row r="6" spans="1:5" x14ac:dyDescent="0.25">
      <c r="A6" s="10"/>
      <c r="B6" s="12" t="s">
        <v>5</v>
      </c>
      <c r="C6" s="10"/>
      <c r="D6" s="10"/>
      <c r="E6" s="10"/>
    </row>
    <row r="7" spans="1:5" x14ac:dyDescent="0.25">
      <c r="A7" s="10"/>
      <c r="B7" s="12" t="s">
        <v>6</v>
      </c>
      <c r="C7" s="10"/>
      <c r="D7" s="10"/>
      <c r="E7" s="10"/>
    </row>
    <row r="8" spans="1:5" ht="75" customHeight="1" x14ac:dyDescent="0.25">
      <c r="A8" s="10"/>
      <c r="B8" s="12" t="s">
        <v>7</v>
      </c>
      <c r="C8" s="10"/>
      <c r="D8" s="10"/>
      <c r="E8" s="10"/>
    </row>
    <row r="9" spans="1:5" x14ac:dyDescent="0.25">
      <c r="A9" s="10"/>
      <c r="B9" s="10"/>
      <c r="C9" s="10"/>
      <c r="D9" s="10"/>
      <c r="E9" s="10"/>
    </row>
    <row r="10" spans="1:5" x14ac:dyDescent="0.25">
      <c r="A10" s="10"/>
      <c r="B10" s="11" t="s">
        <v>8</v>
      </c>
      <c r="C10" s="10"/>
      <c r="D10" s="10"/>
      <c r="E10" s="10"/>
    </row>
    <row r="11" spans="1:5" x14ac:dyDescent="0.25">
      <c r="A11" s="10"/>
      <c r="B11" s="12" t="s">
        <v>3</v>
      </c>
      <c r="C11" s="10"/>
      <c r="D11" s="10"/>
      <c r="E11" s="10"/>
    </row>
    <row r="12" spans="1:5" x14ac:dyDescent="0.25">
      <c r="A12" s="10"/>
      <c r="B12" s="12" t="s">
        <v>9</v>
      </c>
      <c r="C12" s="10"/>
      <c r="D12" s="10"/>
      <c r="E12" s="10"/>
    </row>
    <row r="13" spans="1:5" x14ac:dyDescent="0.25">
      <c r="A13" s="10"/>
      <c r="B13" s="12" t="s">
        <v>10</v>
      </c>
      <c r="C13" s="10"/>
      <c r="D13" s="10"/>
      <c r="E13" s="10"/>
    </row>
    <row r="14" spans="1:5" x14ac:dyDescent="0.25">
      <c r="A14" s="10"/>
      <c r="B14" s="12" t="s">
        <v>6</v>
      </c>
      <c r="C14" s="10"/>
      <c r="D14" s="10"/>
      <c r="E14" s="10"/>
    </row>
    <row r="15" spans="1:5" ht="75" customHeight="1" x14ac:dyDescent="0.25">
      <c r="A15" s="10"/>
      <c r="B15" s="12" t="s">
        <v>11</v>
      </c>
      <c r="C15" s="10"/>
      <c r="D15" s="10"/>
      <c r="E15" s="10"/>
    </row>
    <row r="16" spans="1:5" x14ac:dyDescent="0.25">
      <c r="A16" s="10"/>
      <c r="B16" s="10"/>
      <c r="C16" s="10"/>
      <c r="D16" s="10"/>
      <c r="E16" s="10"/>
    </row>
    <row r="17" spans="1:5" x14ac:dyDescent="0.25">
      <c r="A17" s="10"/>
      <c r="B17" s="11" t="s">
        <v>12</v>
      </c>
      <c r="C17" s="10"/>
      <c r="D17" s="10"/>
      <c r="E17" s="10"/>
    </row>
    <row r="18" spans="1:5" x14ac:dyDescent="0.25">
      <c r="A18" s="10"/>
      <c r="B18" s="12" t="s">
        <v>13</v>
      </c>
      <c r="C18" s="10"/>
      <c r="D18" s="10"/>
      <c r="E18" s="10"/>
    </row>
    <row r="19" spans="1:5" ht="30" customHeight="1" x14ac:dyDescent="0.25">
      <c r="A19" s="10"/>
      <c r="B19" s="12" t="s">
        <v>14</v>
      </c>
      <c r="C19" s="10"/>
      <c r="D19" s="10"/>
      <c r="E19" s="10"/>
    </row>
    <row r="20" spans="1:5" x14ac:dyDescent="0.25">
      <c r="A20" s="10"/>
      <c r="B20" s="12" t="s">
        <v>15</v>
      </c>
      <c r="C20" s="10"/>
      <c r="D20" s="10"/>
      <c r="E20" s="10"/>
    </row>
    <row r="21" spans="1:5" x14ac:dyDescent="0.25">
      <c r="A21" s="10"/>
      <c r="B21" s="12" t="s">
        <v>16</v>
      </c>
      <c r="C21" s="10"/>
      <c r="D21" s="10"/>
      <c r="E21" s="10"/>
    </row>
    <row r="22" spans="1:5" ht="45" customHeight="1" x14ac:dyDescent="0.25">
      <c r="A22" s="10"/>
      <c r="B22" s="12" t="s">
        <v>17</v>
      </c>
      <c r="C22" s="10"/>
      <c r="D22" s="10"/>
      <c r="E22" s="10"/>
    </row>
    <row r="23" spans="1:5" x14ac:dyDescent="0.25">
      <c r="A23" s="10"/>
      <c r="B23" s="10"/>
      <c r="C23" s="10"/>
      <c r="D23" s="10"/>
      <c r="E23" s="10"/>
    </row>
    <row r="24" spans="1:5" x14ac:dyDescent="0.25">
      <c r="A24" s="10"/>
      <c r="B24" s="11" t="s">
        <v>18</v>
      </c>
      <c r="C24" s="10"/>
      <c r="D24" s="10"/>
      <c r="E24" s="10"/>
    </row>
    <row r="25" spans="1:5" x14ac:dyDescent="0.25">
      <c r="A25" s="10"/>
      <c r="B25" s="12" t="s">
        <v>19</v>
      </c>
      <c r="C25" s="10"/>
      <c r="D25" s="10"/>
      <c r="E25" s="10"/>
    </row>
    <row r="26" spans="1:5" x14ac:dyDescent="0.25">
      <c r="A26" s="10"/>
      <c r="B26" s="12" t="s">
        <v>15</v>
      </c>
      <c r="C26" s="10"/>
      <c r="D26" s="10"/>
      <c r="E26" s="10"/>
    </row>
    <row r="27" spans="1:5" ht="45" customHeight="1" x14ac:dyDescent="0.25">
      <c r="A27" s="10"/>
      <c r="B27" s="12" t="s">
        <v>20</v>
      </c>
      <c r="C27" s="10"/>
      <c r="D27" s="10"/>
      <c r="E27" s="10"/>
    </row>
    <row r="28" spans="1:5" ht="45" customHeight="1" x14ac:dyDescent="0.25">
      <c r="A28" s="10"/>
      <c r="B28" s="12"/>
      <c r="C28" s="10"/>
      <c r="D28" s="10"/>
      <c r="E28" s="10"/>
    </row>
    <row r="29" spans="1:5" ht="15" customHeight="1" x14ac:dyDescent="0.25">
      <c r="A29" s="10"/>
      <c r="B29" s="11" t="s">
        <v>21</v>
      </c>
      <c r="C29" s="10"/>
      <c r="D29" s="10"/>
      <c r="E29" s="10"/>
    </row>
    <row r="30" spans="1:5" ht="15" customHeight="1" x14ac:dyDescent="0.25">
      <c r="A30" s="10"/>
      <c r="B30" s="12" t="s">
        <v>22</v>
      </c>
      <c r="C30" s="10"/>
      <c r="D30" s="10"/>
      <c r="E30" s="10"/>
    </row>
    <row r="31" spans="1:5" ht="15" customHeight="1" x14ac:dyDescent="0.25">
      <c r="A31" s="10"/>
      <c r="B31" s="12" t="s">
        <v>23</v>
      </c>
      <c r="C31" s="10"/>
      <c r="D31" s="10"/>
      <c r="E31" s="10"/>
    </row>
    <row r="32" spans="1:5" ht="15" customHeight="1" x14ac:dyDescent="0.25">
      <c r="A32" s="10"/>
      <c r="B32" s="13">
        <v>2025</v>
      </c>
      <c r="C32" s="10"/>
      <c r="D32" s="10"/>
      <c r="E32" s="10"/>
    </row>
    <row r="33" spans="1:5" ht="15" customHeight="1" x14ac:dyDescent="0.25">
      <c r="A33" s="10"/>
      <c r="B33" s="12" t="s">
        <v>24</v>
      </c>
      <c r="C33" s="10"/>
      <c r="D33" s="10"/>
      <c r="E33" s="10"/>
    </row>
    <row r="34" spans="1:5" ht="15" customHeight="1" x14ac:dyDescent="0.25">
      <c r="A34" s="10"/>
      <c r="B34" s="12" t="s">
        <v>25</v>
      </c>
      <c r="C34" s="10"/>
      <c r="D34" s="10"/>
      <c r="E34" s="10"/>
    </row>
    <row r="35" spans="1:5" ht="15" customHeight="1" x14ac:dyDescent="0.25">
      <c r="A35" s="10"/>
      <c r="B35" s="12"/>
      <c r="C35" s="10"/>
      <c r="D35" s="10"/>
      <c r="E35" s="10"/>
    </row>
    <row r="36" spans="1:5" ht="15" customHeight="1" x14ac:dyDescent="0.25">
      <c r="A36" s="10"/>
      <c r="B36" s="14" t="s">
        <v>26</v>
      </c>
      <c r="C36" s="10"/>
      <c r="D36" s="10"/>
      <c r="E36" s="10"/>
    </row>
    <row r="37" spans="1:5" ht="15" customHeight="1" x14ac:dyDescent="0.25">
      <c r="A37" s="10"/>
      <c r="B37" s="12" t="s">
        <v>27</v>
      </c>
      <c r="C37" s="10"/>
      <c r="D37" s="10"/>
      <c r="E37" s="10"/>
    </row>
    <row r="38" spans="1:5" ht="15" customHeight="1" x14ac:dyDescent="0.25">
      <c r="A38" s="10"/>
      <c r="B38" s="12" t="s">
        <v>28</v>
      </c>
      <c r="C38" s="10"/>
      <c r="D38" s="10"/>
      <c r="E38" s="10"/>
    </row>
    <row r="39" spans="1:5" ht="15" customHeight="1" x14ac:dyDescent="0.25">
      <c r="A39" s="10"/>
      <c r="B39" s="13">
        <v>2026</v>
      </c>
      <c r="C39" s="10"/>
      <c r="D39" s="10"/>
      <c r="E39" s="10"/>
    </row>
    <row r="40" spans="1:5" ht="15" customHeight="1" x14ac:dyDescent="0.25">
      <c r="A40" s="10"/>
      <c r="B40" s="12" t="s">
        <v>29</v>
      </c>
      <c r="C40" s="10"/>
      <c r="D40" s="10"/>
      <c r="E40" s="10"/>
    </row>
    <row r="41" spans="1:5" ht="15" customHeight="1" x14ac:dyDescent="0.25">
      <c r="A41" s="10"/>
      <c r="B41" s="12" t="s">
        <v>30</v>
      </c>
      <c r="C41" s="10"/>
      <c r="D41" s="10"/>
      <c r="E41" s="10"/>
    </row>
    <row r="42" spans="1:5" x14ac:dyDescent="0.25">
      <c r="A42" s="10"/>
      <c r="B42" s="10"/>
      <c r="C42" s="10"/>
      <c r="D42" s="10"/>
      <c r="E42" s="10"/>
    </row>
    <row r="43" spans="1:5" x14ac:dyDescent="0.25">
      <c r="A43" s="9" t="s">
        <v>31</v>
      </c>
      <c r="B43" s="10"/>
      <c r="C43" s="10"/>
      <c r="D43" s="10"/>
      <c r="E43" s="10"/>
    </row>
    <row r="44" spans="1:5" ht="45" customHeight="1" x14ac:dyDescent="0.25">
      <c r="A44" s="10" t="s">
        <v>32</v>
      </c>
      <c r="B44" s="12" t="s">
        <v>33</v>
      </c>
      <c r="C44" s="10"/>
      <c r="D44" s="10"/>
      <c r="E44" s="10"/>
    </row>
    <row r="45" spans="1:5" ht="60" customHeight="1" x14ac:dyDescent="0.25">
      <c r="A45" s="10" t="s">
        <v>34</v>
      </c>
      <c r="B45" s="12" t="s">
        <v>35</v>
      </c>
      <c r="C45" s="10"/>
      <c r="D45" s="10"/>
      <c r="E45" s="10"/>
    </row>
    <row r="46" spans="1:5" ht="45" customHeight="1" x14ac:dyDescent="0.25">
      <c r="A46" s="10" t="s">
        <v>36</v>
      </c>
      <c r="B46" s="12" t="s">
        <v>37</v>
      </c>
      <c r="C46" s="10"/>
      <c r="D46" s="10"/>
      <c r="E46" s="10"/>
    </row>
    <row r="47" spans="1:5" ht="120" customHeight="1" x14ac:dyDescent="0.25">
      <c r="A47" s="10" t="s">
        <v>38</v>
      </c>
      <c r="B47" s="12" t="s">
        <v>39</v>
      </c>
      <c r="C47" s="10"/>
      <c r="D47" s="10"/>
      <c r="E47" s="10"/>
    </row>
    <row r="48" spans="1:5" ht="45" customHeight="1" x14ac:dyDescent="0.25">
      <c r="A48" s="10" t="s">
        <v>40</v>
      </c>
      <c r="B48" s="12" t="s">
        <v>41</v>
      </c>
      <c r="C48" s="10"/>
      <c r="D48" s="10"/>
      <c r="E48" s="10"/>
    </row>
    <row r="49" spans="1:5" ht="45" customHeight="1" x14ac:dyDescent="0.25">
      <c r="A49" s="10" t="s">
        <v>42</v>
      </c>
      <c r="B49" s="12" t="s">
        <v>43</v>
      </c>
      <c r="C49" s="10"/>
      <c r="D49" s="10"/>
      <c r="E49" s="10"/>
    </row>
    <row r="50" spans="1:5" x14ac:dyDescent="0.25">
      <c r="A50" s="10" t="s">
        <v>44</v>
      </c>
      <c r="B50" s="10" t="s">
        <v>45</v>
      </c>
      <c r="C50" s="10"/>
      <c r="D50" s="10"/>
      <c r="E50" s="10"/>
    </row>
    <row r="51" spans="1:5" x14ac:dyDescent="0.25">
      <c r="A51" s="10"/>
      <c r="B51" s="10"/>
      <c r="C51" s="10"/>
      <c r="D51" s="10"/>
      <c r="E51" s="10"/>
    </row>
    <row r="52" spans="1:5" x14ac:dyDescent="0.25">
      <c r="A52" s="10"/>
      <c r="B52" s="10"/>
      <c r="C52" s="10"/>
      <c r="D52" s="10"/>
      <c r="E52" s="10"/>
    </row>
    <row r="53" spans="1:5" x14ac:dyDescent="0.25">
      <c r="A53" s="10"/>
      <c r="B53" s="10"/>
      <c r="C53" s="10"/>
      <c r="D53" s="10"/>
      <c r="E53" s="10"/>
    </row>
    <row r="54" spans="1:5" x14ac:dyDescent="0.25">
      <c r="A54" s="10"/>
      <c r="B54" s="10"/>
      <c r="C54" s="10"/>
      <c r="D54" s="10"/>
      <c r="E54" s="10"/>
    </row>
    <row r="55" spans="1:5" x14ac:dyDescent="0.25">
      <c r="A55" s="10"/>
      <c r="B55" s="10"/>
      <c r="C55" s="10"/>
      <c r="D55" s="10"/>
      <c r="E55" s="10"/>
    </row>
    <row r="56" spans="1:5" x14ac:dyDescent="0.25">
      <c r="A56" s="10"/>
      <c r="B56" s="10"/>
      <c r="C56" s="10"/>
      <c r="D56" s="10"/>
      <c r="E56" s="10"/>
    </row>
    <row r="57" spans="1:5" x14ac:dyDescent="0.25">
      <c r="A57" s="10"/>
      <c r="B57" s="10"/>
      <c r="C57" s="10"/>
      <c r="D57" s="10"/>
      <c r="E57" s="10"/>
    </row>
    <row r="58" spans="1:5" x14ac:dyDescent="0.25">
      <c r="A58" s="10"/>
      <c r="B58" s="10"/>
      <c r="C58" s="10"/>
      <c r="D58" s="10"/>
      <c r="E58" s="10"/>
    </row>
    <row r="59" spans="1:5" x14ac:dyDescent="0.25">
      <c r="A59" s="10"/>
      <c r="B59" s="10"/>
      <c r="C59" s="10"/>
      <c r="D59" s="10"/>
      <c r="E59" s="10"/>
    </row>
    <row r="60" spans="1:5" x14ac:dyDescent="0.25">
      <c r="A60" s="10"/>
      <c r="B60" s="10"/>
      <c r="C60" s="10"/>
      <c r="D60" s="10"/>
      <c r="E60" s="10"/>
    </row>
    <row r="61" spans="1:5" x14ac:dyDescent="0.25">
      <c r="A61" s="10"/>
      <c r="B61" s="10"/>
      <c r="C61" s="10"/>
      <c r="D61" s="10"/>
      <c r="E61" s="10"/>
    </row>
    <row r="62" spans="1:5" x14ac:dyDescent="0.25">
      <c r="A62" s="10"/>
      <c r="B62" s="10"/>
      <c r="C62" s="10"/>
      <c r="D62" s="10"/>
      <c r="E62" s="10"/>
    </row>
    <row r="63" spans="1:5" x14ac:dyDescent="0.25">
      <c r="A63" s="10"/>
      <c r="B63" s="10"/>
      <c r="C63" s="10"/>
      <c r="D63" s="10"/>
      <c r="E63" s="10"/>
    </row>
    <row r="64" spans="1:5" x14ac:dyDescent="0.25">
      <c r="A64" s="10"/>
      <c r="B64" s="10"/>
      <c r="C64" s="10"/>
      <c r="D64" s="10"/>
      <c r="E64" s="10"/>
    </row>
    <row r="65" spans="1:5" x14ac:dyDescent="0.25">
      <c r="A65" s="10"/>
      <c r="B65" s="10"/>
      <c r="C65" s="10"/>
      <c r="D65" s="10"/>
      <c r="E65" s="10"/>
    </row>
    <row r="66" spans="1:5" x14ac:dyDescent="0.25">
      <c r="A66" s="10"/>
      <c r="B66" s="10"/>
      <c r="C66" s="10"/>
      <c r="D66" s="10"/>
      <c r="E66" s="10"/>
    </row>
    <row r="67" spans="1:5" x14ac:dyDescent="0.25">
      <c r="A67" s="10"/>
      <c r="B67" s="10"/>
      <c r="C67" s="10"/>
      <c r="D67" s="10"/>
      <c r="E67" s="10"/>
    </row>
    <row r="68" spans="1:5" x14ac:dyDescent="0.25">
      <c r="A68" s="10"/>
      <c r="B68" s="10"/>
      <c r="C68" s="10"/>
      <c r="D68" s="10"/>
      <c r="E68" s="10"/>
    </row>
    <row r="69" spans="1:5" x14ac:dyDescent="0.25">
      <c r="A69" s="10"/>
      <c r="B69" s="10"/>
      <c r="C69" s="10"/>
      <c r="D69" s="10"/>
      <c r="E69" s="10"/>
    </row>
    <row r="70" spans="1:5" x14ac:dyDescent="0.25">
      <c r="A70" s="10"/>
      <c r="B70" s="10"/>
      <c r="C70" s="10"/>
      <c r="D70" s="10"/>
      <c r="E70" s="10"/>
    </row>
    <row r="71" spans="1:5" x14ac:dyDescent="0.25">
      <c r="A71" s="10"/>
      <c r="B71" s="10"/>
      <c r="C71" s="10"/>
      <c r="D71" s="10"/>
      <c r="E71" s="10"/>
    </row>
    <row r="72" spans="1:5" x14ac:dyDescent="0.25">
      <c r="A72" s="10"/>
      <c r="B72" s="10"/>
      <c r="C72" s="10"/>
      <c r="D72" s="10"/>
      <c r="E72" s="10"/>
    </row>
    <row r="73" spans="1:5" x14ac:dyDescent="0.25">
      <c r="A73" s="10"/>
      <c r="B73" s="10"/>
      <c r="C73" s="10"/>
      <c r="D73" s="10"/>
      <c r="E73" s="10"/>
    </row>
    <row r="74" spans="1:5" x14ac:dyDescent="0.25">
      <c r="A74" s="10"/>
      <c r="B74" s="10"/>
      <c r="C74" s="10"/>
      <c r="D74" s="10"/>
      <c r="E74" s="10"/>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7"/>
  <sheetViews>
    <sheetView workbookViewId="0"/>
  </sheetViews>
  <sheetFormatPr defaultRowHeight="15" x14ac:dyDescent="0.25"/>
  <cols>
    <col min="1" max="1" width="110.7109375" customWidth="1"/>
    <col min="2" max="2" width="20.7109375" customWidth="1"/>
    <col min="3" max="3" width="22.7109375" customWidth="1"/>
    <col min="4" max="4" width="24.7109375" customWidth="1"/>
  </cols>
  <sheetData>
    <row r="1" spans="1:4" x14ac:dyDescent="0.25">
      <c r="A1" t="s">
        <v>46</v>
      </c>
    </row>
    <row r="3" spans="1:4" x14ac:dyDescent="0.25">
      <c r="A3" t="s">
        <v>47</v>
      </c>
    </row>
    <row r="4" spans="1:4" x14ac:dyDescent="0.25">
      <c r="A4" t="s">
        <v>48</v>
      </c>
      <c r="B4" t="s">
        <v>49</v>
      </c>
      <c r="C4" t="s">
        <v>50</v>
      </c>
      <c r="D4" t="s">
        <v>51</v>
      </c>
    </row>
    <row r="5" spans="1:4" x14ac:dyDescent="0.25">
      <c r="A5" t="s">
        <v>52</v>
      </c>
      <c r="B5">
        <v>0.5</v>
      </c>
      <c r="C5">
        <v>75.599999999999994</v>
      </c>
      <c r="D5">
        <f>ROUND(C5/$C$8,2)</f>
        <v>0.56999999999999995</v>
      </c>
    </row>
    <row r="6" spans="1:4" x14ac:dyDescent="0.25">
      <c r="A6" t="s">
        <v>53</v>
      </c>
      <c r="B6">
        <v>0.69</v>
      </c>
      <c r="C6">
        <v>41.4</v>
      </c>
      <c r="D6">
        <f>ROUND(C6/$C$8,2)</f>
        <v>0.31</v>
      </c>
    </row>
    <row r="7" spans="1:4" x14ac:dyDescent="0.25">
      <c r="A7" t="s">
        <v>54</v>
      </c>
      <c r="B7">
        <v>0.72</v>
      </c>
      <c r="C7">
        <v>15</v>
      </c>
      <c r="D7">
        <f>ROUND(C7/$C$8,2)</f>
        <v>0.11</v>
      </c>
    </row>
    <row r="8" spans="1:4" x14ac:dyDescent="0.25">
      <c r="A8" t="s">
        <v>55</v>
      </c>
      <c r="C8">
        <f>SUM(C5:C7)</f>
        <v>132</v>
      </c>
    </row>
    <row r="10" spans="1:4" x14ac:dyDescent="0.25">
      <c r="A10" t="s">
        <v>56</v>
      </c>
      <c r="B10">
        <f>SUMPRODUCT(B5:B7,D5:D7)</f>
        <v>0.57809999999999995</v>
      </c>
    </row>
    <row r="11" spans="1:4" x14ac:dyDescent="0.25">
      <c r="A11" t="s">
        <v>57</v>
      </c>
      <c r="B11">
        <v>0.9</v>
      </c>
    </row>
    <row r="12" spans="1:4" x14ac:dyDescent="0.25">
      <c r="A12" t="s">
        <v>58</v>
      </c>
      <c r="B12">
        <f>B10/B11</f>
        <v>0.64233333333333331</v>
      </c>
    </row>
    <row r="13" spans="1:4" x14ac:dyDescent="0.25">
      <c r="A13" t="s">
        <v>59</v>
      </c>
      <c r="B13">
        <f>ROUND(B12,2)</f>
        <v>0.64</v>
      </c>
    </row>
    <row r="16" spans="1:4" x14ac:dyDescent="0.25">
      <c r="A16" t="s">
        <v>60</v>
      </c>
    </row>
    <row r="17" spans="1:1" x14ac:dyDescent="0.25">
      <c r="A17" t="s">
        <v>61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62</v>
      </c>
      <c r="B1" s="3" t="s">
        <v>63</v>
      </c>
      <c r="C1" s="3" t="s">
        <v>64</v>
      </c>
      <c r="D1" s="3" t="s">
        <v>65</v>
      </c>
      <c r="E1" s="3" t="s">
        <v>66</v>
      </c>
      <c r="F1" s="3" t="s">
        <v>67</v>
      </c>
      <c r="G1" s="3" t="s">
        <v>68</v>
      </c>
      <c r="H1" s="3" t="s">
        <v>69</v>
      </c>
      <c r="I1" s="3" t="s">
        <v>70</v>
      </c>
      <c r="J1" s="3" t="s">
        <v>71</v>
      </c>
      <c r="K1" s="3" t="s">
        <v>72</v>
      </c>
      <c r="L1" s="3" t="s">
        <v>73</v>
      </c>
      <c r="M1" s="3" t="s">
        <v>74</v>
      </c>
      <c r="N1" s="3" t="s">
        <v>75</v>
      </c>
      <c r="O1" s="3" t="s">
        <v>76</v>
      </c>
      <c r="P1" s="3" t="s">
        <v>77</v>
      </c>
      <c r="Q1" s="3" t="s">
        <v>78</v>
      </c>
      <c r="R1" s="3" t="s">
        <v>79</v>
      </c>
      <c r="S1" s="3" t="s">
        <v>80</v>
      </c>
      <c r="T1" s="3" t="s">
        <v>81</v>
      </c>
      <c r="U1" s="3" t="s">
        <v>82</v>
      </c>
      <c r="V1" s="3" t="s">
        <v>83</v>
      </c>
      <c r="W1" s="3" t="s">
        <v>84</v>
      </c>
      <c r="X1" s="3" t="s">
        <v>85</v>
      </c>
      <c r="Y1" s="3" t="s">
        <v>86</v>
      </c>
    </row>
    <row r="2" spans="1:25" x14ac:dyDescent="0.25">
      <c r="A2" s="4" t="s">
        <v>87</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88</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89</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90</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91</v>
      </c>
      <c r="B6" s="5">
        <v>1</v>
      </c>
      <c r="C6" s="5">
        <v>1</v>
      </c>
      <c r="D6" s="5">
        <v>1</v>
      </c>
      <c r="E6" s="5">
        <v>1</v>
      </c>
      <c r="F6" s="7">
        <v>0.23300000000000001</v>
      </c>
      <c r="G6" s="7">
        <v>0.70899999999999996</v>
      </c>
      <c r="H6" s="7">
        <v>0.85680000000000001</v>
      </c>
      <c r="I6" s="7">
        <v>0.88719999999999999</v>
      </c>
      <c r="J6" s="7">
        <v>0.93740000000000001</v>
      </c>
      <c r="K6" s="7">
        <v>0.95940000000000003</v>
      </c>
      <c r="L6" s="7">
        <v>0.97060000000000002</v>
      </c>
      <c r="M6" s="7">
        <v>0.9839</v>
      </c>
      <c r="N6" s="7">
        <v>0.98440000000000005</v>
      </c>
      <c r="O6" s="7">
        <v>0.97570000000000001</v>
      </c>
      <c r="P6" s="7">
        <v>0.97640000000000005</v>
      </c>
      <c r="Q6" s="7">
        <v>0.9526</v>
      </c>
      <c r="R6" s="7">
        <v>0.94159999999999999</v>
      </c>
      <c r="S6" s="7">
        <v>0.91969999999999996</v>
      </c>
      <c r="T6" s="7">
        <v>0.9012</v>
      </c>
      <c r="U6" s="7">
        <v>0.83420000000000005</v>
      </c>
      <c r="V6" s="7">
        <v>0.7944</v>
      </c>
      <c r="W6" s="5">
        <v>0.50270000000000004</v>
      </c>
      <c r="X6" s="5">
        <v>1</v>
      </c>
      <c r="Y6" s="5">
        <v>1</v>
      </c>
    </row>
    <row r="7" spans="1:25" x14ac:dyDescent="0.25">
      <c r="A7" s="6" t="s">
        <v>92</v>
      </c>
      <c r="B7" s="5">
        <v>1</v>
      </c>
      <c r="C7" s="5">
        <v>1</v>
      </c>
      <c r="D7" s="5">
        <v>1</v>
      </c>
      <c r="E7" s="5">
        <v>1</v>
      </c>
      <c r="F7" s="5">
        <v>1</v>
      </c>
      <c r="G7" s="5">
        <v>1</v>
      </c>
      <c r="H7" s="7">
        <v>1</v>
      </c>
      <c r="I7" s="7">
        <v>0.74050000000000005</v>
      </c>
      <c r="J7" s="7">
        <v>0.74119999999999997</v>
      </c>
      <c r="K7" s="7">
        <v>0.78739999999999999</v>
      </c>
      <c r="L7" s="7">
        <v>0.83520000000000005</v>
      </c>
      <c r="M7" s="7">
        <v>0.88539999999999996</v>
      </c>
      <c r="N7" s="7">
        <v>0.87849999999999995</v>
      </c>
      <c r="O7" s="7">
        <v>0.85760000000000003</v>
      </c>
      <c r="P7" s="7">
        <v>0.84450000000000003</v>
      </c>
      <c r="Q7" s="7">
        <v>0.83189999999999997</v>
      </c>
      <c r="R7" s="7">
        <v>0.84909999999999997</v>
      </c>
      <c r="S7" s="7">
        <v>0.83409999999999995</v>
      </c>
      <c r="T7" s="7">
        <v>0.70099999999999996</v>
      </c>
      <c r="U7" s="7">
        <v>0.02</v>
      </c>
      <c r="V7" s="5">
        <v>1</v>
      </c>
      <c r="W7" s="5">
        <v>1</v>
      </c>
      <c r="X7" s="5">
        <v>1</v>
      </c>
      <c r="Y7" s="5">
        <v>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93</v>
      </c>
      <c r="B1" s="3" t="s">
        <v>63</v>
      </c>
      <c r="C1" s="3" t="s">
        <v>64</v>
      </c>
      <c r="D1" s="3" t="s">
        <v>65</v>
      </c>
      <c r="E1" s="3" t="s">
        <v>66</v>
      </c>
      <c r="F1" s="3" t="s">
        <v>67</v>
      </c>
      <c r="G1" s="3" t="s">
        <v>68</v>
      </c>
      <c r="H1" s="3" t="s">
        <v>69</v>
      </c>
      <c r="I1" s="3" t="s">
        <v>70</v>
      </c>
      <c r="J1" s="3" t="s">
        <v>71</v>
      </c>
      <c r="K1" s="3" t="s">
        <v>72</v>
      </c>
      <c r="L1" s="3" t="s">
        <v>73</v>
      </c>
      <c r="M1" s="3" t="s">
        <v>74</v>
      </c>
      <c r="N1" s="3" t="s">
        <v>75</v>
      </c>
      <c r="O1" s="3" t="s">
        <v>76</v>
      </c>
      <c r="P1" s="3" t="s">
        <v>77</v>
      </c>
      <c r="Q1" s="3" t="s">
        <v>78</v>
      </c>
      <c r="R1" s="3" t="s">
        <v>79</v>
      </c>
      <c r="S1" s="3" t="s">
        <v>80</v>
      </c>
      <c r="T1" s="3" t="s">
        <v>81</v>
      </c>
      <c r="U1" s="3" t="s">
        <v>82</v>
      </c>
      <c r="V1" s="3" t="s">
        <v>83</v>
      </c>
      <c r="W1" s="3" t="s">
        <v>84</v>
      </c>
      <c r="X1" s="3" t="s">
        <v>85</v>
      </c>
      <c r="Y1" s="3" t="s">
        <v>86</v>
      </c>
    </row>
    <row r="2" spans="1:25" x14ac:dyDescent="0.25">
      <c r="A2" s="4" t="s">
        <v>87</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88</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89</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90</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91</v>
      </c>
      <c r="B6" s="5">
        <v>1</v>
      </c>
      <c r="C6" s="5">
        <v>1</v>
      </c>
      <c r="D6" s="5">
        <v>1</v>
      </c>
      <c r="E6" s="5">
        <v>1</v>
      </c>
      <c r="F6" s="5">
        <v>1</v>
      </c>
      <c r="G6" s="5">
        <v>1</v>
      </c>
      <c r="H6" s="5">
        <v>1</v>
      </c>
      <c r="I6" s="7">
        <v>0</v>
      </c>
      <c r="J6" s="7">
        <v>0.8639</v>
      </c>
      <c r="K6" s="7">
        <v>1</v>
      </c>
      <c r="L6" s="7">
        <v>1</v>
      </c>
      <c r="M6" s="7">
        <v>0.97160000000000002</v>
      </c>
      <c r="N6" s="7">
        <v>0.96719999999999995</v>
      </c>
      <c r="O6" s="7">
        <v>1</v>
      </c>
      <c r="P6" s="7">
        <v>1</v>
      </c>
      <c r="Q6" s="7">
        <v>1</v>
      </c>
      <c r="R6" s="7">
        <v>1</v>
      </c>
      <c r="S6" s="7">
        <v>1</v>
      </c>
      <c r="T6" s="7">
        <v>1</v>
      </c>
      <c r="U6" s="7">
        <v>0.93130000000000002</v>
      </c>
      <c r="V6" s="7">
        <v>0.70220000000000005</v>
      </c>
      <c r="W6" s="5">
        <v>1</v>
      </c>
      <c r="X6" s="5">
        <v>1</v>
      </c>
      <c r="Y6" s="5">
        <v>1</v>
      </c>
    </row>
    <row r="7" spans="1:25" x14ac:dyDescent="0.25">
      <c r="A7" s="6" t="s">
        <v>92</v>
      </c>
      <c r="B7" s="5">
        <v>1</v>
      </c>
      <c r="C7" s="5">
        <v>1</v>
      </c>
      <c r="D7" s="5">
        <v>1</v>
      </c>
      <c r="E7" s="5">
        <v>1</v>
      </c>
      <c r="F7" s="5">
        <v>1</v>
      </c>
      <c r="G7" s="5">
        <v>1</v>
      </c>
      <c r="H7" s="5">
        <v>1</v>
      </c>
      <c r="I7" s="5">
        <v>1</v>
      </c>
      <c r="J7" s="7">
        <v>1</v>
      </c>
      <c r="K7" s="7">
        <v>0.2419</v>
      </c>
      <c r="L7" s="7">
        <v>0.95320000000000005</v>
      </c>
      <c r="M7" s="7">
        <v>0.88039999999999996</v>
      </c>
      <c r="N7" s="7">
        <v>0.97819999999999996</v>
      </c>
      <c r="O7" s="7">
        <v>0.98950000000000005</v>
      </c>
      <c r="P7" s="7">
        <v>0.99270000000000003</v>
      </c>
      <c r="Q7" s="7">
        <v>1</v>
      </c>
      <c r="R7" s="7">
        <v>1</v>
      </c>
      <c r="S7" s="7">
        <v>1</v>
      </c>
      <c r="T7" s="7">
        <v>0.89019999999999999</v>
      </c>
      <c r="U7" s="7">
        <v>0</v>
      </c>
      <c r="V7" s="5">
        <v>1</v>
      </c>
      <c r="W7" s="5">
        <v>1</v>
      </c>
      <c r="X7" s="5">
        <v>1</v>
      </c>
      <c r="Y7" s="5">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94</v>
      </c>
      <c r="B1" s="3" t="s">
        <v>63</v>
      </c>
      <c r="C1" s="3" t="s">
        <v>64</v>
      </c>
      <c r="D1" s="3" t="s">
        <v>65</v>
      </c>
      <c r="E1" s="3" t="s">
        <v>66</v>
      </c>
      <c r="F1" s="3" t="s">
        <v>67</v>
      </c>
      <c r="G1" s="3" t="s">
        <v>68</v>
      </c>
      <c r="H1" s="3" t="s">
        <v>69</v>
      </c>
      <c r="I1" s="3" t="s">
        <v>70</v>
      </c>
      <c r="J1" s="3" t="s">
        <v>71</v>
      </c>
      <c r="K1" s="3" t="s">
        <v>72</v>
      </c>
      <c r="L1" s="3" t="s">
        <v>73</v>
      </c>
      <c r="M1" s="3" t="s">
        <v>74</v>
      </c>
      <c r="N1" s="3" t="s">
        <v>75</v>
      </c>
      <c r="O1" s="3" t="s">
        <v>76</v>
      </c>
      <c r="P1" s="3" t="s">
        <v>77</v>
      </c>
      <c r="Q1" s="3" t="s">
        <v>78</v>
      </c>
      <c r="R1" s="3" t="s">
        <v>79</v>
      </c>
      <c r="S1" s="3" t="s">
        <v>80</v>
      </c>
      <c r="T1" s="3" t="s">
        <v>81</v>
      </c>
      <c r="U1" s="3" t="s">
        <v>82</v>
      </c>
      <c r="V1" s="3" t="s">
        <v>83</v>
      </c>
      <c r="W1" s="3" t="s">
        <v>84</v>
      </c>
      <c r="X1" s="3" t="s">
        <v>85</v>
      </c>
      <c r="Y1" s="3" t="s">
        <v>86</v>
      </c>
    </row>
    <row r="2" spans="1:25" x14ac:dyDescent="0.25">
      <c r="A2" s="4" t="s">
        <v>87</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88</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89</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90</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91</v>
      </c>
      <c r="B6" s="7">
        <v>0.80869999999999997</v>
      </c>
      <c r="C6" s="7">
        <v>0.80100000000000005</v>
      </c>
      <c r="D6" s="7">
        <v>0.7873</v>
      </c>
      <c r="E6" s="7">
        <v>0.75939999999999996</v>
      </c>
      <c r="F6" s="7">
        <v>0.746</v>
      </c>
      <c r="G6" s="7">
        <v>0.73809999999999998</v>
      </c>
      <c r="H6" s="7">
        <v>0.73029999999999995</v>
      </c>
      <c r="I6" s="7">
        <v>0.64549999999999996</v>
      </c>
      <c r="J6" s="7">
        <v>0.4884</v>
      </c>
      <c r="K6" s="7">
        <v>0.44479999999999997</v>
      </c>
      <c r="L6" s="7">
        <v>0.46949999999999997</v>
      </c>
      <c r="M6" s="7">
        <v>0.49940000000000001</v>
      </c>
      <c r="N6" s="7">
        <v>0.45929999999999999</v>
      </c>
      <c r="O6" s="7">
        <v>0.4743</v>
      </c>
      <c r="P6" s="7">
        <v>0.51390000000000002</v>
      </c>
      <c r="Q6" s="7">
        <v>0.57909999999999995</v>
      </c>
      <c r="R6" s="7">
        <v>0.63870000000000005</v>
      </c>
      <c r="S6" s="7">
        <v>0.71599999999999997</v>
      </c>
      <c r="T6" s="7">
        <v>0.7641</v>
      </c>
      <c r="U6" s="7">
        <v>0.76870000000000005</v>
      </c>
      <c r="V6" s="7">
        <v>0.80289999999999995</v>
      </c>
      <c r="W6" s="7">
        <v>0.82250000000000001</v>
      </c>
      <c r="X6" s="7">
        <v>0.79079999999999995</v>
      </c>
      <c r="Y6" s="7">
        <v>0.78180000000000005</v>
      </c>
    </row>
    <row r="7" spans="1:25" x14ac:dyDescent="0.25">
      <c r="A7" s="6" t="s">
        <v>92</v>
      </c>
      <c r="B7" s="7">
        <v>0.69359999999999999</v>
      </c>
      <c r="C7" s="7">
        <v>0.6744</v>
      </c>
      <c r="D7" s="7">
        <v>0.66339999999999999</v>
      </c>
      <c r="E7" s="7">
        <v>0.67469999999999997</v>
      </c>
      <c r="F7" s="7">
        <v>0.7006</v>
      </c>
      <c r="G7" s="7">
        <v>0.7177</v>
      </c>
      <c r="H7" s="7">
        <v>0.71609999999999996</v>
      </c>
      <c r="I7" s="7">
        <v>0.66759999999999997</v>
      </c>
      <c r="J7" s="7">
        <v>0.66779999999999995</v>
      </c>
      <c r="K7" s="7">
        <v>0.59340000000000004</v>
      </c>
      <c r="L7" s="7">
        <v>0.56999999999999995</v>
      </c>
      <c r="M7" s="7">
        <v>0.51039999999999996</v>
      </c>
      <c r="N7" s="7">
        <v>0.4738</v>
      </c>
      <c r="O7" s="7">
        <v>0.46810000000000002</v>
      </c>
      <c r="P7" s="7">
        <v>0.4829</v>
      </c>
      <c r="Q7" s="7">
        <v>0.4884</v>
      </c>
      <c r="R7" s="7">
        <v>0.51449999999999996</v>
      </c>
      <c r="S7" s="7">
        <v>0.55889999999999995</v>
      </c>
      <c r="T7" s="7">
        <v>0.60360000000000003</v>
      </c>
      <c r="U7" s="7">
        <v>0.65180000000000005</v>
      </c>
      <c r="V7" s="7">
        <v>0.67800000000000005</v>
      </c>
      <c r="W7" s="7">
        <v>0.68120000000000003</v>
      </c>
      <c r="X7" s="7">
        <v>0.6573</v>
      </c>
      <c r="Y7" s="7">
        <v>0.63300000000000001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95</v>
      </c>
      <c r="B1" s="3" t="s">
        <v>63</v>
      </c>
      <c r="C1" s="3" t="s">
        <v>64</v>
      </c>
      <c r="D1" s="3" t="s">
        <v>65</v>
      </c>
      <c r="E1" s="3" t="s">
        <v>66</v>
      </c>
      <c r="F1" s="3" t="s">
        <v>67</v>
      </c>
      <c r="G1" s="3" t="s">
        <v>68</v>
      </c>
      <c r="H1" s="3" t="s">
        <v>69</v>
      </c>
      <c r="I1" s="3" t="s">
        <v>70</v>
      </c>
      <c r="J1" s="3" t="s">
        <v>71</v>
      </c>
      <c r="K1" s="3" t="s">
        <v>72</v>
      </c>
      <c r="L1" s="3" t="s">
        <v>73</v>
      </c>
      <c r="M1" s="3" t="s">
        <v>74</v>
      </c>
      <c r="N1" s="3" t="s">
        <v>75</v>
      </c>
      <c r="O1" s="3" t="s">
        <v>76</v>
      </c>
      <c r="P1" s="3" t="s">
        <v>77</v>
      </c>
      <c r="Q1" s="3" t="s">
        <v>78</v>
      </c>
      <c r="R1" s="3" t="s">
        <v>79</v>
      </c>
      <c r="S1" s="3" t="s">
        <v>80</v>
      </c>
      <c r="T1" s="3" t="s">
        <v>81</v>
      </c>
      <c r="U1" s="3" t="s">
        <v>82</v>
      </c>
      <c r="V1" s="3" t="s">
        <v>83</v>
      </c>
      <c r="W1" s="3" t="s">
        <v>84</v>
      </c>
      <c r="X1" s="3" t="s">
        <v>85</v>
      </c>
      <c r="Y1" s="3" t="s">
        <v>86</v>
      </c>
    </row>
    <row r="2" spans="1:25" x14ac:dyDescent="0.25">
      <c r="A2" s="4" t="s">
        <v>87</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88</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89</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90</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91</v>
      </c>
      <c r="B6" s="7">
        <v>0.3342</v>
      </c>
      <c r="C6" s="7">
        <v>0.32269999999999999</v>
      </c>
      <c r="D6" s="7">
        <v>0.31390000000000001</v>
      </c>
      <c r="E6" s="7">
        <v>0.30149999999999999</v>
      </c>
      <c r="F6" s="7">
        <v>0.28060000000000002</v>
      </c>
      <c r="G6" s="7">
        <v>0.31240000000000001</v>
      </c>
      <c r="H6" s="7">
        <v>0.33760000000000001</v>
      </c>
      <c r="I6" s="7">
        <v>0.33600000000000002</v>
      </c>
      <c r="J6" s="7">
        <v>0.2908</v>
      </c>
      <c r="K6" s="7">
        <v>0.33350000000000002</v>
      </c>
      <c r="L6" s="7">
        <v>0.37619999999999998</v>
      </c>
      <c r="M6" s="7">
        <v>0.35389999999999999</v>
      </c>
      <c r="N6" s="7">
        <v>0.3468</v>
      </c>
      <c r="O6" s="7">
        <v>0.30990000000000001</v>
      </c>
      <c r="P6" s="7">
        <v>0.34160000000000001</v>
      </c>
      <c r="Q6" s="7">
        <v>0.38790000000000002</v>
      </c>
      <c r="R6" s="7">
        <v>0.41420000000000001</v>
      </c>
      <c r="S6" s="7">
        <v>0.43109999999999998</v>
      </c>
      <c r="T6" s="7">
        <v>0.41870000000000002</v>
      </c>
      <c r="U6" s="7">
        <v>0.44169999999999998</v>
      </c>
      <c r="V6" s="7">
        <v>0.41410000000000002</v>
      </c>
      <c r="W6" s="7">
        <v>0.43280000000000002</v>
      </c>
      <c r="X6" s="7">
        <v>0.40360000000000001</v>
      </c>
      <c r="Y6" s="7">
        <v>0.43140000000000001</v>
      </c>
    </row>
    <row r="7" spans="1:25" x14ac:dyDescent="0.25">
      <c r="A7" s="6" t="s">
        <v>92</v>
      </c>
      <c r="B7" s="7">
        <v>0.85509999999999997</v>
      </c>
      <c r="C7" s="7">
        <v>0.87560000000000004</v>
      </c>
      <c r="D7" s="7">
        <v>0.87729999999999997</v>
      </c>
      <c r="E7" s="7">
        <v>0.88580000000000003</v>
      </c>
      <c r="F7" s="7">
        <v>0.91169999999999995</v>
      </c>
      <c r="G7" s="7">
        <v>0.96609999999999996</v>
      </c>
      <c r="H7" s="7">
        <v>0.96440000000000003</v>
      </c>
      <c r="I7" s="7">
        <v>0.89639999999999997</v>
      </c>
      <c r="J7" s="7">
        <v>0.82489999999999997</v>
      </c>
      <c r="K7" s="7">
        <v>0.74660000000000004</v>
      </c>
      <c r="L7" s="7">
        <v>0.65869999999999995</v>
      </c>
      <c r="M7" s="7">
        <v>0.59570000000000001</v>
      </c>
      <c r="N7" s="7">
        <v>0.62360000000000004</v>
      </c>
      <c r="O7" s="7">
        <v>0.59079999999999999</v>
      </c>
      <c r="P7" s="7">
        <v>0.59289999999999998</v>
      </c>
      <c r="Q7" s="7">
        <v>0.62009999999999998</v>
      </c>
      <c r="R7" s="7">
        <v>0.68899999999999995</v>
      </c>
      <c r="S7" s="7">
        <v>0.72860000000000003</v>
      </c>
      <c r="T7" s="7">
        <v>0.73419999999999996</v>
      </c>
      <c r="U7" s="7">
        <v>0.7883</v>
      </c>
      <c r="V7" s="7">
        <v>0.84140000000000004</v>
      </c>
      <c r="W7" s="7">
        <v>0.81140000000000001</v>
      </c>
      <c r="X7" s="7">
        <v>0.80369999999999997</v>
      </c>
      <c r="Y7" s="7">
        <v>0.73219999999999996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Y7"/>
  <sheetViews>
    <sheetView workbookViewId="0"/>
  </sheetViews>
  <sheetFormatPr defaultRowHeight="15" x14ac:dyDescent="0.25"/>
  <cols>
    <col min="1" max="1" width="14" customWidth="1"/>
  </cols>
  <sheetData>
    <row r="1" spans="1:25" x14ac:dyDescent="0.25">
      <c r="A1" s="8" t="s">
        <v>96</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Y7"/>
  <sheetViews>
    <sheetView workbookViewId="0"/>
  </sheetViews>
  <sheetFormatPr defaultRowHeight="15" x14ac:dyDescent="0.25"/>
  <cols>
    <col min="1" max="1" width="14" customWidth="1"/>
  </cols>
  <sheetData>
    <row r="1" spans="1:25" x14ac:dyDescent="0.25">
      <c r="A1" s="8" t="s">
        <v>97</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Y7"/>
  <sheetViews>
    <sheetView workbookViewId="0"/>
  </sheetViews>
  <sheetFormatPr defaultRowHeight="15" x14ac:dyDescent="0.25"/>
  <cols>
    <col min="1" max="1" width="14" customWidth="1"/>
  </cols>
  <sheetData>
    <row r="1" spans="1:25" x14ac:dyDescent="0.25">
      <c r="A1" s="8" t="s">
        <v>98</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Y7"/>
  <sheetViews>
    <sheetView workbookViewId="0"/>
  </sheetViews>
  <sheetFormatPr defaultRowHeight="15" x14ac:dyDescent="0.25"/>
  <cols>
    <col min="1" max="1" width="14" customWidth="1"/>
  </cols>
  <sheetData>
    <row r="1" spans="1:25" x14ac:dyDescent="0.25">
      <c r="A1" s="8" t="s">
        <v>99</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Y7"/>
  <sheetViews>
    <sheetView workbookViewId="0"/>
  </sheetViews>
  <sheetFormatPr defaultRowHeight="15" x14ac:dyDescent="0.25"/>
  <cols>
    <col min="1" max="1" width="14" customWidth="1"/>
  </cols>
  <sheetData>
    <row r="1" spans="1:25" x14ac:dyDescent="0.25">
      <c r="A1" s="8" t="s">
        <v>100</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Y7"/>
  <sheetViews>
    <sheetView workbookViewId="0"/>
  </sheetViews>
  <sheetFormatPr defaultRowHeight="15" x14ac:dyDescent="0.25"/>
  <cols>
    <col min="1" max="1" width="14" customWidth="1"/>
  </cols>
  <sheetData>
    <row r="1" spans="1:25" x14ac:dyDescent="0.25">
      <c r="A1" s="8" t="s">
        <v>101</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Y7"/>
  <sheetViews>
    <sheetView workbookViewId="0"/>
  </sheetViews>
  <sheetFormatPr defaultRowHeight="15" x14ac:dyDescent="0.25"/>
  <cols>
    <col min="1" max="1" width="14" customWidth="1"/>
  </cols>
  <sheetData>
    <row r="1" spans="1:25" x14ac:dyDescent="0.25">
      <c r="A1" s="8" t="s">
        <v>102</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Y7"/>
  <sheetViews>
    <sheetView workbookViewId="0"/>
  </sheetViews>
  <sheetFormatPr defaultRowHeight="15" x14ac:dyDescent="0.25"/>
  <cols>
    <col min="1" max="1" width="14" customWidth="1"/>
  </cols>
  <sheetData>
    <row r="1" spans="1:25" x14ac:dyDescent="0.25">
      <c r="A1" s="8" t="s">
        <v>103</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f>'DAT-derivation'!$B$13</f>
        <v>0.64</v>
      </c>
      <c r="C2">
        <f>'DAT-derivation'!$B$13</f>
        <v>0.64</v>
      </c>
      <c r="D2">
        <f>'DAT-derivation'!$B$13</f>
        <v>0.64</v>
      </c>
      <c r="E2">
        <f>'DAT-derivation'!$B$13</f>
        <v>0.64</v>
      </c>
      <c r="F2">
        <f>'DAT-derivation'!$B$13</f>
        <v>0.64</v>
      </c>
      <c r="G2">
        <f>'DAT-derivation'!$B$13</f>
        <v>0.64</v>
      </c>
      <c r="H2">
        <f>'DAT-derivation'!$B$13</f>
        <v>0.64</v>
      </c>
      <c r="I2">
        <f>'DAT-derivation'!$B$13</f>
        <v>0.64</v>
      </c>
      <c r="J2">
        <f>'DAT-derivation'!$B$13</f>
        <v>0.64</v>
      </c>
      <c r="K2">
        <f>'DAT-derivation'!$B$13</f>
        <v>0.64</v>
      </c>
      <c r="L2">
        <f>'DAT-derivation'!$B$13</f>
        <v>0.64</v>
      </c>
      <c r="M2">
        <f>'DAT-derivation'!$B$13</f>
        <v>0.64</v>
      </c>
      <c r="N2">
        <f>'DAT-derivation'!$B$13</f>
        <v>0.64</v>
      </c>
      <c r="O2">
        <f>'DAT-derivation'!$B$13</f>
        <v>0.64</v>
      </c>
      <c r="P2">
        <f>'DAT-derivation'!$B$13</f>
        <v>0.64</v>
      </c>
      <c r="Q2">
        <f>'DAT-derivation'!$B$13</f>
        <v>0.64</v>
      </c>
      <c r="R2">
        <f>'DAT-derivation'!$B$13</f>
        <v>0.64</v>
      </c>
      <c r="S2">
        <f>'DAT-derivation'!$B$13</f>
        <v>0.64</v>
      </c>
      <c r="T2">
        <f>'DAT-derivation'!$B$13</f>
        <v>0.64</v>
      </c>
      <c r="U2">
        <f>'DAT-derivation'!$B$13</f>
        <v>0.64</v>
      </c>
      <c r="V2">
        <f>'DAT-derivation'!$B$13</f>
        <v>0.64</v>
      </c>
      <c r="W2">
        <f>'DAT-derivation'!$B$13</f>
        <v>0.64</v>
      </c>
      <c r="X2">
        <f>'DAT-derivation'!$B$13</f>
        <v>0.64</v>
      </c>
      <c r="Y2">
        <f>'DAT-derivation'!$B$13</f>
        <v>0.64</v>
      </c>
    </row>
    <row r="3" spans="1:25" x14ac:dyDescent="0.25">
      <c r="A3" t="s">
        <v>88</v>
      </c>
      <c r="B3">
        <f>'DAT-derivation'!$B$13</f>
        <v>0.64</v>
      </c>
      <c r="C3">
        <f>'DAT-derivation'!$B$13</f>
        <v>0.64</v>
      </c>
      <c r="D3">
        <f>'DAT-derivation'!$B$13</f>
        <v>0.64</v>
      </c>
      <c r="E3">
        <f>'DAT-derivation'!$B$13</f>
        <v>0.64</v>
      </c>
      <c r="F3">
        <f>'DAT-derivation'!$B$13</f>
        <v>0.64</v>
      </c>
      <c r="G3">
        <f>'DAT-derivation'!$B$13</f>
        <v>0.64</v>
      </c>
      <c r="H3">
        <f>'DAT-derivation'!$B$13</f>
        <v>0.64</v>
      </c>
      <c r="I3">
        <f>'DAT-derivation'!$B$13</f>
        <v>0.64</v>
      </c>
      <c r="J3">
        <f>'DAT-derivation'!$B$13</f>
        <v>0.64</v>
      </c>
      <c r="K3">
        <f>'DAT-derivation'!$B$13</f>
        <v>0.64</v>
      </c>
      <c r="L3">
        <f>'DAT-derivation'!$B$13</f>
        <v>0.64</v>
      </c>
      <c r="M3">
        <f>'DAT-derivation'!$B$13</f>
        <v>0.64</v>
      </c>
      <c r="N3">
        <f>'DAT-derivation'!$B$13</f>
        <v>0.64</v>
      </c>
      <c r="O3">
        <f>'DAT-derivation'!$B$13</f>
        <v>0.64</v>
      </c>
      <c r="P3">
        <f>'DAT-derivation'!$B$13</f>
        <v>0.64</v>
      </c>
      <c r="Q3">
        <f>'DAT-derivation'!$B$13</f>
        <v>0.64</v>
      </c>
      <c r="R3">
        <f>'DAT-derivation'!$B$13</f>
        <v>0.64</v>
      </c>
      <c r="S3">
        <f>'DAT-derivation'!$B$13</f>
        <v>0.64</v>
      </c>
      <c r="T3">
        <f>'DAT-derivation'!$B$13</f>
        <v>0.64</v>
      </c>
      <c r="U3">
        <f>'DAT-derivation'!$B$13</f>
        <v>0.64</v>
      </c>
      <c r="V3">
        <f>'DAT-derivation'!$B$13</f>
        <v>0.64</v>
      </c>
      <c r="W3">
        <f>'DAT-derivation'!$B$13</f>
        <v>0.64</v>
      </c>
      <c r="X3">
        <f>'DAT-derivation'!$B$13</f>
        <v>0.64</v>
      </c>
      <c r="Y3">
        <f>'DAT-derivation'!$B$13</f>
        <v>0.64</v>
      </c>
    </row>
    <row r="4" spans="1:25" x14ac:dyDescent="0.25">
      <c r="A4" t="s">
        <v>89</v>
      </c>
      <c r="B4">
        <f>'DAT-derivation'!$B$13</f>
        <v>0.64</v>
      </c>
      <c r="C4">
        <f>'DAT-derivation'!$B$13</f>
        <v>0.64</v>
      </c>
      <c r="D4">
        <f>'DAT-derivation'!$B$13</f>
        <v>0.64</v>
      </c>
      <c r="E4">
        <f>'DAT-derivation'!$B$13</f>
        <v>0.64</v>
      </c>
      <c r="F4">
        <f>'DAT-derivation'!$B$13</f>
        <v>0.64</v>
      </c>
      <c r="G4">
        <f>'DAT-derivation'!$B$13</f>
        <v>0.64</v>
      </c>
      <c r="H4">
        <f>'DAT-derivation'!$B$13</f>
        <v>0.64</v>
      </c>
      <c r="I4">
        <f>'DAT-derivation'!$B$13</f>
        <v>0.64</v>
      </c>
      <c r="J4">
        <f>'DAT-derivation'!$B$13</f>
        <v>0.64</v>
      </c>
      <c r="K4">
        <f>'DAT-derivation'!$B$13</f>
        <v>0.64</v>
      </c>
      <c r="L4">
        <f>'DAT-derivation'!$B$13</f>
        <v>0.64</v>
      </c>
      <c r="M4">
        <f>'DAT-derivation'!$B$13</f>
        <v>0.64</v>
      </c>
      <c r="N4">
        <f>'DAT-derivation'!$B$13</f>
        <v>0.64</v>
      </c>
      <c r="O4">
        <f>'DAT-derivation'!$B$13</f>
        <v>0.64</v>
      </c>
      <c r="P4">
        <f>'DAT-derivation'!$B$13</f>
        <v>0.64</v>
      </c>
      <c r="Q4">
        <f>'DAT-derivation'!$B$13</f>
        <v>0.64</v>
      </c>
      <c r="R4">
        <f>'DAT-derivation'!$B$13</f>
        <v>0.64</v>
      </c>
      <c r="S4">
        <f>'DAT-derivation'!$B$13</f>
        <v>0.64</v>
      </c>
      <c r="T4">
        <f>'DAT-derivation'!$B$13</f>
        <v>0.64</v>
      </c>
      <c r="U4">
        <f>'DAT-derivation'!$B$13</f>
        <v>0.64</v>
      </c>
      <c r="V4">
        <f>'DAT-derivation'!$B$13</f>
        <v>0.64</v>
      </c>
      <c r="W4">
        <f>'DAT-derivation'!$B$13</f>
        <v>0.64</v>
      </c>
      <c r="X4">
        <f>'DAT-derivation'!$B$13</f>
        <v>0.64</v>
      </c>
      <c r="Y4">
        <f>'DAT-derivation'!$B$13</f>
        <v>0.64</v>
      </c>
    </row>
    <row r="5" spans="1:25" x14ac:dyDescent="0.25">
      <c r="A5" t="s">
        <v>90</v>
      </c>
      <c r="B5">
        <f>'DAT-derivation'!$B$13</f>
        <v>0.64</v>
      </c>
      <c r="C5">
        <f>'DAT-derivation'!$B$13</f>
        <v>0.64</v>
      </c>
      <c r="D5">
        <f>'DAT-derivation'!$B$13</f>
        <v>0.64</v>
      </c>
      <c r="E5">
        <f>'DAT-derivation'!$B$13</f>
        <v>0.64</v>
      </c>
      <c r="F5">
        <f>'DAT-derivation'!$B$13</f>
        <v>0.64</v>
      </c>
      <c r="G5">
        <f>'DAT-derivation'!$B$13</f>
        <v>0.64</v>
      </c>
      <c r="H5">
        <f>'DAT-derivation'!$B$13</f>
        <v>0.64</v>
      </c>
      <c r="I5">
        <f>'DAT-derivation'!$B$13</f>
        <v>0.64</v>
      </c>
      <c r="J5">
        <f>'DAT-derivation'!$B$13</f>
        <v>0.64</v>
      </c>
      <c r="K5">
        <f>'DAT-derivation'!$B$13</f>
        <v>0.64</v>
      </c>
      <c r="L5">
        <f>'DAT-derivation'!$B$13</f>
        <v>0.64</v>
      </c>
      <c r="M5">
        <f>'DAT-derivation'!$B$13</f>
        <v>0.64</v>
      </c>
      <c r="N5">
        <f>'DAT-derivation'!$B$13</f>
        <v>0.64</v>
      </c>
      <c r="O5">
        <f>'DAT-derivation'!$B$13</f>
        <v>0.64</v>
      </c>
      <c r="P5">
        <f>'DAT-derivation'!$B$13</f>
        <v>0.64</v>
      </c>
      <c r="Q5">
        <f>'DAT-derivation'!$B$13</f>
        <v>0.64</v>
      </c>
      <c r="R5">
        <f>'DAT-derivation'!$B$13</f>
        <v>0.64</v>
      </c>
      <c r="S5">
        <f>'DAT-derivation'!$B$13</f>
        <v>0.64</v>
      </c>
      <c r="T5">
        <f>'DAT-derivation'!$B$13</f>
        <v>0.64</v>
      </c>
      <c r="U5">
        <f>'DAT-derivation'!$B$13</f>
        <v>0.64</v>
      </c>
      <c r="V5">
        <f>'DAT-derivation'!$B$13</f>
        <v>0.64</v>
      </c>
      <c r="W5">
        <f>'DAT-derivation'!$B$13</f>
        <v>0.64</v>
      </c>
      <c r="X5">
        <f>'DAT-derivation'!$B$13</f>
        <v>0.64</v>
      </c>
      <c r="Y5">
        <f>'DAT-derivation'!$B$13</f>
        <v>0.64</v>
      </c>
    </row>
    <row r="6" spans="1:25" x14ac:dyDescent="0.25">
      <c r="A6" t="s">
        <v>91</v>
      </c>
      <c r="B6">
        <f>'DAT-derivation'!$B$13</f>
        <v>0.64</v>
      </c>
      <c r="C6">
        <f>'DAT-derivation'!$B$13</f>
        <v>0.64</v>
      </c>
      <c r="D6">
        <f>'DAT-derivation'!$B$13</f>
        <v>0.64</v>
      </c>
      <c r="E6">
        <f>'DAT-derivation'!$B$13</f>
        <v>0.64</v>
      </c>
      <c r="F6">
        <f>'DAT-derivation'!$B$13</f>
        <v>0.64</v>
      </c>
      <c r="G6">
        <f>'DAT-derivation'!$B$13</f>
        <v>0.64</v>
      </c>
      <c r="H6">
        <f>'DAT-derivation'!$B$13</f>
        <v>0.64</v>
      </c>
      <c r="I6">
        <f>'DAT-derivation'!$B$13</f>
        <v>0.64</v>
      </c>
      <c r="J6">
        <f>'DAT-derivation'!$B$13</f>
        <v>0.64</v>
      </c>
      <c r="K6">
        <f>'DAT-derivation'!$B$13</f>
        <v>0.64</v>
      </c>
      <c r="L6">
        <f>'DAT-derivation'!$B$13</f>
        <v>0.64</v>
      </c>
      <c r="M6">
        <f>'DAT-derivation'!$B$13</f>
        <v>0.64</v>
      </c>
      <c r="N6">
        <f>'DAT-derivation'!$B$13</f>
        <v>0.64</v>
      </c>
      <c r="O6">
        <f>'DAT-derivation'!$B$13</f>
        <v>0.64</v>
      </c>
      <c r="P6">
        <f>'DAT-derivation'!$B$13</f>
        <v>0.64</v>
      </c>
      <c r="Q6">
        <f>'DAT-derivation'!$B$13</f>
        <v>0.64</v>
      </c>
      <c r="R6">
        <f>'DAT-derivation'!$B$13</f>
        <v>0.64</v>
      </c>
      <c r="S6">
        <f>'DAT-derivation'!$B$13</f>
        <v>0.64</v>
      </c>
      <c r="T6">
        <f>'DAT-derivation'!$B$13</f>
        <v>0.64</v>
      </c>
      <c r="U6">
        <f>'DAT-derivation'!$B$13</f>
        <v>0.64</v>
      </c>
      <c r="V6">
        <f>'DAT-derivation'!$B$13</f>
        <v>0.64</v>
      </c>
      <c r="W6">
        <f>'DAT-derivation'!$B$13</f>
        <v>0.64</v>
      </c>
      <c r="X6">
        <f>'DAT-derivation'!$B$13</f>
        <v>0.64</v>
      </c>
      <c r="Y6">
        <f>'DAT-derivation'!$B$13</f>
        <v>0.64</v>
      </c>
    </row>
    <row r="7" spans="1:25" x14ac:dyDescent="0.25">
      <c r="A7" t="s">
        <v>92</v>
      </c>
      <c r="B7">
        <f>'DAT-derivation'!$B$13</f>
        <v>0.64</v>
      </c>
      <c r="C7">
        <f>'DAT-derivation'!$B$13</f>
        <v>0.64</v>
      </c>
      <c r="D7">
        <f>'DAT-derivation'!$B$13</f>
        <v>0.64</v>
      </c>
      <c r="E7">
        <f>'DAT-derivation'!$B$13</f>
        <v>0.64</v>
      </c>
      <c r="F7">
        <f>'DAT-derivation'!$B$13</f>
        <v>0.64</v>
      </c>
      <c r="G7">
        <f>'DAT-derivation'!$B$13</f>
        <v>0.64</v>
      </c>
      <c r="H7">
        <f>'DAT-derivation'!$B$13</f>
        <v>0.64</v>
      </c>
      <c r="I7">
        <f>'DAT-derivation'!$B$13</f>
        <v>0.64</v>
      </c>
      <c r="J7">
        <f>'DAT-derivation'!$B$13</f>
        <v>0.64</v>
      </c>
      <c r="K7">
        <f>'DAT-derivation'!$B$13</f>
        <v>0.64</v>
      </c>
      <c r="L7">
        <f>'DAT-derivation'!$B$13</f>
        <v>0.64</v>
      </c>
      <c r="M7">
        <f>'DAT-derivation'!$B$13</f>
        <v>0.64</v>
      </c>
      <c r="N7">
        <f>'DAT-derivation'!$B$13</f>
        <v>0.64</v>
      </c>
      <c r="O7">
        <f>'DAT-derivation'!$B$13</f>
        <v>0.64</v>
      </c>
      <c r="P7">
        <f>'DAT-derivation'!$B$13</f>
        <v>0.64</v>
      </c>
      <c r="Q7">
        <f>'DAT-derivation'!$B$13</f>
        <v>0.64</v>
      </c>
      <c r="R7">
        <f>'DAT-derivation'!$B$13</f>
        <v>0.64</v>
      </c>
      <c r="S7">
        <f>'DAT-derivation'!$B$13</f>
        <v>0.64</v>
      </c>
      <c r="T7">
        <f>'DAT-derivation'!$B$13</f>
        <v>0.64</v>
      </c>
      <c r="U7">
        <f>'DAT-derivation'!$B$13</f>
        <v>0.64</v>
      </c>
      <c r="V7">
        <f>'DAT-derivation'!$B$13</f>
        <v>0.64</v>
      </c>
      <c r="W7">
        <f>'DAT-derivation'!$B$13</f>
        <v>0.64</v>
      </c>
      <c r="X7">
        <f>'DAT-derivation'!$B$13</f>
        <v>0.64</v>
      </c>
      <c r="Y7">
        <f>'DAT-derivation'!$B$13</f>
        <v>0.64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Y7"/>
  <sheetViews>
    <sheetView workbookViewId="0"/>
  </sheetViews>
  <sheetFormatPr defaultRowHeight="15" x14ac:dyDescent="0.25"/>
  <cols>
    <col min="1" max="1" width="14" customWidth="1"/>
  </cols>
  <sheetData>
    <row r="1" spans="1:25" x14ac:dyDescent="0.25">
      <c r="A1" s="8" t="s">
        <v>104</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Y7"/>
  <sheetViews>
    <sheetView workbookViewId="0"/>
  </sheetViews>
  <sheetFormatPr defaultRowHeight="15" x14ac:dyDescent="0.25"/>
  <cols>
    <col min="1" max="1" width="14" customWidth="1"/>
  </cols>
  <sheetData>
    <row r="1" spans="1:25" x14ac:dyDescent="0.25">
      <c r="A1" s="8" t="s">
        <v>105</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Y7"/>
  <sheetViews>
    <sheetView workbookViewId="0"/>
  </sheetViews>
  <sheetFormatPr defaultRowHeight="15" x14ac:dyDescent="0.25"/>
  <cols>
    <col min="1" max="1" width="14" customWidth="1"/>
  </cols>
  <sheetData>
    <row r="1" spans="1:25" x14ac:dyDescent="0.25">
      <c r="A1" s="8" t="s">
        <v>106</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Y7"/>
  <sheetViews>
    <sheetView workbookViewId="0"/>
  </sheetViews>
  <sheetFormatPr defaultRowHeight="15" x14ac:dyDescent="0.25"/>
  <cols>
    <col min="1" max="1" width="14" customWidth="1"/>
  </cols>
  <sheetData>
    <row r="1" spans="1:25" x14ac:dyDescent="0.25">
      <c r="A1" s="8" t="s">
        <v>107</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Y7"/>
  <sheetViews>
    <sheetView workbookViewId="0"/>
  </sheetViews>
  <sheetFormatPr defaultRowHeight="15" x14ac:dyDescent="0.25"/>
  <cols>
    <col min="1" max="1" width="14" customWidth="1"/>
  </cols>
  <sheetData>
    <row r="1" spans="1:25" x14ac:dyDescent="0.25">
      <c r="A1" s="8" t="s">
        <v>108</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Y7"/>
  <sheetViews>
    <sheetView workbookViewId="0"/>
  </sheetViews>
  <sheetFormatPr defaultRowHeight="15" x14ac:dyDescent="0.25"/>
  <cols>
    <col min="1" max="1" width="14" customWidth="1"/>
  </cols>
  <sheetData>
    <row r="1" spans="1:25" x14ac:dyDescent="0.25">
      <c r="A1" s="8" t="s">
        <v>109</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Y7"/>
  <sheetViews>
    <sheetView workbookViewId="0"/>
  </sheetViews>
  <sheetFormatPr defaultRowHeight="15" x14ac:dyDescent="0.25"/>
  <cols>
    <col min="1" max="1" width="14" customWidth="1"/>
  </cols>
  <sheetData>
    <row r="1" spans="1:25" x14ac:dyDescent="0.25">
      <c r="A1" s="8" t="s">
        <v>110</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Y7"/>
  <sheetViews>
    <sheetView workbookViewId="0"/>
  </sheetViews>
  <sheetFormatPr defaultRowHeight="15" x14ac:dyDescent="0.25"/>
  <cols>
    <col min="1" max="1" width="14" customWidth="1"/>
  </cols>
  <sheetData>
    <row r="1" spans="1:25" x14ac:dyDescent="0.25">
      <c r="A1" s="8" t="s">
        <v>111</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Y7"/>
  <sheetViews>
    <sheetView workbookViewId="0"/>
  </sheetViews>
  <sheetFormatPr defaultRowHeight="15" x14ac:dyDescent="0.25"/>
  <cols>
    <col min="1" max="1" width="14" customWidth="1"/>
  </cols>
  <sheetData>
    <row r="1" spans="1:25" x14ac:dyDescent="0.25">
      <c r="A1" s="8" t="s">
        <v>112</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Y7"/>
  <sheetViews>
    <sheetView workbookViewId="0"/>
  </sheetViews>
  <sheetFormatPr defaultRowHeight="15" x14ac:dyDescent="0.25"/>
  <cols>
    <col min="1" max="1" width="14" customWidth="1"/>
  </cols>
  <sheetData>
    <row r="1" spans="1:25" x14ac:dyDescent="0.25">
      <c r="A1" s="8" t="s">
        <v>113</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Y7"/>
  <sheetViews>
    <sheetView workbookViewId="0"/>
  </sheetViews>
  <sheetFormatPr defaultRowHeight="15" x14ac:dyDescent="0.25"/>
  <cols>
    <col min="1" max="1" width="14" customWidth="1"/>
  </cols>
  <sheetData>
    <row r="1" spans="1:25" x14ac:dyDescent="0.25">
      <c r="A1" s="8" t="s">
        <v>114</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Y7"/>
  <sheetViews>
    <sheetView workbookViewId="0"/>
  </sheetViews>
  <sheetFormatPr defaultRowHeight="15" x14ac:dyDescent="0.25"/>
  <cols>
    <col min="1" max="1" width="14" customWidth="1"/>
  </cols>
  <sheetData>
    <row r="1" spans="1:25" x14ac:dyDescent="0.25">
      <c r="A1" s="8" t="s">
        <v>115</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Y7"/>
  <sheetViews>
    <sheetView workbookViewId="0"/>
  </sheetViews>
  <sheetFormatPr defaultRowHeight="15" x14ac:dyDescent="0.25"/>
  <cols>
    <col min="1" max="1" width="14" customWidth="1"/>
  </cols>
  <sheetData>
    <row r="1" spans="1:25" x14ac:dyDescent="0.25">
      <c r="A1" s="8" t="s">
        <v>116</v>
      </c>
      <c r="B1" s="8" t="s">
        <v>63</v>
      </c>
      <c r="C1" s="8" t="s">
        <v>64</v>
      </c>
      <c r="D1" s="8" t="s">
        <v>65</v>
      </c>
      <c r="E1" s="8" t="s">
        <v>66</v>
      </c>
      <c r="F1" s="8" t="s">
        <v>67</v>
      </c>
      <c r="G1" s="8" t="s">
        <v>68</v>
      </c>
      <c r="H1" s="8" t="s">
        <v>69</v>
      </c>
      <c r="I1" s="8" t="s">
        <v>70</v>
      </c>
      <c r="J1" s="8" t="s">
        <v>71</v>
      </c>
      <c r="K1" s="8" t="s">
        <v>72</v>
      </c>
      <c r="L1" s="8" t="s">
        <v>73</v>
      </c>
      <c r="M1" s="8" t="s">
        <v>74</v>
      </c>
      <c r="N1" s="8" t="s">
        <v>75</v>
      </c>
      <c r="O1" s="8" t="s">
        <v>76</v>
      </c>
      <c r="P1" s="8" t="s">
        <v>77</v>
      </c>
      <c r="Q1" s="8" t="s">
        <v>78</v>
      </c>
      <c r="R1" s="8" t="s">
        <v>79</v>
      </c>
      <c r="S1" s="8" t="s">
        <v>80</v>
      </c>
      <c r="T1" s="8" t="s">
        <v>81</v>
      </c>
      <c r="U1" s="8" t="s">
        <v>82</v>
      </c>
      <c r="V1" s="8" t="s">
        <v>83</v>
      </c>
      <c r="W1" s="8" t="s">
        <v>84</v>
      </c>
      <c r="X1" s="8" t="s">
        <v>85</v>
      </c>
      <c r="Y1" s="8" t="s">
        <v>86</v>
      </c>
    </row>
    <row r="2" spans="1:25" x14ac:dyDescent="0.25">
      <c r="A2" t="s">
        <v>87</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88</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89</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90</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91</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92</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DAT-derivation</vt:lpstr>
      <vt:lpstr>ELCCAfR-solar-pv</vt:lpstr>
      <vt:lpstr>ELCCAfR-solar-thermal</vt:lpstr>
      <vt:lpstr>ELCCAfR-onshore-wind</vt:lpstr>
      <vt:lpstr>ELCCAfR-offshore-wind</vt:lpstr>
      <vt:lpstr>ELCCAfR-MSW</vt:lpstr>
      <vt:lpstr>ELCCAfR-SMR</vt:lpstr>
      <vt:lpstr>ELCCAfR-biomass-CCS</vt:lpstr>
      <vt:lpstr>ELCCAfR-biomass</vt:lpstr>
      <vt:lpstr>ELCCAfR-combined-cycle-CCS</vt:lpstr>
      <vt:lpstr>ELCCAfR-combined-cycle</vt:lpstr>
      <vt:lpstr>ELCCAfR-crude-oil</vt:lpstr>
      <vt:lpstr>ELCCAfR-demand-altering-techs</vt:lpstr>
      <vt:lpstr>ELCCAfR-geothermal</vt:lpstr>
      <vt:lpstr>ELCCAfR-hard-coal-CCS</vt:lpstr>
      <vt:lpstr>ELCCAfR-hard-coal</vt:lpstr>
      <vt:lpstr>ELCCAfR-heavy-or-residual-oil</vt:lpstr>
      <vt:lpstr>ELCCAfR-hydro</vt:lpstr>
      <vt:lpstr>ELCCAfR-hydrogen-CC</vt:lpstr>
      <vt:lpstr>ELCCAfR-hydrogen-CT</vt:lpstr>
      <vt:lpstr>ELCCAfR-lignite-CCS</vt:lpstr>
      <vt:lpstr>ELCCAfR-lignite</vt:lpstr>
      <vt:lpstr>ELCCAfR-natural-gas-peaker</vt:lpstr>
      <vt:lpstr>ELCCAfR-nuclear</vt:lpstr>
      <vt:lpstr>ELCCAfR-petroleum</vt:lpstr>
      <vt:lpstr>ELCCAfR-steam-turbine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Megan Mahajan</cp:lastModifiedBy>
  <dcterms:created xsi:type="dcterms:W3CDTF">2026-05-11T18:41:09Z</dcterms:created>
  <dcterms:modified xsi:type="dcterms:W3CDTF">2026-09-24T18:43:18Z</dcterms:modified>
</cp:coreProperties>
</file>