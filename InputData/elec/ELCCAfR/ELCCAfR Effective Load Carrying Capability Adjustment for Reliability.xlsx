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ganMahajan\Documents\eps-us\InputData\elec\ELCCAfR\"/>
    </mc:Choice>
  </mc:AlternateContent>
  <xr:revisionPtr revIDLastSave="0" documentId="13_ncr:1_{2339A624-4442-4DFE-AC1E-EED06727FEB2}" xr6:coauthVersionLast="47" xr6:coauthVersionMax="47" xr10:uidLastSave="{00000000-0000-0000-0000-000000000000}"/>
  <bookViews>
    <workbookView xWindow="1560" yWindow="1560" windowWidth="21600" windowHeight="12645" activeTab="2" xr2:uid="{00000000-000D-0000-FFFF-FFFF00000000}"/>
  </bookViews>
  <sheets>
    <sheet name="About" sheetId="1" r:id="rId1"/>
    <sheet name="DAT-derivation" sheetId="2" r:id="rId2"/>
    <sheet name="Thermal-derivation" sheetId="28" r:id="rId3"/>
    <sheet name="ELCCAfR-solar-pv" sheetId="3" r:id="rId4"/>
    <sheet name="ELCCAfR-solar-thermal" sheetId="4" r:id="rId5"/>
    <sheet name="ELCCAfR-onshore-wind" sheetId="5" r:id="rId6"/>
    <sheet name="ELCCAfR-offshore-wind" sheetId="6" r:id="rId7"/>
    <sheet name="ELCCAfR-MSW" sheetId="7" r:id="rId8"/>
    <sheet name="ELCCAfR-SMR" sheetId="8" r:id="rId9"/>
    <sheet name="ELCCAfR-biomass-CCS" sheetId="9" r:id="rId10"/>
    <sheet name="ELCCAfR-biomass" sheetId="10" r:id="rId11"/>
    <sheet name="ELCCAfR-combined-cycle-CCS" sheetId="11" r:id="rId12"/>
    <sheet name="ELCCAfR-combined-cycle" sheetId="12" r:id="rId13"/>
    <sheet name="ELCCAfR-crude-oil" sheetId="13" r:id="rId14"/>
    <sheet name="ELCCAfR-demand-altering-techs" sheetId="14" r:id="rId15"/>
    <sheet name="ELCCAfR-geothermal" sheetId="15" r:id="rId16"/>
    <sheet name="ELCCAfR-hard-coal-CCS" sheetId="16" r:id="rId17"/>
    <sheet name="ELCCAfR-hard-coal" sheetId="17" r:id="rId18"/>
    <sheet name="ELCCAfR-heavy-or-residual-oil" sheetId="18" r:id="rId19"/>
    <sheet name="ELCCAfR-hydro" sheetId="19" r:id="rId20"/>
    <sheet name="ELCCAfR-hydrogen-CC" sheetId="20" r:id="rId21"/>
    <sheet name="ELCCAfR-hydrogen-CT" sheetId="21" r:id="rId22"/>
    <sheet name="ELCCAfR-lignite-CCS" sheetId="22" r:id="rId23"/>
    <sheet name="ELCCAfR-lignite" sheetId="23" r:id="rId24"/>
    <sheet name="ELCCAfR-natural-gas-peaker" sheetId="24" r:id="rId25"/>
    <sheet name="ELCCAfR-nuclear" sheetId="25" r:id="rId26"/>
    <sheet name="ELCCAfR-petroleum" sheetId="26" r:id="rId27"/>
    <sheet name="ELCCAfR-steam-turbine" sheetId="27"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4" l="1"/>
  <c r="C2" i="14"/>
  <c r="D2" i="14"/>
  <c r="E2" i="14"/>
  <c r="F2" i="14"/>
  <c r="G2" i="14"/>
  <c r="H2" i="14"/>
  <c r="I2" i="14"/>
  <c r="J2" i="14"/>
  <c r="K2" i="14"/>
  <c r="L2" i="14"/>
  <c r="M2" i="14"/>
  <c r="N2" i="14"/>
  <c r="O2" i="14"/>
  <c r="P2" i="14"/>
  <c r="Q2" i="14"/>
  <c r="R2" i="14"/>
  <c r="S2" i="14"/>
  <c r="T2" i="14"/>
  <c r="U2" i="14"/>
  <c r="V2" i="14"/>
  <c r="W2" i="14"/>
  <c r="X2" i="14"/>
  <c r="Y2" i="14"/>
  <c r="B3" i="14"/>
  <c r="C3" i="14"/>
  <c r="D3" i="14"/>
  <c r="E3" i="14"/>
  <c r="F3" i="14"/>
  <c r="G3" i="14"/>
  <c r="H3" i="14"/>
  <c r="I3" i="14"/>
  <c r="J3" i="14"/>
  <c r="K3" i="14"/>
  <c r="L3" i="14"/>
  <c r="M3" i="14"/>
  <c r="N3" i="14"/>
  <c r="O3" i="14"/>
  <c r="P3" i="14"/>
  <c r="Q3" i="14"/>
  <c r="R3" i="14"/>
  <c r="S3" i="14"/>
  <c r="T3" i="14"/>
  <c r="U3" i="14"/>
  <c r="V3" i="14"/>
  <c r="W3" i="14"/>
  <c r="X3" i="14"/>
  <c r="Y3" i="14"/>
  <c r="B4" i="14"/>
  <c r="C4" i="14"/>
  <c r="D4" i="14"/>
  <c r="E4" i="14"/>
  <c r="F4" i="14"/>
  <c r="G4" i="14"/>
  <c r="H4" i="14"/>
  <c r="I4" i="14"/>
  <c r="J4" i="14"/>
  <c r="K4" i="14"/>
  <c r="L4" i="14"/>
  <c r="M4" i="14"/>
  <c r="N4" i="14"/>
  <c r="O4" i="14"/>
  <c r="P4" i="14"/>
  <c r="Q4" i="14"/>
  <c r="R4" i="14"/>
  <c r="S4" i="14"/>
  <c r="T4" i="14"/>
  <c r="U4" i="14"/>
  <c r="V4" i="14"/>
  <c r="W4" i="14"/>
  <c r="X4" i="14"/>
  <c r="Y4" i="14"/>
  <c r="B5" i="14"/>
  <c r="C5" i="14"/>
  <c r="D5" i="14"/>
  <c r="E5" i="14"/>
  <c r="F5" i="14"/>
  <c r="G5" i="14"/>
  <c r="H5" i="14"/>
  <c r="I5" i="14"/>
  <c r="J5" i="14"/>
  <c r="K5" i="14"/>
  <c r="L5" i="14"/>
  <c r="M5" i="14"/>
  <c r="N5" i="14"/>
  <c r="O5" i="14"/>
  <c r="P5" i="14"/>
  <c r="Q5" i="14"/>
  <c r="R5" i="14"/>
  <c r="S5" i="14"/>
  <c r="T5" i="14"/>
  <c r="U5" i="14"/>
  <c r="V5" i="14"/>
  <c r="W5" i="14"/>
  <c r="X5" i="14"/>
  <c r="Y5" i="14"/>
  <c r="B6" i="14"/>
  <c r="C6" i="14"/>
  <c r="D6" i="14"/>
  <c r="E6" i="14"/>
  <c r="F6" i="14"/>
  <c r="G6" i="14"/>
  <c r="H6" i="14"/>
  <c r="I6" i="14"/>
  <c r="J6" i="14"/>
  <c r="K6" i="14"/>
  <c r="L6" i="14"/>
  <c r="M6" i="14"/>
  <c r="N6" i="14"/>
  <c r="O6" i="14"/>
  <c r="P6" i="14"/>
  <c r="Q6" i="14"/>
  <c r="R6" i="14"/>
  <c r="S6" i="14"/>
  <c r="T6" i="14"/>
  <c r="U6" i="14"/>
  <c r="V6" i="14"/>
  <c r="W6" i="14"/>
  <c r="X6" i="14"/>
  <c r="Y6" i="14"/>
  <c r="B7" i="14"/>
  <c r="C7" i="14"/>
  <c r="D7" i="14"/>
  <c r="E7" i="14"/>
  <c r="F7" i="14"/>
  <c r="G7" i="14"/>
  <c r="H7" i="14"/>
  <c r="I7" i="14"/>
  <c r="J7" i="14"/>
  <c r="K7" i="14"/>
  <c r="L7" i="14"/>
  <c r="M7" i="14"/>
  <c r="N7" i="14"/>
  <c r="O7" i="14"/>
  <c r="P7" i="14"/>
  <c r="Q7" i="14"/>
  <c r="R7" i="14"/>
  <c r="S7" i="14"/>
  <c r="T7" i="14"/>
  <c r="U7" i="14"/>
  <c r="V7" i="14"/>
  <c r="W7" i="14"/>
  <c r="X7" i="14"/>
  <c r="Y7" i="14"/>
  <c r="B26" i="2"/>
  <c r="B25" i="2"/>
  <c r="B2" i="27"/>
  <c r="C2" i="27"/>
  <c r="D2" i="27"/>
  <c r="E2" i="27"/>
  <c r="F2" i="27"/>
  <c r="G2" i="27"/>
  <c r="H2" i="27"/>
  <c r="I2" i="27"/>
  <c r="J2" i="27"/>
  <c r="K2" i="27"/>
  <c r="L2" i="27"/>
  <c r="M2" i="27"/>
  <c r="N2" i="27"/>
  <c r="O2" i="27"/>
  <c r="P2" i="27"/>
  <c r="Q2" i="27"/>
  <c r="R2" i="27"/>
  <c r="S2" i="27"/>
  <c r="T2" i="27"/>
  <c r="U2" i="27"/>
  <c r="V2" i="27"/>
  <c r="W2" i="27"/>
  <c r="X2" i="27"/>
  <c r="Y2" i="27"/>
  <c r="B3" i="27"/>
  <c r="C3" i="27"/>
  <c r="D3" i="27"/>
  <c r="E3" i="27"/>
  <c r="F3" i="27"/>
  <c r="G3" i="27"/>
  <c r="H3" i="27"/>
  <c r="I3" i="27"/>
  <c r="J3" i="27"/>
  <c r="K3" i="27"/>
  <c r="L3" i="27"/>
  <c r="M3" i="27"/>
  <c r="N3" i="27"/>
  <c r="O3" i="27"/>
  <c r="P3" i="27"/>
  <c r="Q3" i="27"/>
  <c r="R3" i="27"/>
  <c r="S3" i="27"/>
  <c r="T3" i="27"/>
  <c r="U3" i="27"/>
  <c r="V3" i="27"/>
  <c r="W3" i="27"/>
  <c r="X3" i="27"/>
  <c r="Y3" i="27"/>
  <c r="B4" i="27"/>
  <c r="C4" i="27"/>
  <c r="D4" i="27"/>
  <c r="E4" i="27"/>
  <c r="F4" i="27"/>
  <c r="G4" i="27"/>
  <c r="H4" i="27"/>
  <c r="I4" i="27"/>
  <c r="J4" i="27"/>
  <c r="K4" i="27"/>
  <c r="L4" i="27"/>
  <c r="M4" i="27"/>
  <c r="N4" i="27"/>
  <c r="O4" i="27"/>
  <c r="P4" i="27"/>
  <c r="Q4" i="27"/>
  <c r="R4" i="27"/>
  <c r="S4" i="27"/>
  <c r="T4" i="27"/>
  <c r="U4" i="27"/>
  <c r="V4" i="27"/>
  <c r="W4" i="27"/>
  <c r="X4" i="27"/>
  <c r="Y4" i="27"/>
  <c r="B5" i="27"/>
  <c r="C5" i="27"/>
  <c r="D5" i="27"/>
  <c r="E5" i="27"/>
  <c r="F5" i="27"/>
  <c r="G5" i="27"/>
  <c r="H5" i="27"/>
  <c r="I5" i="27"/>
  <c r="J5" i="27"/>
  <c r="K5" i="27"/>
  <c r="L5" i="27"/>
  <c r="M5" i="27"/>
  <c r="N5" i="27"/>
  <c r="O5" i="27"/>
  <c r="P5" i="27"/>
  <c r="Q5" i="27"/>
  <c r="R5" i="27"/>
  <c r="S5" i="27"/>
  <c r="T5" i="27"/>
  <c r="U5" i="27"/>
  <c r="V5" i="27"/>
  <c r="W5" i="27"/>
  <c r="X5" i="27"/>
  <c r="Y5" i="27"/>
  <c r="B6" i="27"/>
  <c r="C6" i="27"/>
  <c r="D6" i="27"/>
  <c r="E6" i="27"/>
  <c r="F6" i="27"/>
  <c r="G6" i="27"/>
  <c r="H6" i="27"/>
  <c r="I6" i="27"/>
  <c r="J6" i="27"/>
  <c r="K6" i="27"/>
  <c r="L6" i="27"/>
  <c r="M6" i="27"/>
  <c r="N6" i="27"/>
  <c r="O6" i="27"/>
  <c r="P6" i="27"/>
  <c r="Q6" i="27"/>
  <c r="R6" i="27"/>
  <c r="S6" i="27"/>
  <c r="T6" i="27"/>
  <c r="U6" i="27"/>
  <c r="V6" i="27"/>
  <c r="W6" i="27"/>
  <c r="X6" i="27"/>
  <c r="Y6" i="27"/>
  <c r="B7" i="27"/>
  <c r="C7" i="27"/>
  <c r="D7" i="27"/>
  <c r="E7" i="27"/>
  <c r="F7" i="27"/>
  <c r="G7" i="27"/>
  <c r="H7" i="27"/>
  <c r="I7" i="27"/>
  <c r="J7" i="27"/>
  <c r="K7" i="27"/>
  <c r="L7" i="27"/>
  <c r="M7" i="27"/>
  <c r="N7" i="27"/>
  <c r="O7" i="27"/>
  <c r="P7" i="27"/>
  <c r="Q7" i="27"/>
  <c r="R7" i="27"/>
  <c r="S7" i="27"/>
  <c r="T7" i="27"/>
  <c r="U7" i="27"/>
  <c r="V7" i="27"/>
  <c r="W7" i="27"/>
  <c r="X7" i="27"/>
  <c r="Y7" i="27"/>
  <c r="B2" i="26"/>
  <c r="C2" i="26"/>
  <c r="D2" i="26"/>
  <c r="E2" i="26"/>
  <c r="F2" i="26"/>
  <c r="G2" i="26"/>
  <c r="H2" i="26"/>
  <c r="I2" i="26"/>
  <c r="J2" i="26"/>
  <c r="K2" i="26"/>
  <c r="L2" i="26"/>
  <c r="M2" i="26"/>
  <c r="N2" i="26"/>
  <c r="O2" i="26"/>
  <c r="P2" i="26"/>
  <c r="Q2" i="26"/>
  <c r="R2" i="26"/>
  <c r="S2" i="26"/>
  <c r="T2" i="26"/>
  <c r="U2" i="26"/>
  <c r="V2" i="26"/>
  <c r="W2" i="26"/>
  <c r="X2" i="26"/>
  <c r="Y2" i="26"/>
  <c r="B3" i="26"/>
  <c r="C3" i="26"/>
  <c r="D3" i="26"/>
  <c r="E3" i="26"/>
  <c r="F3" i="26"/>
  <c r="G3" i="26"/>
  <c r="H3" i="26"/>
  <c r="I3" i="26"/>
  <c r="J3" i="26"/>
  <c r="K3" i="26"/>
  <c r="L3" i="26"/>
  <c r="M3" i="26"/>
  <c r="N3" i="26"/>
  <c r="O3" i="26"/>
  <c r="P3" i="26"/>
  <c r="Q3" i="26"/>
  <c r="R3" i="26"/>
  <c r="S3" i="26"/>
  <c r="T3" i="26"/>
  <c r="U3" i="26"/>
  <c r="V3" i="26"/>
  <c r="W3" i="26"/>
  <c r="X3" i="26"/>
  <c r="Y3" i="26"/>
  <c r="B4" i="26"/>
  <c r="C4" i="26"/>
  <c r="D4" i="26"/>
  <c r="E4" i="26"/>
  <c r="F4" i="26"/>
  <c r="G4" i="26"/>
  <c r="H4" i="26"/>
  <c r="I4" i="26"/>
  <c r="J4" i="26"/>
  <c r="K4" i="26"/>
  <c r="L4" i="26"/>
  <c r="M4" i="26"/>
  <c r="N4" i="26"/>
  <c r="O4" i="26"/>
  <c r="P4" i="26"/>
  <c r="Q4" i="26"/>
  <c r="R4" i="26"/>
  <c r="S4" i="26"/>
  <c r="T4" i="26"/>
  <c r="U4" i="26"/>
  <c r="V4" i="26"/>
  <c r="W4" i="26"/>
  <c r="X4" i="26"/>
  <c r="Y4" i="26"/>
  <c r="B5" i="26"/>
  <c r="C5" i="26"/>
  <c r="D5" i="26"/>
  <c r="E5" i="26"/>
  <c r="F5" i="26"/>
  <c r="G5" i="26"/>
  <c r="H5" i="26"/>
  <c r="I5" i="26"/>
  <c r="J5" i="26"/>
  <c r="K5" i="26"/>
  <c r="L5" i="26"/>
  <c r="M5" i="26"/>
  <c r="N5" i="26"/>
  <c r="O5" i="26"/>
  <c r="P5" i="26"/>
  <c r="Q5" i="26"/>
  <c r="R5" i="26"/>
  <c r="S5" i="26"/>
  <c r="T5" i="26"/>
  <c r="U5" i="26"/>
  <c r="V5" i="26"/>
  <c r="W5" i="26"/>
  <c r="X5" i="26"/>
  <c r="Y5" i="26"/>
  <c r="B6" i="26"/>
  <c r="C6" i="26"/>
  <c r="D6" i="26"/>
  <c r="E6" i="26"/>
  <c r="F6" i="26"/>
  <c r="G6" i="26"/>
  <c r="H6" i="26"/>
  <c r="I6" i="26"/>
  <c r="J6" i="26"/>
  <c r="K6" i="26"/>
  <c r="L6" i="26"/>
  <c r="M6" i="26"/>
  <c r="N6" i="26"/>
  <c r="O6" i="26"/>
  <c r="P6" i="26"/>
  <c r="Q6" i="26"/>
  <c r="R6" i="26"/>
  <c r="S6" i="26"/>
  <c r="T6" i="26"/>
  <c r="U6" i="26"/>
  <c r="V6" i="26"/>
  <c r="W6" i="26"/>
  <c r="X6" i="26"/>
  <c r="Y6" i="26"/>
  <c r="B7" i="26"/>
  <c r="C7" i="26"/>
  <c r="D7" i="26"/>
  <c r="E7" i="26"/>
  <c r="F7" i="26"/>
  <c r="G7" i="26"/>
  <c r="H7" i="26"/>
  <c r="I7" i="26"/>
  <c r="J7" i="26"/>
  <c r="K7" i="26"/>
  <c r="L7" i="26"/>
  <c r="M7" i="26"/>
  <c r="N7" i="26"/>
  <c r="O7" i="26"/>
  <c r="P7" i="26"/>
  <c r="Q7" i="26"/>
  <c r="R7" i="26"/>
  <c r="S7" i="26"/>
  <c r="T7" i="26"/>
  <c r="U7" i="26"/>
  <c r="V7" i="26"/>
  <c r="W7" i="26"/>
  <c r="X7" i="26"/>
  <c r="Y7" i="26"/>
  <c r="B2" i="25"/>
  <c r="C2" i="25"/>
  <c r="D2" i="25"/>
  <c r="E2" i="25"/>
  <c r="F2" i="25"/>
  <c r="G2" i="25"/>
  <c r="H2" i="25"/>
  <c r="I2" i="25"/>
  <c r="J2" i="25"/>
  <c r="K2" i="25"/>
  <c r="L2" i="25"/>
  <c r="M2" i="25"/>
  <c r="N2" i="25"/>
  <c r="O2" i="25"/>
  <c r="P2" i="25"/>
  <c r="Q2" i="25"/>
  <c r="R2" i="25"/>
  <c r="S2" i="25"/>
  <c r="T2" i="25"/>
  <c r="U2" i="25"/>
  <c r="V2" i="25"/>
  <c r="W2" i="25"/>
  <c r="X2" i="25"/>
  <c r="Y2" i="25"/>
  <c r="B3" i="25"/>
  <c r="C3" i="25"/>
  <c r="D3" i="25"/>
  <c r="E3" i="25"/>
  <c r="F3" i="25"/>
  <c r="G3" i="25"/>
  <c r="H3" i="25"/>
  <c r="I3" i="25"/>
  <c r="J3" i="25"/>
  <c r="K3" i="25"/>
  <c r="L3" i="25"/>
  <c r="M3" i="25"/>
  <c r="N3" i="25"/>
  <c r="O3" i="25"/>
  <c r="P3" i="25"/>
  <c r="Q3" i="25"/>
  <c r="R3" i="25"/>
  <c r="S3" i="25"/>
  <c r="T3" i="25"/>
  <c r="U3" i="25"/>
  <c r="V3" i="25"/>
  <c r="W3" i="25"/>
  <c r="X3" i="25"/>
  <c r="Y3" i="25"/>
  <c r="B4" i="25"/>
  <c r="C4" i="25"/>
  <c r="D4" i="25"/>
  <c r="E4" i="25"/>
  <c r="F4" i="25"/>
  <c r="G4" i="25"/>
  <c r="H4" i="25"/>
  <c r="I4" i="25"/>
  <c r="J4" i="25"/>
  <c r="K4" i="25"/>
  <c r="L4" i="25"/>
  <c r="M4" i="25"/>
  <c r="N4" i="25"/>
  <c r="O4" i="25"/>
  <c r="P4" i="25"/>
  <c r="Q4" i="25"/>
  <c r="R4" i="25"/>
  <c r="S4" i="25"/>
  <c r="T4" i="25"/>
  <c r="U4" i="25"/>
  <c r="V4" i="25"/>
  <c r="W4" i="25"/>
  <c r="X4" i="25"/>
  <c r="Y4" i="25"/>
  <c r="B5" i="25"/>
  <c r="C5" i="25"/>
  <c r="D5" i="25"/>
  <c r="E5" i="25"/>
  <c r="F5" i="25"/>
  <c r="G5" i="25"/>
  <c r="H5" i="25"/>
  <c r="I5" i="25"/>
  <c r="J5" i="25"/>
  <c r="K5" i="25"/>
  <c r="L5" i="25"/>
  <c r="M5" i="25"/>
  <c r="N5" i="25"/>
  <c r="O5" i="25"/>
  <c r="P5" i="25"/>
  <c r="Q5" i="25"/>
  <c r="R5" i="25"/>
  <c r="S5" i="25"/>
  <c r="T5" i="25"/>
  <c r="U5" i="25"/>
  <c r="V5" i="25"/>
  <c r="W5" i="25"/>
  <c r="X5" i="25"/>
  <c r="Y5" i="25"/>
  <c r="B6" i="25"/>
  <c r="C6" i="25"/>
  <c r="D6" i="25"/>
  <c r="E6" i="25"/>
  <c r="F6" i="25"/>
  <c r="G6" i="25"/>
  <c r="H6" i="25"/>
  <c r="I6" i="25"/>
  <c r="J6" i="25"/>
  <c r="K6" i="25"/>
  <c r="L6" i="25"/>
  <c r="M6" i="25"/>
  <c r="N6" i="25"/>
  <c r="O6" i="25"/>
  <c r="P6" i="25"/>
  <c r="Q6" i="25"/>
  <c r="R6" i="25"/>
  <c r="S6" i="25"/>
  <c r="T6" i="25"/>
  <c r="U6" i="25"/>
  <c r="V6" i="25"/>
  <c r="W6" i="25"/>
  <c r="X6" i="25"/>
  <c r="Y6" i="25"/>
  <c r="B7" i="25"/>
  <c r="C7" i="25"/>
  <c r="D7" i="25"/>
  <c r="E7" i="25"/>
  <c r="F7" i="25"/>
  <c r="G7" i="25"/>
  <c r="H7" i="25"/>
  <c r="I7" i="25"/>
  <c r="J7" i="25"/>
  <c r="K7" i="25"/>
  <c r="L7" i="25"/>
  <c r="M7" i="25"/>
  <c r="N7" i="25"/>
  <c r="O7" i="25"/>
  <c r="P7" i="25"/>
  <c r="Q7" i="25"/>
  <c r="R7" i="25"/>
  <c r="S7" i="25"/>
  <c r="T7" i="25"/>
  <c r="U7" i="25"/>
  <c r="V7" i="25"/>
  <c r="W7" i="25"/>
  <c r="X7" i="25"/>
  <c r="Y7" i="25"/>
  <c r="B2" i="24"/>
  <c r="C2" i="24"/>
  <c r="D2" i="24"/>
  <c r="E2" i="24"/>
  <c r="F2" i="24"/>
  <c r="G2" i="24"/>
  <c r="H2" i="24"/>
  <c r="I2" i="24"/>
  <c r="J2" i="24"/>
  <c r="K2" i="24"/>
  <c r="L2" i="24"/>
  <c r="M2" i="24"/>
  <c r="N2" i="24"/>
  <c r="O2" i="24"/>
  <c r="P2" i="24"/>
  <c r="Q2" i="24"/>
  <c r="R2" i="24"/>
  <c r="S2" i="24"/>
  <c r="T2" i="24"/>
  <c r="U2" i="24"/>
  <c r="V2" i="24"/>
  <c r="W2" i="24"/>
  <c r="X2" i="24"/>
  <c r="Y2" i="24"/>
  <c r="B3" i="24"/>
  <c r="C3" i="24"/>
  <c r="D3" i="24"/>
  <c r="E3" i="24"/>
  <c r="F3" i="24"/>
  <c r="G3" i="24"/>
  <c r="H3" i="24"/>
  <c r="I3" i="24"/>
  <c r="J3" i="24"/>
  <c r="K3" i="24"/>
  <c r="L3" i="24"/>
  <c r="M3" i="24"/>
  <c r="N3" i="24"/>
  <c r="O3" i="24"/>
  <c r="P3" i="24"/>
  <c r="Q3" i="24"/>
  <c r="R3" i="24"/>
  <c r="S3" i="24"/>
  <c r="T3" i="24"/>
  <c r="U3" i="24"/>
  <c r="V3" i="24"/>
  <c r="W3" i="24"/>
  <c r="X3" i="24"/>
  <c r="Y3" i="24"/>
  <c r="B4" i="24"/>
  <c r="C4" i="24"/>
  <c r="D4" i="24"/>
  <c r="E4" i="24"/>
  <c r="F4" i="24"/>
  <c r="G4" i="24"/>
  <c r="H4" i="24"/>
  <c r="I4" i="24"/>
  <c r="J4" i="24"/>
  <c r="K4" i="24"/>
  <c r="L4" i="24"/>
  <c r="M4" i="24"/>
  <c r="N4" i="24"/>
  <c r="O4" i="24"/>
  <c r="P4" i="24"/>
  <c r="Q4" i="24"/>
  <c r="R4" i="24"/>
  <c r="S4" i="24"/>
  <c r="T4" i="24"/>
  <c r="U4" i="24"/>
  <c r="V4" i="24"/>
  <c r="W4" i="24"/>
  <c r="X4" i="24"/>
  <c r="Y4" i="24"/>
  <c r="B5" i="24"/>
  <c r="C5" i="24"/>
  <c r="D5" i="24"/>
  <c r="E5" i="24"/>
  <c r="F5" i="24"/>
  <c r="G5" i="24"/>
  <c r="H5" i="24"/>
  <c r="I5" i="24"/>
  <c r="J5" i="24"/>
  <c r="K5" i="24"/>
  <c r="L5" i="24"/>
  <c r="M5" i="24"/>
  <c r="N5" i="24"/>
  <c r="O5" i="24"/>
  <c r="P5" i="24"/>
  <c r="Q5" i="24"/>
  <c r="R5" i="24"/>
  <c r="S5" i="24"/>
  <c r="T5" i="24"/>
  <c r="U5" i="24"/>
  <c r="V5" i="24"/>
  <c r="W5" i="24"/>
  <c r="X5" i="24"/>
  <c r="Y5" i="24"/>
  <c r="B6" i="24"/>
  <c r="C6" i="24"/>
  <c r="D6" i="24"/>
  <c r="E6" i="24"/>
  <c r="F6" i="24"/>
  <c r="G6" i="24"/>
  <c r="H6" i="24"/>
  <c r="I6" i="24"/>
  <c r="J6" i="24"/>
  <c r="K6" i="24"/>
  <c r="L6" i="24"/>
  <c r="M6" i="24"/>
  <c r="N6" i="24"/>
  <c r="O6" i="24"/>
  <c r="P6" i="24"/>
  <c r="Q6" i="24"/>
  <c r="R6" i="24"/>
  <c r="S6" i="24"/>
  <c r="T6" i="24"/>
  <c r="U6" i="24"/>
  <c r="V6" i="24"/>
  <c r="W6" i="24"/>
  <c r="X6" i="24"/>
  <c r="Y6" i="24"/>
  <c r="B7" i="24"/>
  <c r="C7" i="24"/>
  <c r="D7" i="24"/>
  <c r="E7" i="24"/>
  <c r="F7" i="24"/>
  <c r="G7" i="24"/>
  <c r="H7" i="24"/>
  <c r="I7" i="24"/>
  <c r="J7" i="24"/>
  <c r="K7" i="24"/>
  <c r="L7" i="24"/>
  <c r="M7" i="24"/>
  <c r="N7" i="24"/>
  <c r="O7" i="24"/>
  <c r="P7" i="24"/>
  <c r="Q7" i="24"/>
  <c r="R7" i="24"/>
  <c r="S7" i="24"/>
  <c r="T7" i="24"/>
  <c r="U7" i="24"/>
  <c r="V7" i="24"/>
  <c r="W7" i="24"/>
  <c r="X7" i="24"/>
  <c r="Y7" i="24"/>
  <c r="B2" i="23"/>
  <c r="C2" i="23"/>
  <c r="D2" i="23"/>
  <c r="E2" i="23"/>
  <c r="F2" i="23"/>
  <c r="G2" i="23"/>
  <c r="H2" i="23"/>
  <c r="I2" i="23"/>
  <c r="J2" i="23"/>
  <c r="K2" i="23"/>
  <c r="L2" i="23"/>
  <c r="M2" i="23"/>
  <c r="N2" i="23"/>
  <c r="O2" i="23"/>
  <c r="P2" i="23"/>
  <c r="Q2" i="23"/>
  <c r="R2" i="23"/>
  <c r="S2" i="23"/>
  <c r="T2" i="23"/>
  <c r="U2" i="23"/>
  <c r="V2" i="23"/>
  <c r="W2" i="23"/>
  <c r="X2" i="23"/>
  <c r="Y2" i="23"/>
  <c r="B3" i="23"/>
  <c r="C3" i="23"/>
  <c r="D3" i="23"/>
  <c r="E3" i="23"/>
  <c r="F3" i="23"/>
  <c r="G3" i="23"/>
  <c r="H3" i="23"/>
  <c r="I3" i="23"/>
  <c r="J3" i="23"/>
  <c r="K3" i="23"/>
  <c r="L3" i="23"/>
  <c r="M3" i="23"/>
  <c r="N3" i="23"/>
  <c r="O3" i="23"/>
  <c r="P3" i="23"/>
  <c r="Q3" i="23"/>
  <c r="R3" i="23"/>
  <c r="S3" i="23"/>
  <c r="T3" i="23"/>
  <c r="U3" i="23"/>
  <c r="V3" i="23"/>
  <c r="W3" i="23"/>
  <c r="X3" i="23"/>
  <c r="Y3" i="23"/>
  <c r="B4" i="23"/>
  <c r="C4" i="23"/>
  <c r="D4" i="23"/>
  <c r="E4" i="23"/>
  <c r="F4" i="23"/>
  <c r="G4" i="23"/>
  <c r="H4" i="23"/>
  <c r="I4" i="23"/>
  <c r="J4" i="23"/>
  <c r="K4" i="23"/>
  <c r="L4" i="23"/>
  <c r="M4" i="23"/>
  <c r="N4" i="23"/>
  <c r="O4" i="23"/>
  <c r="P4" i="23"/>
  <c r="Q4" i="23"/>
  <c r="R4" i="23"/>
  <c r="S4" i="23"/>
  <c r="T4" i="23"/>
  <c r="U4" i="23"/>
  <c r="V4" i="23"/>
  <c r="W4" i="23"/>
  <c r="X4" i="23"/>
  <c r="Y4" i="23"/>
  <c r="B5" i="23"/>
  <c r="C5" i="23"/>
  <c r="D5" i="23"/>
  <c r="E5" i="23"/>
  <c r="F5" i="23"/>
  <c r="G5" i="23"/>
  <c r="H5" i="23"/>
  <c r="I5" i="23"/>
  <c r="J5" i="23"/>
  <c r="K5" i="23"/>
  <c r="L5" i="23"/>
  <c r="M5" i="23"/>
  <c r="N5" i="23"/>
  <c r="O5" i="23"/>
  <c r="P5" i="23"/>
  <c r="Q5" i="23"/>
  <c r="R5" i="23"/>
  <c r="S5" i="23"/>
  <c r="T5" i="23"/>
  <c r="U5" i="23"/>
  <c r="V5" i="23"/>
  <c r="W5" i="23"/>
  <c r="X5" i="23"/>
  <c r="Y5" i="23"/>
  <c r="B6" i="23"/>
  <c r="C6" i="23"/>
  <c r="D6" i="23"/>
  <c r="E6" i="23"/>
  <c r="F6" i="23"/>
  <c r="G6" i="23"/>
  <c r="H6" i="23"/>
  <c r="I6" i="23"/>
  <c r="J6" i="23"/>
  <c r="K6" i="23"/>
  <c r="L6" i="23"/>
  <c r="M6" i="23"/>
  <c r="N6" i="23"/>
  <c r="O6" i="23"/>
  <c r="P6" i="23"/>
  <c r="Q6" i="23"/>
  <c r="R6" i="23"/>
  <c r="S6" i="23"/>
  <c r="T6" i="23"/>
  <c r="U6" i="23"/>
  <c r="V6" i="23"/>
  <c r="W6" i="23"/>
  <c r="X6" i="23"/>
  <c r="Y6" i="23"/>
  <c r="B7" i="23"/>
  <c r="C7" i="23"/>
  <c r="D7" i="23"/>
  <c r="E7" i="23"/>
  <c r="F7" i="23"/>
  <c r="G7" i="23"/>
  <c r="H7" i="23"/>
  <c r="I7" i="23"/>
  <c r="J7" i="23"/>
  <c r="K7" i="23"/>
  <c r="L7" i="23"/>
  <c r="M7" i="23"/>
  <c r="N7" i="23"/>
  <c r="O7" i="23"/>
  <c r="P7" i="23"/>
  <c r="Q7" i="23"/>
  <c r="R7" i="23"/>
  <c r="S7" i="23"/>
  <c r="T7" i="23"/>
  <c r="U7" i="23"/>
  <c r="V7" i="23"/>
  <c r="W7" i="23"/>
  <c r="X7" i="23"/>
  <c r="Y7" i="23"/>
  <c r="B2" i="22"/>
  <c r="C2" i="22"/>
  <c r="D2" i="22"/>
  <c r="E2" i="22"/>
  <c r="F2" i="22"/>
  <c r="G2" i="22"/>
  <c r="H2" i="22"/>
  <c r="I2" i="22"/>
  <c r="J2" i="22"/>
  <c r="K2" i="22"/>
  <c r="L2" i="22"/>
  <c r="M2" i="22"/>
  <c r="N2" i="22"/>
  <c r="O2" i="22"/>
  <c r="P2" i="22"/>
  <c r="Q2" i="22"/>
  <c r="R2" i="22"/>
  <c r="S2" i="22"/>
  <c r="T2" i="22"/>
  <c r="U2" i="22"/>
  <c r="V2" i="22"/>
  <c r="W2" i="22"/>
  <c r="X2" i="22"/>
  <c r="Y2" i="22"/>
  <c r="B3" i="22"/>
  <c r="C3" i="22"/>
  <c r="D3" i="22"/>
  <c r="E3" i="22"/>
  <c r="F3" i="22"/>
  <c r="G3" i="22"/>
  <c r="H3" i="22"/>
  <c r="I3" i="22"/>
  <c r="J3" i="22"/>
  <c r="K3" i="22"/>
  <c r="L3" i="22"/>
  <c r="M3" i="22"/>
  <c r="N3" i="22"/>
  <c r="O3" i="22"/>
  <c r="P3" i="22"/>
  <c r="Q3" i="22"/>
  <c r="R3" i="22"/>
  <c r="S3" i="22"/>
  <c r="T3" i="22"/>
  <c r="U3" i="22"/>
  <c r="V3" i="22"/>
  <c r="W3" i="22"/>
  <c r="X3" i="22"/>
  <c r="Y3" i="22"/>
  <c r="B4" i="22"/>
  <c r="C4" i="22"/>
  <c r="D4" i="22"/>
  <c r="E4" i="22"/>
  <c r="F4" i="22"/>
  <c r="G4" i="22"/>
  <c r="H4" i="22"/>
  <c r="I4" i="22"/>
  <c r="J4" i="22"/>
  <c r="K4" i="22"/>
  <c r="L4" i="22"/>
  <c r="M4" i="22"/>
  <c r="N4" i="22"/>
  <c r="O4" i="22"/>
  <c r="P4" i="22"/>
  <c r="Q4" i="22"/>
  <c r="R4" i="22"/>
  <c r="S4" i="22"/>
  <c r="T4" i="22"/>
  <c r="U4" i="22"/>
  <c r="V4" i="22"/>
  <c r="W4" i="22"/>
  <c r="X4" i="22"/>
  <c r="Y4" i="22"/>
  <c r="B5" i="22"/>
  <c r="C5" i="22"/>
  <c r="D5" i="22"/>
  <c r="E5" i="22"/>
  <c r="F5" i="22"/>
  <c r="G5" i="22"/>
  <c r="H5" i="22"/>
  <c r="I5" i="22"/>
  <c r="J5" i="22"/>
  <c r="K5" i="22"/>
  <c r="L5" i="22"/>
  <c r="M5" i="22"/>
  <c r="N5" i="22"/>
  <c r="O5" i="22"/>
  <c r="P5" i="22"/>
  <c r="Q5" i="22"/>
  <c r="R5" i="22"/>
  <c r="S5" i="22"/>
  <c r="T5" i="22"/>
  <c r="U5" i="22"/>
  <c r="V5" i="22"/>
  <c r="W5" i="22"/>
  <c r="X5" i="22"/>
  <c r="Y5" i="22"/>
  <c r="B6" i="22"/>
  <c r="C6" i="22"/>
  <c r="D6" i="22"/>
  <c r="E6" i="22"/>
  <c r="F6" i="22"/>
  <c r="G6" i="22"/>
  <c r="H6" i="22"/>
  <c r="I6" i="22"/>
  <c r="J6" i="22"/>
  <c r="K6" i="22"/>
  <c r="L6" i="22"/>
  <c r="M6" i="22"/>
  <c r="N6" i="22"/>
  <c r="O6" i="22"/>
  <c r="P6" i="22"/>
  <c r="Q6" i="22"/>
  <c r="R6" i="22"/>
  <c r="S6" i="22"/>
  <c r="T6" i="22"/>
  <c r="U6" i="22"/>
  <c r="V6" i="22"/>
  <c r="W6" i="22"/>
  <c r="X6" i="22"/>
  <c r="Y6" i="22"/>
  <c r="B7" i="22"/>
  <c r="C7" i="22"/>
  <c r="D7" i="22"/>
  <c r="E7" i="22"/>
  <c r="F7" i="22"/>
  <c r="G7" i="22"/>
  <c r="H7" i="22"/>
  <c r="I7" i="22"/>
  <c r="J7" i="22"/>
  <c r="K7" i="22"/>
  <c r="L7" i="22"/>
  <c r="M7" i="22"/>
  <c r="N7" i="22"/>
  <c r="O7" i="22"/>
  <c r="P7" i="22"/>
  <c r="Q7" i="22"/>
  <c r="R7" i="22"/>
  <c r="S7" i="22"/>
  <c r="T7" i="22"/>
  <c r="U7" i="22"/>
  <c r="V7" i="22"/>
  <c r="W7" i="22"/>
  <c r="X7" i="22"/>
  <c r="Y7" i="22"/>
  <c r="B2" i="21"/>
  <c r="C2" i="21"/>
  <c r="D2" i="21"/>
  <c r="E2" i="21"/>
  <c r="F2" i="21"/>
  <c r="G2" i="21"/>
  <c r="H2" i="21"/>
  <c r="I2" i="21"/>
  <c r="J2" i="21"/>
  <c r="K2" i="21"/>
  <c r="L2" i="21"/>
  <c r="M2" i="21"/>
  <c r="N2" i="21"/>
  <c r="O2" i="21"/>
  <c r="P2" i="21"/>
  <c r="Q2" i="21"/>
  <c r="R2" i="21"/>
  <c r="S2" i="21"/>
  <c r="T2" i="21"/>
  <c r="U2" i="21"/>
  <c r="V2" i="21"/>
  <c r="W2" i="21"/>
  <c r="X2" i="21"/>
  <c r="Y2" i="21"/>
  <c r="B3" i="21"/>
  <c r="C3" i="21"/>
  <c r="D3" i="21"/>
  <c r="E3" i="21"/>
  <c r="F3" i="21"/>
  <c r="G3" i="21"/>
  <c r="H3" i="21"/>
  <c r="I3" i="21"/>
  <c r="J3" i="21"/>
  <c r="K3" i="21"/>
  <c r="L3" i="21"/>
  <c r="M3" i="21"/>
  <c r="N3" i="21"/>
  <c r="O3" i="21"/>
  <c r="P3" i="21"/>
  <c r="Q3" i="21"/>
  <c r="R3" i="21"/>
  <c r="S3" i="21"/>
  <c r="T3" i="21"/>
  <c r="U3" i="21"/>
  <c r="V3" i="21"/>
  <c r="W3" i="21"/>
  <c r="X3" i="21"/>
  <c r="Y3" i="21"/>
  <c r="B4" i="21"/>
  <c r="C4" i="21"/>
  <c r="D4" i="21"/>
  <c r="E4" i="21"/>
  <c r="F4" i="21"/>
  <c r="G4" i="21"/>
  <c r="H4" i="21"/>
  <c r="I4" i="21"/>
  <c r="J4" i="21"/>
  <c r="K4" i="21"/>
  <c r="L4" i="21"/>
  <c r="M4" i="21"/>
  <c r="N4" i="21"/>
  <c r="O4" i="21"/>
  <c r="P4" i="21"/>
  <c r="Q4" i="21"/>
  <c r="R4" i="21"/>
  <c r="S4" i="21"/>
  <c r="T4" i="21"/>
  <c r="U4" i="21"/>
  <c r="V4" i="21"/>
  <c r="W4" i="21"/>
  <c r="X4" i="21"/>
  <c r="Y4" i="21"/>
  <c r="B5" i="21"/>
  <c r="C5" i="21"/>
  <c r="D5" i="21"/>
  <c r="E5" i="21"/>
  <c r="F5" i="21"/>
  <c r="G5" i="21"/>
  <c r="H5" i="21"/>
  <c r="I5" i="21"/>
  <c r="J5" i="21"/>
  <c r="K5" i="21"/>
  <c r="L5" i="21"/>
  <c r="M5" i="21"/>
  <c r="N5" i="21"/>
  <c r="O5" i="21"/>
  <c r="P5" i="21"/>
  <c r="Q5" i="21"/>
  <c r="R5" i="21"/>
  <c r="S5" i="21"/>
  <c r="T5" i="21"/>
  <c r="U5" i="21"/>
  <c r="V5" i="21"/>
  <c r="W5" i="21"/>
  <c r="X5" i="21"/>
  <c r="Y5" i="21"/>
  <c r="B6" i="21"/>
  <c r="C6" i="21"/>
  <c r="D6" i="21"/>
  <c r="E6" i="21"/>
  <c r="F6" i="21"/>
  <c r="G6" i="21"/>
  <c r="H6" i="21"/>
  <c r="I6" i="21"/>
  <c r="J6" i="21"/>
  <c r="K6" i="21"/>
  <c r="L6" i="21"/>
  <c r="M6" i="21"/>
  <c r="N6" i="21"/>
  <c r="O6" i="21"/>
  <c r="P6" i="21"/>
  <c r="Q6" i="21"/>
  <c r="R6" i="21"/>
  <c r="S6" i="21"/>
  <c r="T6" i="21"/>
  <c r="U6" i="21"/>
  <c r="V6" i="21"/>
  <c r="W6" i="21"/>
  <c r="X6" i="21"/>
  <c r="Y6" i="21"/>
  <c r="B7" i="21"/>
  <c r="C7" i="21"/>
  <c r="D7" i="21"/>
  <c r="E7" i="21"/>
  <c r="F7" i="21"/>
  <c r="G7" i="21"/>
  <c r="H7" i="21"/>
  <c r="I7" i="21"/>
  <c r="J7" i="21"/>
  <c r="K7" i="21"/>
  <c r="L7" i="21"/>
  <c r="M7" i="21"/>
  <c r="N7" i="21"/>
  <c r="O7" i="21"/>
  <c r="P7" i="21"/>
  <c r="Q7" i="21"/>
  <c r="R7" i="21"/>
  <c r="S7" i="21"/>
  <c r="T7" i="21"/>
  <c r="U7" i="21"/>
  <c r="V7" i="21"/>
  <c r="W7" i="21"/>
  <c r="X7" i="21"/>
  <c r="Y7" i="21"/>
  <c r="B2" i="20"/>
  <c r="C2" i="20"/>
  <c r="D2" i="20"/>
  <c r="E2" i="20"/>
  <c r="F2" i="20"/>
  <c r="G2" i="20"/>
  <c r="H2" i="20"/>
  <c r="I2" i="20"/>
  <c r="J2" i="20"/>
  <c r="K2" i="20"/>
  <c r="L2" i="20"/>
  <c r="M2" i="20"/>
  <c r="N2" i="20"/>
  <c r="O2" i="20"/>
  <c r="P2" i="20"/>
  <c r="Q2" i="20"/>
  <c r="R2" i="20"/>
  <c r="S2" i="20"/>
  <c r="T2" i="20"/>
  <c r="U2" i="20"/>
  <c r="V2" i="20"/>
  <c r="W2" i="20"/>
  <c r="X2" i="20"/>
  <c r="Y2" i="20"/>
  <c r="B3" i="20"/>
  <c r="C3" i="20"/>
  <c r="D3" i="20"/>
  <c r="E3" i="20"/>
  <c r="F3" i="20"/>
  <c r="G3" i="20"/>
  <c r="H3" i="20"/>
  <c r="I3" i="20"/>
  <c r="J3" i="20"/>
  <c r="K3" i="20"/>
  <c r="L3" i="20"/>
  <c r="M3" i="20"/>
  <c r="N3" i="20"/>
  <c r="O3" i="20"/>
  <c r="P3" i="20"/>
  <c r="Q3" i="20"/>
  <c r="R3" i="20"/>
  <c r="S3" i="20"/>
  <c r="T3" i="20"/>
  <c r="U3" i="20"/>
  <c r="V3" i="20"/>
  <c r="W3" i="20"/>
  <c r="X3" i="20"/>
  <c r="Y3" i="20"/>
  <c r="B4" i="20"/>
  <c r="C4" i="20"/>
  <c r="D4" i="20"/>
  <c r="E4" i="20"/>
  <c r="F4" i="20"/>
  <c r="G4" i="20"/>
  <c r="H4" i="20"/>
  <c r="I4" i="20"/>
  <c r="J4" i="20"/>
  <c r="K4" i="20"/>
  <c r="L4" i="20"/>
  <c r="M4" i="20"/>
  <c r="N4" i="20"/>
  <c r="O4" i="20"/>
  <c r="P4" i="20"/>
  <c r="Q4" i="20"/>
  <c r="R4" i="20"/>
  <c r="S4" i="20"/>
  <c r="T4" i="20"/>
  <c r="U4" i="20"/>
  <c r="V4" i="20"/>
  <c r="W4" i="20"/>
  <c r="X4" i="20"/>
  <c r="Y4" i="20"/>
  <c r="B5" i="20"/>
  <c r="C5" i="20"/>
  <c r="D5" i="20"/>
  <c r="E5" i="20"/>
  <c r="F5" i="20"/>
  <c r="G5" i="20"/>
  <c r="H5" i="20"/>
  <c r="I5" i="20"/>
  <c r="J5" i="20"/>
  <c r="K5" i="20"/>
  <c r="L5" i="20"/>
  <c r="M5" i="20"/>
  <c r="N5" i="20"/>
  <c r="O5" i="20"/>
  <c r="P5" i="20"/>
  <c r="Q5" i="20"/>
  <c r="R5" i="20"/>
  <c r="S5" i="20"/>
  <c r="T5" i="20"/>
  <c r="U5" i="20"/>
  <c r="V5" i="20"/>
  <c r="W5" i="20"/>
  <c r="X5" i="20"/>
  <c r="Y5" i="20"/>
  <c r="B6" i="20"/>
  <c r="C6" i="20"/>
  <c r="D6" i="20"/>
  <c r="E6" i="20"/>
  <c r="F6" i="20"/>
  <c r="G6" i="20"/>
  <c r="H6" i="20"/>
  <c r="I6" i="20"/>
  <c r="J6" i="20"/>
  <c r="K6" i="20"/>
  <c r="L6" i="20"/>
  <c r="M6" i="20"/>
  <c r="N6" i="20"/>
  <c r="O6" i="20"/>
  <c r="P6" i="20"/>
  <c r="Q6" i="20"/>
  <c r="R6" i="20"/>
  <c r="S6" i="20"/>
  <c r="T6" i="20"/>
  <c r="U6" i="20"/>
  <c r="V6" i="20"/>
  <c r="W6" i="20"/>
  <c r="X6" i="20"/>
  <c r="Y6" i="20"/>
  <c r="B7" i="20"/>
  <c r="C7" i="20"/>
  <c r="D7" i="20"/>
  <c r="E7" i="20"/>
  <c r="F7" i="20"/>
  <c r="G7" i="20"/>
  <c r="H7" i="20"/>
  <c r="I7" i="20"/>
  <c r="J7" i="20"/>
  <c r="K7" i="20"/>
  <c r="L7" i="20"/>
  <c r="M7" i="20"/>
  <c r="N7" i="20"/>
  <c r="O7" i="20"/>
  <c r="P7" i="20"/>
  <c r="Q7" i="20"/>
  <c r="R7" i="20"/>
  <c r="S7" i="20"/>
  <c r="T7" i="20"/>
  <c r="U7" i="20"/>
  <c r="V7" i="20"/>
  <c r="W7" i="20"/>
  <c r="X7" i="20"/>
  <c r="Y7" i="20"/>
  <c r="B2" i="18"/>
  <c r="C2" i="18"/>
  <c r="D2" i="18"/>
  <c r="E2" i="18"/>
  <c r="F2" i="18"/>
  <c r="G2" i="18"/>
  <c r="H2" i="18"/>
  <c r="I2" i="18"/>
  <c r="J2" i="18"/>
  <c r="K2" i="18"/>
  <c r="L2" i="18"/>
  <c r="M2" i="18"/>
  <c r="N2" i="18"/>
  <c r="O2" i="18"/>
  <c r="P2" i="18"/>
  <c r="Q2" i="18"/>
  <c r="R2" i="18"/>
  <c r="S2" i="18"/>
  <c r="T2" i="18"/>
  <c r="U2" i="18"/>
  <c r="V2" i="18"/>
  <c r="W2" i="18"/>
  <c r="X2" i="18"/>
  <c r="Y2" i="18"/>
  <c r="B3" i="18"/>
  <c r="C3" i="18"/>
  <c r="D3" i="18"/>
  <c r="E3" i="18"/>
  <c r="F3" i="18"/>
  <c r="G3" i="18"/>
  <c r="H3" i="18"/>
  <c r="I3" i="18"/>
  <c r="J3" i="18"/>
  <c r="K3" i="18"/>
  <c r="L3" i="18"/>
  <c r="M3" i="18"/>
  <c r="N3" i="18"/>
  <c r="O3" i="18"/>
  <c r="P3" i="18"/>
  <c r="Q3" i="18"/>
  <c r="R3" i="18"/>
  <c r="S3" i="18"/>
  <c r="T3" i="18"/>
  <c r="U3" i="18"/>
  <c r="V3" i="18"/>
  <c r="W3" i="18"/>
  <c r="X3" i="18"/>
  <c r="Y3" i="18"/>
  <c r="B4" i="18"/>
  <c r="C4" i="18"/>
  <c r="D4" i="18"/>
  <c r="E4" i="18"/>
  <c r="F4" i="18"/>
  <c r="G4" i="18"/>
  <c r="H4" i="18"/>
  <c r="I4" i="18"/>
  <c r="J4" i="18"/>
  <c r="K4" i="18"/>
  <c r="L4" i="18"/>
  <c r="M4" i="18"/>
  <c r="N4" i="18"/>
  <c r="O4" i="18"/>
  <c r="P4" i="18"/>
  <c r="Q4" i="18"/>
  <c r="R4" i="18"/>
  <c r="S4" i="18"/>
  <c r="T4" i="18"/>
  <c r="U4" i="18"/>
  <c r="V4" i="18"/>
  <c r="W4" i="18"/>
  <c r="X4" i="18"/>
  <c r="Y4" i="18"/>
  <c r="B5" i="18"/>
  <c r="C5" i="18"/>
  <c r="D5" i="18"/>
  <c r="E5" i="18"/>
  <c r="F5" i="18"/>
  <c r="G5" i="18"/>
  <c r="H5" i="18"/>
  <c r="I5" i="18"/>
  <c r="J5" i="18"/>
  <c r="K5" i="18"/>
  <c r="L5" i="18"/>
  <c r="M5" i="18"/>
  <c r="N5" i="18"/>
  <c r="O5" i="18"/>
  <c r="P5" i="18"/>
  <c r="Q5" i="18"/>
  <c r="R5" i="18"/>
  <c r="S5" i="18"/>
  <c r="T5" i="18"/>
  <c r="U5" i="18"/>
  <c r="V5" i="18"/>
  <c r="W5" i="18"/>
  <c r="X5" i="18"/>
  <c r="Y5" i="18"/>
  <c r="B6" i="18"/>
  <c r="C6" i="18"/>
  <c r="D6" i="18"/>
  <c r="E6" i="18"/>
  <c r="F6" i="18"/>
  <c r="G6" i="18"/>
  <c r="H6" i="18"/>
  <c r="I6" i="18"/>
  <c r="J6" i="18"/>
  <c r="K6" i="18"/>
  <c r="L6" i="18"/>
  <c r="M6" i="18"/>
  <c r="N6" i="18"/>
  <c r="O6" i="18"/>
  <c r="P6" i="18"/>
  <c r="Q6" i="18"/>
  <c r="R6" i="18"/>
  <c r="S6" i="18"/>
  <c r="T6" i="18"/>
  <c r="U6" i="18"/>
  <c r="V6" i="18"/>
  <c r="W6" i="18"/>
  <c r="X6" i="18"/>
  <c r="Y6" i="18"/>
  <c r="B7" i="18"/>
  <c r="C7" i="18"/>
  <c r="D7" i="18"/>
  <c r="E7" i="18"/>
  <c r="F7" i="18"/>
  <c r="G7" i="18"/>
  <c r="H7" i="18"/>
  <c r="I7" i="18"/>
  <c r="J7" i="18"/>
  <c r="K7" i="18"/>
  <c r="L7" i="18"/>
  <c r="M7" i="18"/>
  <c r="N7" i="18"/>
  <c r="O7" i="18"/>
  <c r="P7" i="18"/>
  <c r="Q7" i="18"/>
  <c r="R7" i="18"/>
  <c r="S7" i="18"/>
  <c r="T7" i="18"/>
  <c r="U7" i="18"/>
  <c r="V7" i="18"/>
  <c r="W7" i="18"/>
  <c r="X7" i="18"/>
  <c r="Y7" i="18"/>
  <c r="B2" i="17"/>
  <c r="C2" i="17"/>
  <c r="D2" i="17"/>
  <c r="E2" i="17"/>
  <c r="F2" i="17"/>
  <c r="G2" i="17"/>
  <c r="H2" i="17"/>
  <c r="I2" i="17"/>
  <c r="J2" i="17"/>
  <c r="K2" i="17"/>
  <c r="L2" i="17"/>
  <c r="M2" i="17"/>
  <c r="N2" i="17"/>
  <c r="O2" i="17"/>
  <c r="P2" i="17"/>
  <c r="Q2" i="17"/>
  <c r="R2" i="17"/>
  <c r="S2" i="17"/>
  <c r="T2" i="17"/>
  <c r="U2" i="17"/>
  <c r="V2" i="17"/>
  <c r="W2" i="17"/>
  <c r="X2" i="17"/>
  <c r="Y2" i="17"/>
  <c r="B3" i="17"/>
  <c r="C3" i="17"/>
  <c r="D3" i="17"/>
  <c r="E3" i="17"/>
  <c r="F3" i="17"/>
  <c r="G3" i="17"/>
  <c r="H3" i="17"/>
  <c r="I3" i="17"/>
  <c r="J3" i="17"/>
  <c r="K3" i="17"/>
  <c r="L3" i="17"/>
  <c r="M3" i="17"/>
  <c r="N3" i="17"/>
  <c r="O3" i="17"/>
  <c r="P3" i="17"/>
  <c r="Q3" i="17"/>
  <c r="R3" i="17"/>
  <c r="S3" i="17"/>
  <c r="T3" i="17"/>
  <c r="U3" i="17"/>
  <c r="V3" i="17"/>
  <c r="W3" i="17"/>
  <c r="X3" i="17"/>
  <c r="Y3" i="17"/>
  <c r="B4" i="17"/>
  <c r="C4" i="17"/>
  <c r="D4" i="17"/>
  <c r="E4" i="17"/>
  <c r="F4" i="17"/>
  <c r="G4" i="17"/>
  <c r="H4" i="17"/>
  <c r="I4" i="17"/>
  <c r="J4" i="17"/>
  <c r="K4" i="17"/>
  <c r="L4" i="17"/>
  <c r="M4" i="17"/>
  <c r="N4" i="17"/>
  <c r="O4" i="17"/>
  <c r="P4" i="17"/>
  <c r="Q4" i="17"/>
  <c r="R4" i="17"/>
  <c r="S4" i="17"/>
  <c r="T4" i="17"/>
  <c r="U4" i="17"/>
  <c r="V4" i="17"/>
  <c r="W4" i="17"/>
  <c r="X4" i="17"/>
  <c r="Y4" i="17"/>
  <c r="B5" i="17"/>
  <c r="C5" i="17"/>
  <c r="D5" i="17"/>
  <c r="E5" i="17"/>
  <c r="F5" i="17"/>
  <c r="G5" i="17"/>
  <c r="H5" i="17"/>
  <c r="I5" i="17"/>
  <c r="J5" i="17"/>
  <c r="K5" i="17"/>
  <c r="L5" i="17"/>
  <c r="M5" i="17"/>
  <c r="N5" i="17"/>
  <c r="O5" i="17"/>
  <c r="P5" i="17"/>
  <c r="Q5" i="17"/>
  <c r="R5" i="17"/>
  <c r="S5" i="17"/>
  <c r="T5" i="17"/>
  <c r="U5" i="17"/>
  <c r="V5" i="17"/>
  <c r="W5" i="17"/>
  <c r="X5" i="17"/>
  <c r="Y5" i="17"/>
  <c r="B6" i="17"/>
  <c r="C6" i="17"/>
  <c r="D6" i="17"/>
  <c r="E6" i="17"/>
  <c r="F6" i="17"/>
  <c r="G6" i="17"/>
  <c r="H6" i="17"/>
  <c r="I6" i="17"/>
  <c r="J6" i="17"/>
  <c r="K6" i="17"/>
  <c r="L6" i="17"/>
  <c r="M6" i="17"/>
  <c r="N6" i="17"/>
  <c r="O6" i="17"/>
  <c r="P6" i="17"/>
  <c r="Q6" i="17"/>
  <c r="R6" i="17"/>
  <c r="S6" i="17"/>
  <c r="T6" i="17"/>
  <c r="U6" i="17"/>
  <c r="V6" i="17"/>
  <c r="W6" i="17"/>
  <c r="X6" i="17"/>
  <c r="Y6" i="17"/>
  <c r="B7" i="17"/>
  <c r="C7" i="17"/>
  <c r="D7" i="17"/>
  <c r="E7" i="17"/>
  <c r="F7" i="17"/>
  <c r="G7" i="17"/>
  <c r="H7" i="17"/>
  <c r="I7" i="17"/>
  <c r="J7" i="17"/>
  <c r="K7" i="17"/>
  <c r="L7" i="17"/>
  <c r="M7" i="17"/>
  <c r="N7" i="17"/>
  <c r="O7" i="17"/>
  <c r="P7" i="17"/>
  <c r="Q7" i="17"/>
  <c r="R7" i="17"/>
  <c r="S7" i="17"/>
  <c r="T7" i="17"/>
  <c r="U7" i="17"/>
  <c r="V7" i="17"/>
  <c r="W7" i="17"/>
  <c r="X7" i="17"/>
  <c r="Y7" i="17"/>
  <c r="B2" i="16"/>
  <c r="C2" i="16"/>
  <c r="D2" i="16"/>
  <c r="E2" i="16"/>
  <c r="F2" i="16"/>
  <c r="G2" i="16"/>
  <c r="H2" i="16"/>
  <c r="I2" i="16"/>
  <c r="J2" i="16"/>
  <c r="K2" i="16"/>
  <c r="L2" i="16"/>
  <c r="M2" i="16"/>
  <c r="N2" i="16"/>
  <c r="O2" i="16"/>
  <c r="P2" i="16"/>
  <c r="Q2" i="16"/>
  <c r="R2" i="16"/>
  <c r="S2" i="16"/>
  <c r="T2" i="16"/>
  <c r="U2" i="16"/>
  <c r="V2" i="16"/>
  <c r="W2" i="16"/>
  <c r="X2" i="16"/>
  <c r="Y2" i="16"/>
  <c r="B3" i="16"/>
  <c r="C3" i="16"/>
  <c r="D3" i="16"/>
  <c r="E3" i="16"/>
  <c r="F3" i="16"/>
  <c r="G3" i="16"/>
  <c r="H3" i="16"/>
  <c r="I3" i="16"/>
  <c r="J3" i="16"/>
  <c r="K3" i="16"/>
  <c r="L3" i="16"/>
  <c r="M3" i="16"/>
  <c r="N3" i="16"/>
  <c r="O3" i="16"/>
  <c r="P3" i="16"/>
  <c r="Q3" i="16"/>
  <c r="R3" i="16"/>
  <c r="S3" i="16"/>
  <c r="T3" i="16"/>
  <c r="U3" i="16"/>
  <c r="V3" i="16"/>
  <c r="W3" i="16"/>
  <c r="X3" i="16"/>
  <c r="Y3" i="16"/>
  <c r="B4" i="16"/>
  <c r="C4" i="16"/>
  <c r="D4" i="16"/>
  <c r="E4" i="16"/>
  <c r="F4" i="16"/>
  <c r="G4" i="16"/>
  <c r="H4" i="16"/>
  <c r="I4" i="16"/>
  <c r="J4" i="16"/>
  <c r="K4" i="16"/>
  <c r="L4" i="16"/>
  <c r="M4" i="16"/>
  <c r="N4" i="16"/>
  <c r="O4" i="16"/>
  <c r="P4" i="16"/>
  <c r="Q4" i="16"/>
  <c r="R4" i="16"/>
  <c r="S4" i="16"/>
  <c r="T4" i="16"/>
  <c r="U4" i="16"/>
  <c r="V4" i="16"/>
  <c r="W4" i="16"/>
  <c r="X4" i="16"/>
  <c r="Y4" i="16"/>
  <c r="B5" i="16"/>
  <c r="C5" i="16"/>
  <c r="D5" i="16"/>
  <c r="E5" i="16"/>
  <c r="F5" i="16"/>
  <c r="G5" i="16"/>
  <c r="H5" i="16"/>
  <c r="I5" i="16"/>
  <c r="J5" i="16"/>
  <c r="K5" i="16"/>
  <c r="L5" i="16"/>
  <c r="M5" i="16"/>
  <c r="N5" i="16"/>
  <c r="O5" i="16"/>
  <c r="P5" i="16"/>
  <c r="Q5" i="16"/>
  <c r="R5" i="16"/>
  <c r="S5" i="16"/>
  <c r="T5" i="16"/>
  <c r="U5" i="16"/>
  <c r="V5" i="16"/>
  <c r="W5" i="16"/>
  <c r="X5" i="16"/>
  <c r="Y5" i="16"/>
  <c r="B6" i="16"/>
  <c r="C6" i="16"/>
  <c r="D6" i="16"/>
  <c r="E6" i="16"/>
  <c r="F6" i="16"/>
  <c r="G6" i="16"/>
  <c r="H6" i="16"/>
  <c r="I6" i="16"/>
  <c r="J6" i="16"/>
  <c r="K6" i="16"/>
  <c r="L6" i="16"/>
  <c r="M6" i="16"/>
  <c r="N6" i="16"/>
  <c r="O6" i="16"/>
  <c r="P6" i="16"/>
  <c r="Q6" i="16"/>
  <c r="R6" i="16"/>
  <c r="S6" i="16"/>
  <c r="T6" i="16"/>
  <c r="U6" i="16"/>
  <c r="V6" i="16"/>
  <c r="W6" i="16"/>
  <c r="X6" i="16"/>
  <c r="Y6" i="16"/>
  <c r="B7" i="16"/>
  <c r="C7" i="16"/>
  <c r="D7" i="16"/>
  <c r="E7" i="16"/>
  <c r="F7" i="16"/>
  <c r="G7" i="16"/>
  <c r="H7" i="16"/>
  <c r="I7" i="16"/>
  <c r="J7" i="16"/>
  <c r="K7" i="16"/>
  <c r="L7" i="16"/>
  <c r="M7" i="16"/>
  <c r="N7" i="16"/>
  <c r="O7" i="16"/>
  <c r="P7" i="16"/>
  <c r="Q7" i="16"/>
  <c r="R7" i="16"/>
  <c r="S7" i="16"/>
  <c r="T7" i="16"/>
  <c r="U7" i="16"/>
  <c r="V7" i="16"/>
  <c r="W7" i="16"/>
  <c r="X7" i="16"/>
  <c r="Y7" i="16"/>
  <c r="B2" i="15"/>
  <c r="C2" i="15"/>
  <c r="D2" i="15"/>
  <c r="E2" i="15"/>
  <c r="F2" i="15"/>
  <c r="G2" i="15"/>
  <c r="H2" i="15"/>
  <c r="I2" i="15"/>
  <c r="J2" i="15"/>
  <c r="K2" i="15"/>
  <c r="L2" i="15"/>
  <c r="M2" i="15"/>
  <c r="N2" i="15"/>
  <c r="O2" i="15"/>
  <c r="P2" i="15"/>
  <c r="Q2" i="15"/>
  <c r="R2" i="15"/>
  <c r="S2" i="15"/>
  <c r="T2" i="15"/>
  <c r="U2" i="15"/>
  <c r="V2" i="15"/>
  <c r="W2" i="15"/>
  <c r="X2" i="15"/>
  <c r="Y2" i="15"/>
  <c r="B3" i="15"/>
  <c r="C3" i="15"/>
  <c r="D3" i="15"/>
  <c r="E3" i="15"/>
  <c r="F3" i="15"/>
  <c r="G3" i="15"/>
  <c r="H3" i="15"/>
  <c r="I3" i="15"/>
  <c r="J3" i="15"/>
  <c r="K3" i="15"/>
  <c r="L3" i="15"/>
  <c r="M3" i="15"/>
  <c r="N3" i="15"/>
  <c r="O3" i="15"/>
  <c r="P3" i="15"/>
  <c r="Q3" i="15"/>
  <c r="R3" i="15"/>
  <c r="S3" i="15"/>
  <c r="T3" i="15"/>
  <c r="U3" i="15"/>
  <c r="V3" i="15"/>
  <c r="W3" i="15"/>
  <c r="X3" i="15"/>
  <c r="Y3" i="15"/>
  <c r="B4" i="15"/>
  <c r="C4" i="15"/>
  <c r="D4" i="15"/>
  <c r="E4" i="15"/>
  <c r="F4" i="15"/>
  <c r="G4" i="15"/>
  <c r="H4" i="15"/>
  <c r="I4" i="15"/>
  <c r="J4" i="15"/>
  <c r="K4" i="15"/>
  <c r="L4" i="15"/>
  <c r="M4" i="15"/>
  <c r="N4" i="15"/>
  <c r="O4" i="15"/>
  <c r="P4" i="15"/>
  <c r="Q4" i="15"/>
  <c r="R4" i="15"/>
  <c r="S4" i="15"/>
  <c r="T4" i="15"/>
  <c r="U4" i="15"/>
  <c r="V4" i="15"/>
  <c r="W4" i="15"/>
  <c r="X4" i="15"/>
  <c r="Y4" i="15"/>
  <c r="B5" i="15"/>
  <c r="C5" i="15"/>
  <c r="D5" i="15"/>
  <c r="E5" i="15"/>
  <c r="F5" i="15"/>
  <c r="G5" i="15"/>
  <c r="H5" i="15"/>
  <c r="I5" i="15"/>
  <c r="J5" i="15"/>
  <c r="K5" i="15"/>
  <c r="L5" i="15"/>
  <c r="M5" i="15"/>
  <c r="N5" i="15"/>
  <c r="O5" i="15"/>
  <c r="P5" i="15"/>
  <c r="Q5" i="15"/>
  <c r="R5" i="15"/>
  <c r="S5" i="15"/>
  <c r="T5" i="15"/>
  <c r="U5" i="15"/>
  <c r="V5" i="15"/>
  <c r="W5" i="15"/>
  <c r="X5" i="15"/>
  <c r="Y5" i="15"/>
  <c r="B6" i="15"/>
  <c r="C6" i="15"/>
  <c r="D6" i="15"/>
  <c r="E6" i="15"/>
  <c r="F6" i="15"/>
  <c r="G6" i="15"/>
  <c r="H6" i="15"/>
  <c r="I6" i="15"/>
  <c r="J6" i="15"/>
  <c r="K6" i="15"/>
  <c r="L6" i="15"/>
  <c r="M6" i="15"/>
  <c r="N6" i="15"/>
  <c r="O6" i="15"/>
  <c r="P6" i="15"/>
  <c r="Q6" i="15"/>
  <c r="R6" i="15"/>
  <c r="S6" i="15"/>
  <c r="T6" i="15"/>
  <c r="U6" i="15"/>
  <c r="V6" i="15"/>
  <c r="W6" i="15"/>
  <c r="X6" i="15"/>
  <c r="Y6" i="15"/>
  <c r="B7" i="15"/>
  <c r="C7" i="15"/>
  <c r="D7" i="15"/>
  <c r="E7" i="15"/>
  <c r="F7" i="15"/>
  <c r="G7" i="15"/>
  <c r="H7" i="15"/>
  <c r="I7" i="15"/>
  <c r="J7" i="15"/>
  <c r="K7" i="15"/>
  <c r="L7" i="15"/>
  <c r="M7" i="15"/>
  <c r="N7" i="15"/>
  <c r="O7" i="15"/>
  <c r="P7" i="15"/>
  <c r="Q7" i="15"/>
  <c r="R7" i="15"/>
  <c r="S7" i="15"/>
  <c r="T7" i="15"/>
  <c r="U7" i="15"/>
  <c r="V7" i="15"/>
  <c r="W7" i="15"/>
  <c r="X7" i="15"/>
  <c r="Y7" i="15"/>
  <c r="B2" i="13"/>
  <c r="C2" i="13"/>
  <c r="D2" i="13"/>
  <c r="E2" i="13"/>
  <c r="F2" i="13"/>
  <c r="G2" i="13"/>
  <c r="H2" i="13"/>
  <c r="I2" i="13"/>
  <c r="J2" i="13"/>
  <c r="K2" i="13"/>
  <c r="L2" i="13"/>
  <c r="M2" i="13"/>
  <c r="N2" i="13"/>
  <c r="O2" i="13"/>
  <c r="P2" i="13"/>
  <c r="Q2" i="13"/>
  <c r="R2" i="13"/>
  <c r="S2" i="13"/>
  <c r="T2" i="13"/>
  <c r="U2" i="13"/>
  <c r="V2" i="13"/>
  <c r="W2" i="13"/>
  <c r="X2" i="13"/>
  <c r="Y2" i="13"/>
  <c r="B3" i="13"/>
  <c r="C3" i="13"/>
  <c r="D3" i="13"/>
  <c r="E3" i="13"/>
  <c r="F3" i="13"/>
  <c r="G3" i="13"/>
  <c r="H3" i="13"/>
  <c r="I3" i="13"/>
  <c r="J3" i="13"/>
  <c r="K3" i="13"/>
  <c r="L3" i="13"/>
  <c r="M3" i="13"/>
  <c r="N3" i="13"/>
  <c r="O3" i="13"/>
  <c r="P3" i="13"/>
  <c r="Q3" i="13"/>
  <c r="R3" i="13"/>
  <c r="S3" i="13"/>
  <c r="T3" i="13"/>
  <c r="U3" i="13"/>
  <c r="V3" i="13"/>
  <c r="W3" i="13"/>
  <c r="X3" i="13"/>
  <c r="Y3" i="13"/>
  <c r="B4" i="13"/>
  <c r="C4" i="13"/>
  <c r="D4" i="13"/>
  <c r="E4" i="13"/>
  <c r="F4" i="13"/>
  <c r="G4" i="13"/>
  <c r="H4" i="13"/>
  <c r="I4" i="13"/>
  <c r="J4" i="13"/>
  <c r="K4" i="13"/>
  <c r="L4" i="13"/>
  <c r="M4" i="13"/>
  <c r="N4" i="13"/>
  <c r="O4" i="13"/>
  <c r="P4" i="13"/>
  <c r="Q4" i="13"/>
  <c r="R4" i="13"/>
  <c r="S4" i="13"/>
  <c r="T4" i="13"/>
  <c r="U4" i="13"/>
  <c r="V4" i="13"/>
  <c r="W4" i="13"/>
  <c r="X4" i="13"/>
  <c r="Y4" i="13"/>
  <c r="B5" i="13"/>
  <c r="C5" i="13"/>
  <c r="D5" i="13"/>
  <c r="E5" i="13"/>
  <c r="F5" i="13"/>
  <c r="G5" i="13"/>
  <c r="H5" i="13"/>
  <c r="I5" i="13"/>
  <c r="J5" i="13"/>
  <c r="K5" i="13"/>
  <c r="L5" i="13"/>
  <c r="M5" i="13"/>
  <c r="N5" i="13"/>
  <c r="O5" i="13"/>
  <c r="P5" i="13"/>
  <c r="Q5" i="13"/>
  <c r="R5" i="13"/>
  <c r="S5" i="13"/>
  <c r="T5" i="13"/>
  <c r="U5" i="13"/>
  <c r="V5" i="13"/>
  <c r="W5" i="13"/>
  <c r="X5" i="13"/>
  <c r="Y5" i="13"/>
  <c r="B6" i="13"/>
  <c r="C6" i="13"/>
  <c r="D6" i="13"/>
  <c r="E6" i="13"/>
  <c r="F6" i="13"/>
  <c r="G6" i="13"/>
  <c r="H6" i="13"/>
  <c r="I6" i="13"/>
  <c r="J6" i="13"/>
  <c r="K6" i="13"/>
  <c r="L6" i="13"/>
  <c r="M6" i="13"/>
  <c r="N6" i="13"/>
  <c r="O6" i="13"/>
  <c r="P6" i="13"/>
  <c r="Q6" i="13"/>
  <c r="R6" i="13"/>
  <c r="S6" i="13"/>
  <c r="T6" i="13"/>
  <c r="U6" i="13"/>
  <c r="V6" i="13"/>
  <c r="W6" i="13"/>
  <c r="X6" i="13"/>
  <c r="Y6" i="13"/>
  <c r="B7" i="13"/>
  <c r="C7" i="13"/>
  <c r="D7" i="13"/>
  <c r="E7" i="13"/>
  <c r="F7" i="13"/>
  <c r="G7" i="13"/>
  <c r="H7" i="13"/>
  <c r="I7" i="13"/>
  <c r="J7" i="13"/>
  <c r="K7" i="13"/>
  <c r="L7" i="13"/>
  <c r="M7" i="13"/>
  <c r="N7" i="13"/>
  <c r="O7" i="13"/>
  <c r="P7" i="13"/>
  <c r="Q7" i="13"/>
  <c r="R7" i="13"/>
  <c r="S7" i="13"/>
  <c r="T7" i="13"/>
  <c r="U7" i="13"/>
  <c r="V7" i="13"/>
  <c r="W7" i="13"/>
  <c r="X7" i="13"/>
  <c r="Y7" i="13"/>
  <c r="B2" i="12"/>
  <c r="C2" i="12"/>
  <c r="D2" i="12"/>
  <c r="E2" i="12"/>
  <c r="F2" i="12"/>
  <c r="G2" i="12"/>
  <c r="H2" i="12"/>
  <c r="I2" i="12"/>
  <c r="J2" i="12"/>
  <c r="K2" i="12"/>
  <c r="L2" i="12"/>
  <c r="M2" i="12"/>
  <c r="N2" i="12"/>
  <c r="O2" i="12"/>
  <c r="P2" i="12"/>
  <c r="Q2" i="12"/>
  <c r="R2" i="12"/>
  <c r="S2" i="12"/>
  <c r="T2" i="12"/>
  <c r="U2" i="12"/>
  <c r="V2" i="12"/>
  <c r="W2" i="12"/>
  <c r="X2" i="12"/>
  <c r="Y2" i="12"/>
  <c r="B3" i="12"/>
  <c r="C3" i="12"/>
  <c r="D3" i="12"/>
  <c r="E3" i="12"/>
  <c r="F3" i="12"/>
  <c r="G3" i="12"/>
  <c r="H3" i="12"/>
  <c r="I3" i="12"/>
  <c r="J3" i="12"/>
  <c r="K3" i="12"/>
  <c r="L3" i="12"/>
  <c r="M3" i="12"/>
  <c r="N3" i="12"/>
  <c r="O3" i="12"/>
  <c r="P3" i="12"/>
  <c r="Q3" i="12"/>
  <c r="R3" i="12"/>
  <c r="S3" i="12"/>
  <c r="T3" i="12"/>
  <c r="U3" i="12"/>
  <c r="V3" i="12"/>
  <c r="W3" i="12"/>
  <c r="X3" i="12"/>
  <c r="Y3" i="12"/>
  <c r="B4" i="12"/>
  <c r="C4" i="12"/>
  <c r="D4" i="12"/>
  <c r="E4" i="12"/>
  <c r="F4" i="12"/>
  <c r="G4" i="12"/>
  <c r="H4" i="12"/>
  <c r="I4" i="12"/>
  <c r="J4" i="12"/>
  <c r="K4" i="12"/>
  <c r="L4" i="12"/>
  <c r="M4" i="12"/>
  <c r="N4" i="12"/>
  <c r="O4" i="12"/>
  <c r="P4" i="12"/>
  <c r="Q4" i="12"/>
  <c r="R4" i="12"/>
  <c r="S4" i="12"/>
  <c r="T4" i="12"/>
  <c r="U4" i="12"/>
  <c r="V4" i="12"/>
  <c r="W4" i="12"/>
  <c r="X4" i="12"/>
  <c r="Y4" i="12"/>
  <c r="B5" i="12"/>
  <c r="C5" i="12"/>
  <c r="D5" i="12"/>
  <c r="E5" i="12"/>
  <c r="F5" i="12"/>
  <c r="G5" i="12"/>
  <c r="H5" i="12"/>
  <c r="I5" i="12"/>
  <c r="J5" i="12"/>
  <c r="K5" i="12"/>
  <c r="L5" i="12"/>
  <c r="M5" i="12"/>
  <c r="N5" i="12"/>
  <c r="O5" i="12"/>
  <c r="P5" i="12"/>
  <c r="Q5" i="12"/>
  <c r="R5" i="12"/>
  <c r="S5" i="12"/>
  <c r="T5" i="12"/>
  <c r="U5" i="12"/>
  <c r="V5" i="12"/>
  <c r="W5" i="12"/>
  <c r="X5" i="12"/>
  <c r="Y5" i="12"/>
  <c r="B6" i="12"/>
  <c r="C6" i="12"/>
  <c r="D6" i="12"/>
  <c r="E6" i="12"/>
  <c r="F6" i="12"/>
  <c r="G6" i="12"/>
  <c r="H6" i="12"/>
  <c r="I6" i="12"/>
  <c r="J6" i="12"/>
  <c r="K6" i="12"/>
  <c r="L6" i="12"/>
  <c r="M6" i="12"/>
  <c r="N6" i="12"/>
  <c r="O6" i="12"/>
  <c r="P6" i="12"/>
  <c r="Q6" i="12"/>
  <c r="R6" i="12"/>
  <c r="S6" i="12"/>
  <c r="T6" i="12"/>
  <c r="U6" i="12"/>
  <c r="V6" i="12"/>
  <c r="W6" i="12"/>
  <c r="X6" i="12"/>
  <c r="Y6" i="12"/>
  <c r="B7" i="12"/>
  <c r="C7" i="12"/>
  <c r="D7" i="12"/>
  <c r="E7" i="12"/>
  <c r="F7" i="12"/>
  <c r="G7" i="12"/>
  <c r="H7" i="12"/>
  <c r="I7" i="12"/>
  <c r="J7" i="12"/>
  <c r="K7" i="12"/>
  <c r="L7" i="12"/>
  <c r="M7" i="12"/>
  <c r="N7" i="12"/>
  <c r="O7" i="12"/>
  <c r="P7" i="12"/>
  <c r="Q7" i="12"/>
  <c r="R7" i="12"/>
  <c r="S7" i="12"/>
  <c r="T7" i="12"/>
  <c r="U7" i="12"/>
  <c r="V7" i="12"/>
  <c r="W7" i="12"/>
  <c r="X7" i="12"/>
  <c r="Y7" i="12"/>
  <c r="B2" i="11"/>
  <c r="C2" i="11"/>
  <c r="D2" i="11"/>
  <c r="E2" i="11"/>
  <c r="F2" i="11"/>
  <c r="G2" i="11"/>
  <c r="H2" i="11"/>
  <c r="I2" i="11"/>
  <c r="J2" i="11"/>
  <c r="K2" i="11"/>
  <c r="L2" i="11"/>
  <c r="M2" i="11"/>
  <c r="N2" i="11"/>
  <c r="O2" i="11"/>
  <c r="P2" i="11"/>
  <c r="Q2" i="11"/>
  <c r="R2" i="11"/>
  <c r="S2" i="11"/>
  <c r="T2" i="11"/>
  <c r="U2" i="11"/>
  <c r="V2" i="11"/>
  <c r="W2" i="11"/>
  <c r="X2" i="11"/>
  <c r="Y2" i="11"/>
  <c r="B3" i="11"/>
  <c r="C3" i="11"/>
  <c r="D3" i="11"/>
  <c r="E3" i="11"/>
  <c r="F3" i="11"/>
  <c r="G3" i="11"/>
  <c r="H3" i="11"/>
  <c r="I3" i="11"/>
  <c r="J3" i="11"/>
  <c r="K3" i="11"/>
  <c r="L3" i="11"/>
  <c r="M3" i="11"/>
  <c r="N3" i="11"/>
  <c r="O3" i="11"/>
  <c r="P3" i="11"/>
  <c r="Q3" i="11"/>
  <c r="R3" i="11"/>
  <c r="S3" i="11"/>
  <c r="T3" i="11"/>
  <c r="U3" i="11"/>
  <c r="V3" i="11"/>
  <c r="W3" i="11"/>
  <c r="X3" i="11"/>
  <c r="Y3" i="11"/>
  <c r="B4" i="11"/>
  <c r="C4" i="11"/>
  <c r="D4" i="11"/>
  <c r="E4" i="11"/>
  <c r="F4" i="11"/>
  <c r="G4" i="11"/>
  <c r="H4" i="11"/>
  <c r="I4" i="11"/>
  <c r="J4" i="11"/>
  <c r="K4" i="11"/>
  <c r="L4" i="11"/>
  <c r="M4" i="11"/>
  <c r="N4" i="11"/>
  <c r="O4" i="11"/>
  <c r="P4" i="11"/>
  <c r="Q4" i="11"/>
  <c r="R4" i="11"/>
  <c r="S4" i="11"/>
  <c r="T4" i="11"/>
  <c r="U4" i="11"/>
  <c r="V4" i="11"/>
  <c r="W4" i="11"/>
  <c r="X4" i="11"/>
  <c r="Y4" i="11"/>
  <c r="B5" i="11"/>
  <c r="C5" i="11"/>
  <c r="D5" i="11"/>
  <c r="E5" i="11"/>
  <c r="F5" i="11"/>
  <c r="G5" i="11"/>
  <c r="H5" i="11"/>
  <c r="I5" i="11"/>
  <c r="J5" i="11"/>
  <c r="K5" i="11"/>
  <c r="L5" i="11"/>
  <c r="M5" i="11"/>
  <c r="N5" i="11"/>
  <c r="O5" i="11"/>
  <c r="P5" i="11"/>
  <c r="Q5" i="11"/>
  <c r="R5" i="11"/>
  <c r="S5" i="11"/>
  <c r="T5" i="11"/>
  <c r="U5" i="11"/>
  <c r="V5" i="11"/>
  <c r="W5" i="11"/>
  <c r="X5" i="11"/>
  <c r="Y5" i="11"/>
  <c r="B6" i="11"/>
  <c r="C6" i="11"/>
  <c r="D6" i="11"/>
  <c r="E6" i="11"/>
  <c r="F6" i="11"/>
  <c r="G6" i="11"/>
  <c r="H6" i="11"/>
  <c r="I6" i="11"/>
  <c r="J6" i="11"/>
  <c r="K6" i="11"/>
  <c r="L6" i="11"/>
  <c r="M6" i="11"/>
  <c r="N6" i="11"/>
  <c r="O6" i="11"/>
  <c r="P6" i="11"/>
  <c r="Q6" i="11"/>
  <c r="R6" i="11"/>
  <c r="S6" i="11"/>
  <c r="T6" i="11"/>
  <c r="U6" i="11"/>
  <c r="V6" i="11"/>
  <c r="W6" i="11"/>
  <c r="X6" i="11"/>
  <c r="Y6" i="11"/>
  <c r="B7" i="11"/>
  <c r="C7" i="11"/>
  <c r="D7" i="11"/>
  <c r="E7" i="11"/>
  <c r="F7" i="11"/>
  <c r="G7" i="11"/>
  <c r="H7" i="11"/>
  <c r="I7" i="11"/>
  <c r="J7" i="11"/>
  <c r="K7" i="11"/>
  <c r="L7" i="11"/>
  <c r="M7" i="11"/>
  <c r="N7" i="11"/>
  <c r="O7" i="11"/>
  <c r="P7" i="11"/>
  <c r="Q7" i="11"/>
  <c r="R7" i="11"/>
  <c r="S7" i="11"/>
  <c r="T7" i="11"/>
  <c r="U7" i="11"/>
  <c r="V7" i="11"/>
  <c r="W7" i="11"/>
  <c r="X7" i="11"/>
  <c r="Y7" i="11"/>
  <c r="B2" i="10"/>
  <c r="C2" i="10"/>
  <c r="D2" i="10"/>
  <c r="E2" i="10"/>
  <c r="F2" i="10"/>
  <c r="G2" i="10"/>
  <c r="H2" i="10"/>
  <c r="I2" i="10"/>
  <c r="J2" i="10"/>
  <c r="K2" i="10"/>
  <c r="L2" i="10"/>
  <c r="M2" i="10"/>
  <c r="N2" i="10"/>
  <c r="O2" i="10"/>
  <c r="P2" i="10"/>
  <c r="Q2" i="10"/>
  <c r="R2" i="10"/>
  <c r="S2" i="10"/>
  <c r="T2" i="10"/>
  <c r="U2" i="10"/>
  <c r="V2" i="10"/>
  <c r="W2" i="10"/>
  <c r="X2" i="10"/>
  <c r="Y2" i="10"/>
  <c r="B3" i="10"/>
  <c r="C3" i="10"/>
  <c r="D3" i="10"/>
  <c r="E3" i="10"/>
  <c r="F3" i="10"/>
  <c r="G3" i="10"/>
  <c r="H3" i="10"/>
  <c r="I3" i="10"/>
  <c r="J3" i="10"/>
  <c r="K3" i="10"/>
  <c r="L3" i="10"/>
  <c r="M3" i="10"/>
  <c r="N3" i="10"/>
  <c r="O3" i="10"/>
  <c r="P3" i="10"/>
  <c r="Q3" i="10"/>
  <c r="R3" i="10"/>
  <c r="S3" i="10"/>
  <c r="T3" i="10"/>
  <c r="U3" i="10"/>
  <c r="V3" i="10"/>
  <c r="W3" i="10"/>
  <c r="X3" i="10"/>
  <c r="Y3" i="10"/>
  <c r="B4" i="10"/>
  <c r="C4" i="10"/>
  <c r="D4" i="10"/>
  <c r="E4" i="10"/>
  <c r="F4" i="10"/>
  <c r="G4" i="10"/>
  <c r="H4" i="10"/>
  <c r="I4" i="10"/>
  <c r="J4" i="10"/>
  <c r="K4" i="10"/>
  <c r="L4" i="10"/>
  <c r="M4" i="10"/>
  <c r="N4" i="10"/>
  <c r="O4" i="10"/>
  <c r="P4" i="10"/>
  <c r="Q4" i="10"/>
  <c r="R4" i="10"/>
  <c r="S4" i="10"/>
  <c r="T4" i="10"/>
  <c r="U4" i="10"/>
  <c r="V4" i="10"/>
  <c r="W4" i="10"/>
  <c r="X4" i="10"/>
  <c r="Y4" i="10"/>
  <c r="B5" i="10"/>
  <c r="C5" i="10"/>
  <c r="D5" i="10"/>
  <c r="E5" i="10"/>
  <c r="F5" i="10"/>
  <c r="G5" i="10"/>
  <c r="H5" i="10"/>
  <c r="I5" i="10"/>
  <c r="J5" i="10"/>
  <c r="K5" i="10"/>
  <c r="L5" i="10"/>
  <c r="M5" i="10"/>
  <c r="N5" i="10"/>
  <c r="O5" i="10"/>
  <c r="P5" i="10"/>
  <c r="Q5" i="10"/>
  <c r="R5" i="10"/>
  <c r="S5" i="10"/>
  <c r="T5" i="10"/>
  <c r="U5" i="10"/>
  <c r="V5" i="10"/>
  <c r="W5" i="10"/>
  <c r="X5" i="10"/>
  <c r="Y5" i="10"/>
  <c r="B6" i="10"/>
  <c r="C6" i="10"/>
  <c r="D6" i="10"/>
  <c r="E6" i="10"/>
  <c r="F6" i="10"/>
  <c r="G6" i="10"/>
  <c r="H6" i="10"/>
  <c r="I6" i="10"/>
  <c r="J6" i="10"/>
  <c r="K6" i="10"/>
  <c r="L6" i="10"/>
  <c r="M6" i="10"/>
  <c r="N6" i="10"/>
  <c r="O6" i="10"/>
  <c r="P6" i="10"/>
  <c r="Q6" i="10"/>
  <c r="R6" i="10"/>
  <c r="S6" i="10"/>
  <c r="T6" i="10"/>
  <c r="U6" i="10"/>
  <c r="V6" i="10"/>
  <c r="W6" i="10"/>
  <c r="X6" i="10"/>
  <c r="Y6" i="10"/>
  <c r="B7" i="10"/>
  <c r="C7" i="10"/>
  <c r="D7" i="10"/>
  <c r="E7" i="10"/>
  <c r="F7" i="10"/>
  <c r="G7" i="10"/>
  <c r="H7" i="10"/>
  <c r="I7" i="10"/>
  <c r="J7" i="10"/>
  <c r="K7" i="10"/>
  <c r="L7" i="10"/>
  <c r="M7" i="10"/>
  <c r="N7" i="10"/>
  <c r="O7" i="10"/>
  <c r="P7" i="10"/>
  <c r="Q7" i="10"/>
  <c r="R7" i="10"/>
  <c r="S7" i="10"/>
  <c r="T7" i="10"/>
  <c r="U7" i="10"/>
  <c r="V7" i="10"/>
  <c r="W7" i="10"/>
  <c r="X7" i="10"/>
  <c r="Y7" i="10"/>
  <c r="B2" i="9"/>
  <c r="C2" i="9"/>
  <c r="D2" i="9"/>
  <c r="E2" i="9"/>
  <c r="F2" i="9"/>
  <c r="G2" i="9"/>
  <c r="H2" i="9"/>
  <c r="I2" i="9"/>
  <c r="J2" i="9"/>
  <c r="K2" i="9"/>
  <c r="L2" i="9"/>
  <c r="M2" i="9"/>
  <c r="N2" i="9"/>
  <c r="O2" i="9"/>
  <c r="P2" i="9"/>
  <c r="Q2" i="9"/>
  <c r="R2" i="9"/>
  <c r="S2" i="9"/>
  <c r="T2" i="9"/>
  <c r="U2" i="9"/>
  <c r="V2" i="9"/>
  <c r="W2" i="9"/>
  <c r="X2" i="9"/>
  <c r="Y2" i="9"/>
  <c r="B3" i="9"/>
  <c r="C3" i="9"/>
  <c r="D3" i="9"/>
  <c r="E3" i="9"/>
  <c r="F3" i="9"/>
  <c r="G3" i="9"/>
  <c r="H3" i="9"/>
  <c r="I3" i="9"/>
  <c r="J3" i="9"/>
  <c r="K3" i="9"/>
  <c r="L3" i="9"/>
  <c r="M3" i="9"/>
  <c r="N3" i="9"/>
  <c r="O3" i="9"/>
  <c r="P3" i="9"/>
  <c r="Q3" i="9"/>
  <c r="R3" i="9"/>
  <c r="S3" i="9"/>
  <c r="T3" i="9"/>
  <c r="U3" i="9"/>
  <c r="V3" i="9"/>
  <c r="W3" i="9"/>
  <c r="X3" i="9"/>
  <c r="Y3" i="9"/>
  <c r="B4" i="9"/>
  <c r="C4" i="9"/>
  <c r="D4" i="9"/>
  <c r="E4" i="9"/>
  <c r="F4" i="9"/>
  <c r="G4" i="9"/>
  <c r="H4" i="9"/>
  <c r="I4" i="9"/>
  <c r="J4" i="9"/>
  <c r="K4" i="9"/>
  <c r="L4" i="9"/>
  <c r="M4" i="9"/>
  <c r="N4" i="9"/>
  <c r="O4" i="9"/>
  <c r="P4" i="9"/>
  <c r="Q4" i="9"/>
  <c r="R4" i="9"/>
  <c r="S4" i="9"/>
  <c r="T4" i="9"/>
  <c r="U4" i="9"/>
  <c r="V4" i="9"/>
  <c r="W4" i="9"/>
  <c r="X4" i="9"/>
  <c r="Y4" i="9"/>
  <c r="B5" i="9"/>
  <c r="C5" i="9"/>
  <c r="D5" i="9"/>
  <c r="E5" i="9"/>
  <c r="F5" i="9"/>
  <c r="G5" i="9"/>
  <c r="H5" i="9"/>
  <c r="I5" i="9"/>
  <c r="J5" i="9"/>
  <c r="K5" i="9"/>
  <c r="L5" i="9"/>
  <c r="M5" i="9"/>
  <c r="N5" i="9"/>
  <c r="O5" i="9"/>
  <c r="P5" i="9"/>
  <c r="Q5" i="9"/>
  <c r="R5" i="9"/>
  <c r="S5" i="9"/>
  <c r="T5" i="9"/>
  <c r="U5" i="9"/>
  <c r="V5" i="9"/>
  <c r="W5" i="9"/>
  <c r="X5" i="9"/>
  <c r="Y5" i="9"/>
  <c r="B6" i="9"/>
  <c r="C6" i="9"/>
  <c r="D6" i="9"/>
  <c r="E6" i="9"/>
  <c r="F6" i="9"/>
  <c r="G6" i="9"/>
  <c r="H6" i="9"/>
  <c r="I6" i="9"/>
  <c r="J6" i="9"/>
  <c r="K6" i="9"/>
  <c r="L6" i="9"/>
  <c r="M6" i="9"/>
  <c r="N6" i="9"/>
  <c r="O6" i="9"/>
  <c r="P6" i="9"/>
  <c r="Q6" i="9"/>
  <c r="R6" i="9"/>
  <c r="S6" i="9"/>
  <c r="T6" i="9"/>
  <c r="U6" i="9"/>
  <c r="V6" i="9"/>
  <c r="W6" i="9"/>
  <c r="X6" i="9"/>
  <c r="Y6" i="9"/>
  <c r="B7" i="9"/>
  <c r="C7" i="9"/>
  <c r="D7" i="9"/>
  <c r="E7" i="9"/>
  <c r="F7" i="9"/>
  <c r="G7" i="9"/>
  <c r="H7" i="9"/>
  <c r="I7" i="9"/>
  <c r="J7" i="9"/>
  <c r="K7" i="9"/>
  <c r="L7" i="9"/>
  <c r="M7" i="9"/>
  <c r="N7" i="9"/>
  <c r="O7" i="9"/>
  <c r="P7" i="9"/>
  <c r="Q7" i="9"/>
  <c r="R7" i="9"/>
  <c r="S7" i="9"/>
  <c r="T7" i="9"/>
  <c r="U7" i="9"/>
  <c r="V7" i="9"/>
  <c r="W7" i="9"/>
  <c r="X7" i="9"/>
  <c r="Y7" i="9"/>
  <c r="B2" i="8"/>
  <c r="C2" i="8"/>
  <c r="D2" i="8"/>
  <c r="E2" i="8"/>
  <c r="F2" i="8"/>
  <c r="G2" i="8"/>
  <c r="H2" i="8"/>
  <c r="I2" i="8"/>
  <c r="J2" i="8"/>
  <c r="K2" i="8"/>
  <c r="L2" i="8"/>
  <c r="M2" i="8"/>
  <c r="N2" i="8"/>
  <c r="O2" i="8"/>
  <c r="P2" i="8"/>
  <c r="Q2" i="8"/>
  <c r="R2" i="8"/>
  <c r="S2" i="8"/>
  <c r="T2" i="8"/>
  <c r="U2" i="8"/>
  <c r="V2" i="8"/>
  <c r="W2" i="8"/>
  <c r="X2" i="8"/>
  <c r="Y2" i="8"/>
  <c r="B3" i="8"/>
  <c r="C3" i="8"/>
  <c r="D3" i="8"/>
  <c r="E3" i="8"/>
  <c r="F3" i="8"/>
  <c r="G3" i="8"/>
  <c r="H3" i="8"/>
  <c r="I3" i="8"/>
  <c r="J3" i="8"/>
  <c r="K3" i="8"/>
  <c r="L3" i="8"/>
  <c r="M3" i="8"/>
  <c r="N3" i="8"/>
  <c r="O3" i="8"/>
  <c r="P3" i="8"/>
  <c r="Q3" i="8"/>
  <c r="R3" i="8"/>
  <c r="S3" i="8"/>
  <c r="T3" i="8"/>
  <c r="U3" i="8"/>
  <c r="V3" i="8"/>
  <c r="W3" i="8"/>
  <c r="X3" i="8"/>
  <c r="Y3" i="8"/>
  <c r="B4" i="8"/>
  <c r="C4" i="8"/>
  <c r="D4" i="8"/>
  <c r="E4" i="8"/>
  <c r="F4" i="8"/>
  <c r="G4" i="8"/>
  <c r="H4" i="8"/>
  <c r="I4" i="8"/>
  <c r="J4" i="8"/>
  <c r="K4" i="8"/>
  <c r="L4" i="8"/>
  <c r="M4" i="8"/>
  <c r="N4" i="8"/>
  <c r="O4" i="8"/>
  <c r="P4" i="8"/>
  <c r="Q4" i="8"/>
  <c r="R4" i="8"/>
  <c r="S4" i="8"/>
  <c r="T4" i="8"/>
  <c r="U4" i="8"/>
  <c r="V4" i="8"/>
  <c r="W4" i="8"/>
  <c r="X4" i="8"/>
  <c r="Y4" i="8"/>
  <c r="B5" i="8"/>
  <c r="C5" i="8"/>
  <c r="D5" i="8"/>
  <c r="E5" i="8"/>
  <c r="F5" i="8"/>
  <c r="G5" i="8"/>
  <c r="H5" i="8"/>
  <c r="I5" i="8"/>
  <c r="J5" i="8"/>
  <c r="K5" i="8"/>
  <c r="L5" i="8"/>
  <c r="M5" i="8"/>
  <c r="N5" i="8"/>
  <c r="O5" i="8"/>
  <c r="P5" i="8"/>
  <c r="Q5" i="8"/>
  <c r="R5" i="8"/>
  <c r="S5" i="8"/>
  <c r="T5" i="8"/>
  <c r="U5" i="8"/>
  <c r="V5" i="8"/>
  <c r="W5" i="8"/>
  <c r="X5" i="8"/>
  <c r="Y5" i="8"/>
  <c r="B6" i="8"/>
  <c r="C6" i="8"/>
  <c r="D6" i="8"/>
  <c r="E6" i="8"/>
  <c r="F6" i="8"/>
  <c r="G6" i="8"/>
  <c r="H6" i="8"/>
  <c r="I6" i="8"/>
  <c r="J6" i="8"/>
  <c r="K6" i="8"/>
  <c r="L6" i="8"/>
  <c r="M6" i="8"/>
  <c r="N6" i="8"/>
  <c r="O6" i="8"/>
  <c r="P6" i="8"/>
  <c r="Q6" i="8"/>
  <c r="R6" i="8"/>
  <c r="S6" i="8"/>
  <c r="T6" i="8"/>
  <c r="U6" i="8"/>
  <c r="V6" i="8"/>
  <c r="W6" i="8"/>
  <c r="X6" i="8"/>
  <c r="Y6" i="8"/>
  <c r="B7" i="8"/>
  <c r="C7" i="8"/>
  <c r="D7" i="8"/>
  <c r="E7" i="8"/>
  <c r="F7" i="8"/>
  <c r="G7" i="8"/>
  <c r="H7" i="8"/>
  <c r="I7" i="8"/>
  <c r="J7" i="8"/>
  <c r="K7" i="8"/>
  <c r="L7" i="8"/>
  <c r="M7" i="8"/>
  <c r="N7" i="8"/>
  <c r="O7" i="8"/>
  <c r="P7" i="8"/>
  <c r="Q7" i="8"/>
  <c r="R7" i="8"/>
  <c r="S7" i="8"/>
  <c r="T7" i="8"/>
  <c r="U7" i="8"/>
  <c r="V7" i="8"/>
  <c r="W7" i="8"/>
  <c r="X7" i="8"/>
  <c r="Y7" i="8"/>
  <c r="B2" i="7"/>
  <c r="C2" i="7"/>
  <c r="D2" i="7"/>
  <c r="E2" i="7"/>
  <c r="F2" i="7"/>
  <c r="G2" i="7"/>
  <c r="H2" i="7"/>
  <c r="I2" i="7"/>
  <c r="J2" i="7"/>
  <c r="K2" i="7"/>
  <c r="L2" i="7"/>
  <c r="M2" i="7"/>
  <c r="N2" i="7"/>
  <c r="O2" i="7"/>
  <c r="P2" i="7"/>
  <c r="Q2" i="7"/>
  <c r="R2" i="7"/>
  <c r="S2" i="7"/>
  <c r="T2" i="7"/>
  <c r="U2" i="7"/>
  <c r="V2" i="7"/>
  <c r="W2" i="7"/>
  <c r="X2" i="7"/>
  <c r="Y2" i="7"/>
  <c r="B3" i="7"/>
  <c r="C3" i="7"/>
  <c r="D3" i="7"/>
  <c r="E3" i="7"/>
  <c r="F3" i="7"/>
  <c r="G3" i="7"/>
  <c r="H3" i="7"/>
  <c r="I3" i="7"/>
  <c r="J3" i="7"/>
  <c r="K3" i="7"/>
  <c r="L3" i="7"/>
  <c r="M3" i="7"/>
  <c r="N3" i="7"/>
  <c r="O3" i="7"/>
  <c r="P3" i="7"/>
  <c r="Q3" i="7"/>
  <c r="R3" i="7"/>
  <c r="S3" i="7"/>
  <c r="T3" i="7"/>
  <c r="U3" i="7"/>
  <c r="V3" i="7"/>
  <c r="W3" i="7"/>
  <c r="X3" i="7"/>
  <c r="Y3" i="7"/>
  <c r="B4" i="7"/>
  <c r="C4" i="7"/>
  <c r="D4" i="7"/>
  <c r="E4" i="7"/>
  <c r="F4" i="7"/>
  <c r="G4" i="7"/>
  <c r="H4" i="7"/>
  <c r="I4" i="7"/>
  <c r="J4" i="7"/>
  <c r="K4" i="7"/>
  <c r="L4" i="7"/>
  <c r="M4" i="7"/>
  <c r="N4" i="7"/>
  <c r="O4" i="7"/>
  <c r="P4" i="7"/>
  <c r="Q4" i="7"/>
  <c r="R4" i="7"/>
  <c r="S4" i="7"/>
  <c r="T4" i="7"/>
  <c r="U4" i="7"/>
  <c r="V4" i="7"/>
  <c r="W4" i="7"/>
  <c r="X4" i="7"/>
  <c r="Y4" i="7"/>
  <c r="B5" i="7"/>
  <c r="C5" i="7"/>
  <c r="D5" i="7"/>
  <c r="E5" i="7"/>
  <c r="F5" i="7"/>
  <c r="G5" i="7"/>
  <c r="H5" i="7"/>
  <c r="I5" i="7"/>
  <c r="J5" i="7"/>
  <c r="K5" i="7"/>
  <c r="L5" i="7"/>
  <c r="M5" i="7"/>
  <c r="N5" i="7"/>
  <c r="O5" i="7"/>
  <c r="P5" i="7"/>
  <c r="Q5" i="7"/>
  <c r="R5" i="7"/>
  <c r="S5" i="7"/>
  <c r="T5" i="7"/>
  <c r="U5" i="7"/>
  <c r="V5" i="7"/>
  <c r="W5" i="7"/>
  <c r="X5" i="7"/>
  <c r="Y5" i="7"/>
  <c r="B6" i="7"/>
  <c r="C6" i="7"/>
  <c r="D6" i="7"/>
  <c r="E6" i="7"/>
  <c r="F6" i="7"/>
  <c r="G6" i="7"/>
  <c r="H6" i="7"/>
  <c r="I6" i="7"/>
  <c r="J6" i="7"/>
  <c r="K6" i="7"/>
  <c r="L6" i="7"/>
  <c r="M6" i="7"/>
  <c r="N6" i="7"/>
  <c r="O6" i="7"/>
  <c r="P6" i="7"/>
  <c r="Q6" i="7"/>
  <c r="R6" i="7"/>
  <c r="S6" i="7"/>
  <c r="T6" i="7"/>
  <c r="U6" i="7"/>
  <c r="V6" i="7"/>
  <c r="W6" i="7"/>
  <c r="X6" i="7"/>
  <c r="Y6" i="7"/>
  <c r="B7" i="7"/>
  <c r="C7" i="7"/>
  <c r="D7" i="7"/>
  <c r="E7" i="7"/>
  <c r="F7" i="7"/>
  <c r="G7" i="7"/>
  <c r="H7" i="7"/>
  <c r="I7" i="7"/>
  <c r="J7" i="7"/>
  <c r="K7" i="7"/>
  <c r="L7" i="7"/>
  <c r="M7" i="7"/>
  <c r="N7" i="7"/>
  <c r="O7" i="7"/>
  <c r="P7" i="7"/>
  <c r="Q7" i="7"/>
  <c r="R7" i="7"/>
  <c r="S7" i="7"/>
  <c r="T7" i="7"/>
  <c r="U7" i="7"/>
  <c r="V7" i="7"/>
  <c r="W7" i="7"/>
  <c r="X7" i="7"/>
  <c r="Y7" i="7"/>
  <c r="E12" i="28"/>
  <c r="D12" i="28"/>
  <c r="E11" i="28"/>
  <c r="D11" i="28"/>
  <c r="E10" i="28"/>
  <c r="D10" i="28"/>
  <c r="E9" i="28"/>
  <c r="D9" i="28"/>
  <c r="E8" i="28"/>
  <c r="D8" i="28"/>
  <c r="C8" i="2"/>
  <c r="D5" i="2" s="1"/>
  <c r="D6" i="2" l="1"/>
  <c r="D7" i="2"/>
  <c r="B10" i="2" l="1"/>
  <c r="B12" i="2" s="1"/>
  <c r="B13" i="2" s="1"/>
</calcChain>
</file>

<file path=xl/sharedStrings.xml><?xml version="1.0" encoding="utf-8"?>
<sst xmlns="http://schemas.openxmlformats.org/spreadsheetml/2006/main" count="878" uniqueCount="150">
  <si>
    <t>ELCCAfR Effective Load Carrying Capability Adjustment for Reliability - per (tech, slice, hour)</t>
  </si>
  <si>
    <t>Sources:</t>
  </si>
  <si>
    <t>Hourly VRE output at pinned peak days (regional statistic for solar PV, onshore wind and offshore wind; solar thermal national)</t>
  </si>
  <si>
    <t>NREL</t>
  </si>
  <si>
    <t>NREL Cambium Scenarios 2024</t>
  </si>
  <si>
    <t>2024</t>
  </si>
  <si>
    <t>https://www.nrel.gov/analysis/cambium.html (downloads: https://scenarioviewer.nrel.gov)</t>
  </si>
  <si>
    <t>MidCase scenario, weather year 2012, hourly (timestamps in Eastern Time), 2025 model year. SOLAR PV and ONSHORE WIND (regional statistic, changed 2026-09-24): the 133 balancing-area files Cambium24_MidCase_hourly_p&lt;NNN&gt;_2025.csv (Cambium24_MidCase_hourly_balancingArea.zip), aggregated to the 18 Cambium 'gea' regions listed in each file's header (CAISO, ERCOT, FRCC, ISONE, MISO_Central/North/South, NYISO, NorthernGrid_East/South/West, PJM_East/West, SERTP, SPP_North/South, WestConnect_North/South), together with the national file for the denominator. Gate: the 133 balancing areas sum to the national file within 1 MWh at every pinned hour. Nameplate capacity cancels out of the ratio, so hourly generation (MWh) is used in place of capacity factors. The raw hourly files are not pasted into this workbook (see the No raw source tabs note). Vintage history: Cambium22 -&gt; Cambium24 on 2026-08-26 (Megan); state models stay on Cambium22 and are not interchangeable with this national file (see Deployment).</t>
  </si>
  <si>
    <t>Exceptions - offshore wind (later model year) and solar thermal (Cambium 2022)</t>
  </si>
  <si>
    <t>NREL Cambium Scenarios 2024 (offshore wind) / 2022 (solar thermal)</t>
  </si>
  <si>
    <t>2024 / 2022</t>
  </si>
  <si>
    <t>OFFSHORE WIND: same file family and method as above, but the 2040 model year (Cambium24_MidCase_hourly_usa_2040.csv, ~50 GW national offshore fleet). A later model year is required because the near-term offshore fleet is too small for the statistic to describe resource behaviour rather than single-site weather: the Cambium24 2025 offshore fleet is 1.7 GW, versus 50.3 GW in 2040. Every Cambium model year shares the 2012 weather year, so the pinned peak days line up across model years and the method is otherwise unchanged. SOLAR THERMAL: computed from Cambium22_MidCase_hourly_usa_2024.csv, because Cambium24 has no usable CSP fleet in any model year or scenario - 59 MW in MidCase (zero generating hours in 2025), 163 MW in the most CSP-heavy Cambium24 scenario, and zero in Cambium23 - whereas Cambium22 carries 1,323 MW across CA (918), AZ (296) and NV (110), flat from 2024 through 2040. The statistic, pinned days and degenerate/cap rules are identical to the other techs; only the source vintage differs. Solar thermal is immaterial in the national model regardless: BHRaSYC-StartYearCapacities gives it zero capacity.</t>
  </si>
  <si>
    <t>Pinned peak-day identities (which days count as Summer Peak / Winter Peak)</t>
  </si>
  <si>
    <t>Energy Innovation - EPS SHELF timeslice pipeline (internal)</t>
  </si>
  <si>
    <t>SHELF-days-per-timeslice.csv and "Seasonal Hourly Equipment Load Factors by End Use.xlsx" (Daily Summary tab), InputData/elec/SHELF</t>
  </si>
  <si>
    <t>2026</t>
  </si>
  <si>
    <t>n/a (internal model input; built by the state-data-pipeline SHELF builder)</t>
  </si>
  <si>
    <t>K6/H24 representative-day clustering on Cambium net load assigns each day-of-year to one of the six timeslices; the Summer Peak and Winter Peak day sets define the days the exceedance statistics run over. These identities must come from the same pipeline run vintage as the deployed SHELF/SYSHECF files, or the statistic is taken over the wrong days.</t>
  </si>
  <si>
    <t>Firm/dispatchable source values (all output tabs except solar, wind, and demand-altering)</t>
  </si>
  <si>
    <t>Energy Innovation - internal calibration (not computed from Cambium data)</t>
  </si>
  <si>
    <t>Demand-altering technologies ELCC target (grid batteries, demand response, pumped hydro accreditation)</t>
  </si>
  <si>
    <t>PJM Interconnection</t>
  </si>
  <si>
    <t>ELCC Class Ratings for the 2026/2027 Base Residual Auction</t>
  </si>
  <si>
    <t>https://www.pjm.com/-/media/DotCom/planning/res-adeq/elcc/2026-27-bra-elcc-class-ratings.pdf (accessed September 22, 2026)</t>
  </si>
  <si>
    <t>US pumped hydro fleet capacity (pool-weight input to the demand-altering ELCC blend)</t>
  </si>
  <si>
    <t>EIA</t>
  </si>
  <si>
    <t>Preliminary Monthly Electric Generator Inventory (EIA-860M), July 2026 edition, Operating tab</t>
  </si>
  <si>
    <t>https://www.eia.gov/electricity/data/eia860m/ (accessed September 22, 2026)</t>
  </si>
  <si>
    <t>23.0 GW net summer pumped storage fleet (150 units; essentially unchanged since ~2000). Used with EPS BAU pool sizes (2028 grid battery fleet and demand response capacity) to weight the accreditation blend on the DAT-derivation tab.</t>
  </si>
  <si>
    <t>Notes:</t>
  </si>
  <si>
    <t>Concept</t>
  </si>
  <si>
    <t>Per-cell capacity-adequacy derate. Multiplied with SYSHECF in the reliability calculation, NOT in dispatch. Cells = 1.0 mean no derate (full SYSHECF contribution). Cells &lt; 1.0 mean VRE output at that hour-of-day is uncertain across pinned peak days.</t>
  </si>
  <si>
    <t>Methodology</t>
  </si>
  <si>
    <t>SOLAR THERMAL only (national statistic): per (slice, hour) cell, ELCCAfR = 70%-exceedance output / mean output across the pinned peak days at that hour-of-day (70% exceedance = the 30th percentile of the pinned-day sample, linearly interpolated), both statistics at the same hour-of-day. SOLAR PV, ONSHORE WIND and OFFSHORE WIND (regional statistic, adopted 2026-09-24 - see the dedicated note below): at each hour-of-day, the 30th percentile across the pinned days is taken separately for each of the 18 Cambium GEA regions, those 18 regional values are ADDED, and the sum is divided by the NATIONAL mean output at that hour (which equals the sum of the regional means, since the balancing areas add up to the national file). In words: the national method takes the bad day of the national total; the regional method takes the sum of each region's own bad day. The second is always lower, and the gap is the inter-regional diversity benefit that only unlimited transmission could deliver. Day pool: identical for both methods - only the pinned Summer Peak (11) and Winter Peak (10) days; a region's 'bad day' is its 30th-percentile day WITHIN that pool, not its worst day of the year, and the pool itself is pinned on national net load. The 70% exceedance level (adopted 2026-08-26, replacing a minimum-CF numerator that is a ~96% exceedance standard no accreditation framework uses) follows the CPUC Slice-of-Day resource-adequacy framework (D.23-04-010, levels updated per D.24-06-004); verify the exact exceedance language against D.23-04-010 before any external use. Degenerate cells (negligible mean output, e.g. solar overnight) are 1.0. Cells are capped at 1.0: a percentile numerator can exceed the mean on a left-skewed sample and ELCCAfR is a derate, never a bonus. Model years: solar PV and onshore wind Cambium24 2025; offshore wind Cambium24 2040; solar thermal Cambium22 2024 (see Sources).</t>
  </si>
  <si>
    <t>Slice coverage</t>
  </si>
  <si>
    <t>Summer Peak and Winter Peak are computed per-hour from the pinned days. The four non-peak slices (Winter, Spring, Summer, Fall) are 1.0 across all hours: adequacy is not binding outside the peak slices, and non-peak ELCCAfR = 1.0 prevents incorrectly derating VRE for dispatch at midday.</t>
  </si>
  <si>
    <t>No raw source tabs</t>
  </si>
  <si>
    <t>Unlike most EPS input workbooks, the raw Cambium hourly files (8,760 rows x ~78 columns per model year; 133 files per model year at balancing-area resolution) are not pasted into source tabs here, and the VRE output tabs hold values rather than formulas. Solar thermal values are produced by recompute_elccafr_national.py; solar PV, onshore and offshore wind values by optionA_c24.py (both kept in the ELCC tooling folder and in eps-us _claude/scratch/elcc-geo). Both scripts read the pinned day-of-year to timeslice assignment from the pasted Cambium hourly source tab of the deployed SHELF workbook. Gates run on every execution: recompute_elccafr_national.py verifies that reading the Cambium24 2025 CSV reproduces that SHELF tab cell-for-cell (48/48 per tech); optionA_c24.py verifies (1) that the 133 balancing-area files sum to the national file within 1 MWh at every pinned hour and (2) that its own national-P30 recomputation reproduces the deployed solar PV CSV to 4 dp. The state-data-pipeline ELCCAfR builder does not reproduce these national values (the states remain on Cambium22 and a national min/mean statistic). The PREVIOUSLY deployed (pre-2026-08-26) national values could not be reproduced from any pinned-day set in this repo: they were computed on a 27-summer / 20-winter-peak-day clustering (commit 5243d9fe) while the deployed SHELF has carried 11 / 10 since commit 6fdfe6dd - stale against their own pinned days. The per-state workbooks carry pasted pinned-day source tabs and live MIN/AVERAGE formulas - see any state ELCCAfR workbook in state-eps-data-repository.</t>
  </si>
  <si>
    <t>Deployment</t>
  </si>
  <si>
    <t>CHANGED 2026-08-26: this national file is NO LONGER byte-identical to the state ELCCAfR files and must not be synced over them. National uses Cambium24 (except solar thermal, on Cambium22 for lack of a Cambium24 CSP fleet); state models stay on Cambium22, which retains the state disaggregation Cambium24 does not provide (Megan, 2026-08-26). Previously all 50 state ELCCAfR-offshore-wind.csv files inherited this file unchanged (state-eps-data-repository commit 08659643df). Any model-sync step that copies the national ELCCAfR folder into state input trees needs to be updated to exclude it, or states will silently pick up the Cambium24 national values. The state files also still carry the min/mean statistic; converting them to 70% exceedance on their Cambium22 basis is separate work.</t>
  </si>
  <si>
    <t>Method: the deployed value is set so that ELCC times the 0.9 demand-altering RAF equals a blend of market capacity accreditation across the credited flexible pool - PJM 2026/27 class ratings weighted by the approximate 2028 US BAU pool (57 percent grid batteries, 31 percent demand response incl. electrolyzer flexibility, 11 percent pumped hydro at binding-hour availability). All arithmetic is live formulas on the DAT-derivation tab; the ELCCAfR-demand-altering-techs output tab reads that result by formula. Caveats: PJM ratings reflect one RTO and are revised each auction; the blend uses static 2028 weights while the pool shifts toward batteries over time (implied value drifts toward ~0.55 by the 2040s).</t>
  </si>
  <si>
    <t>VRE regional statistic (2026-09-24)</t>
  </si>
  <si>
    <t>WHAT CHANGED: the Summer Peak and Winter Peak rows of ELCCAfR-solar-pv, ELCCAfR-onshore-wind and ELCCAfR-offshore-wind were recomputed with the regional statistic described under Methodology (one treatment for all VRE; Megan 2026-09-24); solar thermal (Cambium22 basis, zero BAU capacity) and all other tabs are unchanged. SOLAR PV is barely affected at the hours that matter: at Summer Peak Hour20 the regional value is 0.794 vs 0.791 national, because solar's inter-regional diversity is mostly time-zone structure (present every day) rather than weather, so each region's P30 sits near its own mean; the larger drops are at Hour21 (0.79 -&gt; 0.50, where solar output is ~0) and in Winter Peak mornings (Hour7-8 0.92 -&gt; 0.74), which do not bind. WHY: the EPS models the US as a single region with no transmission limits, and a national P30 credits wind for calm days in one region being offset by windy days in another - a diversity benefit the real grid cannot fully deliver (wind in the Plains cannot serve a calm evening in California). Summing each region's own P30 at the same hour removes that inter-regional smoothing while keeping every value at one hour on one clock (all Cambium24 timestamps are Eastern Time). DATA: Cambium24 MidCase hourly balancing-area files (Cambium24_MidCase_hourly_balancingArea.zip, downloaded 2026-09-23 from scenarioviewer.nrel.gov), aggregated by the 'gea' field in each file's header to the 18 GEA regions; 2025 model year for onshore, 2040 for offshore, as before. EFFECT: onshore wind Summer Peak Hour20 (the binding hour) 0.9335 -&gt; 0.8029; Winter Peak Hour20 0.81 -&gt; 0.68; offshore wind falls further but has ~6 GW of BAU capacity and is immaterial. Diversity ACROSS DAYS within a region is retained. In a US BAU test run (eps-us HEAD e147e53f basis, 2026-09-23) nothing changed before 2033 (capacity market not binding); afterwards the reliability channel buys more gas and batteries and less wind (2050 onshore wind 564 -&gt; 449 GW, gas CC +56 GW, batteries +26 GW). NOT CAPTURED: regions peak at different hours (e.g. CAISO ~3 hours after the Eastern peak) and the pinned peak days are chosen on national net load; a regional peak-timing correction would require a regional reliability check in the model, not a data change. Balancing-area resolution (133 regions, no transmission even within an ISO) was computed as a lower bound (Hour20 0.75) and not adopted. STATE MODELS are single regions and keep their own Cambium22 national-style statistic; this change does not apply to them. Reviewed by: (pending) - Robbie's recorded view of 2026-09-22 was that the national P30 should stand; the argument here is not the percentile but the free-transmission assumption embedded in the national aggregate.</t>
  </si>
  <si>
    <t>Step 1 - Market accreditation by resource class, weighted by the EPS credited pool</t>
  </si>
  <si>
    <t>Resource</t>
  </si>
  <si>
    <t>Market accreditation</t>
  </si>
  <si>
    <t>EPS credited pool (GW)</t>
  </si>
  <si>
    <t>Pool share used (rounded)</t>
  </si>
  <si>
    <t>4-hour battery storage</t>
  </si>
  <si>
    <t>Demand response</t>
  </si>
  <si>
    <t>Pumped hydro (10-hr storage class rating)</t>
  </si>
  <si>
    <t>Total</t>
  </si>
  <si>
    <t>Step 2 - Blended effective credit target (sum of rating x share)</t>
  </si>
  <si>
    <t>Step 3 - RAF for demand-altering technologies (already applied separately in the model; see InputData/elec/RAF/RAF-demand-altering-techs.csv)</t>
  </si>
  <si>
    <t>Step 4 - ELCC value so that ELCC x RAF = blended target</t>
  </si>
  <si>
    <t>Sources and methodology notes: About tab (Sources and Notes sections).</t>
  </si>
  <si>
    <t>Pool GW basis: 2028 US BAU post 2026-09-22 planned-build refresh (batteries = grid battery fleet; DR = DRC input + electrolyzers; pumped hydro = 23.0 GW x ~0.65 binding-hour availability).</t>
  </si>
  <si>
    <t>solar pv</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</si>
  <si>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</si>
  <si>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</si>
  <si>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</si>
  <si>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</si>
  <si>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</si>
  <si>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</si>
  <si>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</si>
  <si>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</si>
  <si>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</si>
  <si>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</si>
  <si>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</si>
  <si>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</si>
  <si>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</si>
  <si>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</si>
  <si>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</si>
  <si>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</si>
  <si>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</si>
  <si>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</si>
  <si>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</si>
  <si>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</si>
  <si>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</si>
  <si>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</si>
  <si>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</si>
  <si>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</si>
  <si>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solar thermal</t>
  </si>
  <si>
    <t>onshore wind</t>
  </si>
  <si>
    <t>offshore wind</t>
  </si>
  <si>
    <t>municipal solid waste</t>
  </si>
  <si>
    <t>small modular reactor</t>
  </si>
  <si>
    <t>biomass w CCS</t>
  </si>
  <si>
    <t>biomass</t>
  </si>
  <si>
    <t>natural gas combined cycle w CCS</t>
  </si>
  <si>
    <t>natural gas combined cycle</t>
  </si>
  <si>
    <t>crude oil</t>
  </si>
  <si>
    <t>Unit: dimensionless (ELCC fraction at hour)</t>
  </si>
  <si>
    <t>geothermal</t>
  </si>
  <si>
    <t>hard coal w CCS</t>
  </si>
  <si>
    <t>hard coal</t>
  </si>
  <si>
    <t>heavy or residual fuel oil</t>
  </si>
  <si>
    <t>hydro</t>
  </si>
  <si>
    <t>hydrogen combined cycle</t>
  </si>
  <si>
    <t>hydrogen combustion turbine</t>
  </si>
  <si>
    <t>lignite w CCS</t>
  </si>
  <si>
    <t>lignite</t>
  </si>
  <si>
    <t>natural gas peaker</t>
  </si>
  <si>
    <t>nuclear</t>
  </si>
  <si>
    <t>petroleum</t>
  </si>
  <si>
    <t>natural gas steam turbine</t>
  </si>
  <si>
    <t>Derivation of the firm/dispatchable (thermal) ELCC value (revised 2026-09-30)</t>
  </si>
  <si>
    <t>Deployed value (feeds every thermal ELCCAfR tab by formula; hydro excluded)</t>
  </si>
  <si>
    <t>Previous value (2026-08-19 to 2026-09-30)</t>
  </si>
  <si>
    <t>Combined reliability credit for MCF-path plants = MCF x RAF x ELCCAfR (2026 inputs)</t>
  </si>
  <si>
    <t>Plant type</t>
  </si>
  <si>
    <t>MCF (MCF.csv)</t>
  </si>
  <si>
    <t>RAF (RAF-generation.csv, deployed)</t>
  </si>
  <si>
    <t>Credit at previous ELCC</t>
  </si>
  <si>
    <t>Credit at deployed ELCC</t>
  </si>
  <si>
    <t>NERC GADS 1-EFORd, 2020-24 class average</t>
  </si>
  <si>
    <t>0.887-0.902</t>
  </si>
  <si>
    <t>0.910 (GT 50+ MW)</t>
  </si>
  <si>
    <t>0.860-0.910</t>
  </si>
  <si>
    <t>0.751-0.878</t>
  </si>
  <si>
    <t>Natural gas peaker RAF was 0.8 until 2026-09-30 (credit at the previous ELCC and RAF = 0.95 x 0.8 x 0.90 = 0.684).</t>
  </si>
  <si>
    <t>Nuclear, SMR, biomass, MSW and geothermal use the SYSHECF path (BDTPTUMCF = 0), so their combined credit is SYSHECF-based and is not shown here.</t>
  </si>
  <si>
    <t>Hydro stays at 0.90: its derate reflects water limits, not forced outages.</t>
  </si>
  <si>
    <t>Benchmark source: NERC GADS EFORd class averages, 5-year 2020-2024 (ISO-NE compilation, updated 2026-03-12). 1-EFORd is the UCAP convention used by PJM, MISO and ISO-NE.</t>
  </si>
  <si>
    <t>Sources and methodology notes: About tab (Firm/dispatchable ELCC note, 2026-09-30).</t>
  </si>
  <si>
    <t>Derivation of the demand-altering technologies ELCC value (PJM blend deployed 2026-09-22; SUPERSEDED 2026-09-30, see row 19 onward)</t>
  </si>
  <si>
    <t>Previous deployed value (2026-09-22 to 2026-09-30, superseded)</t>
  </si>
  <si>
    <t>Revision 2026-09-30: residual-risk factor applied on top of energy-limited dispatch</t>
  </si>
  <si>
    <t>Binding-hour delivery of the credited pool before ELCC, share of nameplate (low)</t>
  </si>
  <si>
    <t>Binding-hour delivery of the credited pool before ELCC, share of nameplate (high)</t>
  </si>
  <si>
    <t>Range supported by residual risks not captured in dispatch (low)</t>
  </si>
  <si>
    <t>Range supported by residual risks not captured in dispatch (high)</t>
  </si>
  <si>
    <t>Deployed value: the value within B22:B23 at which the 2025 fleet meets the reliability requirement (base-year consistency check); feeds the ELCCAfR-demand-altering-techs tab</t>
  </si>
  <si>
    <t>Effective credit of the pool in the binding hour, low (= B20 x B24)</t>
  </si>
  <si>
    <t>Effective credit of the pool in the binding hour, high (= B21 x B24)</t>
  </si>
  <si>
    <t>Summer-risk whole-resource benchmarks (share of nameplate): ERCOT summer-evening 4-hr storage ~0.55; SPP summer storage 0.82-1.00 at low penetration; E3 study for SPP, limited-call DR 0.83 in summer; NREL, near-full peak credit for the first tens of GW of storage nationally. The effective credit in B25:B26 sits at or below the low end.</t>
  </si>
  <si>
    <t>Why the PJM class ratings (rows 3-13) are no longer used: they are mainly duration discounts driven by PJM's winter-dominated risk; applying them to an already energy-limited dispatch counts duration twice. Rows 3-13 are kept as a record.</t>
  </si>
  <si>
    <t>All firm/dispatchable and demand-altering tabs are hard-coded to a flat 0.90, set via calibration to align expected capacity payments (2026-08-19; eps-us commit be4a8b08 "Bring ELCCAfR values for non-wind and solar down to 0.9 to align expected capacity payments"). These tabs exist so every ELCCAfR CSV has a matching output tab. NOTE 2026-09-22: the demand-altering tab no longer uses this flat 0.90; it is re-derived from market accreditation (see the PJM source entry below and the DAT-derivation tab). Firm/dispatchable tabs remain 0.90. UPDATE 2026-09-30: all firm/dispatchable tabs except hydro are now 0.98, read by formula from the Thermal-derivation tab (see the Firm/dispatchable ELCC note below); hydro remains 0.90. The demand-altering tab now reads row 24 of DAT-derivation (0.82).</t>
  </si>
  <si>
    <t>SUPERSEDED 2026-09-30 (kept as a record; see the Demand-altering ELCC revision note). Class ratings used: 4-hr Storage 50 percent, Demand Resource 69 percent, 10-hr Storage 72 percent (proxy for pumped hydro). Blended on the DAT-derivation tab into the flat 0.64 deployed on the demand-altering tab. PJM revises class ratings each auction - re-check before reuse. Supporting reference on storage ELCC declining with penetration: CPUC/Astrape battery ELCC analysis, 2019-20 IRP.</t>
  </si>
  <si>
    <t>Demand-altering ELCC (2026-09-22, SUPERSEDED 2026-09-30)</t>
  </si>
  <si>
    <t>Demand-altering ELCC (revised 2026-09-30)</t>
  </si>
  <si>
    <t>0.82. This factor applies to the net-peak-hour demand reduction that EPS dispatches from grid batteries, demand response and pumped hydro. That reduction is already energy-limited (stored and shiftable energy is spread across the peak day's above-average hours), and battery availability is already derated by the 0.9 demand-altering RAF. The factor therefore represents only residual risks not captured in dispatch: demand-response delivery below enrolled capacity, depletion across consecutive peak days, and peak-timing uncertainty. PJM ELCC class ratings (the previous basis) are mainly duration discounts for PJM's winter-dominated risk and are not used, because applying them to an energy-limited dispatch would count duration twice. Summer-risk accreditation evidence (ERCOT summer-evening 4-hr storage about 55%, SPP summer storage 82-100% at low penetration, E3/SPP summer DR 83%, NREL national storage peaking-capacity analysis) places whole-resource credit at roughly 55-100% of nameplate. With this factor, the EPS pool is credited at about 37-45% of nameplate in the binding hour. Within the 0.8-0.95 range supported by these residual risks, 0.82 is the value at which the 2025 fleet meets the reliability requirement. A flat factor does not capture the decline in storage capacity value with penetration; a penetration-dependent factor is planned. Arithmetic on the DAT-derivation tab, rows 19-28. Wording drafted by Robbie; full citations for the ERCOT, SPP, E3 and NREL sources to be added.</t>
  </si>
  <si>
    <t>Firm/dispatchable ELCC (revised 2026-09-30)</t>
  </si>
  <si>
    <t>DRAFT for review. 0.98 for every firm/dispatchable source except hydro (fossil, nuclear, SMR, biomass, MSW, geothermal, CCS and hydrogen types); hydro stays at 0.90 because its derate reflects water limits, not forced outages. For MCF-path plants the reliability credit is MCF x RAF x ELCCAfR, so forced outages and regional availability are already derated by MCF (0.85-0.95) and RAF before this factor applies. At the previous 0.90, the combined credit for gas combined cycle and steam turbines was 0.77, below the NERC GADS 1-EFORd class averages of 0.89-0.95 (2020-2024), which counted outage risk twice. At 0.98 it is 0.84, still at or below those benchmarks, so ELCCAfR now covers only residual risks not captured in MCF or RAF, such as ambient-temperature derates at the summer peak and common-mode fuel-supply risk. Nuclear, SMR, biomass, MSW and geothermal are on the SYSHECF path, so their combined credit is SYSHECF-based; nuclear remains below its 0.975-0.984 benchmark. Arithmetic on the Thermal-derivation tab. Value from Robbie's sandbox setting (2026-09-30); rationale drafted from the NERC GADS benchmarks and pending Robbie's review.</t>
  </si>
  <si>
    <t>Representative Day 1</t>
  </si>
  <si>
    <t>Representative Day 2</t>
  </si>
  <si>
    <t>Representative Day 3</t>
  </si>
  <si>
    <t>Representative Day 4</t>
  </si>
  <si>
    <t>Net Peak Summer Day</t>
  </si>
  <si>
    <t>Net Peak Winter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</si>
</sst>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name val="Calibri"/>
      <family val="2"/>
    </font>
    <font>
      <sz val="11"/>
      <name val="Calibri"/>
      <family val="2"/>
    </font>
    <font>
      <b/>
      <sz val="11"/>
      <name val="Calibri"/>
      <family val="2"/>
    </font>
    <font>
      <b/>
      <sz val="11"/>
      <color theme="1"/>
      <name val="Calibri"/>
      <family val="2"/>
      <scheme val="minor"/>
    </font>
  </fonts>
  <fills count="6">
    <fill>
      <patternFill patternType="none"/>
    </fill>
    <fill>
      <patternFill patternType="gray125"/>
    </fill>
    <fill>
      <patternFill patternType="solid">
        <fgColor rgb="FFD9E1F2"/>
        <bgColor rgb="FFD9E1F2"/>
      </patternFill>
    </fill>
    <fill>
      <patternFill patternType="solid">
        <fgColor rgb="FFF8CBAD"/>
        <bgColor rgb="FFF8CBAD"/>
      </patternFill>
    </fill>
    <fill>
      <patternFill patternType="solid">
        <fgColor rgb="FFFFD966"/>
        <bgColor rgb="FFFFD966"/>
      </patternFill>
    </fill>
    <fill>
      <patternFill patternType="solid">
        <fgColor rgb="FFD9E1F2"/>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9">
    <xf numFmtId="0" fontId="0" fillId="0" borderId="0" xfId="0"/>
    <xf numFmtId="0" fontId="1" fillId="0" borderId="0" xfId="0" applyFont="1"/>
    <xf numFmtId="0" fontId="1" fillId="2" borderId="0" xfId="0" applyFont="1" applyFill="1"/>
    <xf numFmtId="0" fontId="1" fillId="2" borderId="0" xfId="0" applyFont="1" applyFill="1" applyAlignment="1">
      <alignment horizontal="center"/>
    </xf>
    <xf numFmtId="0" fontId="1" fillId="0" borderId="1" xfId="0" applyFont="1" applyBorder="1"/>
    <xf numFmtId="0" fontId="0" fillId="0" borderId="1" xfId="0" applyBorder="1" applyAlignment="1">
      <alignment horizontal="center"/>
    </xf>
    <xf numFmtId="0" fontId="1" fillId="3" borderId="1" xfId="0" applyFont="1" applyFill="1" applyBorder="1"/>
    <xf numFmtId="0" fontId="0" fillId="4" borderId="1" xfId="0" applyFill="1" applyBorder="1" applyAlignment="1">
      <alignment horizontal="center"/>
    </xf>
    <xf numFmtId="0" fontId="1" fillId="5" borderId="0" xfId="0" applyFont="1" applyFill="1"/>
    <xf numFmtId="0" fontId="3" fillId="0" borderId="0" xfId="0" applyFont="1"/>
    <xf numFmtId="0" fontId="2" fillId="0" borderId="0" xfId="0" applyFont="1"/>
    <xf numFmtId="0" fontId="3"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wrapText="1"/>
    </xf>
    <xf numFmtId="164" fontId="0" fillId="0" borderId="0" xfId="0" applyNumberFormat="1"/>
    <xf numFmtId="0" fontId="4" fillId="0" borderId="0" xfId="0" applyFont="1"/>
    <xf numFmtId="0" fontId="4"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topLeftCell="A42" workbookViewId="0">
      <selection activeCell="B50" sqref="B50"/>
    </sheetView>
  </sheetViews>
  <sheetFormatPr defaultRowHeight="15" x14ac:dyDescent="0.25"/>
  <cols>
    <col min="1" max="1" width="14" customWidth="1"/>
    <col min="2" max="2" width="110" customWidth="1"/>
  </cols>
  <sheetData>
    <row r="1" spans="1:5" x14ac:dyDescent="0.25">
      <c r="A1" s="1" t="s">
        <v>0</v>
      </c>
      <c r="B1" s="10"/>
      <c r="C1" s="10"/>
      <c r="D1" s="10"/>
      <c r="E1" s="10"/>
    </row>
    <row r="2" spans="1:5" x14ac:dyDescent="0.25">
      <c r="A2" s="10"/>
      <c r="B2" s="10"/>
      <c r="C2" s="10"/>
      <c r="D2" s="10"/>
      <c r="E2" s="10"/>
    </row>
    <row r="3" spans="1:5" ht="30" x14ac:dyDescent="0.25">
      <c r="A3" s="9" t="s">
        <v>1</v>
      </c>
      <c r="B3" s="11" t="s">
        <v>2</v>
      </c>
      <c r="C3" s="10"/>
      <c r="D3" s="10"/>
      <c r="E3" s="10"/>
    </row>
    <row r="4" spans="1:5" x14ac:dyDescent="0.25">
      <c r="A4" s="10"/>
      <c r="B4" s="12" t="s">
        <v>3</v>
      </c>
      <c r="C4" s="10"/>
      <c r="D4" s="10"/>
      <c r="E4" s="10"/>
    </row>
    <row r="5" spans="1:5" x14ac:dyDescent="0.25">
      <c r="A5" s="10"/>
      <c r="B5" s="12" t="s">
        <v>4</v>
      </c>
      <c r="C5" s="10"/>
      <c r="D5" s="10"/>
      <c r="E5" s="10"/>
    </row>
    <row r="6" spans="1:5" x14ac:dyDescent="0.25">
      <c r="A6" s="10"/>
      <c r="B6" s="12" t="s">
        <v>5</v>
      </c>
      <c r="C6" s="10"/>
      <c r="D6" s="10"/>
      <c r="E6" s="10"/>
    </row>
    <row r="7" spans="1:5" x14ac:dyDescent="0.25">
      <c r="A7" s="10"/>
      <c r="B7" s="12" t="s">
        <v>6</v>
      </c>
      <c r="C7" s="10"/>
      <c r="D7" s="10"/>
      <c r="E7" s="10"/>
    </row>
    <row r="8" spans="1:5" ht="75" customHeight="1" x14ac:dyDescent="0.25">
      <c r="A8" s="10"/>
      <c r="B8" s="12" t="s">
        <v>7</v>
      </c>
      <c r="C8" s="10"/>
      <c r="D8" s="10"/>
      <c r="E8" s="10"/>
    </row>
    <row r="9" spans="1:5" x14ac:dyDescent="0.25">
      <c r="A9" s="10"/>
      <c r="B9" s="10"/>
      <c r="C9" s="10"/>
      <c r="D9" s="10"/>
      <c r="E9" s="10"/>
    </row>
    <row r="10" spans="1:5" x14ac:dyDescent="0.25">
      <c r="A10" s="10"/>
      <c r="B10" s="11" t="s">
        <v>8</v>
      </c>
      <c r="C10" s="10"/>
      <c r="D10" s="10"/>
      <c r="E10" s="10"/>
    </row>
    <row r="11" spans="1:5" x14ac:dyDescent="0.25">
      <c r="A11" s="10"/>
      <c r="B11" s="12" t="s">
        <v>3</v>
      </c>
      <c r="C11" s="10"/>
      <c r="D11" s="10"/>
      <c r="E11" s="10"/>
    </row>
    <row r="12" spans="1:5" x14ac:dyDescent="0.25">
      <c r="A12" s="10"/>
      <c r="B12" s="12" t="s">
        <v>9</v>
      </c>
      <c r="C12" s="10"/>
      <c r="D12" s="10"/>
      <c r="E12" s="10"/>
    </row>
    <row r="13" spans="1:5" x14ac:dyDescent="0.25">
      <c r="A13" s="10"/>
      <c r="B13" s="12" t="s">
        <v>10</v>
      </c>
      <c r="C13" s="10"/>
      <c r="D13" s="10"/>
      <c r="E13" s="10"/>
    </row>
    <row r="14" spans="1:5" x14ac:dyDescent="0.25">
      <c r="A14" s="10"/>
      <c r="B14" s="12" t="s">
        <v>6</v>
      </c>
      <c r="C14" s="10"/>
      <c r="D14" s="10"/>
      <c r="E14" s="10"/>
    </row>
    <row r="15" spans="1:5" ht="75" customHeight="1" x14ac:dyDescent="0.25">
      <c r="A15" s="10"/>
      <c r="B15" s="12" t="s">
        <v>11</v>
      </c>
      <c r="C15" s="10"/>
      <c r="D15" s="10"/>
      <c r="E15" s="10"/>
    </row>
    <row r="16" spans="1:5" x14ac:dyDescent="0.25">
      <c r="A16" s="10"/>
      <c r="B16" s="10"/>
      <c r="C16" s="10"/>
      <c r="D16" s="10"/>
      <c r="E16" s="10"/>
    </row>
    <row r="17" spans="1:5" x14ac:dyDescent="0.25">
      <c r="A17" s="10"/>
      <c r="B17" s="11" t="s">
        <v>12</v>
      </c>
      <c r="C17" s="10"/>
      <c r="D17" s="10"/>
      <c r="E17" s="10"/>
    </row>
    <row r="18" spans="1:5" x14ac:dyDescent="0.25">
      <c r="A18" s="10"/>
      <c r="B18" s="12" t="s">
        <v>13</v>
      </c>
      <c r="C18" s="10"/>
      <c r="D18" s="10"/>
      <c r="E18" s="10"/>
    </row>
    <row r="19" spans="1:5" ht="30" customHeight="1" x14ac:dyDescent="0.25">
      <c r="A19" s="10"/>
      <c r="B19" s="12" t="s">
        <v>14</v>
      </c>
      <c r="C19" s="10"/>
      <c r="D19" s="10"/>
      <c r="E19" s="10"/>
    </row>
    <row r="20" spans="1:5" x14ac:dyDescent="0.25">
      <c r="A20" s="10"/>
      <c r="B20" s="12" t="s">
        <v>15</v>
      </c>
      <c r="C20" s="10"/>
      <c r="D20" s="10"/>
      <c r="E20" s="10"/>
    </row>
    <row r="21" spans="1:5" x14ac:dyDescent="0.25">
      <c r="A21" s="10"/>
      <c r="B21" s="12" t="s">
        <v>16</v>
      </c>
      <c r="C21" s="10"/>
      <c r="D21" s="10"/>
      <c r="E21" s="10"/>
    </row>
    <row r="22" spans="1:5" ht="45" customHeight="1" x14ac:dyDescent="0.25">
      <c r="A22" s="10"/>
      <c r="B22" s="12" t="s">
        <v>17</v>
      </c>
      <c r="C22" s="10"/>
      <c r="D22" s="10"/>
      <c r="E22" s="10"/>
    </row>
    <row r="23" spans="1:5" x14ac:dyDescent="0.25">
      <c r="A23" s="10"/>
      <c r="B23" s="10"/>
      <c r="C23" s="10"/>
      <c r="D23" s="10"/>
      <c r="E23" s="10"/>
    </row>
    <row r="24" spans="1:5" x14ac:dyDescent="0.25">
      <c r="A24" s="10"/>
      <c r="B24" s="11" t="s">
        <v>18</v>
      </c>
      <c r="C24" s="10"/>
      <c r="D24" s="10"/>
      <c r="E24" s="10"/>
    </row>
    <row r="25" spans="1:5" x14ac:dyDescent="0.25">
      <c r="A25" s="10"/>
      <c r="B25" s="12" t="s">
        <v>19</v>
      </c>
      <c r="C25" s="10"/>
      <c r="D25" s="10"/>
      <c r="E25" s="10"/>
    </row>
    <row r="26" spans="1:5" x14ac:dyDescent="0.25">
      <c r="A26" s="10"/>
      <c r="B26" s="12" t="s">
        <v>15</v>
      </c>
      <c r="C26" s="10"/>
      <c r="D26" s="10"/>
      <c r="E26" s="10"/>
    </row>
    <row r="27" spans="1:5" ht="45" customHeight="1" x14ac:dyDescent="0.25">
      <c r="A27" s="10"/>
      <c r="B27" s="12" t="s">
        <v>137</v>
      </c>
      <c r="C27" s="10"/>
      <c r="D27" s="10"/>
      <c r="E27" s="10"/>
    </row>
    <row r="28" spans="1:5" ht="45" customHeight="1" x14ac:dyDescent="0.25">
      <c r="A28" s="10"/>
      <c r="B28" s="12"/>
      <c r="C28" s="10"/>
      <c r="D28" s="10"/>
      <c r="E28" s="10"/>
    </row>
    <row r="29" spans="1:5" ht="15" customHeight="1" x14ac:dyDescent="0.25">
      <c r="A29" s="10"/>
      <c r="B29" s="11" t="s">
        <v>20</v>
      </c>
      <c r="C29" s="10"/>
      <c r="D29" s="10"/>
      <c r="E29" s="10"/>
    </row>
    <row r="30" spans="1:5" ht="15" customHeight="1" x14ac:dyDescent="0.25">
      <c r="A30" s="10"/>
      <c r="B30" s="12" t="s">
        <v>21</v>
      </c>
      <c r="C30" s="10"/>
      <c r="D30" s="10"/>
      <c r="E30" s="10"/>
    </row>
    <row r="31" spans="1:5" ht="15" customHeight="1" x14ac:dyDescent="0.25">
      <c r="A31" s="10"/>
      <c r="B31" s="12" t="s">
        <v>22</v>
      </c>
      <c r="C31" s="10"/>
      <c r="D31" s="10"/>
      <c r="E31" s="10"/>
    </row>
    <row r="32" spans="1:5" ht="15" customHeight="1" x14ac:dyDescent="0.25">
      <c r="A32" s="10"/>
      <c r="B32" s="13">
        <v>2025</v>
      </c>
      <c r="C32" s="10"/>
      <c r="D32" s="10"/>
      <c r="E32" s="10"/>
    </row>
    <row r="33" spans="1:5" ht="15" customHeight="1" x14ac:dyDescent="0.25">
      <c r="A33" s="10"/>
      <c r="B33" s="12" t="s">
        <v>23</v>
      </c>
      <c r="C33" s="10"/>
      <c r="D33" s="10"/>
      <c r="E33" s="10"/>
    </row>
    <row r="34" spans="1:5" ht="15" customHeight="1" x14ac:dyDescent="0.25">
      <c r="A34" s="10"/>
      <c r="B34" s="12" t="s">
        <v>138</v>
      </c>
      <c r="C34" s="10"/>
      <c r="D34" s="10"/>
      <c r="E34" s="10"/>
    </row>
    <row r="35" spans="1:5" ht="15" customHeight="1" x14ac:dyDescent="0.25">
      <c r="A35" s="10"/>
      <c r="B35" s="12"/>
      <c r="C35" s="10"/>
      <c r="D35" s="10"/>
      <c r="E35" s="10"/>
    </row>
    <row r="36" spans="1:5" ht="15" customHeight="1" x14ac:dyDescent="0.25">
      <c r="A36" s="10"/>
      <c r="B36" s="14" t="s">
        <v>24</v>
      </c>
      <c r="C36" s="10"/>
      <c r="D36" s="10"/>
      <c r="E36" s="10"/>
    </row>
    <row r="37" spans="1:5" ht="15" customHeight="1" x14ac:dyDescent="0.25">
      <c r="A37" s="10"/>
      <c r="B37" s="12" t="s">
        <v>25</v>
      </c>
      <c r="C37" s="10"/>
      <c r="D37" s="10"/>
      <c r="E37" s="10"/>
    </row>
    <row r="38" spans="1:5" ht="15" customHeight="1" x14ac:dyDescent="0.25">
      <c r="A38" s="10"/>
      <c r="B38" s="12" t="s">
        <v>26</v>
      </c>
      <c r="C38" s="10"/>
      <c r="D38" s="10"/>
      <c r="E38" s="10"/>
    </row>
    <row r="39" spans="1:5" ht="15" customHeight="1" x14ac:dyDescent="0.25">
      <c r="A39" s="10"/>
      <c r="B39" s="13">
        <v>2026</v>
      </c>
      <c r="C39" s="10"/>
      <c r="D39" s="10"/>
      <c r="E39" s="10"/>
    </row>
    <row r="40" spans="1:5" ht="15" customHeight="1" x14ac:dyDescent="0.25">
      <c r="A40" s="10"/>
      <c r="B40" s="12" t="s">
        <v>27</v>
      </c>
      <c r="C40" s="10"/>
      <c r="D40" s="10"/>
      <c r="E40" s="10"/>
    </row>
    <row r="41" spans="1:5" ht="15" customHeight="1" x14ac:dyDescent="0.25">
      <c r="A41" s="10"/>
      <c r="B41" s="12" t="s">
        <v>28</v>
      </c>
      <c r="C41" s="10"/>
      <c r="D41" s="10"/>
      <c r="E41" s="10"/>
    </row>
    <row r="42" spans="1:5" x14ac:dyDescent="0.25">
      <c r="A42" s="10"/>
      <c r="B42" s="10"/>
      <c r="C42" s="10"/>
      <c r="D42" s="10"/>
      <c r="E42" s="10"/>
    </row>
    <row r="43" spans="1:5" x14ac:dyDescent="0.25">
      <c r="A43" s="9" t="s">
        <v>29</v>
      </c>
      <c r="B43" s="10"/>
      <c r="C43" s="10"/>
      <c r="D43" s="10"/>
      <c r="E43" s="10"/>
    </row>
    <row r="44" spans="1:5" ht="45" customHeight="1" x14ac:dyDescent="0.25">
      <c r="A44" s="10" t="s">
        <v>30</v>
      </c>
      <c r="B44" s="12" t="s">
        <v>31</v>
      </c>
      <c r="C44" s="10"/>
      <c r="D44" s="10"/>
      <c r="E44" s="10"/>
    </row>
    <row r="45" spans="1:5" ht="60" customHeight="1" x14ac:dyDescent="0.25">
      <c r="A45" s="10" t="s">
        <v>32</v>
      </c>
      <c r="B45" s="12" t="s">
        <v>33</v>
      </c>
      <c r="C45" s="10"/>
      <c r="D45" s="10"/>
      <c r="E45" s="10"/>
    </row>
    <row r="46" spans="1:5" ht="45" customHeight="1" x14ac:dyDescent="0.25">
      <c r="A46" s="10" t="s">
        <v>34</v>
      </c>
      <c r="B46" s="12" t="s">
        <v>35</v>
      </c>
      <c r="C46" s="10"/>
      <c r="D46" s="10"/>
      <c r="E46" s="10"/>
    </row>
    <row r="47" spans="1:5" ht="120" customHeight="1" x14ac:dyDescent="0.25">
      <c r="A47" s="10" t="s">
        <v>36</v>
      </c>
      <c r="B47" s="12" t="s">
        <v>37</v>
      </c>
      <c r="C47" s="10"/>
      <c r="D47" s="10"/>
      <c r="E47" s="10"/>
    </row>
    <row r="48" spans="1:5" ht="45" customHeight="1" x14ac:dyDescent="0.25">
      <c r="A48" s="10" t="s">
        <v>38</v>
      </c>
      <c r="B48" s="12" t="s">
        <v>39</v>
      </c>
      <c r="C48" s="10"/>
      <c r="D48" s="10"/>
      <c r="E48" s="10"/>
    </row>
    <row r="49" spans="1:5" ht="45" customHeight="1" x14ac:dyDescent="0.25">
      <c r="A49" s="10" t="s">
        <v>139</v>
      </c>
      <c r="B49" s="12" t="s">
        <v>40</v>
      </c>
      <c r="C49" s="10"/>
      <c r="D49" s="10"/>
      <c r="E49" s="10"/>
    </row>
    <row r="50" spans="1:5" x14ac:dyDescent="0.25">
      <c r="A50" s="10" t="s">
        <v>41</v>
      </c>
      <c r="B50" s="10" t="s">
        <v>42</v>
      </c>
      <c r="C50" s="10"/>
      <c r="D50" s="10"/>
      <c r="E50" s="10"/>
    </row>
    <row r="51" spans="1:5" x14ac:dyDescent="0.25">
      <c r="A51" s="10"/>
      <c r="B51" s="10"/>
      <c r="C51" s="10"/>
      <c r="D51" s="10"/>
      <c r="E51" s="10"/>
    </row>
    <row r="52" spans="1:5" ht="195" x14ac:dyDescent="0.25">
      <c r="A52" s="10" t="s">
        <v>140</v>
      </c>
      <c r="B52" s="18" t="s">
        <v>141</v>
      </c>
      <c r="C52" s="10"/>
      <c r="D52" s="10"/>
      <c r="E52" s="10"/>
    </row>
    <row r="53" spans="1:5" ht="165" x14ac:dyDescent="0.25">
      <c r="A53" s="10" t="s">
        <v>142</v>
      </c>
      <c r="B53" s="18" t="s">
        <v>143</v>
      </c>
      <c r="C53" s="10"/>
      <c r="D53" s="10"/>
      <c r="E53" s="10"/>
    </row>
    <row r="54" spans="1:5" x14ac:dyDescent="0.25">
      <c r="A54" s="10"/>
      <c r="B54" s="10"/>
      <c r="C54" s="10"/>
      <c r="D54" s="10"/>
      <c r="E54" s="10"/>
    </row>
    <row r="55" spans="1:5" x14ac:dyDescent="0.25">
      <c r="A55" s="10"/>
      <c r="B55" s="10"/>
      <c r="C55" s="10"/>
      <c r="D55" s="10"/>
      <c r="E55" s="10"/>
    </row>
    <row r="56" spans="1:5" x14ac:dyDescent="0.25">
      <c r="A56" s="10"/>
      <c r="B56" s="10"/>
      <c r="C56" s="10"/>
      <c r="D56" s="10"/>
      <c r="E56" s="10"/>
    </row>
    <row r="57" spans="1:5" x14ac:dyDescent="0.25">
      <c r="A57" s="10"/>
      <c r="B57" s="10"/>
      <c r="C57" s="10"/>
      <c r="D57" s="10"/>
      <c r="E57" s="10"/>
    </row>
    <row r="58" spans="1:5" x14ac:dyDescent="0.25">
      <c r="A58" s="10"/>
      <c r="B58" s="10"/>
      <c r="C58" s="10"/>
      <c r="D58" s="10"/>
      <c r="E58" s="10"/>
    </row>
    <row r="59" spans="1:5" x14ac:dyDescent="0.25">
      <c r="A59" s="10"/>
      <c r="B59" s="10"/>
      <c r="C59" s="10"/>
      <c r="D59" s="10"/>
      <c r="E59" s="10"/>
    </row>
    <row r="60" spans="1:5" x14ac:dyDescent="0.25">
      <c r="A60" s="10"/>
      <c r="B60" s="10"/>
      <c r="C60" s="10"/>
      <c r="D60" s="10"/>
      <c r="E60" s="10"/>
    </row>
    <row r="61" spans="1:5" x14ac:dyDescent="0.25">
      <c r="A61" s="10"/>
      <c r="B61" s="10"/>
      <c r="C61" s="10"/>
      <c r="D61" s="10"/>
      <c r="E61" s="10"/>
    </row>
    <row r="62" spans="1:5" x14ac:dyDescent="0.25">
      <c r="A62" s="10"/>
      <c r="B62" s="10"/>
      <c r="C62" s="10"/>
      <c r="D62" s="10"/>
      <c r="E62" s="10"/>
    </row>
    <row r="63" spans="1:5" x14ac:dyDescent="0.25">
      <c r="A63" s="10"/>
      <c r="B63" s="10"/>
      <c r="C63" s="10"/>
      <c r="D63" s="10"/>
      <c r="E63" s="10"/>
    </row>
    <row r="64" spans="1:5" x14ac:dyDescent="0.25">
      <c r="A64" s="10"/>
      <c r="B64" s="10"/>
      <c r="C64" s="10"/>
      <c r="D64" s="10"/>
      <c r="E64" s="10"/>
    </row>
    <row r="65" spans="1:5" x14ac:dyDescent="0.25">
      <c r="A65" s="10"/>
      <c r="B65" s="10"/>
      <c r="C65" s="10"/>
      <c r="D65" s="10"/>
      <c r="E65" s="10"/>
    </row>
    <row r="66" spans="1:5" x14ac:dyDescent="0.25">
      <c r="A66" s="10"/>
      <c r="B66" s="10"/>
      <c r="C66" s="10"/>
      <c r="D66" s="10"/>
      <c r="E66" s="10"/>
    </row>
    <row r="67" spans="1:5" x14ac:dyDescent="0.25">
      <c r="A67" s="10"/>
      <c r="B67" s="10"/>
      <c r="C67" s="10"/>
      <c r="D67" s="10"/>
      <c r="E67" s="10"/>
    </row>
    <row r="68" spans="1:5" x14ac:dyDescent="0.25">
      <c r="A68" s="10"/>
      <c r="B68" s="10"/>
      <c r="C68" s="10"/>
      <c r="D68" s="10"/>
      <c r="E68" s="10"/>
    </row>
    <row r="69" spans="1:5" x14ac:dyDescent="0.25">
      <c r="A69" s="10"/>
      <c r="B69" s="10"/>
      <c r="C69" s="10"/>
      <c r="D69" s="10"/>
      <c r="E69" s="10"/>
    </row>
    <row r="70" spans="1:5" x14ac:dyDescent="0.25">
      <c r="A70" s="10"/>
      <c r="B70" s="10"/>
      <c r="C70" s="10"/>
      <c r="D70" s="10"/>
      <c r="E70" s="10"/>
    </row>
    <row r="71" spans="1:5" x14ac:dyDescent="0.25">
      <c r="A71" s="10"/>
      <c r="B71" s="10"/>
      <c r="C71" s="10"/>
      <c r="D71" s="10"/>
      <c r="E71" s="10"/>
    </row>
    <row r="72" spans="1:5" x14ac:dyDescent="0.25">
      <c r="A72" s="10"/>
      <c r="B72" s="10"/>
      <c r="C72" s="10"/>
      <c r="D72" s="10"/>
      <c r="E72" s="10"/>
    </row>
    <row r="73" spans="1:5" x14ac:dyDescent="0.25">
      <c r="A73" s="10"/>
      <c r="B73" s="10"/>
      <c r="C73" s="10"/>
      <c r="D73" s="10"/>
      <c r="E73" s="10"/>
    </row>
    <row r="74" spans="1:5" x14ac:dyDescent="0.25">
      <c r="A74" s="10"/>
      <c r="B74" s="10"/>
      <c r="C74" s="10"/>
      <c r="D74" s="10"/>
      <c r="E74" s="10"/>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
  <sheetViews>
    <sheetView workbookViewId="0"/>
  </sheetViews>
  <sheetFormatPr defaultRowHeight="15" x14ac:dyDescent="0.25"/>
  <cols>
    <col min="1" max="1" width="110.7109375" customWidth="1"/>
    <col min="2" max="2" width="20.7109375" customWidth="1"/>
    <col min="3" max="3" width="22.7109375" customWidth="1"/>
    <col min="4" max="4" width="24.7109375" customWidth="1"/>
  </cols>
  <sheetData>
    <row r="1" spans="1:4" x14ac:dyDescent="0.25">
      <c r="A1" t="s">
        <v>125</v>
      </c>
    </row>
    <row r="3" spans="1:4" x14ac:dyDescent="0.25">
      <c r="A3" t="s">
        <v>43</v>
      </c>
    </row>
    <row r="4" spans="1:4" x14ac:dyDescent="0.25">
      <c r="A4" t="s">
        <v>44</v>
      </c>
      <c r="B4" t="s">
        <v>45</v>
      </c>
      <c r="C4" t="s">
        <v>46</v>
      </c>
      <c r="D4" t="s">
        <v>47</v>
      </c>
    </row>
    <row r="5" spans="1:4" x14ac:dyDescent="0.25">
      <c r="A5" t="s">
        <v>48</v>
      </c>
      <c r="B5">
        <v>0.5</v>
      </c>
      <c r="C5">
        <v>75.599999999999994</v>
      </c>
      <c r="D5">
        <f>ROUND(C5/$C$8,2)</f>
        <v>0.56999999999999995</v>
      </c>
    </row>
    <row r="6" spans="1:4" x14ac:dyDescent="0.25">
      <c r="A6" t="s">
        <v>49</v>
      </c>
      <c r="B6">
        <v>0.69</v>
      </c>
      <c r="C6">
        <v>41.4</v>
      </c>
      <c r="D6">
        <f>ROUND(C6/$C$8,2)</f>
        <v>0.31</v>
      </c>
    </row>
    <row r="7" spans="1:4" x14ac:dyDescent="0.25">
      <c r="A7" t="s">
        <v>50</v>
      </c>
      <c r="B7">
        <v>0.72</v>
      </c>
      <c r="C7">
        <v>15</v>
      </c>
      <c r="D7">
        <f>ROUND(C7/$C$8,2)</f>
        <v>0.11</v>
      </c>
    </row>
    <row r="8" spans="1:4" x14ac:dyDescent="0.25">
      <c r="A8" t="s">
        <v>51</v>
      </c>
      <c r="C8">
        <f>SUM(C5:C7)</f>
        <v>132</v>
      </c>
    </row>
    <row r="10" spans="1:4" x14ac:dyDescent="0.25">
      <c r="A10" t="s">
        <v>52</v>
      </c>
      <c r="B10">
        <f>SUMPRODUCT(B5:B7,D5:D7)</f>
        <v>0.57809999999999995</v>
      </c>
    </row>
    <row r="11" spans="1:4" x14ac:dyDescent="0.25">
      <c r="A11" t="s">
        <v>53</v>
      </c>
      <c r="B11">
        <v>0.9</v>
      </c>
    </row>
    <row r="12" spans="1:4" x14ac:dyDescent="0.25">
      <c r="A12" t="s">
        <v>54</v>
      </c>
      <c r="B12">
        <f>B10/B11</f>
        <v>0.64233333333333331</v>
      </c>
    </row>
    <row r="13" spans="1:4" x14ac:dyDescent="0.25">
      <c r="A13" t="s">
        <v>126</v>
      </c>
      <c r="B13">
        <f>ROUND(B12,2)</f>
        <v>0.64</v>
      </c>
    </row>
    <row r="16" spans="1:4" x14ac:dyDescent="0.25">
      <c r="A16" t="s">
        <v>55</v>
      </c>
    </row>
    <row r="17" spans="1:2" x14ac:dyDescent="0.25">
      <c r="A17" t="s">
        <v>56</v>
      </c>
    </row>
    <row r="19" spans="1:2" x14ac:dyDescent="0.25">
      <c r="A19" s="16" t="s">
        <v>127</v>
      </c>
    </row>
    <row r="20" spans="1:2" x14ac:dyDescent="0.25">
      <c r="A20" t="s">
        <v>128</v>
      </c>
      <c r="B20">
        <v>0.45</v>
      </c>
    </row>
    <row r="21" spans="1:2" x14ac:dyDescent="0.25">
      <c r="A21" t="s">
        <v>129</v>
      </c>
      <c r="B21">
        <v>0.55000000000000004</v>
      </c>
    </row>
    <row r="22" spans="1:2" x14ac:dyDescent="0.25">
      <c r="A22" t="s">
        <v>130</v>
      </c>
      <c r="B22">
        <v>0.8</v>
      </c>
    </row>
    <row r="23" spans="1:2" x14ac:dyDescent="0.25">
      <c r="A23" t="s">
        <v>131</v>
      </c>
      <c r="B23">
        <v>0.95</v>
      </c>
    </row>
    <row r="24" spans="1:2" x14ac:dyDescent="0.25">
      <c r="A24" t="s">
        <v>132</v>
      </c>
      <c r="B24">
        <v>0.82</v>
      </c>
    </row>
    <row r="25" spans="1:2" x14ac:dyDescent="0.25">
      <c r="A25" t="s">
        <v>133</v>
      </c>
      <c r="B25">
        <f>B20*B24</f>
        <v>0.36899999999999999</v>
      </c>
    </row>
    <row r="26" spans="1:2" x14ac:dyDescent="0.25">
      <c r="A26" t="s">
        <v>134</v>
      </c>
      <c r="B26">
        <f>B21*B24</f>
        <v>0.45100000000000001</v>
      </c>
    </row>
    <row r="27" spans="1:2" x14ac:dyDescent="0.25">
      <c r="A27" t="s">
        <v>135</v>
      </c>
    </row>
    <row r="28" spans="1:2" x14ac:dyDescent="0.25">
      <c r="A28"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AD71-B456-46EF-A7E1-69E771AA47F1}">
  <dimension ref="A1:F18"/>
  <sheetViews>
    <sheetView tabSelected="1" workbookViewId="0"/>
  </sheetViews>
  <sheetFormatPr defaultRowHeight="15" x14ac:dyDescent="0.25"/>
  <cols>
    <col min="1" max="1" width="34.7109375" customWidth="1"/>
    <col min="2" max="6" width="18.7109375" customWidth="1"/>
  </cols>
  <sheetData>
    <row r="1" spans="1:6" x14ac:dyDescent="0.25">
      <c r="A1" s="16" t="s">
        <v>106</v>
      </c>
    </row>
    <row r="3" spans="1:6" x14ac:dyDescent="0.25">
      <c r="A3" t="s">
        <v>107</v>
      </c>
      <c r="B3">
        <v>0.98</v>
      </c>
    </row>
    <row r="4" spans="1:6" x14ac:dyDescent="0.25">
      <c r="A4" t="s">
        <v>108</v>
      </c>
      <c r="B4">
        <v>0.9</v>
      </c>
    </row>
    <row r="6" spans="1:6" x14ac:dyDescent="0.25">
      <c r="A6" t="s">
        <v>109</v>
      </c>
    </row>
    <row r="7" spans="1:6" ht="45" x14ac:dyDescent="0.25">
      <c r="A7" s="17" t="s">
        <v>110</v>
      </c>
      <c r="B7" s="17" t="s">
        <v>111</v>
      </c>
      <c r="C7" s="17" t="s">
        <v>112</v>
      </c>
      <c r="D7" s="17" t="s">
        <v>113</v>
      </c>
      <c r="E7" s="17" t="s">
        <v>114</v>
      </c>
      <c r="F7" s="17" t="s">
        <v>115</v>
      </c>
    </row>
    <row r="8" spans="1:6" x14ac:dyDescent="0.25">
      <c r="A8" t="s">
        <v>90</v>
      </c>
      <c r="B8" s="15">
        <v>0.95</v>
      </c>
      <c r="C8" s="15">
        <v>0.9</v>
      </c>
      <c r="D8" s="15">
        <f>B8*C8*$B$4</f>
        <v>0.76949999999999996</v>
      </c>
      <c r="E8" s="15">
        <f>B8*C8*$B$3</f>
        <v>0.83789999999999998</v>
      </c>
      <c r="F8">
        <v>0.95099999999999996</v>
      </c>
    </row>
    <row r="9" spans="1:6" x14ac:dyDescent="0.25">
      <c r="A9" t="s">
        <v>105</v>
      </c>
      <c r="B9" s="15">
        <v>0.95</v>
      </c>
      <c r="C9" s="15">
        <v>0.9</v>
      </c>
      <c r="D9" s="15">
        <f>B9*C9*$B$4</f>
        <v>0.76949999999999996</v>
      </c>
      <c r="E9" s="15">
        <f>B9*C9*$B$3</f>
        <v>0.83789999999999998</v>
      </c>
      <c r="F9" t="s">
        <v>116</v>
      </c>
    </row>
    <row r="10" spans="1:6" x14ac:dyDescent="0.25">
      <c r="A10" t="s">
        <v>102</v>
      </c>
      <c r="B10" s="15">
        <v>0.95</v>
      </c>
      <c r="C10" s="15">
        <v>0.9</v>
      </c>
      <c r="D10" s="15">
        <f>B10*C10*$B$4</f>
        <v>0.76949999999999996</v>
      </c>
      <c r="E10" s="15">
        <f>B10*C10*$B$3</f>
        <v>0.83789999999999998</v>
      </c>
      <c r="F10" t="s">
        <v>117</v>
      </c>
    </row>
    <row r="11" spans="1:6" x14ac:dyDescent="0.25">
      <c r="A11" t="s">
        <v>95</v>
      </c>
      <c r="B11" s="15">
        <v>0.85</v>
      </c>
      <c r="C11" s="15">
        <v>0.63</v>
      </c>
      <c r="D11" s="15">
        <f>B11*C11*$B$4</f>
        <v>0.48194999999999999</v>
      </c>
      <c r="E11" s="15">
        <f>B11*C11*$B$3</f>
        <v>0.52478999999999998</v>
      </c>
      <c r="F11" t="s">
        <v>118</v>
      </c>
    </row>
    <row r="12" spans="1:6" x14ac:dyDescent="0.25">
      <c r="A12" t="s">
        <v>104</v>
      </c>
      <c r="B12" s="15">
        <v>0.95</v>
      </c>
      <c r="C12" s="15">
        <v>0.8</v>
      </c>
      <c r="D12" s="15">
        <f>B12*C12*$B$4</f>
        <v>0.68400000000000005</v>
      </c>
      <c r="E12" s="15">
        <f>B12*C12*$B$3</f>
        <v>0.74480000000000002</v>
      </c>
      <c r="F12" t="s">
        <v>119</v>
      </c>
    </row>
    <row r="14" spans="1:6" x14ac:dyDescent="0.25">
      <c r="A14" t="s">
        <v>120</v>
      </c>
    </row>
    <row r="15" spans="1:6" x14ac:dyDescent="0.25">
      <c r="A15" t="s">
        <v>121</v>
      </c>
    </row>
    <row r="16" spans="1:6" x14ac:dyDescent="0.25">
      <c r="A16" t="s">
        <v>122</v>
      </c>
    </row>
    <row r="17" spans="1:1" x14ac:dyDescent="0.25">
      <c r="A17" t="s">
        <v>123</v>
      </c>
    </row>
    <row r="18" spans="1:1" x14ac:dyDescent="0.25">
      <c r="A18"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Y7"/>
  <sheetViews>
    <sheetView workbookViewId="0"/>
  </sheetViews>
  <sheetFormatPr defaultRowHeight="15" x14ac:dyDescent="0.25"/>
  <cols>
    <col min="1" max="1" width="14" customWidth="1"/>
    <col min="2" max="25" width="8" customWidth="1"/>
  </cols>
  <sheetData>
    <row r="1" spans="1:25" x14ac:dyDescent="0.25">
      <c r="A1" s="2" t="s">
        <v>57</v>
      </c>
      <c r="B1" s="3" t="s">
        <v>58</v>
      </c>
      <c r="C1" s="3" t="s">
        <v>59</v>
      </c>
      <c r="D1" s="3" t="s">
        <v>60</v>
      </c>
      <c r="E1" s="3" t="s">
        <v>61</v>
      </c>
      <c r="F1" s="3" t="s">
        <v>62</v>
      </c>
      <c r="G1" s="3" t="s">
        <v>63</v>
      </c>
      <c r="H1" s="3" t="s">
        <v>64</v>
      </c>
      <c r="I1" s="3" t="s">
        <v>65</v>
      </c>
      <c r="J1" s="3" t="s">
        <v>66</v>
      </c>
      <c r="K1" s="3" t="s">
        <v>67</v>
      </c>
      <c r="L1" s="3" t="s">
        <v>68</v>
      </c>
      <c r="M1" s="3" t="s">
        <v>69</v>
      </c>
      <c r="N1" s="3" t="s">
        <v>70</v>
      </c>
      <c r="O1" s="3" t="s">
        <v>71</v>
      </c>
      <c r="P1" s="3" t="s">
        <v>72</v>
      </c>
      <c r="Q1" s="3" t="s">
        <v>73</v>
      </c>
      <c r="R1" s="3" t="s">
        <v>74</v>
      </c>
      <c r="S1" s="3" t="s">
        <v>75</v>
      </c>
      <c r="T1" s="3" t="s">
        <v>76</v>
      </c>
      <c r="U1" s="3" t="s">
        <v>77</v>
      </c>
      <c r="V1" s="3" t="s">
        <v>78</v>
      </c>
      <c r="W1" s="3" t="s">
        <v>79</v>
      </c>
      <c r="X1" s="3" t="s">
        <v>80</v>
      </c>
      <c r="Y1" s="3" t="s">
        <v>81</v>
      </c>
    </row>
    <row r="2" spans="1:25" x14ac:dyDescent="0.25">
      <c r="A2" s="4" t="s">
        <v>144</v>
      </c>
      <c r="B2" s="5">
        <v>1</v>
      </c>
      <c r="C2" s="5">
        <v>1</v>
      </c>
      <c r="D2" s="5">
        <v>1</v>
      </c>
      <c r="E2" s="5">
        <v>1</v>
      </c>
      <c r="F2" s="5">
        <v>1</v>
      </c>
      <c r="G2" s="5">
        <v>1</v>
      </c>
      <c r="H2" s="5">
        <v>1</v>
      </c>
      <c r="I2" s="5">
        <v>1</v>
      </c>
      <c r="J2" s="5">
        <v>1</v>
      </c>
      <c r="K2" s="5">
        <v>1</v>
      </c>
      <c r="L2" s="5">
        <v>1</v>
      </c>
      <c r="M2" s="5">
        <v>1</v>
      </c>
      <c r="N2" s="5">
        <v>1</v>
      </c>
      <c r="O2" s="5">
        <v>1</v>
      </c>
      <c r="P2" s="5">
        <v>1</v>
      </c>
      <c r="Q2" s="5">
        <v>1</v>
      </c>
      <c r="R2" s="5">
        <v>1</v>
      </c>
      <c r="S2" s="5">
        <v>1</v>
      </c>
      <c r="T2" s="5">
        <v>1</v>
      </c>
      <c r="U2" s="5">
        <v>1</v>
      </c>
      <c r="V2" s="5">
        <v>1</v>
      </c>
      <c r="W2" s="5">
        <v>1</v>
      </c>
      <c r="X2" s="5">
        <v>1</v>
      </c>
      <c r="Y2" s="5">
        <v>1</v>
      </c>
    </row>
    <row r="3" spans="1:25" x14ac:dyDescent="0.25">
      <c r="A3" s="4" t="s">
        <v>145</v>
      </c>
      <c r="B3" s="5">
        <v>1</v>
      </c>
      <c r="C3" s="5">
        <v>1</v>
      </c>
      <c r="D3" s="5">
        <v>1</v>
      </c>
      <c r="E3" s="5">
        <v>1</v>
      </c>
      <c r="F3" s="5">
        <v>1</v>
      </c>
      <c r="G3" s="5">
        <v>1</v>
      </c>
      <c r="H3" s="5">
        <v>1</v>
      </c>
      <c r="I3" s="5">
        <v>1</v>
      </c>
      <c r="J3" s="5">
        <v>1</v>
      </c>
      <c r="K3" s="5">
        <v>1</v>
      </c>
      <c r="L3" s="5">
        <v>1</v>
      </c>
      <c r="M3" s="5">
        <v>1</v>
      </c>
      <c r="N3" s="5">
        <v>1</v>
      </c>
      <c r="O3" s="5">
        <v>1</v>
      </c>
      <c r="P3" s="5">
        <v>1</v>
      </c>
      <c r="Q3" s="5">
        <v>1</v>
      </c>
      <c r="R3" s="5">
        <v>1</v>
      </c>
      <c r="S3" s="5">
        <v>1</v>
      </c>
      <c r="T3" s="5">
        <v>1</v>
      </c>
      <c r="U3" s="5">
        <v>1</v>
      </c>
      <c r="V3" s="5">
        <v>1</v>
      </c>
      <c r="W3" s="5">
        <v>1</v>
      </c>
      <c r="X3" s="5">
        <v>1</v>
      </c>
      <c r="Y3" s="5">
        <v>1</v>
      </c>
    </row>
    <row r="4" spans="1:25" x14ac:dyDescent="0.25">
      <c r="A4" s="4" t="s">
        <v>146</v>
      </c>
      <c r="B4" s="5">
        <v>1</v>
      </c>
      <c r="C4" s="5">
        <v>1</v>
      </c>
      <c r="D4" s="5">
        <v>1</v>
      </c>
      <c r="E4" s="5">
        <v>1</v>
      </c>
      <c r="F4" s="5">
        <v>1</v>
      </c>
      <c r="G4" s="5">
        <v>1</v>
      </c>
      <c r="H4" s="5">
        <v>1</v>
      </c>
      <c r="I4" s="5">
        <v>1</v>
      </c>
      <c r="J4" s="5">
        <v>1</v>
      </c>
      <c r="K4" s="5">
        <v>1</v>
      </c>
      <c r="L4" s="5">
        <v>1</v>
      </c>
      <c r="M4" s="5">
        <v>1</v>
      </c>
      <c r="N4" s="5">
        <v>1</v>
      </c>
      <c r="O4" s="5">
        <v>1</v>
      </c>
      <c r="P4" s="5">
        <v>1</v>
      </c>
      <c r="Q4" s="5">
        <v>1</v>
      </c>
      <c r="R4" s="5">
        <v>1</v>
      </c>
      <c r="S4" s="5">
        <v>1</v>
      </c>
      <c r="T4" s="5">
        <v>1</v>
      </c>
      <c r="U4" s="5">
        <v>1</v>
      </c>
      <c r="V4" s="5">
        <v>1</v>
      </c>
      <c r="W4" s="5">
        <v>1</v>
      </c>
      <c r="X4" s="5">
        <v>1</v>
      </c>
      <c r="Y4" s="5">
        <v>1</v>
      </c>
    </row>
    <row r="5" spans="1:25" x14ac:dyDescent="0.25">
      <c r="A5" s="4" t="s">
        <v>147</v>
      </c>
      <c r="B5" s="5">
        <v>1</v>
      </c>
      <c r="C5" s="5">
        <v>1</v>
      </c>
      <c r="D5" s="5">
        <v>1</v>
      </c>
      <c r="E5" s="5">
        <v>1</v>
      </c>
      <c r="F5" s="5">
        <v>1</v>
      </c>
      <c r="G5" s="5">
        <v>1</v>
      </c>
      <c r="H5" s="5">
        <v>1</v>
      </c>
      <c r="I5" s="5">
        <v>1</v>
      </c>
      <c r="J5" s="5">
        <v>1</v>
      </c>
      <c r="K5" s="5">
        <v>1</v>
      </c>
      <c r="L5" s="5">
        <v>1</v>
      </c>
      <c r="M5" s="5">
        <v>1</v>
      </c>
      <c r="N5" s="5">
        <v>1</v>
      </c>
      <c r="O5" s="5">
        <v>1</v>
      </c>
      <c r="P5" s="5">
        <v>1</v>
      </c>
      <c r="Q5" s="5">
        <v>1</v>
      </c>
      <c r="R5" s="5">
        <v>1</v>
      </c>
      <c r="S5" s="5">
        <v>1</v>
      </c>
      <c r="T5" s="5">
        <v>1</v>
      </c>
      <c r="U5" s="5">
        <v>1</v>
      </c>
      <c r="V5" s="5">
        <v>1</v>
      </c>
      <c r="W5" s="5">
        <v>1</v>
      </c>
      <c r="X5" s="5">
        <v>1</v>
      </c>
      <c r="Y5" s="5">
        <v>1</v>
      </c>
    </row>
    <row r="6" spans="1:25" x14ac:dyDescent="0.25">
      <c r="A6" s="6" t="s">
        <v>148</v>
      </c>
      <c r="B6" s="5">
        <v>1</v>
      </c>
      <c r="C6" s="5">
        <v>1</v>
      </c>
      <c r="D6" s="5">
        <v>1</v>
      </c>
      <c r="E6" s="5">
        <v>1</v>
      </c>
      <c r="F6" s="7">
        <v>0.23300000000000001</v>
      </c>
      <c r="G6" s="7">
        <v>0.70899999999999996</v>
      </c>
      <c r="H6" s="7">
        <v>0.85680000000000001</v>
      </c>
      <c r="I6" s="7">
        <v>0.88719999999999999</v>
      </c>
      <c r="J6" s="7">
        <v>0.93740000000000001</v>
      </c>
      <c r="K6" s="7">
        <v>0.95940000000000003</v>
      </c>
      <c r="L6" s="7">
        <v>0.97060000000000002</v>
      </c>
      <c r="M6" s="7">
        <v>0.9839</v>
      </c>
      <c r="N6" s="7">
        <v>0.98440000000000005</v>
      </c>
      <c r="O6" s="7">
        <v>0.97570000000000001</v>
      </c>
      <c r="P6" s="7">
        <v>0.97640000000000005</v>
      </c>
      <c r="Q6" s="7">
        <v>0.9526</v>
      </c>
      <c r="R6" s="7">
        <v>0.94159999999999999</v>
      </c>
      <c r="S6" s="7">
        <v>0.91969999999999996</v>
      </c>
      <c r="T6" s="7">
        <v>0.9012</v>
      </c>
      <c r="U6" s="7">
        <v>0.83420000000000005</v>
      </c>
      <c r="V6" s="7">
        <v>0.7944</v>
      </c>
      <c r="W6" s="5">
        <v>0.50270000000000004</v>
      </c>
      <c r="X6" s="5">
        <v>1</v>
      </c>
      <c r="Y6" s="5">
        <v>1</v>
      </c>
    </row>
    <row r="7" spans="1:25" x14ac:dyDescent="0.25">
      <c r="A7" s="6" t="s">
        <v>149</v>
      </c>
      <c r="B7" s="5">
        <v>1</v>
      </c>
      <c r="C7" s="5">
        <v>1</v>
      </c>
      <c r="D7" s="5">
        <v>1</v>
      </c>
      <c r="E7" s="5">
        <v>1</v>
      </c>
      <c r="F7" s="5">
        <v>1</v>
      </c>
      <c r="G7" s="5">
        <v>1</v>
      </c>
      <c r="H7" s="7">
        <v>1</v>
      </c>
      <c r="I7" s="7">
        <v>0.74050000000000005</v>
      </c>
      <c r="J7" s="7">
        <v>0.74119999999999997</v>
      </c>
      <c r="K7" s="7">
        <v>0.78739999999999999</v>
      </c>
      <c r="L7" s="7">
        <v>0.83520000000000005</v>
      </c>
      <c r="M7" s="7">
        <v>0.88539999999999996</v>
      </c>
      <c r="N7" s="7">
        <v>0.87849999999999995</v>
      </c>
      <c r="O7" s="7">
        <v>0.85760000000000003</v>
      </c>
      <c r="P7" s="7">
        <v>0.84450000000000003</v>
      </c>
      <c r="Q7" s="7">
        <v>0.83189999999999997</v>
      </c>
      <c r="R7" s="7">
        <v>0.84909999999999997</v>
      </c>
      <c r="S7" s="7">
        <v>0.83409999999999995</v>
      </c>
      <c r="T7" s="7">
        <v>0.70099999999999996</v>
      </c>
      <c r="U7" s="7">
        <v>0.02</v>
      </c>
      <c r="V7" s="5">
        <v>1</v>
      </c>
      <c r="W7" s="5">
        <v>1</v>
      </c>
      <c r="X7" s="5">
        <v>1</v>
      </c>
      <c r="Y7" s="5">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Y7"/>
  <sheetViews>
    <sheetView workbookViewId="0"/>
  </sheetViews>
  <sheetFormatPr defaultRowHeight="15" x14ac:dyDescent="0.25"/>
  <cols>
    <col min="1" max="1" width="14" customWidth="1"/>
    <col min="2" max="25" width="8" customWidth="1"/>
  </cols>
  <sheetData>
    <row r="1" spans="1:25" x14ac:dyDescent="0.25">
      <c r="A1" s="2" t="s">
        <v>82</v>
      </c>
      <c r="B1" s="3" t="s">
        <v>58</v>
      </c>
      <c r="C1" s="3" t="s">
        <v>59</v>
      </c>
      <c r="D1" s="3" t="s">
        <v>60</v>
      </c>
      <c r="E1" s="3" t="s">
        <v>61</v>
      </c>
      <c r="F1" s="3" t="s">
        <v>62</v>
      </c>
      <c r="G1" s="3" t="s">
        <v>63</v>
      </c>
      <c r="H1" s="3" t="s">
        <v>64</v>
      </c>
      <c r="I1" s="3" t="s">
        <v>65</v>
      </c>
      <c r="J1" s="3" t="s">
        <v>66</v>
      </c>
      <c r="K1" s="3" t="s">
        <v>67</v>
      </c>
      <c r="L1" s="3" t="s">
        <v>68</v>
      </c>
      <c r="M1" s="3" t="s">
        <v>69</v>
      </c>
      <c r="N1" s="3" t="s">
        <v>70</v>
      </c>
      <c r="O1" s="3" t="s">
        <v>71</v>
      </c>
      <c r="P1" s="3" t="s">
        <v>72</v>
      </c>
      <c r="Q1" s="3" t="s">
        <v>73</v>
      </c>
      <c r="R1" s="3" t="s">
        <v>74</v>
      </c>
      <c r="S1" s="3" t="s">
        <v>75</v>
      </c>
      <c r="T1" s="3" t="s">
        <v>76</v>
      </c>
      <c r="U1" s="3" t="s">
        <v>77</v>
      </c>
      <c r="V1" s="3" t="s">
        <v>78</v>
      </c>
      <c r="W1" s="3" t="s">
        <v>79</v>
      </c>
      <c r="X1" s="3" t="s">
        <v>80</v>
      </c>
      <c r="Y1" s="3" t="s">
        <v>81</v>
      </c>
    </row>
    <row r="2" spans="1:25" x14ac:dyDescent="0.25">
      <c r="A2" s="4" t="s">
        <v>144</v>
      </c>
      <c r="B2" s="5">
        <v>1</v>
      </c>
      <c r="C2" s="5">
        <v>1</v>
      </c>
      <c r="D2" s="5">
        <v>1</v>
      </c>
      <c r="E2" s="5">
        <v>1</v>
      </c>
      <c r="F2" s="5">
        <v>1</v>
      </c>
      <c r="G2" s="5">
        <v>1</v>
      </c>
      <c r="H2" s="5">
        <v>1</v>
      </c>
      <c r="I2" s="5">
        <v>1</v>
      </c>
      <c r="J2" s="5">
        <v>1</v>
      </c>
      <c r="K2" s="5">
        <v>1</v>
      </c>
      <c r="L2" s="5">
        <v>1</v>
      </c>
      <c r="M2" s="5">
        <v>1</v>
      </c>
      <c r="N2" s="5">
        <v>1</v>
      </c>
      <c r="O2" s="5">
        <v>1</v>
      </c>
      <c r="P2" s="5">
        <v>1</v>
      </c>
      <c r="Q2" s="5">
        <v>1</v>
      </c>
      <c r="R2" s="5">
        <v>1</v>
      </c>
      <c r="S2" s="5">
        <v>1</v>
      </c>
      <c r="T2" s="5">
        <v>1</v>
      </c>
      <c r="U2" s="5">
        <v>1</v>
      </c>
      <c r="V2" s="5">
        <v>1</v>
      </c>
      <c r="W2" s="5">
        <v>1</v>
      </c>
      <c r="X2" s="5">
        <v>1</v>
      </c>
      <c r="Y2" s="5">
        <v>1</v>
      </c>
    </row>
    <row r="3" spans="1:25" x14ac:dyDescent="0.25">
      <c r="A3" s="4" t="s">
        <v>145</v>
      </c>
      <c r="B3" s="5">
        <v>1</v>
      </c>
      <c r="C3" s="5">
        <v>1</v>
      </c>
      <c r="D3" s="5">
        <v>1</v>
      </c>
      <c r="E3" s="5">
        <v>1</v>
      </c>
      <c r="F3" s="5">
        <v>1</v>
      </c>
      <c r="G3" s="5">
        <v>1</v>
      </c>
      <c r="H3" s="5">
        <v>1</v>
      </c>
      <c r="I3" s="5">
        <v>1</v>
      </c>
      <c r="J3" s="5">
        <v>1</v>
      </c>
      <c r="K3" s="5">
        <v>1</v>
      </c>
      <c r="L3" s="5">
        <v>1</v>
      </c>
      <c r="M3" s="5">
        <v>1</v>
      </c>
      <c r="N3" s="5">
        <v>1</v>
      </c>
      <c r="O3" s="5">
        <v>1</v>
      </c>
      <c r="P3" s="5">
        <v>1</v>
      </c>
      <c r="Q3" s="5">
        <v>1</v>
      </c>
      <c r="R3" s="5">
        <v>1</v>
      </c>
      <c r="S3" s="5">
        <v>1</v>
      </c>
      <c r="T3" s="5">
        <v>1</v>
      </c>
      <c r="U3" s="5">
        <v>1</v>
      </c>
      <c r="V3" s="5">
        <v>1</v>
      </c>
      <c r="W3" s="5">
        <v>1</v>
      </c>
      <c r="X3" s="5">
        <v>1</v>
      </c>
      <c r="Y3" s="5">
        <v>1</v>
      </c>
    </row>
    <row r="4" spans="1:25" x14ac:dyDescent="0.25">
      <c r="A4" s="4" t="s">
        <v>146</v>
      </c>
      <c r="B4" s="5">
        <v>1</v>
      </c>
      <c r="C4" s="5">
        <v>1</v>
      </c>
      <c r="D4" s="5">
        <v>1</v>
      </c>
      <c r="E4" s="5">
        <v>1</v>
      </c>
      <c r="F4" s="5">
        <v>1</v>
      </c>
      <c r="G4" s="5">
        <v>1</v>
      </c>
      <c r="H4" s="5">
        <v>1</v>
      </c>
      <c r="I4" s="5">
        <v>1</v>
      </c>
      <c r="J4" s="5">
        <v>1</v>
      </c>
      <c r="K4" s="5">
        <v>1</v>
      </c>
      <c r="L4" s="5">
        <v>1</v>
      </c>
      <c r="M4" s="5">
        <v>1</v>
      </c>
      <c r="N4" s="5">
        <v>1</v>
      </c>
      <c r="O4" s="5">
        <v>1</v>
      </c>
      <c r="P4" s="5">
        <v>1</v>
      </c>
      <c r="Q4" s="5">
        <v>1</v>
      </c>
      <c r="R4" s="5">
        <v>1</v>
      </c>
      <c r="S4" s="5">
        <v>1</v>
      </c>
      <c r="T4" s="5">
        <v>1</v>
      </c>
      <c r="U4" s="5">
        <v>1</v>
      </c>
      <c r="V4" s="5">
        <v>1</v>
      </c>
      <c r="W4" s="5">
        <v>1</v>
      </c>
      <c r="X4" s="5">
        <v>1</v>
      </c>
      <c r="Y4" s="5">
        <v>1</v>
      </c>
    </row>
    <row r="5" spans="1:25" x14ac:dyDescent="0.25">
      <c r="A5" s="4" t="s">
        <v>147</v>
      </c>
      <c r="B5" s="5">
        <v>1</v>
      </c>
      <c r="C5" s="5">
        <v>1</v>
      </c>
      <c r="D5" s="5">
        <v>1</v>
      </c>
      <c r="E5" s="5">
        <v>1</v>
      </c>
      <c r="F5" s="5">
        <v>1</v>
      </c>
      <c r="G5" s="5">
        <v>1</v>
      </c>
      <c r="H5" s="5">
        <v>1</v>
      </c>
      <c r="I5" s="5">
        <v>1</v>
      </c>
      <c r="J5" s="5">
        <v>1</v>
      </c>
      <c r="K5" s="5">
        <v>1</v>
      </c>
      <c r="L5" s="5">
        <v>1</v>
      </c>
      <c r="M5" s="5">
        <v>1</v>
      </c>
      <c r="N5" s="5">
        <v>1</v>
      </c>
      <c r="O5" s="5">
        <v>1</v>
      </c>
      <c r="P5" s="5">
        <v>1</v>
      </c>
      <c r="Q5" s="5">
        <v>1</v>
      </c>
      <c r="R5" s="5">
        <v>1</v>
      </c>
      <c r="S5" s="5">
        <v>1</v>
      </c>
      <c r="T5" s="5">
        <v>1</v>
      </c>
      <c r="U5" s="5">
        <v>1</v>
      </c>
      <c r="V5" s="5">
        <v>1</v>
      </c>
      <c r="W5" s="5">
        <v>1</v>
      </c>
      <c r="X5" s="5">
        <v>1</v>
      </c>
      <c r="Y5" s="5">
        <v>1</v>
      </c>
    </row>
    <row r="6" spans="1:25" x14ac:dyDescent="0.25">
      <c r="A6" s="6" t="s">
        <v>148</v>
      </c>
      <c r="B6" s="5">
        <v>1</v>
      </c>
      <c r="C6" s="5">
        <v>1</v>
      </c>
      <c r="D6" s="5">
        <v>1</v>
      </c>
      <c r="E6" s="5">
        <v>1</v>
      </c>
      <c r="F6" s="5">
        <v>1</v>
      </c>
      <c r="G6" s="5">
        <v>1</v>
      </c>
      <c r="H6" s="5">
        <v>1</v>
      </c>
      <c r="I6" s="7">
        <v>0</v>
      </c>
      <c r="J6" s="7">
        <v>0.8639</v>
      </c>
      <c r="K6" s="7">
        <v>1</v>
      </c>
      <c r="L6" s="7">
        <v>1</v>
      </c>
      <c r="M6" s="7">
        <v>0.97160000000000002</v>
      </c>
      <c r="N6" s="7">
        <v>0.96719999999999995</v>
      </c>
      <c r="O6" s="7">
        <v>1</v>
      </c>
      <c r="P6" s="7">
        <v>1</v>
      </c>
      <c r="Q6" s="7">
        <v>1</v>
      </c>
      <c r="R6" s="7">
        <v>1</v>
      </c>
      <c r="S6" s="7">
        <v>1</v>
      </c>
      <c r="T6" s="7">
        <v>1</v>
      </c>
      <c r="U6" s="7">
        <v>0.93130000000000002</v>
      </c>
      <c r="V6" s="7">
        <v>0.70220000000000005</v>
      </c>
      <c r="W6" s="5">
        <v>1</v>
      </c>
      <c r="X6" s="5">
        <v>1</v>
      </c>
      <c r="Y6" s="5">
        <v>1</v>
      </c>
    </row>
    <row r="7" spans="1:25" x14ac:dyDescent="0.25">
      <c r="A7" s="6" t="s">
        <v>149</v>
      </c>
      <c r="B7" s="5">
        <v>1</v>
      </c>
      <c r="C7" s="5">
        <v>1</v>
      </c>
      <c r="D7" s="5">
        <v>1</v>
      </c>
      <c r="E7" s="5">
        <v>1</v>
      </c>
      <c r="F7" s="5">
        <v>1</v>
      </c>
      <c r="G7" s="5">
        <v>1</v>
      </c>
      <c r="H7" s="5">
        <v>1</v>
      </c>
      <c r="I7" s="5">
        <v>1</v>
      </c>
      <c r="J7" s="7">
        <v>1</v>
      </c>
      <c r="K7" s="7">
        <v>0.2419</v>
      </c>
      <c r="L7" s="7">
        <v>0.95320000000000005</v>
      </c>
      <c r="M7" s="7">
        <v>0.88039999999999996</v>
      </c>
      <c r="N7" s="7">
        <v>0.97819999999999996</v>
      </c>
      <c r="O7" s="7">
        <v>0.98950000000000005</v>
      </c>
      <c r="P7" s="7">
        <v>0.99270000000000003</v>
      </c>
      <c r="Q7" s="7">
        <v>1</v>
      </c>
      <c r="R7" s="7">
        <v>1</v>
      </c>
      <c r="S7" s="7">
        <v>1</v>
      </c>
      <c r="T7" s="7">
        <v>0.89019999999999999</v>
      </c>
      <c r="U7" s="7">
        <v>0</v>
      </c>
      <c r="V7" s="5">
        <v>1</v>
      </c>
      <c r="W7" s="5">
        <v>1</v>
      </c>
      <c r="X7" s="5">
        <v>1</v>
      </c>
      <c r="Y7" s="5">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Y7"/>
  <sheetViews>
    <sheetView workbookViewId="0"/>
  </sheetViews>
  <sheetFormatPr defaultRowHeight="15" x14ac:dyDescent="0.25"/>
  <cols>
    <col min="1" max="1" width="14" customWidth="1"/>
    <col min="2" max="25" width="8" customWidth="1"/>
  </cols>
  <sheetData>
    <row r="1" spans="1:25" x14ac:dyDescent="0.25">
      <c r="A1" s="2" t="s">
        <v>83</v>
      </c>
      <c r="B1" s="3" t="s">
        <v>58</v>
      </c>
      <c r="C1" s="3" t="s">
        <v>59</v>
      </c>
      <c r="D1" s="3" t="s">
        <v>60</v>
      </c>
      <c r="E1" s="3" t="s">
        <v>61</v>
      </c>
      <c r="F1" s="3" t="s">
        <v>62</v>
      </c>
      <c r="G1" s="3" t="s">
        <v>63</v>
      </c>
      <c r="H1" s="3" t="s">
        <v>64</v>
      </c>
      <c r="I1" s="3" t="s">
        <v>65</v>
      </c>
      <c r="J1" s="3" t="s">
        <v>66</v>
      </c>
      <c r="K1" s="3" t="s">
        <v>67</v>
      </c>
      <c r="L1" s="3" t="s">
        <v>68</v>
      </c>
      <c r="M1" s="3" t="s">
        <v>69</v>
      </c>
      <c r="N1" s="3" t="s">
        <v>70</v>
      </c>
      <c r="O1" s="3" t="s">
        <v>71</v>
      </c>
      <c r="P1" s="3" t="s">
        <v>72</v>
      </c>
      <c r="Q1" s="3" t="s">
        <v>73</v>
      </c>
      <c r="R1" s="3" t="s">
        <v>74</v>
      </c>
      <c r="S1" s="3" t="s">
        <v>75</v>
      </c>
      <c r="T1" s="3" t="s">
        <v>76</v>
      </c>
      <c r="U1" s="3" t="s">
        <v>77</v>
      </c>
      <c r="V1" s="3" t="s">
        <v>78</v>
      </c>
      <c r="W1" s="3" t="s">
        <v>79</v>
      </c>
      <c r="X1" s="3" t="s">
        <v>80</v>
      </c>
      <c r="Y1" s="3" t="s">
        <v>81</v>
      </c>
    </row>
    <row r="2" spans="1:25" x14ac:dyDescent="0.25">
      <c r="A2" s="4" t="s">
        <v>144</v>
      </c>
      <c r="B2" s="5">
        <v>1</v>
      </c>
      <c r="C2" s="5">
        <v>1</v>
      </c>
      <c r="D2" s="5">
        <v>1</v>
      </c>
      <c r="E2" s="5">
        <v>1</v>
      </c>
      <c r="F2" s="5">
        <v>1</v>
      </c>
      <c r="G2" s="5">
        <v>1</v>
      </c>
      <c r="H2" s="5">
        <v>1</v>
      </c>
      <c r="I2" s="5">
        <v>1</v>
      </c>
      <c r="J2" s="5">
        <v>1</v>
      </c>
      <c r="K2" s="5">
        <v>1</v>
      </c>
      <c r="L2" s="5">
        <v>1</v>
      </c>
      <c r="M2" s="5">
        <v>1</v>
      </c>
      <c r="N2" s="5">
        <v>1</v>
      </c>
      <c r="O2" s="5">
        <v>1</v>
      </c>
      <c r="P2" s="5">
        <v>1</v>
      </c>
      <c r="Q2" s="5">
        <v>1</v>
      </c>
      <c r="R2" s="5">
        <v>1</v>
      </c>
      <c r="S2" s="5">
        <v>1</v>
      </c>
      <c r="T2" s="5">
        <v>1</v>
      </c>
      <c r="U2" s="5">
        <v>1</v>
      </c>
      <c r="V2" s="5">
        <v>1</v>
      </c>
      <c r="W2" s="5">
        <v>1</v>
      </c>
      <c r="X2" s="5">
        <v>1</v>
      </c>
      <c r="Y2" s="5">
        <v>1</v>
      </c>
    </row>
    <row r="3" spans="1:25" x14ac:dyDescent="0.25">
      <c r="A3" s="4" t="s">
        <v>145</v>
      </c>
      <c r="B3" s="5">
        <v>1</v>
      </c>
      <c r="C3" s="5">
        <v>1</v>
      </c>
      <c r="D3" s="5">
        <v>1</v>
      </c>
      <c r="E3" s="5">
        <v>1</v>
      </c>
      <c r="F3" s="5">
        <v>1</v>
      </c>
      <c r="G3" s="5">
        <v>1</v>
      </c>
      <c r="H3" s="5">
        <v>1</v>
      </c>
      <c r="I3" s="5">
        <v>1</v>
      </c>
      <c r="J3" s="5">
        <v>1</v>
      </c>
      <c r="K3" s="5">
        <v>1</v>
      </c>
      <c r="L3" s="5">
        <v>1</v>
      </c>
      <c r="M3" s="5">
        <v>1</v>
      </c>
      <c r="N3" s="5">
        <v>1</v>
      </c>
      <c r="O3" s="5">
        <v>1</v>
      </c>
      <c r="P3" s="5">
        <v>1</v>
      </c>
      <c r="Q3" s="5">
        <v>1</v>
      </c>
      <c r="R3" s="5">
        <v>1</v>
      </c>
      <c r="S3" s="5">
        <v>1</v>
      </c>
      <c r="T3" s="5">
        <v>1</v>
      </c>
      <c r="U3" s="5">
        <v>1</v>
      </c>
      <c r="V3" s="5">
        <v>1</v>
      </c>
      <c r="W3" s="5">
        <v>1</v>
      </c>
      <c r="X3" s="5">
        <v>1</v>
      </c>
      <c r="Y3" s="5">
        <v>1</v>
      </c>
    </row>
    <row r="4" spans="1:25" x14ac:dyDescent="0.25">
      <c r="A4" s="4" t="s">
        <v>146</v>
      </c>
      <c r="B4" s="5">
        <v>1</v>
      </c>
      <c r="C4" s="5">
        <v>1</v>
      </c>
      <c r="D4" s="5">
        <v>1</v>
      </c>
      <c r="E4" s="5">
        <v>1</v>
      </c>
      <c r="F4" s="5">
        <v>1</v>
      </c>
      <c r="G4" s="5">
        <v>1</v>
      </c>
      <c r="H4" s="5">
        <v>1</v>
      </c>
      <c r="I4" s="5">
        <v>1</v>
      </c>
      <c r="J4" s="5">
        <v>1</v>
      </c>
      <c r="K4" s="5">
        <v>1</v>
      </c>
      <c r="L4" s="5">
        <v>1</v>
      </c>
      <c r="M4" s="5">
        <v>1</v>
      </c>
      <c r="N4" s="5">
        <v>1</v>
      </c>
      <c r="O4" s="5">
        <v>1</v>
      </c>
      <c r="P4" s="5">
        <v>1</v>
      </c>
      <c r="Q4" s="5">
        <v>1</v>
      </c>
      <c r="R4" s="5">
        <v>1</v>
      </c>
      <c r="S4" s="5">
        <v>1</v>
      </c>
      <c r="T4" s="5">
        <v>1</v>
      </c>
      <c r="U4" s="5">
        <v>1</v>
      </c>
      <c r="V4" s="5">
        <v>1</v>
      </c>
      <c r="W4" s="5">
        <v>1</v>
      </c>
      <c r="X4" s="5">
        <v>1</v>
      </c>
      <c r="Y4" s="5">
        <v>1</v>
      </c>
    </row>
    <row r="5" spans="1:25" x14ac:dyDescent="0.25">
      <c r="A5" s="4" t="s">
        <v>147</v>
      </c>
      <c r="B5" s="5">
        <v>1</v>
      </c>
      <c r="C5" s="5">
        <v>1</v>
      </c>
      <c r="D5" s="5">
        <v>1</v>
      </c>
      <c r="E5" s="5">
        <v>1</v>
      </c>
      <c r="F5" s="5">
        <v>1</v>
      </c>
      <c r="G5" s="5">
        <v>1</v>
      </c>
      <c r="H5" s="5">
        <v>1</v>
      </c>
      <c r="I5" s="5">
        <v>1</v>
      </c>
      <c r="J5" s="5">
        <v>1</v>
      </c>
      <c r="K5" s="5">
        <v>1</v>
      </c>
      <c r="L5" s="5">
        <v>1</v>
      </c>
      <c r="M5" s="5">
        <v>1</v>
      </c>
      <c r="N5" s="5">
        <v>1</v>
      </c>
      <c r="O5" s="5">
        <v>1</v>
      </c>
      <c r="P5" s="5">
        <v>1</v>
      </c>
      <c r="Q5" s="5">
        <v>1</v>
      </c>
      <c r="R5" s="5">
        <v>1</v>
      </c>
      <c r="S5" s="5">
        <v>1</v>
      </c>
      <c r="T5" s="5">
        <v>1</v>
      </c>
      <c r="U5" s="5">
        <v>1</v>
      </c>
      <c r="V5" s="5">
        <v>1</v>
      </c>
      <c r="W5" s="5">
        <v>1</v>
      </c>
      <c r="X5" s="5">
        <v>1</v>
      </c>
      <c r="Y5" s="5">
        <v>1</v>
      </c>
    </row>
    <row r="6" spans="1:25" x14ac:dyDescent="0.25">
      <c r="A6" s="6" t="s">
        <v>148</v>
      </c>
      <c r="B6" s="7">
        <v>0.80869999999999997</v>
      </c>
      <c r="C6" s="7">
        <v>0.80100000000000005</v>
      </c>
      <c r="D6" s="7">
        <v>0.7873</v>
      </c>
      <c r="E6" s="7">
        <v>0.75939999999999996</v>
      </c>
      <c r="F6" s="7">
        <v>0.746</v>
      </c>
      <c r="G6" s="7">
        <v>0.73809999999999998</v>
      </c>
      <c r="H6" s="7">
        <v>0.73029999999999995</v>
      </c>
      <c r="I6" s="7">
        <v>0.64549999999999996</v>
      </c>
      <c r="J6" s="7">
        <v>0.4884</v>
      </c>
      <c r="K6" s="7">
        <v>0.44479999999999997</v>
      </c>
      <c r="L6" s="7">
        <v>0.46949999999999997</v>
      </c>
      <c r="M6" s="7">
        <v>0.49940000000000001</v>
      </c>
      <c r="N6" s="7">
        <v>0.45929999999999999</v>
      </c>
      <c r="O6" s="7">
        <v>0.4743</v>
      </c>
      <c r="P6" s="7">
        <v>0.51390000000000002</v>
      </c>
      <c r="Q6" s="7">
        <v>0.57909999999999995</v>
      </c>
      <c r="R6" s="7">
        <v>0.63870000000000005</v>
      </c>
      <c r="S6" s="7">
        <v>0.71599999999999997</v>
      </c>
      <c r="T6" s="7">
        <v>0.7641</v>
      </c>
      <c r="U6" s="7">
        <v>0.76870000000000005</v>
      </c>
      <c r="V6" s="7">
        <v>0.80289999999999995</v>
      </c>
      <c r="W6" s="7">
        <v>0.82250000000000001</v>
      </c>
      <c r="X6" s="7">
        <v>0.79079999999999995</v>
      </c>
      <c r="Y6" s="7">
        <v>0.78180000000000005</v>
      </c>
    </row>
    <row r="7" spans="1:25" x14ac:dyDescent="0.25">
      <c r="A7" s="6" t="s">
        <v>149</v>
      </c>
      <c r="B7" s="7">
        <v>0.69359999999999999</v>
      </c>
      <c r="C7" s="7">
        <v>0.6744</v>
      </c>
      <c r="D7" s="7">
        <v>0.66339999999999999</v>
      </c>
      <c r="E7" s="7">
        <v>0.67469999999999997</v>
      </c>
      <c r="F7" s="7">
        <v>0.7006</v>
      </c>
      <c r="G7" s="7">
        <v>0.7177</v>
      </c>
      <c r="H7" s="7">
        <v>0.71609999999999996</v>
      </c>
      <c r="I7" s="7">
        <v>0.66759999999999997</v>
      </c>
      <c r="J7" s="7">
        <v>0.66779999999999995</v>
      </c>
      <c r="K7" s="7">
        <v>0.59340000000000004</v>
      </c>
      <c r="L7" s="7">
        <v>0.56999999999999995</v>
      </c>
      <c r="M7" s="7">
        <v>0.51039999999999996</v>
      </c>
      <c r="N7" s="7">
        <v>0.4738</v>
      </c>
      <c r="O7" s="7">
        <v>0.46810000000000002</v>
      </c>
      <c r="P7" s="7">
        <v>0.4829</v>
      </c>
      <c r="Q7" s="7">
        <v>0.4884</v>
      </c>
      <c r="R7" s="7">
        <v>0.51449999999999996</v>
      </c>
      <c r="S7" s="7">
        <v>0.55889999999999995</v>
      </c>
      <c r="T7" s="7">
        <v>0.60360000000000003</v>
      </c>
      <c r="U7" s="7">
        <v>0.65180000000000005</v>
      </c>
      <c r="V7" s="7">
        <v>0.67800000000000005</v>
      </c>
      <c r="W7" s="7">
        <v>0.68120000000000003</v>
      </c>
      <c r="X7" s="7">
        <v>0.6573</v>
      </c>
      <c r="Y7" s="7">
        <v>0.63300000000000001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Y7"/>
  <sheetViews>
    <sheetView workbookViewId="0"/>
  </sheetViews>
  <sheetFormatPr defaultRowHeight="15" x14ac:dyDescent="0.25"/>
  <cols>
    <col min="1" max="1" width="14" customWidth="1"/>
    <col min="2" max="25" width="8" customWidth="1"/>
  </cols>
  <sheetData>
    <row r="1" spans="1:25" x14ac:dyDescent="0.25">
      <c r="A1" s="2" t="s">
        <v>84</v>
      </c>
      <c r="B1" s="3" t="s">
        <v>58</v>
      </c>
      <c r="C1" s="3" t="s">
        <v>59</v>
      </c>
      <c r="D1" s="3" t="s">
        <v>60</v>
      </c>
      <c r="E1" s="3" t="s">
        <v>61</v>
      </c>
      <c r="F1" s="3" t="s">
        <v>62</v>
      </c>
      <c r="G1" s="3" t="s">
        <v>63</v>
      </c>
      <c r="H1" s="3" t="s">
        <v>64</v>
      </c>
      <c r="I1" s="3" t="s">
        <v>65</v>
      </c>
      <c r="J1" s="3" t="s">
        <v>66</v>
      </c>
      <c r="K1" s="3" t="s">
        <v>67</v>
      </c>
      <c r="L1" s="3" t="s">
        <v>68</v>
      </c>
      <c r="M1" s="3" t="s">
        <v>69</v>
      </c>
      <c r="N1" s="3" t="s">
        <v>70</v>
      </c>
      <c r="O1" s="3" t="s">
        <v>71</v>
      </c>
      <c r="P1" s="3" t="s">
        <v>72</v>
      </c>
      <c r="Q1" s="3" t="s">
        <v>73</v>
      </c>
      <c r="R1" s="3" t="s">
        <v>74</v>
      </c>
      <c r="S1" s="3" t="s">
        <v>75</v>
      </c>
      <c r="T1" s="3" t="s">
        <v>76</v>
      </c>
      <c r="U1" s="3" t="s">
        <v>77</v>
      </c>
      <c r="V1" s="3" t="s">
        <v>78</v>
      </c>
      <c r="W1" s="3" t="s">
        <v>79</v>
      </c>
      <c r="X1" s="3" t="s">
        <v>80</v>
      </c>
      <c r="Y1" s="3" t="s">
        <v>81</v>
      </c>
    </row>
    <row r="2" spans="1:25" x14ac:dyDescent="0.25">
      <c r="A2" s="4" t="s">
        <v>144</v>
      </c>
      <c r="B2" s="5">
        <v>1</v>
      </c>
      <c r="C2" s="5">
        <v>1</v>
      </c>
      <c r="D2" s="5">
        <v>1</v>
      </c>
      <c r="E2" s="5">
        <v>1</v>
      </c>
      <c r="F2" s="5">
        <v>1</v>
      </c>
      <c r="G2" s="5">
        <v>1</v>
      </c>
      <c r="H2" s="5">
        <v>1</v>
      </c>
      <c r="I2" s="5">
        <v>1</v>
      </c>
      <c r="J2" s="5">
        <v>1</v>
      </c>
      <c r="K2" s="5">
        <v>1</v>
      </c>
      <c r="L2" s="5">
        <v>1</v>
      </c>
      <c r="M2" s="5">
        <v>1</v>
      </c>
      <c r="N2" s="5">
        <v>1</v>
      </c>
      <c r="O2" s="5">
        <v>1</v>
      </c>
      <c r="P2" s="5">
        <v>1</v>
      </c>
      <c r="Q2" s="5">
        <v>1</v>
      </c>
      <c r="R2" s="5">
        <v>1</v>
      </c>
      <c r="S2" s="5">
        <v>1</v>
      </c>
      <c r="T2" s="5">
        <v>1</v>
      </c>
      <c r="U2" s="5">
        <v>1</v>
      </c>
      <c r="V2" s="5">
        <v>1</v>
      </c>
      <c r="W2" s="5">
        <v>1</v>
      </c>
      <c r="X2" s="5">
        <v>1</v>
      </c>
      <c r="Y2" s="5">
        <v>1</v>
      </c>
    </row>
    <row r="3" spans="1:25" x14ac:dyDescent="0.25">
      <c r="A3" s="4" t="s">
        <v>145</v>
      </c>
      <c r="B3" s="5">
        <v>1</v>
      </c>
      <c r="C3" s="5">
        <v>1</v>
      </c>
      <c r="D3" s="5">
        <v>1</v>
      </c>
      <c r="E3" s="5">
        <v>1</v>
      </c>
      <c r="F3" s="5">
        <v>1</v>
      </c>
      <c r="G3" s="5">
        <v>1</v>
      </c>
      <c r="H3" s="5">
        <v>1</v>
      </c>
      <c r="I3" s="5">
        <v>1</v>
      </c>
      <c r="J3" s="5">
        <v>1</v>
      </c>
      <c r="K3" s="5">
        <v>1</v>
      </c>
      <c r="L3" s="5">
        <v>1</v>
      </c>
      <c r="M3" s="5">
        <v>1</v>
      </c>
      <c r="N3" s="5">
        <v>1</v>
      </c>
      <c r="O3" s="5">
        <v>1</v>
      </c>
      <c r="P3" s="5">
        <v>1</v>
      </c>
      <c r="Q3" s="5">
        <v>1</v>
      </c>
      <c r="R3" s="5">
        <v>1</v>
      </c>
      <c r="S3" s="5">
        <v>1</v>
      </c>
      <c r="T3" s="5">
        <v>1</v>
      </c>
      <c r="U3" s="5">
        <v>1</v>
      </c>
      <c r="V3" s="5">
        <v>1</v>
      </c>
      <c r="W3" s="5">
        <v>1</v>
      </c>
      <c r="X3" s="5">
        <v>1</v>
      </c>
      <c r="Y3" s="5">
        <v>1</v>
      </c>
    </row>
    <row r="4" spans="1:25" x14ac:dyDescent="0.25">
      <c r="A4" s="4" t="s">
        <v>146</v>
      </c>
      <c r="B4" s="5">
        <v>1</v>
      </c>
      <c r="C4" s="5">
        <v>1</v>
      </c>
      <c r="D4" s="5">
        <v>1</v>
      </c>
      <c r="E4" s="5">
        <v>1</v>
      </c>
      <c r="F4" s="5">
        <v>1</v>
      </c>
      <c r="G4" s="5">
        <v>1</v>
      </c>
      <c r="H4" s="5">
        <v>1</v>
      </c>
      <c r="I4" s="5">
        <v>1</v>
      </c>
      <c r="J4" s="5">
        <v>1</v>
      </c>
      <c r="K4" s="5">
        <v>1</v>
      </c>
      <c r="L4" s="5">
        <v>1</v>
      </c>
      <c r="M4" s="5">
        <v>1</v>
      </c>
      <c r="N4" s="5">
        <v>1</v>
      </c>
      <c r="O4" s="5">
        <v>1</v>
      </c>
      <c r="P4" s="5">
        <v>1</v>
      </c>
      <c r="Q4" s="5">
        <v>1</v>
      </c>
      <c r="R4" s="5">
        <v>1</v>
      </c>
      <c r="S4" s="5">
        <v>1</v>
      </c>
      <c r="T4" s="5">
        <v>1</v>
      </c>
      <c r="U4" s="5">
        <v>1</v>
      </c>
      <c r="V4" s="5">
        <v>1</v>
      </c>
      <c r="W4" s="5">
        <v>1</v>
      </c>
      <c r="X4" s="5">
        <v>1</v>
      </c>
      <c r="Y4" s="5">
        <v>1</v>
      </c>
    </row>
    <row r="5" spans="1:25" x14ac:dyDescent="0.25">
      <c r="A5" s="4" t="s">
        <v>147</v>
      </c>
      <c r="B5" s="5">
        <v>1</v>
      </c>
      <c r="C5" s="5">
        <v>1</v>
      </c>
      <c r="D5" s="5">
        <v>1</v>
      </c>
      <c r="E5" s="5">
        <v>1</v>
      </c>
      <c r="F5" s="5">
        <v>1</v>
      </c>
      <c r="G5" s="5">
        <v>1</v>
      </c>
      <c r="H5" s="5">
        <v>1</v>
      </c>
      <c r="I5" s="5">
        <v>1</v>
      </c>
      <c r="J5" s="5">
        <v>1</v>
      </c>
      <c r="K5" s="5">
        <v>1</v>
      </c>
      <c r="L5" s="5">
        <v>1</v>
      </c>
      <c r="M5" s="5">
        <v>1</v>
      </c>
      <c r="N5" s="5">
        <v>1</v>
      </c>
      <c r="O5" s="5">
        <v>1</v>
      </c>
      <c r="P5" s="5">
        <v>1</v>
      </c>
      <c r="Q5" s="5">
        <v>1</v>
      </c>
      <c r="R5" s="5">
        <v>1</v>
      </c>
      <c r="S5" s="5">
        <v>1</v>
      </c>
      <c r="T5" s="5">
        <v>1</v>
      </c>
      <c r="U5" s="5">
        <v>1</v>
      </c>
      <c r="V5" s="5">
        <v>1</v>
      </c>
      <c r="W5" s="5">
        <v>1</v>
      </c>
      <c r="X5" s="5">
        <v>1</v>
      </c>
      <c r="Y5" s="5">
        <v>1</v>
      </c>
    </row>
    <row r="6" spans="1:25" x14ac:dyDescent="0.25">
      <c r="A6" s="6" t="s">
        <v>148</v>
      </c>
      <c r="B6" s="7">
        <v>0.3342</v>
      </c>
      <c r="C6" s="7">
        <v>0.32269999999999999</v>
      </c>
      <c r="D6" s="7">
        <v>0.31390000000000001</v>
      </c>
      <c r="E6" s="7">
        <v>0.30149999999999999</v>
      </c>
      <c r="F6" s="7">
        <v>0.28060000000000002</v>
      </c>
      <c r="G6" s="7">
        <v>0.31240000000000001</v>
      </c>
      <c r="H6" s="7">
        <v>0.33760000000000001</v>
      </c>
      <c r="I6" s="7">
        <v>0.33600000000000002</v>
      </c>
      <c r="J6" s="7">
        <v>0.2908</v>
      </c>
      <c r="K6" s="7">
        <v>0.33350000000000002</v>
      </c>
      <c r="L6" s="7">
        <v>0.37619999999999998</v>
      </c>
      <c r="M6" s="7">
        <v>0.35389999999999999</v>
      </c>
      <c r="N6" s="7">
        <v>0.3468</v>
      </c>
      <c r="O6" s="7">
        <v>0.30990000000000001</v>
      </c>
      <c r="P6" s="7">
        <v>0.34160000000000001</v>
      </c>
      <c r="Q6" s="7">
        <v>0.38790000000000002</v>
      </c>
      <c r="R6" s="7">
        <v>0.41420000000000001</v>
      </c>
      <c r="S6" s="7">
        <v>0.43109999999999998</v>
      </c>
      <c r="T6" s="7">
        <v>0.41870000000000002</v>
      </c>
      <c r="U6" s="7">
        <v>0.44169999999999998</v>
      </c>
      <c r="V6" s="7">
        <v>0.41410000000000002</v>
      </c>
      <c r="W6" s="7">
        <v>0.43280000000000002</v>
      </c>
      <c r="X6" s="7">
        <v>0.40360000000000001</v>
      </c>
      <c r="Y6" s="7">
        <v>0.43140000000000001</v>
      </c>
    </row>
    <row r="7" spans="1:25" x14ac:dyDescent="0.25">
      <c r="A7" s="6" t="s">
        <v>149</v>
      </c>
      <c r="B7" s="7">
        <v>0.85509999999999997</v>
      </c>
      <c r="C7" s="7">
        <v>0.87560000000000004</v>
      </c>
      <c r="D7" s="7">
        <v>0.87729999999999997</v>
      </c>
      <c r="E7" s="7">
        <v>0.88580000000000003</v>
      </c>
      <c r="F7" s="7">
        <v>0.91169999999999995</v>
      </c>
      <c r="G7" s="7">
        <v>0.96609999999999996</v>
      </c>
      <c r="H7" s="7">
        <v>0.96440000000000003</v>
      </c>
      <c r="I7" s="7">
        <v>0.89639999999999997</v>
      </c>
      <c r="J7" s="7">
        <v>0.82489999999999997</v>
      </c>
      <c r="K7" s="7">
        <v>0.74660000000000004</v>
      </c>
      <c r="L7" s="7">
        <v>0.65869999999999995</v>
      </c>
      <c r="M7" s="7">
        <v>0.59570000000000001</v>
      </c>
      <c r="N7" s="7">
        <v>0.62360000000000004</v>
      </c>
      <c r="O7" s="7">
        <v>0.59079999999999999</v>
      </c>
      <c r="P7" s="7">
        <v>0.59289999999999998</v>
      </c>
      <c r="Q7" s="7">
        <v>0.62009999999999998</v>
      </c>
      <c r="R7" s="7">
        <v>0.68899999999999995</v>
      </c>
      <c r="S7" s="7">
        <v>0.72860000000000003</v>
      </c>
      <c r="T7" s="7">
        <v>0.73419999999999996</v>
      </c>
      <c r="U7" s="7">
        <v>0.7883</v>
      </c>
      <c r="V7" s="7">
        <v>0.84140000000000004</v>
      </c>
      <c r="W7" s="7">
        <v>0.81140000000000001</v>
      </c>
      <c r="X7" s="7">
        <v>0.80369999999999997</v>
      </c>
      <c r="Y7" s="7">
        <v>0.73219999999999996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Y7"/>
  <sheetViews>
    <sheetView workbookViewId="0"/>
  </sheetViews>
  <sheetFormatPr defaultRowHeight="15" x14ac:dyDescent="0.25"/>
  <cols>
    <col min="1" max="1" width="14" customWidth="1"/>
  </cols>
  <sheetData>
    <row r="1" spans="1:25" x14ac:dyDescent="0.25">
      <c r="A1" s="8" t="s">
        <v>85</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Y7"/>
  <sheetViews>
    <sheetView workbookViewId="0"/>
  </sheetViews>
  <sheetFormatPr defaultRowHeight="15" x14ac:dyDescent="0.25"/>
  <cols>
    <col min="1" max="1" width="14" customWidth="1"/>
  </cols>
  <sheetData>
    <row r="1" spans="1:25" x14ac:dyDescent="0.25">
      <c r="A1" s="8" t="s">
        <v>86</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Y7"/>
  <sheetViews>
    <sheetView workbookViewId="0"/>
  </sheetViews>
  <sheetFormatPr defaultRowHeight="15" x14ac:dyDescent="0.25"/>
  <cols>
    <col min="1" max="1" width="14" customWidth="1"/>
  </cols>
  <sheetData>
    <row r="1" spans="1:25" x14ac:dyDescent="0.25">
      <c r="A1" s="8" t="s">
        <v>87</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Y7"/>
  <sheetViews>
    <sheetView workbookViewId="0"/>
  </sheetViews>
  <sheetFormatPr defaultRowHeight="15" x14ac:dyDescent="0.25"/>
  <cols>
    <col min="1" max="1" width="14" customWidth="1"/>
  </cols>
  <sheetData>
    <row r="1" spans="1:25" x14ac:dyDescent="0.25">
      <c r="A1" s="8" t="s">
        <v>88</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Y7"/>
  <sheetViews>
    <sheetView workbookViewId="0"/>
  </sheetViews>
  <sheetFormatPr defaultRowHeight="15" x14ac:dyDescent="0.25"/>
  <cols>
    <col min="1" max="1" width="14" customWidth="1"/>
  </cols>
  <sheetData>
    <row r="1" spans="1:25" x14ac:dyDescent="0.25">
      <c r="A1" s="8" t="s">
        <v>89</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Y7"/>
  <sheetViews>
    <sheetView workbookViewId="0"/>
  </sheetViews>
  <sheetFormatPr defaultRowHeight="15" x14ac:dyDescent="0.25"/>
  <cols>
    <col min="1" max="1" width="14" customWidth="1"/>
  </cols>
  <sheetData>
    <row r="1" spans="1:25" x14ac:dyDescent="0.25">
      <c r="A1" s="8" t="s">
        <v>90</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Y7"/>
  <sheetViews>
    <sheetView workbookViewId="0"/>
  </sheetViews>
  <sheetFormatPr defaultRowHeight="15" x14ac:dyDescent="0.25"/>
  <cols>
    <col min="1" max="1" width="14" customWidth="1"/>
  </cols>
  <sheetData>
    <row r="1" spans="1:25" x14ac:dyDescent="0.25">
      <c r="A1" s="8" t="s">
        <v>91</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Y7"/>
  <sheetViews>
    <sheetView workbookViewId="0"/>
  </sheetViews>
  <sheetFormatPr defaultRowHeight="15" x14ac:dyDescent="0.25"/>
  <cols>
    <col min="1" max="1" width="14" customWidth="1"/>
  </cols>
  <sheetData>
    <row r="1" spans="1:25" x14ac:dyDescent="0.25">
      <c r="A1" s="8" t="s">
        <v>92</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'DAT-derivation'!$B$24</f>
        <v>0.82</v>
      </c>
      <c r="C2">
        <f>'DAT-derivation'!$B$24</f>
        <v>0.82</v>
      </c>
      <c r="D2">
        <f>'DAT-derivation'!$B$24</f>
        <v>0.82</v>
      </c>
      <c r="E2">
        <f>'DAT-derivation'!$B$24</f>
        <v>0.82</v>
      </c>
      <c r="F2">
        <f>'DAT-derivation'!$B$24</f>
        <v>0.82</v>
      </c>
      <c r="G2">
        <f>'DAT-derivation'!$B$24</f>
        <v>0.82</v>
      </c>
      <c r="H2">
        <f>'DAT-derivation'!$B$24</f>
        <v>0.82</v>
      </c>
      <c r="I2">
        <f>'DAT-derivation'!$B$24</f>
        <v>0.82</v>
      </c>
      <c r="J2">
        <f>'DAT-derivation'!$B$24</f>
        <v>0.82</v>
      </c>
      <c r="K2">
        <f>'DAT-derivation'!$B$24</f>
        <v>0.82</v>
      </c>
      <c r="L2">
        <f>'DAT-derivation'!$B$24</f>
        <v>0.82</v>
      </c>
      <c r="M2">
        <f>'DAT-derivation'!$B$24</f>
        <v>0.82</v>
      </c>
      <c r="N2">
        <f>'DAT-derivation'!$B$24</f>
        <v>0.82</v>
      </c>
      <c r="O2">
        <f>'DAT-derivation'!$B$24</f>
        <v>0.82</v>
      </c>
      <c r="P2">
        <f>'DAT-derivation'!$B$24</f>
        <v>0.82</v>
      </c>
      <c r="Q2">
        <f>'DAT-derivation'!$B$24</f>
        <v>0.82</v>
      </c>
      <c r="R2">
        <f>'DAT-derivation'!$B$24</f>
        <v>0.82</v>
      </c>
      <c r="S2">
        <f>'DAT-derivation'!$B$24</f>
        <v>0.82</v>
      </c>
      <c r="T2">
        <f>'DAT-derivation'!$B$24</f>
        <v>0.82</v>
      </c>
      <c r="U2">
        <f>'DAT-derivation'!$B$24</f>
        <v>0.82</v>
      </c>
      <c r="V2">
        <f>'DAT-derivation'!$B$24</f>
        <v>0.82</v>
      </c>
      <c r="W2">
        <f>'DAT-derivation'!$B$24</f>
        <v>0.82</v>
      </c>
      <c r="X2">
        <f>'DAT-derivation'!$B$24</f>
        <v>0.82</v>
      </c>
      <c r="Y2">
        <f>'DAT-derivation'!$B$24</f>
        <v>0.82</v>
      </c>
    </row>
    <row r="3" spans="1:25" x14ac:dyDescent="0.25">
      <c r="A3" t="s">
        <v>145</v>
      </c>
      <c r="B3">
        <f>'DAT-derivation'!$B$24</f>
        <v>0.82</v>
      </c>
      <c r="C3">
        <f>'DAT-derivation'!$B$24</f>
        <v>0.82</v>
      </c>
      <c r="D3">
        <f>'DAT-derivation'!$B$24</f>
        <v>0.82</v>
      </c>
      <c r="E3">
        <f>'DAT-derivation'!$B$24</f>
        <v>0.82</v>
      </c>
      <c r="F3">
        <f>'DAT-derivation'!$B$24</f>
        <v>0.82</v>
      </c>
      <c r="G3">
        <f>'DAT-derivation'!$B$24</f>
        <v>0.82</v>
      </c>
      <c r="H3">
        <f>'DAT-derivation'!$B$24</f>
        <v>0.82</v>
      </c>
      <c r="I3">
        <f>'DAT-derivation'!$B$24</f>
        <v>0.82</v>
      </c>
      <c r="J3">
        <f>'DAT-derivation'!$B$24</f>
        <v>0.82</v>
      </c>
      <c r="K3">
        <f>'DAT-derivation'!$B$24</f>
        <v>0.82</v>
      </c>
      <c r="L3">
        <f>'DAT-derivation'!$B$24</f>
        <v>0.82</v>
      </c>
      <c r="M3">
        <f>'DAT-derivation'!$B$24</f>
        <v>0.82</v>
      </c>
      <c r="N3">
        <f>'DAT-derivation'!$B$24</f>
        <v>0.82</v>
      </c>
      <c r="O3">
        <f>'DAT-derivation'!$B$24</f>
        <v>0.82</v>
      </c>
      <c r="P3">
        <f>'DAT-derivation'!$B$24</f>
        <v>0.82</v>
      </c>
      <c r="Q3">
        <f>'DAT-derivation'!$B$24</f>
        <v>0.82</v>
      </c>
      <c r="R3">
        <f>'DAT-derivation'!$B$24</f>
        <v>0.82</v>
      </c>
      <c r="S3">
        <f>'DAT-derivation'!$B$24</f>
        <v>0.82</v>
      </c>
      <c r="T3">
        <f>'DAT-derivation'!$B$24</f>
        <v>0.82</v>
      </c>
      <c r="U3">
        <f>'DAT-derivation'!$B$24</f>
        <v>0.82</v>
      </c>
      <c r="V3">
        <f>'DAT-derivation'!$B$24</f>
        <v>0.82</v>
      </c>
      <c r="W3">
        <f>'DAT-derivation'!$B$24</f>
        <v>0.82</v>
      </c>
      <c r="X3">
        <f>'DAT-derivation'!$B$24</f>
        <v>0.82</v>
      </c>
      <c r="Y3">
        <f>'DAT-derivation'!$B$24</f>
        <v>0.82</v>
      </c>
    </row>
    <row r="4" spans="1:25" x14ac:dyDescent="0.25">
      <c r="A4" t="s">
        <v>146</v>
      </c>
      <c r="B4">
        <f>'DAT-derivation'!$B$24</f>
        <v>0.82</v>
      </c>
      <c r="C4">
        <f>'DAT-derivation'!$B$24</f>
        <v>0.82</v>
      </c>
      <c r="D4">
        <f>'DAT-derivation'!$B$24</f>
        <v>0.82</v>
      </c>
      <c r="E4">
        <f>'DAT-derivation'!$B$24</f>
        <v>0.82</v>
      </c>
      <c r="F4">
        <f>'DAT-derivation'!$B$24</f>
        <v>0.82</v>
      </c>
      <c r="G4">
        <f>'DAT-derivation'!$B$24</f>
        <v>0.82</v>
      </c>
      <c r="H4">
        <f>'DAT-derivation'!$B$24</f>
        <v>0.82</v>
      </c>
      <c r="I4">
        <f>'DAT-derivation'!$B$24</f>
        <v>0.82</v>
      </c>
      <c r="J4">
        <f>'DAT-derivation'!$B$24</f>
        <v>0.82</v>
      </c>
      <c r="K4">
        <f>'DAT-derivation'!$B$24</f>
        <v>0.82</v>
      </c>
      <c r="L4">
        <f>'DAT-derivation'!$B$24</f>
        <v>0.82</v>
      </c>
      <c r="M4">
        <f>'DAT-derivation'!$B$24</f>
        <v>0.82</v>
      </c>
      <c r="N4">
        <f>'DAT-derivation'!$B$24</f>
        <v>0.82</v>
      </c>
      <c r="O4">
        <f>'DAT-derivation'!$B$24</f>
        <v>0.82</v>
      </c>
      <c r="P4">
        <f>'DAT-derivation'!$B$24</f>
        <v>0.82</v>
      </c>
      <c r="Q4">
        <f>'DAT-derivation'!$B$24</f>
        <v>0.82</v>
      </c>
      <c r="R4">
        <f>'DAT-derivation'!$B$24</f>
        <v>0.82</v>
      </c>
      <c r="S4">
        <f>'DAT-derivation'!$B$24</f>
        <v>0.82</v>
      </c>
      <c r="T4">
        <f>'DAT-derivation'!$B$24</f>
        <v>0.82</v>
      </c>
      <c r="U4">
        <f>'DAT-derivation'!$B$24</f>
        <v>0.82</v>
      </c>
      <c r="V4">
        <f>'DAT-derivation'!$B$24</f>
        <v>0.82</v>
      </c>
      <c r="W4">
        <f>'DAT-derivation'!$B$24</f>
        <v>0.82</v>
      </c>
      <c r="X4">
        <f>'DAT-derivation'!$B$24</f>
        <v>0.82</v>
      </c>
      <c r="Y4">
        <f>'DAT-derivation'!$B$24</f>
        <v>0.82</v>
      </c>
    </row>
    <row r="5" spans="1:25" x14ac:dyDescent="0.25">
      <c r="A5" t="s">
        <v>147</v>
      </c>
      <c r="B5">
        <f>'DAT-derivation'!$B$24</f>
        <v>0.82</v>
      </c>
      <c r="C5">
        <f>'DAT-derivation'!$B$24</f>
        <v>0.82</v>
      </c>
      <c r="D5">
        <f>'DAT-derivation'!$B$24</f>
        <v>0.82</v>
      </c>
      <c r="E5">
        <f>'DAT-derivation'!$B$24</f>
        <v>0.82</v>
      </c>
      <c r="F5">
        <f>'DAT-derivation'!$B$24</f>
        <v>0.82</v>
      </c>
      <c r="G5">
        <f>'DAT-derivation'!$B$24</f>
        <v>0.82</v>
      </c>
      <c r="H5">
        <f>'DAT-derivation'!$B$24</f>
        <v>0.82</v>
      </c>
      <c r="I5">
        <f>'DAT-derivation'!$B$24</f>
        <v>0.82</v>
      </c>
      <c r="J5">
        <f>'DAT-derivation'!$B$24</f>
        <v>0.82</v>
      </c>
      <c r="K5">
        <f>'DAT-derivation'!$B$24</f>
        <v>0.82</v>
      </c>
      <c r="L5">
        <f>'DAT-derivation'!$B$24</f>
        <v>0.82</v>
      </c>
      <c r="M5">
        <f>'DAT-derivation'!$B$24</f>
        <v>0.82</v>
      </c>
      <c r="N5">
        <f>'DAT-derivation'!$B$24</f>
        <v>0.82</v>
      </c>
      <c r="O5">
        <f>'DAT-derivation'!$B$24</f>
        <v>0.82</v>
      </c>
      <c r="P5">
        <f>'DAT-derivation'!$B$24</f>
        <v>0.82</v>
      </c>
      <c r="Q5">
        <f>'DAT-derivation'!$B$24</f>
        <v>0.82</v>
      </c>
      <c r="R5">
        <f>'DAT-derivation'!$B$24</f>
        <v>0.82</v>
      </c>
      <c r="S5">
        <f>'DAT-derivation'!$B$24</f>
        <v>0.82</v>
      </c>
      <c r="T5">
        <f>'DAT-derivation'!$B$24</f>
        <v>0.82</v>
      </c>
      <c r="U5">
        <f>'DAT-derivation'!$B$24</f>
        <v>0.82</v>
      </c>
      <c r="V5">
        <f>'DAT-derivation'!$B$24</f>
        <v>0.82</v>
      </c>
      <c r="W5">
        <f>'DAT-derivation'!$B$24</f>
        <v>0.82</v>
      </c>
      <c r="X5">
        <f>'DAT-derivation'!$B$24</f>
        <v>0.82</v>
      </c>
      <c r="Y5">
        <f>'DAT-derivation'!$B$24</f>
        <v>0.82</v>
      </c>
    </row>
    <row r="6" spans="1:25" x14ac:dyDescent="0.25">
      <c r="A6" t="s">
        <v>148</v>
      </c>
      <c r="B6">
        <f>'DAT-derivation'!$B$24</f>
        <v>0.82</v>
      </c>
      <c r="C6">
        <f>'DAT-derivation'!$B$24</f>
        <v>0.82</v>
      </c>
      <c r="D6">
        <f>'DAT-derivation'!$B$24</f>
        <v>0.82</v>
      </c>
      <c r="E6">
        <f>'DAT-derivation'!$B$24</f>
        <v>0.82</v>
      </c>
      <c r="F6">
        <f>'DAT-derivation'!$B$24</f>
        <v>0.82</v>
      </c>
      <c r="G6">
        <f>'DAT-derivation'!$B$24</f>
        <v>0.82</v>
      </c>
      <c r="H6">
        <f>'DAT-derivation'!$B$24</f>
        <v>0.82</v>
      </c>
      <c r="I6">
        <f>'DAT-derivation'!$B$24</f>
        <v>0.82</v>
      </c>
      <c r="J6">
        <f>'DAT-derivation'!$B$24</f>
        <v>0.82</v>
      </c>
      <c r="K6">
        <f>'DAT-derivation'!$B$24</f>
        <v>0.82</v>
      </c>
      <c r="L6">
        <f>'DAT-derivation'!$B$24</f>
        <v>0.82</v>
      </c>
      <c r="M6">
        <f>'DAT-derivation'!$B$24</f>
        <v>0.82</v>
      </c>
      <c r="N6">
        <f>'DAT-derivation'!$B$24</f>
        <v>0.82</v>
      </c>
      <c r="O6">
        <f>'DAT-derivation'!$B$24</f>
        <v>0.82</v>
      </c>
      <c r="P6">
        <f>'DAT-derivation'!$B$24</f>
        <v>0.82</v>
      </c>
      <c r="Q6">
        <f>'DAT-derivation'!$B$24</f>
        <v>0.82</v>
      </c>
      <c r="R6">
        <f>'DAT-derivation'!$B$24</f>
        <v>0.82</v>
      </c>
      <c r="S6">
        <f>'DAT-derivation'!$B$24</f>
        <v>0.82</v>
      </c>
      <c r="T6">
        <f>'DAT-derivation'!$B$24</f>
        <v>0.82</v>
      </c>
      <c r="U6">
        <f>'DAT-derivation'!$B$24</f>
        <v>0.82</v>
      </c>
      <c r="V6">
        <f>'DAT-derivation'!$B$24</f>
        <v>0.82</v>
      </c>
      <c r="W6">
        <f>'DAT-derivation'!$B$24</f>
        <v>0.82</v>
      </c>
      <c r="X6">
        <f>'DAT-derivation'!$B$24</f>
        <v>0.82</v>
      </c>
      <c r="Y6">
        <f>'DAT-derivation'!$B$24</f>
        <v>0.82</v>
      </c>
    </row>
    <row r="7" spans="1:25" x14ac:dyDescent="0.25">
      <c r="A7" t="s">
        <v>149</v>
      </c>
      <c r="B7">
        <f>'DAT-derivation'!$B$24</f>
        <v>0.82</v>
      </c>
      <c r="C7">
        <f>'DAT-derivation'!$B$24</f>
        <v>0.82</v>
      </c>
      <c r="D7">
        <f>'DAT-derivation'!$B$24</f>
        <v>0.82</v>
      </c>
      <c r="E7">
        <f>'DAT-derivation'!$B$24</f>
        <v>0.82</v>
      </c>
      <c r="F7">
        <f>'DAT-derivation'!$B$24</f>
        <v>0.82</v>
      </c>
      <c r="G7">
        <f>'DAT-derivation'!$B$24</f>
        <v>0.82</v>
      </c>
      <c r="H7">
        <f>'DAT-derivation'!$B$24</f>
        <v>0.82</v>
      </c>
      <c r="I7">
        <f>'DAT-derivation'!$B$24</f>
        <v>0.82</v>
      </c>
      <c r="J7">
        <f>'DAT-derivation'!$B$24</f>
        <v>0.82</v>
      </c>
      <c r="K7">
        <f>'DAT-derivation'!$B$24</f>
        <v>0.82</v>
      </c>
      <c r="L7">
        <f>'DAT-derivation'!$B$24</f>
        <v>0.82</v>
      </c>
      <c r="M7">
        <f>'DAT-derivation'!$B$24</f>
        <v>0.82</v>
      </c>
      <c r="N7">
        <f>'DAT-derivation'!$B$24</f>
        <v>0.82</v>
      </c>
      <c r="O7">
        <f>'DAT-derivation'!$B$24</f>
        <v>0.82</v>
      </c>
      <c r="P7">
        <f>'DAT-derivation'!$B$24</f>
        <v>0.82</v>
      </c>
      <c r="Q7">
        <f>'DAT-derivation'!$B$24</f>
        <v>0.82</v>
      </c>
      <c r="R7">
        <f>'DAT-derivation'!$B$24</f>
        <v>0.82</v>
      </c>
      <c r="S7">
        <f>'DAT-derivation'!$B$24</f>
        <v>0.82</v>
      </c>
      <c r="T7">
        <f>'DAT-derivation'!$B$24</f>
        <v>0.82</v>
      </c>
      <c r="U7">
        <f>'DAT-derivation'!$B$24</f>
        <v>0.82</v>
      </c>
      <c r="V7">
        <f>'DAT-derivation'!$B$24</f>
        <v>0.82</v>
      </c>
      <c r="W7">
        <f>'DAT-derivation'!$B$24</f>
        <v>0.82</v>
      </c>
      <c r="X7">
        <f>'DAT-derivation'!$B$24</f>
        <v>0.82</v>
      </c>
      <c r="Y7">
        <f>'DAT-derivation'!$B$24</f>
        <v>0.82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Y7"/>
  <sheetViews>
    <sheetView workbookViewId="0"/>
  </sheetViews>
  <sheetFormatPr defaultRowHeight="15" x14ac:dyDescent="0.25"/>
  <cols>
    <col min="1" max="1" width="14" customWidth="1"/>
  </cols>
  <sheetData>
    <row r="1" spans="1:25" x14ac:dyDescent="0.25">
      <c r="A1" s="8" t="s">
        <v>93</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Y7"/>
  <sheetViews>
    <sheetView workbookViewId="0"/>
  </sheetViews>
  <sheetFormatPr defaultRowHeight="15" x14ac:dyDescent="0.25"/>
  <cols>
    <col min="1" max="1" width="14" customWidth="1"/>
  </cols>
  <sheetData>
    <row r="1" spans="1:25" x14ac:dyDescent="0.25">
      <c r="A1" s="8" t="s">
        <v>94</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Y7"/>
  <sheetViews>
    <sheetView workbookViewId="0"/>
  </sheetViews>
  <sheetFormatPr defaultRowHeight="15" x14ac:dyDescent="0.25"/>
  <cols>
    <col min="1" max="1" width="14" customWidth="1"/>
  </cols>
  <sheetData>
    <row r="1" spans="1:25" x14ac:dyDescent="0.25">
      <c r="A1" s="8" t="s">
        <v>95</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Y7"/>
  <sheetViews>
    <sheetView workbookViewId="0"/>
  </sheetViews>
  <sheetFormatPr defaultRowHeight="15" x14ac:dyDescent="0.25"/>
  <cols>
    <col min="1" max="1" width="14" customWidth="1"/>
  </cols>
  <sheetData>
    <row r="1" spans="1:25" x14ac:dyDescent="0.25">
      <c r="A1" s="8" t="s">
        <v>96</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Y7"/>
  <sheetViews>
    <sheetView workbookViewId="0"/>
  </sheetViews>
  <sheetFormatPr defaultRowHeight="15" x14ac:dyDescent="0.25"/>
  <cols>
    <col min="1" max="1" width="14" customWidth="1"/>
  </cols>
  <sheetData>
    <row r="1" spans="1:25" x14ac:dyDescent="0.25">
      <c r="A1" s="8" t="s">
        <v>97</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v>0.9</v>
      </c>
      <c r="C2">
        <v>0.9</v>
      </c>
      <c r="D2">
        <v>0.9</v>
      </c>
      <c r="E2">
        <v>0.9</v>
      </c>
      <c r="F2">
        <v>0.9</v>
      </c>
      <c r="G2">
        <v>0.9</v>
      </c>
      <c r="H2">
        <v>0.9</v>
      </c>
      <c r="I2">
        <v>0.9</v>
      </c>
      <c r="J2">
        <v>0.9</v>
      </c>
      <c r="K2">
        <v>0.9</v>
      </c>
      <c r="L2">
        <v>0.9</v>
      </c>
      <c r="M2">
        <v>0.9</v>
      </c>
      <c r="N2">
        <v>0.9</v>
      </c>
      <c r="O2">
        <v>0.9</v>
      </c>
      <c r="P2">
        <v>0.9</v>
      </c>
      <c r="Q2">
        <v>0.9</v>
      </c>
      <c r="R2">
        <v>0.9</v>
      </c>
      <c r="S2">
        <v>0.9</v>
      </c>
      <c r="T2">
        <v>0.9</v>
      </c>
      <c r="U2">
        <v>0.9</v>
      </c>
      <c r="V2">
        <v>0.9</v>
      </c>
      <c r="W2">
        <v>0.9</v>
      </c>
      <c r="X2">
        <v>0.9</v>
      </c>
      <c r="Y2">
        <v>0.9</v>
      </c>
    </row>
    <row r="3" spans="1:25" x14ac:dyDescent="0.25">
      <c r="A3" t="s">
        <v>145</v>
      </c>
      <c r="B3">
        <v>0.9</v>
      </c>
      <c r="C3">
        <v>0.9</v>
      </c>
      <c r="D3">
        <v>0.9</v>
      </c>
      <c r="E3">
        <v>0.9</v>
      </c>
      <c r="F3">
        <v>0.9</v>
      </c>
      <c r="G3">
        <v>0.9</v>
      </c>
      <c r="H3">
        <v>0.9</v>
      </c>
      <c r="I3">
        <v>0.9</v>
      </c>
      <c r="J3">
        <v>0.9</v>
      </c>
      <c r="K3">
        <v>0.9</v>
      </c>
      <c r="L3">
        <v>0.9</v>
      </c>
      <c r="M3">
        <v>0.9</v>
      </c>
      <c r="N3">
        <v>0.9</v>
      </c>
      <c r="O3">
        <v>0.9</v>
      </c>
      <c r="P3">
        <v>0.9</v>
      </c>
      <c r="Q3">
        <v>0.9</v>
      </c>
      <c r="R3">
        <v>0.9</v>
      </c>
      <c r="S3">
        <v>0.9</v>
      </c>
      <c r="T3">
        <v>0.9</v>
      </c>
      <c r="U3">
        <v>0.9</v>
      </c>
      <c r="V3">
        <v>0.9</v>
      </c>
      <c r="W3">
        <v>0.9</v>
      </c>
      <c r="X3">
        <v>0.9</v>
      </c>
      <c r="Y3">
        <v>0.9</v>
      </c>
    </row>
    <row r="4" spans="1:25" x14ac:dyDescent="0.25">
      <c r="A4" t="s">
        <v>146</v>
      </c>
      <c r="B4">
        <v>0.9</v>
      </c>
      <c r="C4">
        <v>0.9</v>
      </c>
      <c r="D4">
        <v>0.9</v>
      </c>
      <c r="E4">
        <v>0.9</v>
      </c>
      <c r="F4">
        <v>0.9</v>
      </c>
      <c r="G4">
        <v>0.9</v>
      </c>
      <c r="H4">
        <v>0.9</v>
      </c>
      <c r="I4">
        <v>0.9</v>
      </c>
      <c r="J4">
        <v>0.9</v>
      </c>
      <c r="K4">
        <v>0.9</v>
      </c>
      <c r="L4">
        <v>0.9</v>
      </c>
      <c r="M4">
        <v>0.9</v>
      </c>
      <c r="N4">
        <v>0.9</v>
      </c>
      <c r="O4">
        <v>0.9</v>
      </c>
      <c r="P4">
        <v>0.9</v>
      </c>
      <c r="Q4">
        <v>0.9</v>
      </c>
      <c r="R4">
        <v>0.9</v>
      </c>
      <c r="S4">
        <v>0.9</v>
      </c>
      <c r="T4">
        <v>0.9</v>
      </c>
      <c r="U4">
        <v>0.9</v>
      </c>
      <c r="V4">
        <v>0.9</v>
      </c>
      <c r="W4">
        <v>0.9</v>
      </c>
      <c r="X4">
        <v>0.9</v>
      </c>
      <c r="Y4">
        <v>0.9</v>
      </c>
    </row>
    <row r="5" spans="1:25" x14ac:dyDescent="0.25">
      <c r="A5" t="s">
        <v>147</v>
      </c>
      <c r="B5">
        <v>0.9</v>
      </c>
      <c r="C5">
        <v>0.9</v>
      </c>
      <c r="D5">
        <v>0.9</v>
      </c>
      <c r="E5">
        <v>0.9</v>
      </c>
      <c r="F5">
        <v>0.9</v>
      </c>
      <c r="G5">
        <v>0.9</v>
      </c>
      <c r="H5">
        <v>0.9</v>
      </c>
      <c r="I5">
        <v>0.9</v>
      </c>
      <c r="J5">
        <v>0.9</v>
      </c>
      <c r="K5">
        <v>0.9</v>
      </c>
      <c r="L5">
        <v>0.9</v>
      </c>
      <c r="M5">
        <v>0.9</v>
      </c>
      <c r="N5">
        <v>0.9</v>
      </c>
      <c r="O5">
        <v>0.9</v>
      </c>
      <c r="P5">
        <v>0.9</v>
      </c>
      <c r="Q5">
        <v>0.9</v>
      </c>
      <c r="R5">
        <v>0.9</v>
      </c>
      <c r="S5">
        <v>0.9</v>
      </c>
      <c r="T5">
        <v>0.9</v>
      </c>
      <c r="U5">
        <v>0.9</v>
      </c>
      <c r="V5">
        <v>0.9</v>
      </c>
      <c r="W5">
        <v>0.9</v>
      </c>
      <c r="X5">
        <v>0.9</v>
      </c>
      <c r="Y5">
        <v>0.9</v>
      </c>
    </row>
    <row r="6" spans="1:25" x14ac:dyDescent="0.25">
      <c r="A6" t="s">
        <v>148</v>
      </c>
      <c r="B6">
        <v>0.9</v>
      </c>
      <c r="C6">
        <v>0.9</v>
      </c>
      <c r="D6">
        <v>0.9</v>
      </c>
      <c r="E6">
        <v>0.9</v>
      </c>
      <c r="F6">
        <v>0.9</v>
      </c>
      <c r="G6">
        <v>0.9</v>
      </c>
      <c r="H6">
        <v>0.9</v>
      </c>
      <c r="I6">
        <v>0.9</v>
      </c>
      <c r="J6">
        <v>0.9</v>
      </c>
      <c r="K6">
        <v>0.9</v>
      </c>
      <c r="L6">
        <v>0.9</v>
      </c>
      <c r="M6">
        <v>0.9</v>
      </c>
      <c r="N6">
        <v>0.9</v>
      </c>
      <c r="O6">
        <v>0.9</v>
      </c>
      <c r="P6">
        <v>0.9</v>
      </c>
      <c r="Q6">
        <v>0.9</v>
      </c>
      <c r="R6">
        <v>0.9</v>
      </c>
      <c r="S6">
        <v>0.9</v>
      </c>
      <c r="T6">
        <v>0.9</v>
      </c>
      <c r="U6">
        <v>0.9</v>
      </c>
      <c r="V6">
        <v>0.9</v>
      </c>
      <c r="W6">
        <v>0.9</v>
      </c>
      <c r="X6">
        <v>0.9</v>
      </c>
      <c r="Y6">
        <v>0.9</v>
      </c>
    </row>
    <row r="7" spans="1:25" x14ac:dyDescent="0.25">
      <c r="A7" t="s">
        <v>149</v>
      </c>
      <c r="B7">
        <v>0.9</v>
      </c>
      <c r="C7">
        <v>0.9</v>
      </c>
      <c r="D7">
        <v>0.9</v>
      </c>
      <c r="E7">
        <v>0.9</v>
      </c>
      <c r="F7">
        <v>0.9</v>
      </c>
      <c r="G7">
        <v>0.9</v>
      </c>
      <c r="H7">
        <v>0.9</v>
      </c>
      <c r="I7">
        <v>0.9</v>
      </c>
      <c r="J7">
        <v>0.9</v>
      </c>
      <c r="K7">
        <v>0.9</v>
      </c>
      <c r="L7">
        <v>0.9</v>
      </c>
      <c r="M7">
        <v>0.9</v>
      </c>
      <c r="N7">
        <v>0.9</v>
      </c>
      <c r="O7">
        <v>0.9</v>
      </c>
      <c r="P7">
        <v>0.9</v>
      </c>
      <c r="Q7">
        <v>0.9</v>
      </c>
      <c r="R7">
        <v>0.9</v>
      </c>
      <c r="S7">
        <v>0.9</v>
      </c>
      <c r="T7">
        <v>0.9</v>
      </c>
      <c r="U7">
        <v>0.9</v>
      </c>
      <c r="V7">
        <v>0.9</v>
      </c>
      <c r="W7">
        <v>0.9</v>
      </c>
      <c r="X7">
        <v>0.9</v>
      </c>
      <c r="Y7">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Y7"/>
  <sheetViews>
    <sheetView workbookViewId="0"/>
  </sheetViews>
  <sheetFormatPr defaultRowHeight="15" x14ac:dyDescent="0.25"/>
  <cols>
    <col min="1" max="1" width="14" customWidth="1"/>
  </cols>
  <sheetData>
    <row r="1" spans="1:25" x14ac:dyDescent="0.25">
      <c r="A1" s="8" t="s">
        <v>98</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Y7"/>
  <sheetViews>
    <sheetView workbookViewId="0"/>
  </sheetViews>
  <sheetFormatPr defaultRowHeight="15" x14ac:dyDescent="0.25"/>
  <cols>
    <col min="1" max="1" width="14" customWidth="1"/>
  </cols>
  <sheetData>
    <row r="1" spans="1:25" x14ac:dyDescent="0.25">
      <c r="A1" s="8" t="s">
        <v>99</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Y7"/>
  <sheetViews>
    <sheetView workbookViewId="0"/>
  </sheetViews>
  <sheetFormatPr defaultRowHeight="15" x14ac:dyDescent="0.25"/>
  <cols>
    <col min="1" max="1" width="14" customWidth="1"/>
  </cols>
  <sheetData>
    <row r="1" spans="1:25" x14ac:dyDescent="0.25">
      <c r="A1" s="8" t="s">
        <v>100</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Y7"/>
  <sheetViews>
    <sheetView workbookViewId="0"/>
  </sheetViews>
  <sheetFormatPr defaultRowHeight="15" x14ac:dyDescent="0.25"/>
  <cols>
    <col min="1" max="1" width="14" customWidth="1"/>
  </cols>
  <sheetData>
    <row r="1" spans="1:25" x14ac:dyDescent="0.25">
      <c r="A1" s="8" t="s">
        <v>101</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Y7"/>
  <sheetViews>
    <sheetView workbookViewId="0"/>
  </sheetViews>
  <sheetFormatPr defaultRowHeight="15" x14ac:dyDescent="0.25"/>
  <cols>
    <col min="1" max="1" width="14" customWidth="1"/>
  </cols>
  <sheetData>
    <row r="1" spans="1:25" x14ac:dyDescent="0.25">
      <c r="A1" s="8" t="s">
        <v>102</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Y7"/>
  <sheetViews>
    <sheetView workbookViewId="0"/>
  </sheetViews>
  <sheetFormatPr defaultRowHeight="15" x14ac:dyDescent="0.25"/>
  <cols>
    <col min="1" max="1" width="14" customWidth="1"/>
  </cols>
  <sheetData>
    <row r="1" spans="1:25" x14ac:dyDescent="0.25">
      <c r="A1" s="8" t="s">
        <v>103</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Y7"/>
  <sheetViews>
    <sheetView workbookViewId="0"/>
  </sheetViews>
  <sheetFormatPr defaultRowHeight="15" x14ac:dyDescent="0.25"/>
  <cols>
    <col min="1" max="1" width="14" customWidth="1"/>
  </cols>
  <sheetData>
    <row r="1" spans="1:25" x14ac:dyDescent="0.25">
      <c r="A1" s="8" t="s">
        <v>104</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Y7"/>
  <sheetViews>
    <sheetView workbookViewId="0"/>
  </sheetViews>
  <sheetFormatPr defaultRowHeight="15" x14ac:dyDescent="0.25"/>
  <cols>
    <col min="1" max="1" width="14" customWidth="1"/>
  </cols>
  <sheetData>
    <row r="1" spans="1:25" x14ac:dyDescent="0.25">
      <c r="A1" s="8" t="s">
        <v>105</v>
      </c>
      <c r="B1" s="8" t="s">
        <v>58</v>
      </c>
      <c r="C1" s="8" t="s">
        <v>59</v>
      </c>
      <c r="D1" s="8" t="s">
        <v>60</v>
      </c>
      <c r="E1" s="8" t="s">
        <v>61</v>
      </c>
      <c r="F1" s="8" t="s">
        <v>62</v>
      </c>
      <c r="G1" s="8" t="s">
        <v>63</v>
      </c>
      <c r="H1" s="8" t="s">
        <v>64</v>
      </c>
      <c r="I1" s="8" t="s">
        <v>65</v>
      </c>
      <c r="J1" s="8" t="s">
        <v>66</v>
      </c>
      <c r="K1" s="8" t="s">
        <v>67</v>
      </c>
      <c r="L1" s="8" t="s">
        <v>68</v>
      </c>
      <c r="M1" s="8" t="s">
        <v>69</v>
      </c>
      <c r="N1" s="8" t="s">
        <v>70</v>
      </c>
      <c r="O1" s="8" t="s">
        <v>71</v>
      </c>
      <c r="P1" s="8" t="s">
        <v>72</v>
      </c>
      <c r="Q1" s="8" t="s">
        <v>73</v>
      </c>
      <c r="R1" s="8" t="s">
        <v>74</v>
      </c>
      <c r="S1" s="8" t="s">
        <v>75</v>
      </c>
      <c r="T1" s="8" t="s">
        <v>76</v>
      </c>
      <c r="U1" s="8" t="s">
        <v>77</v>
      </c>
      <c r="V1" s="8" t="s">
        <v>78</v>
      </c>
      <c r="W1" s="8" t="s">
        <v>79</v>
      </c>
      <c r="X1" s="8" t="s">
        <v>80</v>
      </c>
      <c r="Y1" s="8" t="s">
        <v>81</v>
      </c>
    </row>
    <row r="2" spans="1:25" x14ac:dyDescent="0.25">
      <c r="A2" t="s">
        <v>144</v>
      </c>
      <c r="B2">
        <f>'Thermal-derivation'!$B$3</f>
        <v>0.98</v>
      </c>
      <c r="C2">
        <f>'Thermal-derivation'!$B$3</f>
        <v>0.98</v>
      </c>
      <c r="D2">
        <f>'Thermal-derivation'!$B$3</f>
        <v>0.98</v>
      </c>
      <c r="E2">
        <f>'Thermal-derivation'!$B$3</f>
        <v>0.98</v>
      </c>
      <c r="F2">
        <f>'Thermal-derivation'!$B$3</f>
        <v>0.98</v>
      </c>
      <c r="G2">
        <f>'Thermal-derivation'!$B$3</f>
        <v>0.98</v>
      </c>
      <c r="H2">
        <f>'Thermal-derivation'!$B$3</f>
        <v>0.98</v>
      </c>
      <c r="I2">
        <f>'Thermal-derivation'!$B$3</f>
        <v>0.98</v>
      </c>
      <c r="J2">
        <f>'Thermal-derivation'!$B$3</f>
        <v>0.98</v>
      </c>
      <c r="K2">
        <f>'Thermal-derivation'!$B$3</f>
        <v>0.98</v>
      </c>
      <c r="L2">
        <f>'Thermal-derivation'!$B$3</f>
        <v>0.98</v>
      </c>
      <c r="M2">
        <f>'Thermal-derivation'!$B$3</f>
        <v>0.98</v>
      </c>
      <c r="N2">
        <f>'Thermal-derivation'!$B$3</f>
        <v>0.98</v>
      </c>
      <c r="O2">
        <f>'Thermal-derivation'!$B$3</f>
        <v>0.98</v>
      </c>
      <c r="P2">
        <f>'Thermal-derivation'!$B$3</f>
        <v>0.98</v>
      </c>
      <c r="Q2">
        <f>'Thermal-derivation'!$B$3</f>
        <v>0.98</v>
      </c>
      <c r="R2">
        <f>'Thermal-derivation'!$B$3</f>
        <v>0.98</v>
      </c>
      <c r="S2">
        <f>'Thermal-derivation'!$B$3</f>
        <v>0.98</v>
      </c>
      <c r="T2">
        <f>'Thermal-derivation'!$B$3</f>
        <v>0.98</v>
      </c>
      <c r="U2">
        <f>'Thermal-derivation'!$B$3</f>
        <v>0.98</v>
      </c>
      <c r="V2">
        <f>'Thermal-derivation'!$B$3</f>
        <v>0.98</v>
      </c>
      <c r="W2">
        <f>'Thermal-derivation'!$B$3</f>
        <v>0.98</v>
      </c>
      <c r="X2">
        <f>'Thermal-derivation'!$B$3</f>
        <v>0.98</v>
      </c>
      <c r="Y2">
        <f>'Thermal-derivation'!$B$3</f>
        <v>0.98</v>
      </c>
    </row>
    <row r="3" spans="1:25" x14ac:dyDescent="0.25">
      <c r="A3" t="s">
        <v>145</v>
      </c>
      <c r="B3">
        <f>'Thermal-derivation'!$B$3</f>
        <v>0.98</v>
      </c>
      <c r="C3">
        <f>'Thermal-derivation'!$B$3</f>
        <v>0.98</v>
      </c>
      <c r="D3">
        <f>'Thermal-derivation'!$B$3</f>
        <v>0.98</v>
      </c>
      <c r="E3">
        <f>'Thermal-derivation'!$B$3</f>
        <v>0.98</v>
      </c>
      <c r="F3">
        <f>'Thermal-derivation'!$B$3</f>
        <v>0.98</v>
      </c>
      <c r="G3">
        <f>'Thermal-derivation'!$B$3</f>
        <v>0.98</v>
      </c>
      <c r="H3">
        <f>'Thermal-derivation'!$B$3</f>
        <v>0.98</v>
      </c>
      <c r="I3">
        <f>'Thermal-derivation'!$B$3</f>
        <v>0.98</v>
      </c>
      <c r="J3">
        <f>'Thermal-derivation'!$B$3</f>
        <v>0.98</v>
      </c>
      <c r="K3">
        <f>'Thermal-derivation'!$B$3</f>
        <v>0.98</v>
      </c>
      <c r="L3">
        <f>'Thermal-derivation'!$B$3</f>
        <v>0.98</v>
      </c>
      <c r="M3">
        <f>'Thermal-derivation'!$B$3</f>
        <v>0.98</v>
      </c>
      <c r="N3">
        <f>'Thermal-derivation'!$B$3</f>
        <v>0.98</v>
      </c>
      <c r="O3">
        <f>'Thermal-derivation'!$B$3</f>
        <v>0.98</v>
      </c>
      <c r="P3">
        <f>'Thermal-derivation'!$B$3</f>
        <v>0.98</v>
      </c>
      <c r="Q3">
        <f>'Thermal-derivation'!$B$3</f>
        <v>0.98</v>
      </c>
      <c r="R3">
        <f>'Thermal-derivation'!$B$3</f>
        <v>0.98</v>
      </c>
      <c r="S3">
        <f>'Thermal-derivation'!$B$3</f>
        <v>0.98</v>
      </c>
      <c r="T3">
        <f>'Thermal-derivation'!$B$3</f>
        <v>0.98</v>
      </c>
      <c r="U3">
        <f>'Thermal-derivation'!$B$3</f>
        <v>0.98</v>
      </c>
      <c r="V3">
        <f>'Thermal-derivation'!$B$3</f>
        <v>0.98</v>
      </c>
      <c r="W3">
        <f>'Thermal-derivation'!$B$3</f>
        <v>0.98</v>
      </c>
      <c r="X3">
        <f>'Thermal-derivation'!$B$3</f>
        <v>0.98</v>
      </c>
      <c r="Y3">
        <f>'Thermal-derivation'!$B$3</f>
        <v>0.98</v>
      </c>
    </row>
    <row r="4" spans="1:25" x14ac:dyDescent="0.25">
      <c r="A4" t="s">
        <v>146</v>
      </c>
      <c r="B4">
        <f>'Thermal-derivation'!$B$3</f>
        <v>0.98</v>
      </c>
      <c r="C4">
        <f>'Thermal-derivation'!$B$3</f>
        <v>0.98</v>
      </c>
      <c r="D4">
        <f>'Thermal-derivation'!$B$3</f>
        <v>0.98</v>
      </c>
      <c r="E4">
        <f>'Thermal-derivation'!$B$3</f>
        <v>0.98</v>
      </c>
      <c r="F4">
        <f>'Thermal-derivation'!$B$3</f>
        <v>0.98</v>
      </c>
      <c r="G4">
        <f>'Thermal-derivation'!$B$3</f>
        <v>0.98</v>
      </c>
      <c r="H4">
        <f>'Thermal-derivation'!$B$3</f>
        <v>0.98</v>
      </c>
      <c r="I4">
        <f>'Thermal-derivation'!$B$3</f>
        <v>0.98</v>
      </c>
      <c r="J4">
        <f>'Thermal-derivation'!$B$3</f>
        <v>0.98</v>
      </c>
      <c r="K4">
        <f>'Thermal-derivation'!$B$3</f>
        <v>0.98</v>
      </c>
      <c r="L4">
        <f>'Thermal-derivation'!$B$3</f>
        <v>0.98</v>
      </c>
      <c r="M4">
        <f>'Thermal-derivation'!$B$3</f>
        <v>0.98</v>
      </c>
      <c r="N4">
        <f>'Thermal-derivation'!$B$3</f>
        <v>0.98</v>
      </c>
      <c r="O4">
        <f>'Thermal-derivation'!$B$3</f>
        <v>0.98</v>
      </c>
      <c r="P4">
        <f>'Thermal-derivation'!$B$3</f>
        <v>0.98</v>
      </c>
      <c r="Q4">
        <f>'Thermal-derivation'!$B$3</f>
        <v>0.98</v>
      </c>
      <c r="R4">
        <f>'Thermal-derivation'!$B$3</f>
        <v>0.98</v>
      </c>
      <c r="S4">
        <f>'Thermal-derivation'!$B$3</f>
        <v>0.98</v>
      </c>
      <c r="T4">
        <f>'Thermal-derivation'!$B$3</f>
        <v>0.98</v>
      </c>
      <c r="U4">
        <f>'Thermal-derivation'!$B$3</f>
        <v>0.98</v>
      </c>
      <c r="V4">
        <f>'Thermal-derivation'!$B$3</f>
        <v>0.98</v>
      </c>
      <c r="W4">
        <f>'Thermal-derivation'!$B$3</f>
        <v>0.98</v>
      </c>
      <c r="X4">
        <f>'Thermal-derivation'!$B$3</f>
        <v>0.98</v>
      </c>
      <c r="Y4">
        <f>'Thermal-derivation'!$B$3</f>
        <v>0.98</v>
      </c>
    </row>
    <row r="5" spans="1:25" x14ac:dyDescent="0.25">
      <c r="A5" t="s">
        <v>147</v>
      </c>
      <c r="B5">
        <f>'Thermal-derivation'!$B$3</f>
        <v>0.98</v>
      </c>
      <c r="C5">
        <f>'Thermal-derivation'!$B$3</f>
        <v>0.98</v>
      </c>
      <c r="D5">
        <f>'Thermal-derivation'!$B$3</f>
        <v>0.98</v>
      </c>
      <c r="E5">
        <f>'Thermal-derivation'!$B$3</f>
        <v>0.98</v>
      </c>
      <c r="F5">
        <f>'Thermal-derivation'!$B$3</f>
        <v>0.98</v>
      </c>
      <c r="G5">
        <f>'Thermal-derivation'!$B$3</f>
        <v>0.98</v>
      </c>
      <c r="H5">
        <f>'Thermal-derivation'!$B$3</f>
        <v>0.98</v>
      </c>
      <c r="I5">
        <f>'Thermal-derivation'!$B$3</f>
        <v>0.98</v>
      </c>
      <c r="J5">
        <f>'Thermal-derivation'!$B$3</f>
        <v>0.98</v>
      </c>
      <c r="K5">
        <f>'Thermal-derivation'!$B$3</f>
        <v>0.98</v>
      </c>
      <c r="L5">
        <f>'Thermal-derivation'!$B$3</f>
        <v>0.98</v>
      </c>
      <c r="M5">
        <f>'Thermal-derivation'!$B$3</f>
        <v>0.98</v>
      </c>
      <c r="N5">
        <f>'Thermal-derivation'!$B$3</f>
        <v>0.98</v>
      </c>
      <c r="O5">
        <f>'Thermal-derivation'!$B$3</f>
        <v>0.98</v>
      </c>
      <c r="P5">
        <f>'Thermal-derivation'!$B$3</f>
        <v>0.98</v>
      </c>
      <c r="Q5">
        <f>'Thermal-derivation'!$B$3</f>
        <v>0.98</v>
      </c>
      <c r="R5">
        <f>'Thermal-derivation'!$B$3</f>
        <v>0.98</v>
      </c>
      <c r="S5">
        <f>'Thermal-derivation'!$B$3</f>
        <v>0.98</v>
      </c>
      <c r="T5">
        <f>'Thermal-derivation'!$B$3</f>
        <v>0.98</v>
      </c>
      <c r="U5">
        <f>'Thermal-derivation'!$B$3</f>
        <v>0.98</v>
      </c>
      <c r="V5">
        <f>'Thermal-derivation'!$B$3</f>
        <v>0.98</v>
      </c>
      <c r="W5">
        <f>'Thermal-derivation'!$B$3</f>
        <v>0.98</v>
      </c>
      <c r="X5">
        <f>'Thermal-derivation'!$B$3</f>
        <v>0.98</v>
      </c>
      <c r="Y5">
        <f>'Thermal-derivation'!$B$3</f>
        <v>0.98</v>
      </c>
    </row>
    <row r="6" spans="1:25" x14ac:dyDescent="0.25">
      <c r="A6" t="s">
        <v>148</v>
      </c>
      <c r="B6">
        <f>'Thermal-derivation'!$B$3</f>
        <v>0.98</v>
      </c>
      <c r="C6">
        <f>'Thermal-derivation'!$B$3</f>
        <v>0.98</v>
      </c>
      <c r="D6">
        <f>'Thermal-derivation'!$B$3</f>
        <v>0.98</v>
      </c>
      <c r="E6">
        <f>'Thermal-derivation'!$B$3</f>
        <v>0.98</v>
      </c>
      <c r="F6">
        <f>'Thermal-derivation'!$B$3</f>
        <v>0.98</v>
      </c>
      <c r="G6">
        <f>'Thermal-derivation'!$B$3</f>
        <v>0.98</v>
      </c>
      <c r="H6">
        <f>'Thermal-derivation'!$B$3</f>
        <v>0.98</v>
      </c>
      <c r="I6">
        <f>'Thermal-derivation'!$B$3</f>
        <v>0.98</v>
      </c>
      <c r="J6">
        <f>'Thermal-derivation'!$B$3</f>
        <v>0.98</v>
      </c>
      <c r="K6">
        <f>'Thermal-derivation'!$B$3</f>
        <v>0.98</v>
      </c>
      <c r="L6">
        <f>'Thermal-derivation'!$B$3</f>
        <v>0.98</v>
      </c>
      <c r="M6">
        <f>'Thermal-derivation'!$B$3</f>
        <v>0.98</v>
      </c>
      <c r="N6">
        <f>'Thermal-derivation'!$B$3</f>
        <v>0.98</v>
      </c>
      <c r="O6">
        <f>'Thermal-derivation'!$B$3</f>
        <v>0.98</v>
      </c>
      <c r="P6">
        <f>'Thermal-derivation'!$B$3</f>
        <v>0.98</v>
      </c>
      <c r="Q6">
        <f>'Thermal-derivation'!$B$3</f>
        <v>0.98</v>
      </c>
      <c r="R6">
        <f>'Thermal-derivation'!$B$3</f>
        <v>0.98</v>
      </c>
      <c r="S6">
        <f>'Thermal-derivation'!$B$3</f>
        <v>0.98</v>
      </c>
      <c r="T6">
        <f>'Thermal-derivation'!$B$3</f>
        <v>0.98</v>
      </c>
      <c r="U6">
        <f>'Thermal-derivation'!$B$3</f>
        <v>0.98</v>
      </c>
      <c r="V6">
        <f>'Thermal-derivation'!$B$3</f>
        <v>0.98</v>
      </c>
      <c r="W6">
        <f>'Thermal-derivation'!$B$3</f>
        <v>0.98</v>
      </c>
      <c r="X6">
        <f>'Thermal-derivation'!$B$3</f>
        <v>0.98</v>
      </c>
      <c r="Y6">
        <f>'Thermal-derivation'!$B$3</f>
        <v>0.98</v>
      </c>
    </row>
    <row r="7" spans="1:25" x14ac:dyDescent="0.25">
      <c r="A7" t="s">
        <v>149</v>
      </c>
      <c r="B7">
        <f>'Thermal-derivation'!$B$3</f>
        <v>0.98</v>
      </c>
      <c r="C7">
        <f>'Thermal-derivation'!$B$3</f>
        <v>0.98</v>
      </c>
      <c r="D7">
        <f>'Thermal-derivation'!$B$3</f>
        <v>0.98</v>
      </c>
      <c r="E7">
        <f>'Thermal-derivation'!$B$3</f>
        <v>0.98</v>
      </c>
      <c r="F7">
        <f>'Thermal-derivation'!$B$3</f>
        <v>0.98</v>
      </c>
      <c r="G7">
        <f>'Thermal-derivation'!$B$3</f>
        <v>0.98</v>
      </c>
      <c r="H7">
        <f>'Thermal-derivation'!$B$3</f>
        <v>0.98</v>
      </c>
      <c r="I7">
        <f>'Thermal-derivation'!$B$3</f>
        <v>0.98</v>
      </c>
      <c r="J7">
        <f>'Thermal-derivation'!$B$3</f>
        <v>0.98</v>
      </c>
      <c r="K7">
        <f>'Thermal-derivation'!$B$3</f>
        <v>0.98</v>
      </c>
      <c r="L7">
        <f>'Thermal-derivation'!$B$3</f>
        <v>0.98</v>
      </c>
      <c r="M7">
        <f>'Thermal-derivation'!$B$3</f>
        <v>0.98</v>
      </c>
      <c r="N7">
        <f>'Thermal-derivation'!$B$3</f>
        <v>0.98</v>
      </c>
      <c r="O7">
        <f>'Thermal-derivation'!$B$3</f>
        <v>0.98</v>
      </c>
      <c r="P7">
        <f>'Thermal-derivation'!$B$3</f>
        <v>0.98</v>
      </c>
      <c r="Q7">
        <f>'Thermal-derivation'!$B$3</f>
        <v>0.98</v>
      </c>
      <c r="R7">
        <f>'Thermal-derivation'!$B$3</f>
        <v>0.98</v>
      </c>
      <c r="S7">
        <f>'Thermal-derivation'!$B$3</f>
        <v>0.98</v>
      </c>
      <c r="T7">
        <f>'Thermal-derivation'!$B$3</f>
        <v>0.98</v>
      </c>
      <c r="U7">
        <f>'Thermal-derivation'!$B$3</f>
        <v>0.98</v>
      </c>
      <c r="V7">
        <f>'Thermal-derivation'!$B$3</f>
        <v>0.98</v>
      </c>
      <c r="W7">
        <f>'Thermal-derivation'!$B$3</f>
        <v>0.98</v>
      </c>
      <c r="X7">
        <f>'Thermal-derivation'!$B$3</f>
        <v>0.98</v>
      </c>
      <c r="Y7">
        <f>'Thermal-derivation'!$B$3</f>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About</vt:lpstr>
      <vt:lpstr>DAT-derivation</vt:lpstr>
      <vt:lpstr>Thermal-derivation</vt:lpstr>
      <vt:lpstr>ELCCAfR-solar-pv</vt:lpstr>
      <vt:lpstr>ELCCAfR-solar-thermal</vt:lpstr>
      <vt:lpstr>ELCCAfR-onshore-wind</vt:lpstr>
      <vt:lpstr>ELCCAfR-offshore-wind</vt:lpstr>
      <vt:lpstr>ELCCAfR-MSW</vt:lpstr>
      <vt:lpstr>ELCCAfR-SMR</vt:lpstr>
      <vt:lpstr>ELCCAfR-biomass-CCS</vt:lpstr>
      <vt:lpstr>ELCCAfR-biomass</vt:lpstr>
      <vt:lpstr>ELCCAfR-combined-cycle-CCS</vt:lpstr>
      <vt:lpstr>ELCCAfR-combined-cycle</vt:lpstr>
      <vt:lpstr>ELCCAfR-crude-oil</vt:lpstr>
      <vt:lpstr>ELCCAfR-demand-altering-techs</vt:lpstr>
      <vt:lpstr>ELCCAfR-geothermal</vt:lpstr>
      <vt:lpstr>ELCCAfR-hard-coal-CCS</vt:lpstr>
      <vt:lpstr>ELCCAfR-hard-coal</vt:lpstr>
      <vt:lpstr>ELCCAfR-heavy-or-residual-oil</vt:lpstr>
      <vt:lpstr>ELCCAfR-hydro</vt:lpstr>
      <vt:lpstr>ELCCAfR-hydrogen-CC</vt:lpstr>
      <vt:lpstr>ELCCAfR-hydrogen-CT</vt:lpstr>
      <vt:lpstr>ELCCAfR-lignite-CCS</vt:lpstr>
      <vt:lpstr>ELCCAfR-lignite</vt:lpstr>
      <vt:lpstr>ELCCAfR-natural-gas-peaker</vt:lpstr>
      <vt:lpstr>ELCCAfR-nuclear</vt:lpstr>
      <vt:lpstr>ELCCAfR-petroleum</vt:lpstr>
      <vt:lpstr>ELCCAfR-steam-turbine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Megan Mahajan</cp:lastModifiedBy>
  <dcterms:created xsi:type="dcterms:W3CDTF">2026-05-11T18:41:09Z</dcterms:created>
  <dcterms:modified xsi:type="dcterms:W3CDTF">2026-10-29T16:28:24Z</dcterms:modified>
</cp:coreProperties>
</file>