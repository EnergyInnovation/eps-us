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DRC\"/>
    </mc:Choice>
  </mc:AlternateContent>
  <xr:revisionPtr revIDLastSave="0" documentId="13_ncr:1_{FBF6F814-979D-455D-B8BD-887D64C31E2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bout" sheetId="1" r:id="rId1"/>
    <sheet name="Data and Calculations" sheetId="4" r:id="rId2"/>
    <sheet name="DRC-BDRC" sheetId="5" r:id="rId3"/>
    <sheet name="DRC-PADRC" sheetId="2" r:id="rId4"/>
    <sheet name="DRC-ADRHpDR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D2" i="2"/>
  <c r="C2" i="2"/>
  <c r="B2" i="5"/>
  <c r="B2" i="7"/>
  <c r="C2" i="5"/>
  <c r="B2" i="2" l="1"/>
  <c r="D2" i="5"/>
  <c r="E2" i="5"/>
  <c r="F2" i="5" l="1"/>
  <c r="G2" i="5" l="1"/>
  <c r="H2" i="5" l="1"/>
  <c r="I2" i="5" l="1"/>
  <c r="J2" i="5" l="1"/>
  <c r="K2" i="5" l="1"/>
  <c r="L2" i="5" l="1"/>
  <c r="M2" i="5" l="1"/>
  <c r="N2" i="5" l="1"/>
  <c r="O2" i="5" l="1"/>
  <c r="P2" i="5" l="1"/>
  <c r="Q2" i="5" l="1"/>
  <c r="R2" i="5" l="1"/>
  <c r="S2" i="5" l="1"/>
  <c r="T2" i="5" l="1"/>
  <c r="U2" i="5" l="1"/>
  <c r="V2" i="5" l="1"/>
  <c r="W2" i="5" l="1"/>
  <c r="X2" i="5" l="1"/>
  <c r="Y2" i="5" l="1"/>
  <c r="Z2" i="5" l="1"/>
  <c r="AA2" i="5" l="1"/>
  <c r="AB2" i="5" l="1"/>
  <c r="AC2" i="5" l="1"/>
  <c r="AD2" i="5" l="1"/>
  <c r="AE2" i="5" l="1"/>
  <c r="AF2" i="5" l="1"/>
  <c r="AG2" i="5" l="1"/>
  <c r="AH2" i="5" l="1"/>
</calcChain>
</file>

<file path=xl/sharedStrings.xml><?xml version="1.0" encoding="utf-8"?>
<sst xmlns="http://schemas.openxmlformats.org/spreadsheetml/2006/main" count="45" uniqueCount="44">
  <si>
    <t>Year</t>
  </si>
  <si>
    <t>Potential Additional DR Capacity (MW)</t>
  </si>
  <si>
    <t>DR Capacity (MW)</t>
  </si>
  <si>
    <t>DRC BAU Demand Response Capacity</t>
  </si>
  <si>
    <t>DRC Potential Additional Demand Response Capacity</t>
  </si>
  <si>
    <t>Demand response is defined as the potential to reduce or shift electricity usage during peak</t>
  </si>
  <si>
    <t>periods in response to time-based rates or other financial incentives.</t>
  </si>
  <si>
    <t>Notes:</t>
  </si>
  <si>
    <t>https://brattlefiles.blob.core.windows.net/files/16639_national_potential_for_load_flexibility_-_final.pdf</t>
  </si>
  <si>
    <t>Brattle Group</t>
  </si>
  <si>
    <t>The National Potential for Load Flexibility</t>
  </si>
  <si>
    <t>Slide 18</t>
  </si>
  <si>
    <t>Sources:</t>
  </si>
  <si>
    <t>Brattle Capacity Projections (MW)</t>
  </si>
  <si>
    <t>2019 Capacity and 2030 Projection</t>
  </si>
  <si>
    <t>Unit: hours</t>
  </si>
  <si>
    <t>U.S. Department of Energy</t>
  </si>
  <si>
    <t>https://www.energy.gov/eere/femp/demand-response-and-time-variable-pricing-programs-western-states</t>
  </si>
  <si>
    <t>undated</t>
  </si>
  <si>
    <t>Demand Response and Time-Variable Pricing Programs: Western States</t>
  </si>
  <si>
    <t>Using "California Independent System Operator (CAISO) Proxy Demand Response and Reliability Demand Response program" (under "California" section)</t>
  </si>
  <si>
    <t>We use a Brattle analysis to estimate the potential in 2030, and scale the potential between 2019 and 2050 linearly.</t>
  </si>
  <si>
    <t>Hours of Shift DR Average Utility May Call Upon per Year and Average DR Hours per Day on Days When DR is Called Upon</t>
  </si>
  <si>
    <t>Participants must be able to maintain demand reduction for at least 4 hours per DR event</t>
  </si>
  <si>
    <t>Max of 48 hours of DR per 6-month period (96 per year)</t>
  </si>
  <si>
    <t>DR Hours per DR Event</t>
  </si>
  <si>
    <t>Hours per Event</t>
  </si>
  <si>
    <t>Hours of Shift DR per Year</t>
  </si>
  <si>
    <t>Hours of DR per Event</t>
  </si>
  <si>
    <t>DRC Average DR Hours per DR Event</t>
  </si>
  <si>
    <t>DRC Hours of DR Average Utility May Call Upon per Year</t>
  </si>
  <si>
    <t>DR Hours per Year and per Event</t>
  </si>
  <si>
    <t>CAISO's Proxy Demand Response and Reliability Demand Response programs specifies:</t>
  </si>
  <si>
    <t>We also require input data on the total number of hours of DR the average utility may call upon per year</t>
  </si>
  <si>
    <t>and the typical length of each DR event in hours.  These are used to apportion the DR capacity to different</t>
  </si>
  <si>
    <t>days and hours correctly in the model.</t>
  </si>
  <si>
    <t>Curtailment Deflator</t>
  </si>
  <si>
    <t>Page 4 (key findings), second bullet</t>
  </si>
  <si>
    <t>California ISO</t>
  </si>
  <si>
    <t>Demand Response Issues and Performance, 2024</t>
  </si>
  <si>
    <t>https://www.caiso.com/documents/demand-response-issues-and-performance-2024-mar-14-2025.pdf</t>
  </si>
  <si>
    <t>We apply a curtailment multiplier to discount the amount of available capacity by the amount of DR that is available</t>
  </si>
  <si>
    <t>on average when called upon. According to CAISO, "on high demand days in the summer, about 70 percent of totaldemand response capacity
dispatched in real-time reported performing as scheduled"</t>
  </si>
  <si>
    <t>Deflator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</si>
</sst>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nergy.gov/eere/femp/demand-response-and-time-variable-pricing-programs-western-states" TargetMode="External"/><Relationship Id="rId1" Type="http://schemas.openxmlformats.org/officeDocument/2006/relationships/hyperlink" Target="https://brattlefiles.blob.core.windows.net/files/16639_national_potential_for_load_flexibility_-_final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4" zoomScale="145" zoomScaleNormal="145" workbookViewId="0">
      <selection activeCell="A37" sqref="A37"/>
    </sheetView>
  </sheetViews>
  <sheetFormatPr defaultRowHeight="14.5" x14ac:dyDescent="0.35"/>
  <cols>
    <col min="2" max="2" width="107.26953125" customWidth="1"/>
  </cols>
  <sheetData>
    <row r="1" spans="1:2" x14ac:dyDescent="0.35">
      <c r="A1" s="1" t="s">
        <v>3</v>
      </c>
    </row>
    <row r="2" spans="1:2" x14ac:dyDescent="0.35">
      <c r="A2" s="1" t="s">
        <v>4</v>
      </c>
    </row>
    <row r="3" spans="1:2" x14ac:dyDescent="0.35">
      <c r="A3" s="1" t="s">
        <v>30</v>
      </c>
    </row>
    <row r="4" spans="1:2" x14ac:dyDescent="0.35">
      <c r="A4" s="1" t="s">
        <v>29</v>
      </c>
    </row>
    <row r="6" spans="1:2" x14ac:dyDescent="0.35">
      <c r="A6" s="1" t="s">
        <v>12</v>
      </c>
      <c r="B6" s="7" t="s">
        <v>14</v>
      </c>
    </row>
    <row r="7" spans="1:2" x14ac:dyDescent="0.35">
      <c r="B7" t="s">
        <v>9</v>
      </c>
    </row>
    <row r="8" spans="1:2" x14ac:dyDescent="0.35">
      <c r="B8" s="2">
        <v>2019</v>
      </c>
    </row>
    <row r="9" spans="1:2" x14ac:dyDescent="0.35">
      <c r="B9" t="s">
        <v>10</v>
      </c>
    </row>
    <row r="10" spans="1:2" x14ac:dyDescent="0.35">
      <c r="B10" s="3" t="s">
        <v>8</v>
      </c>
    </row>
    <row r="11" spans="1:2" x14ac:dyDescent="0.35">
      <c r="B11" t="s">
        <v>11</v>
      </c>
    </row>
    <row r="13" spans="1:2" x14ac:dyDescent="0.35">
      <c r="B13" s="7" t="s">
        <v>22</v>
      </c>
    </row>
    <row r="14" spans="1:2" x14ac:dyDescent="0.35">
      <c r="B14" t="s">
        <v>16</v>
      </c>
    </row>
    <row r="15" spans="1:2" x14ac:dyDescent="0.35">
      <c r="B15" t="s">
        <v>18</v>
      </c>
    </row>
    <row r="16" spans="1:2" x14ac:dyDescent="0.35">
      <c r="B16" t="s">
        <v>19</v>
      </c>
    </row>
    <row r="17" spans="1:2" x14ac:dyDescent="0.35">
      <c r="B17" s="3" t="s">
        <v>17</v>
      </c>
    </row>
    <row r="18" spans="1:2" x14ac:dyDescent="0.35">
      <c r="B18" t="s">
        <v>20</v>
      </c>
    </row>
    <row r="20" spans="1:2" x14ac:dyDescent="0.35">
      <c r="B20" s="7" t="s">
        <v>36</v>
      </c>
    </row>
    <row r="21" spans="1:2" x14ac:dyDescent="0.35">
      <c r="B21" t="s">
        <v>38</v>
      </c>
    </row>
    <row r="22" spans="1:2" x14ac:dyDescent="0.35">
      <c r="B22" s="2">
        <v>2025</v>
      </c>
    </row>
    <row r="23" spans="1:2" x14ac:dyDescent="0.35">
      <c r="B23" t="s">
        <v>39</v>
      </c>
    </row>
    <row r="24" spans="1:2" x14ac:dyDescent="0.35">
      <c r="A24" s="3"/>
      <c r="B24" s="3" t="s">
        <v>40</v>
      </c>
    </row>
    <row r="25" spans="1:2" x14ac:dyDescent="0.35">
      <c r="B25" t="s">
        <v>37</v>
      </c>
    </row>
    <row r="27" spans="1:2" x14ac:dyDescent="0.35">
      <c r="A27" s="1" t="s">
        <v>7</v>
      </c>
    </row>
    <row r="28" spans="1:2" x14ac:dyDescent="0.35">
      <c r="A28" t="s">
        <v>5</v>
      </c>
    </row>
    <row r="29" spans="1:2" x14ac:dyDescent="0.35">
      <c r="A29" t="s">
        <v>6</v>
      </c>
    </row>
    <row r="30" spans="1:2" x14ac:dyDescent="0.35">
      <c r="A30" t="s">
        <v>21</v>
      </c>
    </row>
    <row r="32" spans="1:2" x14ac:dyDescent="0.35">
      <c r="A32" t="s">
        <v>33</v>
      </c>
    </row>
    <row r="33" spans="1:1" x14ac:dyDescent="0.35">
      <c r="A33" t="s">
        <v>34</v>
      </c>
    </row>
    <row r="34" spans="1:1" x14ac:dyDescent="0.35">
      <c r="A34" t="s">
        <v>35</v>
      </c>
    </row>
    <row r="36" spans="1:1" x14ac:dyDescent="0.35">
      <c r="A36" t="s">
        <v>41</v>
      </c>
    </row>
    <row r="37" spans="1:1" x14ac:dyDescent="0.35">
      <c r="A37" s="10" t="s">
        <v>42</v>
      </c>
    </row>
  </sheetData>
  <hyperlinks>
    <hyperlink ref="B10" r:id="rId1" xr:uid="{00000000-0004-0000-0000-000000000000}"/>
    <hyperlink ref="B17" r:id="rId2" xr:uid="{FEA3D438-7046-4A76-97BC-4319E590299B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A3" sqref="A3"/>
    </sheetView>
  </sheetViews>
  <sheetFormatPr defaultRowHeight="14.5" x14ac:dyDescent="0.35"/>
  <cols>
    <col min="1" max="1" width="18" customWidth="1"/>
  </cols>
  <sheetData>
    <row r="1" spans="1:3" x14ac:dyDescent="0.35">
      <c r="A1" s="7" t="s">
        <v>13</v>
      </c>
      <c r="B1" s="6"/>
      <c r="C1" s="6"/>
    </row>
    <row r="2" spans="1:3" x14ac:dyDescent="0.35">
      <c r="A2">
        <v>2019</v>
      </c>
      <c r="B2">
        <v>2030</v>
      </c>
    </row>
    <row r="3" spans="1:3" x14ac:dyDescent="0.35">
      <c r="A3">
        <v>59000</v>
      </c>
      <c r="B3">
        <v>198000</v>
      </c>
    </row>
    <row r="5" spans="1:3" x14ac:dyDescent="0.35">
      <c r="A5" s="7" t="s">
        <v>43</v>
      </c>
    </row>
    <row r="6" spans="1:3" x14ac:dyDescent="0.35">
      <c r="A6">
        <v>0.3</v>
      </c>
    </row>
    <row r="9" spans="1:3" x14ac:dyDescent="0.35">
      <c r="A9" s="7" t="s">
        <v>31</v>
      </c>
      <c r="B9" s="6"/>
      <c r="C9" s="6"/>
    </row>
    <row r="11" spans="1:3" x14ac:dyDescent="0.35">
      <c r="A11" t="s">
        <v>32</v>
      </c>
    </row>
    <row r="13" spans="1:3" x14ac:dyDescent="0.35">
      <c r="A13" t="s">
        <v>24</v>
      </c>
    </row>
    <row r="14" spans="1:3" x14ac:dyDescent="0.35">
      <c r="A14" t="s">
        <v>23</v>
      </c>
    </row>
    <row r="16" spans="1:3" x14ac:dyDescent="0.35">
      <c r="A16" t="s">
        <v>27</v>
      </c>
    </row>
    <row r="17" spans="1:1" x14ac:dyDescent="0.35">
      <c r="A17">
        <v>96</v>
      </c>
    </row>
    <row r="19" spans="1:1" x14ac:dyDescent="0.35">
      <c r="A19" t="s">
        <v>28</v>
      </c>
    </row>
    <row r="20" spans="1:1" x14ac:dyDescent="0.35">
      <c r="A20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H2"/>
  <sheetViews>
    <sheetView workbookViewId="0">
      <selection activeCell="B3" sqref="B3"/>
    </sheetView>
  </sheetViews>
  <sheetFormatPr defaultRowHeight="14.5" x14ac:dyDescent="0.35"/>
  <cols>
    <col min="1" max="1" width="19.26953125" customWidth="1"/>
  </cols>
  <sheetData>
    <row r="1" spans="1:34" x14ac:dyDescent="0.35">
      <c r="A1" s="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35">
      <c r="A2" s="1" t="s">
        <v>2</v>
      </c>
      <c r="B2" s="4">
        <f>'Data and Calculations'!A3*(1-'Data and Calculations'!$A$6)</f>
        <v>41300</v>
      </c>
      <c r="C2" s="4">
        <f>B2</f>
        <v>41300</v>
      </c>
      <c r="D2" s="4">
        <f t="shared" ref="D2:AH2" si="0">C2</f>
        <v>41300</v>
      </c>
      <c r="E2" s="4">
        <f t="shared" si="0"/>
        <v>41300</v>
      </c>
      <c r="F2" s="4">
        <f t="shared" si="0"/>
        <v>41300</v>
      </c>
      <c r="G2" s="4">
        <f t="shared" si="0"/>
        <v>41300</v>
      </c>
      <c r="H2" s="4">
        <f t="shared" si="0"/>
        <v>41300</v>
      </c>
      <c r="I2" s="4">
        <f t="shared" si="0"/>
        <v>41300</v>
      </c>
      <c r="J2" s="4">
        <f t="shared" si="0"/>
        <v>41300</v>
      </c>
      <c r="K2" s="4">
        <f t="shared" si="0"/>
        <v>41300</v>
      </c>
      <c r="L2" s="4">
        <f t="shared" si="0"/>
        <v>41300</v>
      </c>
      <c r="M2" s="4">
        <f t="shared" si="0"/>
        <v>41300</v>
      </c>
      <c r="N2" s="4">
        <f t="shared" si="0"/>
        <v>41300</v>
      </c>
      <c r="O2" s="4">
        <f t="shared" si="0"/>
        <v>41300</v>
      </c>
      <c r="P2" s="4">
        <f t="shared" si="0"/>
        <v>41300</v>
      </c>
      <c r="Q2" s="4">
        <f t="shared" si="0"/>
        <v>41300</v>
      </c>
      <c r="R2" s="4">
        <f t="shared" si="0"/>
        <v>41300</v>
      </c>
      <c r="S2" s="4">
        <f t="shared" si="0"/>
        <v>41300</v>
      </c>
      <c r="T2" s="4">
        <f t="shared" si="0"/>
        <v>41300</v>
      </c>
      <c r="U2" s="4">
        <f t="shared" si="0"/>
        <v>41300</v>
      </c>
      <c r="V2" s="4">
        <f t="shared" si="0"/>
        <v>41300</v>
      </c>
      <c r="W2" s="4">
        <f t="shared" si="0"/>
        <v>41300</v>
      </c>
      <c r="X2" s="4">
        <f t="shared" si="0"/>
        <v>41300</v>
      </c>
      <c r="Y2" s="4">
        <f t="shared" si="0"/>
        <v>41300</v>
      </c>
      <c r="Z2" s="4">
        <f t="shared" si="0"/>
        <v>41300</v>
      </c>
      <c r="AA2" s="4">
        <f t="shared" si="0"/>
        <v>41300</v>
      </c>
      <c r="AB2" s="4">
        <f t="shared" si="0"/>
        <v>41300</v>
      </c>
      <c r="AC2" s="4">
        <f t="shared" si="0"/>
        <v>41300</v>
      </c>
      <c r="AD2" s="4">
        <f t="shared" si="0"/>
        <v>41300</v>
      </c>
      <c r="AE2" s="4">
        <f t="shared" si="0"/>
        <v>41300</v>
      </c>
      <c r="AF2" s="4">
        <f t="shared" si="0"/>
        <v>41300</v>
      </c>
      <c r="AG2" s="4">
        <f t="shared" si="0"/>
        <v>41300</v>
      </c>
      <c r="AH2" s="4">
        <f t="shared" si="0"/>
        <v>41300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H2"/>
  <sheetViews>
    <sheetView workbookViewId="0">
      <selection activeCell="A2" sqref="A2:XFD2"/>
    </sheetView>
  </sheetViews>
  <sheetFormatPr defaultRowHeight="14.5" x14ac:dyDescent="0.35"/>
  <cols>
    <col min="1" max="1" width="21" customWidth="1"/>
  </cols>
  <sheetData>
    <row r="1" spans="1:34" x14ac:dyDescent="0.35">
      <c r="A1" s="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ht="29" x14ac:dyDescent="0.35">
      <c r="A2" s="5" t="s">
        <v>1</v>
      </c>
      <c r="B2" s="4">
        <f>C2</f>
        <v>12390</v>
      </c>
      <c r="C2" s="4">
        <f>('Data and Calculations'!A3-'DRC-BDRC'!C2)*(1-'Data and Calculations'!$A$6)</f>
        <v>12390</v>
      </c>
      <c r="D2" s="4">
        <f>(TREND('Data and Calculations'!$A$3:$B$3,'Data and Calculations'!$A$2:$B$2,'DRC-PADRC'!D1)-'DRC-BDRC'!D2)*(1-'Data and Calculations'!$A$6)</f>
        <v>21235.454545454308</v>
      </c>
      <c r="E2" s="4">
        <f>(TREND('Data and Calculations'!$A$3:$B$3,'Data and Calculations'!$A$2:$B$2,'DRC-PADRC'!E1)-'DRC-BDRC'!E2)*(1-'Data and Calculations'!$A$6)</f>
        <v>30080.909090911224</v>
      </c>
      <c r="F2" s="4">
        <f>(TREND('Data and Calculations'!$A$3:$B$3,'Data and Calculations'!$A$2:$B$2,'DRC-PADRC'!F1)-'DRC-BDRC'!F2)*(1-'Data and Calculations'!$A$6)</f>
        <v>38926.363636365531</v>
      </c>
      <c r="G2" s="4">
        <f>(TREND('Data and Calculations'!$A$3:$B$3,'Data and Calculations'!$A$2:$B$2,'DRC-PADRC'!G1)-'DRC-BDRC'!G2)*(1-'Data and Calculations'!$A$6)</f>
        <v>47771.818181819835</v>
      </c>
      <c r="H2" s="4">
        <f>(TREND('Data and Calculations'!$A$3:$B$3,'Data and Calculations'!$A$2:$B$2,'DRC-PADRC'!H1)-'DRC-BDRC'!H2)*(1-'Data and Calculations'!$A$6)</f>
        <v>56617.272727274147</v>
      </c>
      <c r="I2" s="4">
        <f>(TREND('Data and Calculations'!$A$3:$B$3,'Data and Calculations'!$A$2:$B$2,'DRC-PADRC'!I1)-'DRC-BDRC'!I2)*(1-'Data and Calculations'!$A$6)</f>
        <v>65462.727272728451</v>
      </c>
      <c r="J2" s="4">
        <f>(TREND('Data and Calculations'!$A$3:$B$3,'Data and Calculations'!$A$2:$B$2,'DRC-PADRC'!J1)-'DRC-BDRC'!J2)*(1-'Data and Calculations'!$A$6)</f>
        <v>74308.181818182755</v>
      </c>
      <c r="K2" s="4">
        <f>(TREND('Data and Calculations'!$A$3:$B$3,'Data and Calculations'!$A$2:$B$2,'DRC-PADRC'!K1)-'DRC-BDRC'!K2)*(1-'Data and Calculations'!$A$6)</f>
        <v>83153.636363637066</v>
      </c>
      <c r="L2" s="4">
        <f>(TREND('Data and Calculations'!$A$3:$B$3,'Data and Calculations'!$A$2:$B$2,'DRC-PADRC'!L1)-'DRC-BDRC'!L2)*(1-'Data and Calculations'!$A$6)</f>
        <v>91999.090909091377</v>
      </c>
      <c r="M2" s="4">
        <f>(TREND('Data and Calculations'!$A$3:$B$3,'Data and Calculations'!$A$2:$B$2,'DRC-PADRC'!M1)-'DRC-BDRC'!M2)*(1-'Data and Calculations'!$A$6)</f>
        <v>100844.54545454569</v>
      </c>
      <c r="N2" s="4">
        <f>(TREND('Data and Calculations'!$A$3:$B$3,'Data and Calculations'!$A$2:$B$2,'DRC-PADRC'!N1)-'DRC-BDRC'!N2)*(1-'Data and Calculations'!$A$6)</f>
        <v>109690</v>
      </c>
      <c r="O2" s="4">
        <f>(TREND('Data and Calculations'!$A$3:$B$3,'Data and Calculations'!$A$2:$B$2,'DRC-PADRC'!O1)-'DRC-BDRC'!O2)*(1-'Data and Calculations'!$A$6)</f>
        <v>118535.4545454543</v>
      </c>
      <c r="P2" s="4">
        <f>(TREND('Data and Calculations'!$A$3:$B$3,'Data and Calculations'!$A$2:$B$2,'DRC-PADRC'!P1)-'DRC-BDRC'!P2)*(1-'Data and Calculations'!$A$6)</f>
        <v>127380.90909091121</v>
      </c>
      <c r="Q2" s="4">
        <f>(TREND('Data and Calculations'!$A$3:$B$3,'Data and Calculations'!$A$2:$B$2,'DRC-PADRC'!Q1)-'DRC-BDRC'!Q2)*(1-'Data and Calculations'!$A$6)</f>
        <v>136226.36363636554</v>
      </c>
      <c r="R2" s="4">
        <f>(TREND('Data and Calculations'!$A$3:$B$3,'Data and Calculations'!$A$2:$B$2,'DRC-PADRC'!R1)-'DRC-BDRC'!R2)*(1-'Data and Calculations'!$A$6)</f>
        <v>145071.81818181984</v>
      </c>
      <c r="S2" s="4">
        <f>(TREND('Data and Calculations'!$A$3:$B$3,'Data and Calculations'!$A$2:$B$2,'DRC-PADRC'!S1)-'DRC-BDRC'!S2)*(1-'Data and Calculations'!$A$6)</f>
        <v>153917.27272727413</v>
      </c>
      <c r="T2" s="4">
        <f>(TREND('Data and Calculations'!$A$3:$B$3,'Data and Calculations'!$A$2:$B$2,'DRC-PADRC'!T1)-'DRC-BDRC'!T2)*(1-'Data and Calculations'!$A$6)</f>
        <v>162762.72727272846</v>
      </c>
      <c r="U2" s="4">
        <f>(TREND('Data and Calculations'!$A$3:$B$3,'Data and Calculations'!$A$2:$B$2,'DRC-PADRC'!U1)-'DRC-BDRC'!U2)*(1-'Data and Calculations'!$A$6)</f>
        <v>171608.18181818275</v>
      </c>
      <c r="V2" s="4">
        <f>(TREND('Data and Calculations'!$A$3:$B$3,'Data and Calculations'!$A$2:$B$2,'DRC-PADRC'!V1)-'DRC-BDRC'!V2)*(1-'Data and Calculations'!$A$6)</f>
        <v>180453.63636363705</v>
      </c>
      <c r="W2" s="4">
        <f>(TREND('Data and Calculations'!$A$3:$B$3,'Data and Calculations'!$A$2:$B$2,'DRC-PADRC'!W1)-'DRC-BDRC'!W2)*(1-'Data and Calculations'!$A$6)</f>
        <v>189299.09090909138</v>
      </c>
      <c r="X2" s="4">
        <f>(TREND('Data and Calculations'!$A$3:$B$3,'Data and Calculations'!$A$2:$B$2,'DRC-PADRC'!X1)-'DRC-BDRC'!X2)*(1-'Data and Calculations'!$A$6)</f>
        <v>198144.54545454567</v>
      </c>
      <c r="Y2" s="4">
        <f>(TREND('Data and Calculations'!$A$3:$B$3,'Data and Calculations'!$A$2:$B$2,'DRC-PADRC'!Y1)-'DRC-BDRC'!Y2)*(1-'Data and Calculations'!$A$6)</f>
        <v>206990</v>
      </c>
      <c r="Z2" s="4">
        <f>(TREND('Data and Calculations'!$A$3:$B$3,'Data and Calculations'!$A$2:$B$2,'DRC-PADRC'!Z1)-'DRC-BDRC'!Z2)*(1-'Data and Calculations'!$A$6)</f>
        <v>215835.4545454543</v>
      </c>
      <c r="AA2" s="4">
        <f>(TREND('Data and Calculations'!$A$3:$B$3,'Data and Calculations'!$A$2:$B$2,'DRC-PADRC'!AA1)-'DRC-BDRC'!AA2)*(1-'Data and Calculations'!$A$6)</f>
        <v>224680.90909091121</v>
      </c>
      <c r="AB2" s="4">
        <f>(TREND('Data and Calculations'!$A$3:$B$3,'Data and Calculations'!$A$2:$B$2,'DRC-PADRC'!AB1)-'DRC-BDRC'!AB2)*(1-'Data and Calculations'!$A$6)</f>
        <v>233526.36363636551</v>
      </c>
      <c r="AC2" s="4">
        <f>(TREND('Data and Calculations'!$A$3:$B$3,'Data and Calculations'!$A$2:$B$2,'DRC-PADRC'!AC1)-'DRC-BDRC'!AC2)*(1-'Data and Calculations'!$A$6)</f>
        <v>242371.81818181984</v>
      </c>
      <c r="AD2" s="4">
        <f>(TREND('Data and Calculations'!$A$3:$B$3,'Data and Calculations'!$A$2:$B$2,'DRC-PADRC'!AD1)-'DRC-BDRC'!AD2)*(1-'Data and Calculations'!$A$6)</f>
        <v>251217.27272727413</v>
      </c>
      <c r="AE2" s="4">
        <f>(TREND('Data and Calculations'!$A$3:$B$3,'Data and Calculations'!$A$2:$B$2,'DRC-PADRC'!AE1)-'DRC-BDRC'!AE2)*(1-'Data and Calculations'!$A$6)</f>
        <v>260062.72727272843</v>
      </c>
      <c r="AF2" s="4">
        <f>(TREND('Data and Calculations'!$A$3:$B$3,'Data and Calculations'!$A$2:$B$2,'DRC-PADRC'!AF1)-'DRC-BDRC'!AF2)*(1-'Data and Calculations'!$A$6)</f>
        <v>268908.18181818275</v>
      </c>
      <c r="AG2" s="4">
        <f>(TREND('Data and Calculations'!$A$3:$B$3,'Data and Calculations'!$A$2:$B$2,'DRC-PADRC'!AG1)-'DRC-BDRC'!AG2)*(1-'Data and Calculations'!$A$6)</f>
        <v>277753.63636363705</v>
      </c>
      <c r="AH2" s="4">
        <f>(TREND('Data and Calculations'!$A$3:$B$3,'Data and Calculations'!$A$2:$B$2,'DRC-PADRC'!AH1)-'DRC-BDRC'!AH2)*(1-'Data and Calculations'!$A$6)</f>
        <v>286599.09090909135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3D16-B83D-4A6D-B504-E642B89301D6}">
  <sheetPr>
    <tabColor theme="3"/>
  </sheetPr>
  <dimension ref="A1:AH2"/>
  <sheetViews>
    <sheetView workbookViewId="0">
      <selection activeCell="B3" sqref="B3"/>
    </sheetView>
  </sheetViews>
  <sheetFormatPr defaultRowHeight="14.5" x14ac:dyDescent="0.35"/>
  <cols>
    <col min="1" max="1" width="33.08984375" customWidth="1"/>
    <col min="2" max="2" width="17.08984375" customWidth="1"/>
  </cols>
  <sheetData>
    <row r="1" spans="1:34" x14ac:dyDescent="0.35">
      <c r="A1" s="8" t="s">
        <v>15</v>
      </c>
      <c r="B1" s="9" t="s">
        <v>26</v>
      </c>
    </row>
    <row r="2" spans="1:34" x14ac:dyDescent="0.35">
      <c r="A2" t="s">
        <v>25</v>
      </c>
      <c r="B2" s="4">
        <f>ROUND('Data and Calculations'!A20,0)</f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 and Calculations</vt:lpstr>
      <vt:lpstr>DRC-BDRC</vt:lpstr>
      <vt:lpstr>DRC-PADRC</vt:lpstr>
      <vt:lpstr>DRC-ADRHpDRE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2014-08-26T00:34:41Z</dcterms:created>
  <dcterms:modified xsi:type="dcterms:W3CDTF">2026-02-23T23:22:43Z</dcterms:modified>
</cp:coreProperties>
</file>