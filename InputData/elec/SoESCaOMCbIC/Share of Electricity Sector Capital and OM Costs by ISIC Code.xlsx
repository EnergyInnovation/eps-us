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9445" yWindow="1200" windowWidth="24555" windowHeight="14835" tabRatio="600" firstSheet="3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Mapping" sheetId="2" state="visible" r:id="rId2"/>
    <sheet xmlns:r="http://schemas.openxmlformats.org/officeDocument/2006/relationships" name="Cost Breakdowns" sheetId="3" state="visible" r:id="rId3"/>
    <sheet xmlns:r="http://schemas.openxmlformats.org/officeDocument/2006/relationships" name="graphs_nrel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CCS Costs" sheetId="6" state="visible" r:id="rId6"/>
    <sheet xmlns:r="http://schemas.openxmlformats.org/officeDocument/2006/relationships" name="SoESCaOMCbIC-capital" sheetId="7" state="visible" r:id="rId7"/>
    <sheet xmlns:r="http://schemas.openxmlformats.org/officeDocument/2006/relationships" name="SoESCaOMCbIC-fixedOM" sheetId="8" state="visible" r:id="rId8"/>
    <sheet xmlns:r="http://schemas.openxmlformats.org/officeDocument/2006/relationships" name="SoESCaOMCbIC-variableOM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0.0%"/>
    <numFmt numFmtId="166" formatCode="0.0000"/>
    <numFmt numFmtId="167" formatCode="0.000000000000000000%"/>
    <numFmt numFmtId="168" formatCode="&quot;$&quot;#,##0_);[Red]\(&quot;$&quot;#,##0\)"/>
    <numFmt numFmtId="169" formatCode="0.000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i val="1"/>
      <sz val="11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Arial"/>
      <family val="2"/>
      <i val="1"/>
      <sz val="10"/>
    </font>
    <font>
      <name val="Arial"/>
      <family val="2"/>
      <color indexed="8"/>
      <sz val="11"/>
    </font>
    <font>
      <name val="Calibri"/>
      <family val="2"/>
      <sz val="11"/>
      <scheme val="minor"/>
    </font>
    <font>
      <name val="Arial"/>
      <family val="2"/>
      <color theme="1"/>
      <sz val="10"/>
    </font>
    <font>
      <name val="Arial"/>
      <family val="2"/>
      <i val="1"/>
      <color theme="1"/>
      <sz val="10"/>
    </font>
    <font>
      <name val="Calibri"/>
      <family val="2"/>
      <i val="1"/>
      <color theme="1"/>
      <sz val="11"/>
      <scheme val="minor"/>
    </font>
    <font>
      <name val="Calibri"/>
      <family val="2"/>
      <i val="1"/>
      <color indexed="8"/>
      <sz val="11"/>
      <scheme val="minor"/>
    </font>
    <font>
      <name val="Calibri"/>
      <family val="2"/>
      <color rgb="FF000000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 tint="0.7999816888943144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1" fillId="0" borderId="0"/>
    <xf numFmtId="9" fontId="1" fillId="0" borderId="0"/>
    <xf numFmtId="0" fontId="2" fillId="2" borderId="0"/>
    <xf numFmtId="0" fontId="9" fillId="0" borderId="0"/>
  </cellStyleXfs>
  <cellXfs count="146">
    <xf numFmtId="0" fontId="0" fillId="0" borderId="0" pivotButton="0" quotePrefix="0" xfId="0"/>
    <xf numFmtId="1" fontId="5" fillId="0" borderId="5" pivotButton="0" quotePrefix="0" xfId="0"/>
    <xf numFmtId="1" fontId="6" fillId="0" borderId="6" applyAlignment="1" pivotButton="0" quotePrefix="0" xfId="0">
      <alignment horizontal="center"/>
    </xf>
    <xf numFmtId="1" fontId="6" fillId="0" borderId="7" applyAlignment="1" pivotButton="0" quotePrefix="0" xfId="0">
      <alignment horizontal="center"/>
    </xf>
    <xf numFmtId="0" fontId="3" fillId="0" borderId="8" applyAlignment="1" pivotButton="0" quotePrefix="0" xfId="0">
      <alignment horizontal="center"/>
    </xf>
    <xf numFmtId="1" fontId="7" fillId="0" borderId="5" pivotButton="0" quotePrefix="0" xfId="0"/>
    <xf numFmtId="0" fontId="0" fillId="0" borderId="8" pivotButton="0" quotePrefix="0" xfId="0"/>
    <xf numFmtId="1" fontId="8" fillId="0" borderId="5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1" pivotButton="0" quotePrefix="0" xfId="0"/>
    <xf numFmtId="1" fontId="5" fillId="0" borderId="1" applyAlignment="1" pivotButton="0" quotePrefix="1" xfId="0">
      <alignment horizontal="left"/>
    </xf>
    <xf numFmtId="1" fontId="0" fillId="0" borderId="2" pivotButton="0" quotePrefix="0" xfId="0"/>
    <xf numFmtId="164" fontId="0" fillId="0" borderId="2" applyAlignment="1" pivotButton="0" quotePrefix="0" xfId="0">
      <alignment horizontal="center" vertical="center"/>
    </xf>
    <xf numFmtId="0" fontId="0" fillId="0" borderId="4" pivotButton="0" quotePrefix="0" xfId="0"/>
    <xf numFmtId="165" fontId="0" fillId="0" borderId="6" pivotButton="0" quotePrefix="0" xfId="1"/>
    <xf numFmtId="0" fontId="9" fillId="0" borderId="8" pivotButton="0" quotePrefix="0" xfId="3"/>
    <xf numFmtId="1" fontId="8" fillId="0" borderId="14" pivotButton="0" quotePrefix="0" xfId="0"/>
    <xf numFmtId="165" fontId="0" fillId="0" borderId="9" pivotButton="0" quotePrefix="0" xfId="1"/>
    <xf numFmtId="0" fontId="9" fillId="0" borderId="11" pivotButton="0" quotePrefix="0" xfId="3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9" fontId="0" fillId="0" borderId="6" pivotButton="0" quotePrefix="0" xfId="0"/>
    <xf numFmtId="0" fontId="0" fillId="0" borderId="14" pivotButton="0" quotePrefix="0" xfId="0"/>
    <xf numFmtId="0" fontId="0" fillId="0" borderId="9" pivotButton="0" quotePrefix="0" xfId="0"/>
    <xf numFmtId="0" fontId="0" fillId="0" borderId="10" pivotButton="0" quotePrefix="0" xfId="0"/>
    <xf numFmtId="10" fontId="0" fillId="0" borderId="6" applyAlignment="1" pivotButton="0" quotePrefix="0" xfId="1">
      <alignment horizontal="center"/>
    </xf>
    <xf numFmtId="164" fontId="0" fillId="0" borderId="6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1" fontId="10" fillId="0" borderId="5" pivotButton="0" quotePrefix="0" xfId="0"/>
    <xf numFmtId="1" fontId="7" fillId="0" borderId="15" pivotButton="0" quotePrefix="0" xfId="0"/>
    <xf numFmtId="10" fontId="0" fillId="0" borderId="12" applyAlignment="1" pivotButton="0" quotePrefix="0" xfId="1">
      <alignment horizontal="center"/>
    </xf>
    <xf numFmtId="164" fontId="0" fillId="0" borderId="12" applyAlignment="1" pivotButton="0" quotePrefix="0" xfId="0">
      <alignment horizontal="center"/>
    </xf>
    <xf numFmtId="164" fontId="0" fillId="0" borderId="13" applyAlignment="1" pivotButton="0" quotePrefix="0" xfId="0">
      <alignment horizontal="center"/>
    </xf>
    <xf numFmtId="0" fontId="9" fillId="0" borderId="16" pivotButton="0" quotePrefix="0" xfId="3"/>
    <xf numFmtId="164" fontId="0" fillId="0" borderId="2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1" fontId="8" fillId="0" borderId="5" applyAlignment="1" pivotButton="0" quotePrefix="1" xfId="0">
      <alignment horizontal="left"/>
    </xf>
    <xf numFmtId="0" fontId="0" fillId="0" borderId="6" applyAlignment="1" pivotButton="0" quotePrefix="0" xfId="0">
      <alignment horizontal="center"/>
    </xf>
    <xf numFmtId="1" fontId="8" fillId="0" borderId="14" applyAlignment="1" pivotButton="0" quotePrefix="1" xfId="0">
      <alignment horizontal="left"/>
    </xf>
    <xf numFmtId="9" fontId="0" fillId="0" borderId="9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0" fontId="0" fillId="0" borderId="9" applyAlignment="1" pivotButton="0" quotePrefix="0" xfId="1">
      <alignment horizontal="center"/>
    </xf>
    <xf numFmtId="165" fontId="11" fillId="0" borderId="6" applyAlignment="1" pivotButton="0" quotePrefix="0" xfId="1">
      <alignment horizontal="center"/>
    </xf>
    <xf numFmtId="165" fontId="0" fillId="0" borderId="6" applyAlignment="1" pivotButton="0" quotePrefix="0" xfId="1">
      <alignment horizontal="center"/>
    </xf>
    <xf numFmtId="1" fontId="8" fillId="0" borderId="14" applyAlignment="1" pivotButton="0" quotePrefix="0" xfId="0">
      <alignment horizontal="left" wrapText="1"/>
    </xf>
    <xf numFmtId="165" fontId="0" fillId="0" borderId="9" applyAlignment="1" pivotButton="0" quotePrefix="0" xfId="1">
      <alignment horizontal="center"/>
    </xf>
    <xf numFmtId="164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10" fontId="0" fillId="0" borderId="2" applyAlignment="1" pivotButton="0" quotePrefix="0" xfId="1">
      <alignment horizontal="center"/>
    </xf>
    <xf numFmtId="0" fontId="9" fillId="0" borderId="4" pivotButton="0" quotePrefix="0" xfId="3"/>
    <xf numFmtId="9" fontId="0" fillId="0" borderId="9" pivotButton="0" quotePrefix="0" xfId="0"/>
    <xf numFmtId="1" fontId="6" fillId="0" borderId="2" applyAlignment="1" pivotButton="0" quotePrefix="0" xfId="0">
      <alignment horizontal="center"/>
    </xf>
    <xf numFmtId="165" fontId="8" fillId="0" borderId="6" pivotButton="0" quotePrefix="0" xfId="1"/>
    <xf numFmtId="0" fontId="9" fillId="0" borderId="21" pivotButton="0" quotePrefix="0" xfId="3"/>
    <xf numFmtId="1" fontId="8" fillId="0" borderId="15" pivotButton="0" quotePrefix="0" xfId="0"/>
    <xf numFmtId="165" fontId="8" fillId="0" borderId="12" pivotButton="0" quotePrefix="0" xfId="1"/>
    <xf numFmtId="0" fontId="0" fillId="0" borderId="12" pivotButton="0" quotePrefix="0" xfId="0"/>
    <xf numFmtId="0" fontId="0" fillId="0" borderId="2" pivotButton="0" quotePrefix="0" xfId="0"/>
    <xf numFmtId="9" fontId="0" fillId="0" borderId="12" pivotButton="0" quotePrefix="0" xfId="0"/>
    <xf numFmtId="1" fontId="8" fillId="0" borderId="22" pivotButton="0" quotePrefix="0" xfId="0"/>
    <xf numFmtId="0" fontId="0" fillId="0" borderId="23" pivotButton="0" quotePrefix="0" xfId="0"/>
    <xf numFmtId="0" fontId="9" fillId="0" borderId="24" pivotButton="0" quotePrefix="0" xfId="3"/>
    <xf numFmtId="0" fontId="9" fillId="0" borderId="0" pivotButton="0" quotePrefix="0" xfId="3"/>
    <xf numFmtId="165" fontId="0" fillId="0" borderId="12" pivotButton="0" quotePrefix="0" xfId="1"/>
    <xf numFmtId="0" fontId="0" fillId="0" borderId="15" pivotButton="0" quotePrefix="0" xfId="0"/>
    <xf numFmtId="0" fontId="9" fillId="0" borderId="25" pivotButton="0" quotePrefix="0" xfId="3"/>
    <xf numFmtId="9" fontId="0" fillId="0" borderId="6" pivotButton="0" quotePrefix="0" xfId="1"/>
    <xf numFmtId="9" fontId="0" fillId="0" borderId="9" pivotButton="0" quotePrefix="0" xfId="1"/>
    <xf numFmtId="0" fontId="3" fillId="0" borderId="0" pivotButton="0" quotePrefix="0" xfId="0"/>
    <xf numFmtId="0" fontId="0" fillId="0" borderId="16" pivotButton="0" quotePrefix="0" xfId="0"/>
    <xf numFmtId="0" fontId="0" fillId="0" borderId="7" applyAlignment="1" pivotButton="0" quotePrefix="0" xfId="0">
      <alignment horizontal="left" vertical="center"/>
    </xf>
    <xf numFmtId="0" fontId="12" fillId="0" borderId="6" applyAlignment="1" pivotButton="0" quotePrefix="0" xfId="0">
      <alignment horizontal="center" vertical="center"/>
    </xf>
    <xf numFmtId="0" fontId="12" fillId="0" borderId="6" applyAlignment="1" pivotButton="0" quotePrefix="0" xfId="2">
      <alignment horizontal="center" vertical="center"/>
    </xf>
    <xf numFmtId="0" fontId="12" fillId="0" borderId="12" applyAlignment="1" pivotButton="0" quotePrefix="0" xfId="0">
      <alignment horizontal="center" vertical="center"/>
    </xf>
    <xf numFmtId="166" fontId="0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horizontal="left"/>
    </xf>
    <xf numFmtId="165" fontId="0" fillId="0" borderId="0" pivotButton="0" quotePrefix="0" xfId="1"/>
    <xf numFmtId="10" fontId="0" fillId="0" borderId="0" pivotButton="0" quotePrefix="0" xfId="1"/>
    <xf numFmtId="0" fontId="3" fillId="0" borderId="4" applyAlignment="1" pivotButton="0" quotePrefix="0" xfId="0">
      <alignment horizontal="center"/>
    </xf>
    <xf numFmtId="0" fontId="13" fillId="0" borderId="5" pivotButton="0" quotePrefix="0" xfId="0"/>
    <xf numFmtId="0" fontId="13" fillId="0" borderId="15" pivotButton="0" quotePrefix="0" xfId="0"/>
    <xf numFmtId="0" fontId="13" fillId="0" borderId="14" pivotButton="0" quotePrefix="0" xfId="0"/>
    <xf numFmtId="0" fontId="14" fillId="0" borderId="5" pivotButton="0" quotePrefix="0" xfId="0"/>
    <xf numFmtId="0" fontId="0" fillId="0" borderId="26" pivotButton="0" quotePrefix="0" xfId="0"/>
    <xf numFmtId="0" fontId="0" fillId="0" borderId="27" pivotButton="0" quotePrefix="0" xfId="0"/>
    <xf numFmtId="166" fontId="0" fillId="4" borderId="0" pivotButton="0" quotePrefix="0" xfId="0"/>
    <xf numFmtId="0" fontId="0" fillId="0" borderId="6" applyAlignment="1" pivotButton="0" quotePrefix="0" xfId="0">
      <alignment horizontal="left" vertical="center"/>
    </xf>
    <xf numFmtId="165" fontId="0" fillId="0" borderId="6" pivotButton="0" quotePrefix="0" xfId="1"/>
    <xf numFmtId="1" fontId="5" fillId="0" borderId="1" pivotButton="0" quotePrefix="0" xfId="0"/>
    <xf numFmtId="164" fontId="0" fillId="0" borderId="6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" fontId="5" fillId="0" borderId="17" applyAlignment="1" pivotButton="0" quotePrefix="1" xfId="0">
      <alignment horizontal="left"/>
    </xf>
    <xf numFmtId="0" fontId="0" fillId="0" borderId="18" pivotButton="0" quotePrefix="0" xfId="0"/>
    <xf numFmtId="0" fontId="9" fillId="0" borderId="20" pivotButton="0" quotePrefix="0" xfId="3"/>
    <xf numFmtId="0" fontId="13" fillId="0" borderId="1" pivotButton="0" quotePrefix="0" xfId="0"/>
    <xf numFmtId="166" fontId="0" fillId="5" borderId="0" pivotButton="0" quotePrefix="0" xfId="0"/>
    <xf numFmtId="167" fontId="0" fillId="0" borderId="0" pivotButton="0" quotePrefix="0" xfId="0"/>
    <xf numFmtId="167" fontId="0" fillId="0" borderId="6" pivotButton="0" quotePrefix="0" xfId="0"/>
    <xf numFmtId="165" fontId="0" fillId="0" borderId="2" pivotButton="0" quotePrefix="0" xfId="1"/>
    <xf numFmtId="167" fontId="0" fillId="0" borderId="2" pivotButton="0" quotePrefix="0" xfId="0"/>
    <xf numFmtId="0" fontId="0" fillId="0" borderId="2" pivotButton="0" quotePrefix="0" xfId="1"/>
    <xf numFmtId="0" fontId="13" fillId="0" borderId="14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3">
      <alignment vertical="center" wrapText="1"/>
    </xf>
    <xf numFmtId="0" fontId="0" fillId="0" borderId="0" applyAlignment="1" pivotButton="0" quotePrefix="0" xfId="0">
      <alignment horizontal="right"/>
    </xf>
    <xf numFmtId="165" fontId="0" fillId="0" borderId="6" pivotButton="0" quotePrefix="0" xfId="1"/>
    <xf numFmtId="9" fontId="0" fillId="0" borderId="0" pivotButton="0" quotePrefix="0" xfId="1"/>
    <xf numFmtId="9" fontId="0" fillId="0" borderId="0" pivotButton="0" quotePrefix="0" xfId="0"/>
    <xf numFmtId="9" fontId="3" fillId="0" borderId="0" pivotButton="0" quotePrefix="0" xfId="1"/>
    <xf numFmtId="0" fontId="3" fillId="6" borderId="0" pivotButton="0" quotePrefix="0" xfId="0"/>
    <xf numFmtId="0" fontId="0" fillId="6" borderId="0" pivotButton="0" quotePrefix="0" xfId="0"/>
    <xf numFmtId="165" fontId="8" fillId="7" borderId="6" pivotButton="0" quotePrefix="0" xfId="1"/>
    <xf numFmtId="1" fontId="0" fillId="7" borderId="2" pivotButton="0" quotePrefix="0" xfId="0"/>
    <xf numFmtId="165" fontId="0" fillId="7" borderId="6" pivotButton="0" quotePrefix="0" xfId="1"/>
    <xf numFmtId="0" fontId="3" fillId="0" borderId="28" pivotButton="0" quotePrefix="0" xfId="0"/>
    <xf numFmtId="0" fontId="0" fillId="0" borderId="28" pivotButton="0" quotePrefix="0" xfId="0"/>
    <xf numFmtId="1" fontId="8" fillId="0" borderId="0" pivotButton="0" quotePrefix="0" xfId="0"/>
    <xf numFmtId="1" fontId="5" fillId="0" borderId="0" applyAlignment="1" pivotButton="0" quotePrefix="1" xfId="0">
      <alignment horizontal="left"/>
    </xf>
    <xf numFmtId="1" fontId="0" fillId="0" borderId="0" pivotButton="0" quotePrefix="0" xfId="0"/>
    <xf numFmtId="165" fontId="0" fillId="0" borderId="0" pivotButton="0" quotePrefix="0" xfId="1"/>
    <xf numFmtId="0" fontId="15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17" fillId="0" borderId="0" applyAlignment="1" pivotButton="0" quotePrefix="0" xfId="0">
      <alignment vertical="center"/>
    </xf>
    <xf numFmtId="0" fontId="4" fillId="3" borderId="17" applyAlignment="1" pivotButton="0" quotePrefix="0" xfId="0">
      <alignment horizontal="center"/>
    </xf>
    <xf numFmtId="0" fontId="4" fillId="3" borderId="18" applyAlignment="1" pivotButton="0" quotePrefix="0" xfId="0">
      <alignment horizontal="center"/>
    </xf>
    <xf numFmtId="0" fontId="4" fillId="3" borderId="19" applyAlignment="1" pivotButton="0" quotePrefix="0" xfId="0">
      <alignment horizontal="center"/>
    </xf>
    <xf numFmtId="0" fontId="4" fillId="3" borderId="2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18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31" pivotButton="0" quotePrefix="0" xfId="0"/>
    <xf numFmtId="0" fontId="0" fillId="0" borderId="29" pivotButton="0" quotePrefix="0" xfId="0"/>
    <xf numFmtId="169" fontId="0" fillId="0" borderId="0" pivotButton="0" quotePrefix="0" xfId="0"/>
    <xf numFmtId="168" fontId="0" fillId="0" borderId="0" pivotButton="0" quotePrefix="0" xfId="0"/>
  </cellXfs>
  <cellStyles count="4">
    <cellStyle name="Normal" xfId="0" builtinId="0"/>
    <cellStyle name="Percent" xfId="1" builtinId="5"/>
    <cellStyle name="Bad" xfId="2" builtinId="27"/>
    <cellStyle name="Hy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2</row>
      <rowOff>31750</rowOff>
    </from>
    <to>
      <col>9</col>
      <colOff>355600</colOff>
      <row>54</row>
      <rowOff>36902</rowOff>
    </to>
    <pic>
      <nvPicPr>
        <cNvPr id="2" name="Picture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r="62647"/>
        <a:stretch xmlns:a="http://schemas.openxmlformats.org/drawingml/2006/main">
          <a:fillRect/>
        </a:stretch>
      </blipFill>
      <spPr>
        <a:xfrm xmlns:a="http://schemas.openxmlformats.org/drawingml/2006/main">
          <a:off x="6350" y="400050"/>
          <a:ext cx="5835650" cy="95809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414867</colOff>
      <row>2</row>
      <rowOff>6350</rowOff>
    </from>
    <to>
      <col>14</col>
      <colOff>317664</colOff>
      <row>55</row>
      <rowOff>51719</rowOff>
    </to>
    <pic>
      <nvPicPr>
        <cNvPr id="3" name="Picture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2"/>
        <a:srcRect xmlns:a="http://schemas.openxmlformats.org/drawingml/2006/main" l="80972"/>
        <a:stretch xmlns:a="http://schemas.openxmlformats.org/drawingml/2006/main">
          <a:fillRect/>
        </a:stretch>
      </blipFill>
      <spPr>
        <a:xfrm xmlns:a="http://schemas.openxmlformats.org/drawingml/2006/main">
          <a:off x="5901267" y="374650"/>
          <a:ext cx="2950797" cy="98053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coal.html" TargetMode="External" Id="rId1"/><Relationship Type="http://schemas.openxmlformats.org/officeDocument/2006/relationships/hyperlink" Target="https://www.world-nuclear.org/information-library/economic-aspects/economics-of-nuclear-power.aspx" TargetMode="External" Id="rId2"/><Relationship Type="http://schemas.openxmlformats.org/officeDocument/2006/relationships/hyperlink" Target="https://www.nrel.gov/analysis/jedi/wind.html" TargetMode="External" Id="rId3"/><Relationship Type="http://schemas.openxmlformats.org/officeDocument/2006/relationships/hyperlink" Target="https://www.nrel.gov/analysis/jedi/natural-gas.html" TargetMode="External" Id="rId4"/><Relationship Type="http://schemas.openxmlformats.org/officeDocument/2006/relationships/hyperlink" Target="https://www.nrel.gov/analysis/jedi/conventional-hydro.html" TargetMode="External" Id="rId5"/><Relationship Type="http://schemas.openxmlformats.org/officeDocument/2006/relationships/hyperlink" Target="https://www.nrel.gov/analysis/jedi/international.html" TargetMode="External" Id="rId6"/><Relationship Type="http://schemas.openxmlformats.org/officeDocument/2006/relationships/hyperlink" Target="https://www.eia.gov/analysis/studies/powerplants/capitalcost/pdf/capital_cost_AEO2020.pdf" TargetMode="External" Id="rId7"/><Relationship Type="http://schemas.openxmlformats.org/officeDocument/2006/relationships/hyperlink" Target="https://www1.eere.energy.gov/water/pdfs/doewater-00662.pdf" TargetMode="External" Id="rId8"/><Relationship Type="http://schemas.openxmlformats.org/officeDocument/2006/relationships/hyperlink" Target="https://www.nrel.gov/analysis/jedi/csp.html" TargetMode="External" Id="rId9"/><Relationship Type="http://schemas.openxmlformats.org/officeDocument/2006/relationships/hyperlink" Target="https://www.nrel.gov/analysis/jedi/wind.html" TargetMode="External" Id="rId10"/><Relationship Type="http://schemas.openxmlformats.org/officeDocument/2006/relationships/hyperlink" Target="https://www.nrel.gov/analysis/jedi/international.html" TargetMode="External" Id="rId1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rel.gov/docs/fy19osti/72399.pdf,%20Figure%2028" TargetMode="External" Id="rId1"/><Relationship Type="http://schemas.openxmlformats.org/officeDocument/2006/relationships/hyperlink" Target="https://www.nrel.gov/docs/fy19osti/72399.pdf,%20Figure%2028" TargetMode="External" Id="rId2"/><Relationship Type="http://schemas.openxmlformats.org/officeDocument/2006/relationships/hyperlink" Target="https://www.nrel.gov/docs/fy19osti/72399.pdf,%20Figure%2028" TargetMode="External" Id="rId3"/><Relationship Type="http://schemas.openxmlformats.org/officeDocument/2006/relationships/hyperlink" Target="https://www.nrel.gov/docs/fy19osti/72399.pdf,%20Figure%2028" TargetMode="External" Id="rId4"/><Relationship Type="http://schemas.openxmlformats.org/officeDocument/2006/relationships/hyperlink" Target="https://www.nrel.gov/docs/fy19osti/72399.pdf,%20Figure%2028" TargetMode="External" Id="rId5"/><Relationship Type="http://schemas.openxmlformats.org/officeDocument/2006/relationships/hyperlink" Target="https://www.nrel.gov/docs/fy19osti/72399.pdf,%20Figure%2028" TargetMode="External" Id="rId6"/><Relationship Type="http://schemas.openxmlformats.org/officeDocument/2006/relationships/hyperlink" Target="https://www.nrel.gov/docs/fy19osti/72399.pdf,%20Figure%2028" TargetMode="External" Id="rId7"/><Relationship Type="http://schemas.openxmlformats.org/officeDocument/2006/relationships/hyperlink" Target="https://www.nrel.gov/docs/fy19osti/72399.pdf,%20Figure%2028" TargetMode="External" Id="rId8"/><Relationship Type="http://schemas.openxmlformats.org/officeDocument/2006/relationships/hyperlink" Target="https://www.nrel.gov/docs/fy19osti/72399.pdf,%20Figure%2028" TargetMode="External" Id="rId9"/><Relationship Type="http://schemas.openxmlformats.org/officeDocument/2006/relationships/hyperlink" Target="https://www.nrel.gov/docs/fy19osti/72399.pdf,%20Figure%2028" TargetMode="External" Id="rId10"/><Relationship Type="http://schemas.openxmlformats.org/officeDocument/2006/relationships/hyperlink" Target="https://www.nrel.gov/analysis/jedi/international.html" TargetMode="External" Id="rId11"/><Relationship Type="http://schemas.openxmlformats.org/officeDocument/2006/relationships/hyperlink" Target="https://www.nrel.gov/analysis/jedi/international.html" TargetMode="External" Id="rId12"/><Relationship Type="http://schemas.openxmlformats.org/officeDocument/2006/relationships/hyperlink" Target="https://www.nrel.gov/analysis/jedi/coal.html" TargetMode="External" Id="rId13"/><Relationship Type="http://schemas.openxmlformats.org/officeDocument/2006/relationships/hyperlink" Target="https://www.nrel.gov/analysis/jedi/coal.html" TargetMode="External" Id="rId14"/><Relationship Type="http://schemas.openxmlformats.org/officeDocument/2006/relationships/hyperlink" Target="https://www.nrel.gov/analysis/jedi/coal.html" TargetMode="External" Id="rId15"/><Relationship Type="http://schemas.openxmlformats.org/officeDocument/2006/relationships/hyperlink" Target="https://www.nrel.gov/analysis/jedi/coal.html" TargetMode="External" Id="rId16"/><Relationship Type="http://schemas.openxmlformats.org/officeDocument/2006/relationships/hyperlink" Target="https://www.nrel.gov/analysis/jedi/coal.html" TargetMode="External" Id="rId17"/><Relationship Type="http://schemas.openxmlformats.org/officeDocument/2006/relationships/hyperlink" Target="https://www.nrel.gov/analysis/jedi/coal.html" TargetMode="External" Id="rId18"/><Relationship Type="http://schemas.openxmlformats.org/officeDocument/2006/relationships/hyperlink" Target="https://www.nrel.gov/analysis/jedi/coal.html" TargetMode="External" Id="rId19"/><Relationship Type="http://schemas.openxmlformats.org/officeDocument/2006/relationships/hyperlink" Target="https://www.nrel.gov/analysis/jedi/natural-gas.html" TargetMode="External" Id="rId20"/><Relationship Type="http://schemas.openxmlformats.org/officeDocument/2006/relationships/hyperlink" Target="https://www.nrel.gov/analysis/jedi/natural-gas.html" TargetMode="External" Id="rId21"/><Relationship Type="http://schemas.openxmlformats.org/officeDocument/2006/relationships/hyperlink" Target="https://www.nrel.gov/analysis/jedi/natural-gas.html" TargetMode="External" Id="rId22"/><Relationship Type="http://schemas.openxmlformats.org/officeDocument/2006/relationships/hyperlink" Target="https://www.world-nuclear.org/information-library/economic-aspects/economics-of-nuclear-power.aspx" TargetMode="External" Id="rId23"/><Relationship Type="http://schemas.openxmlformats.org/officeDocument/2006/relationships/hyperlink" Target="https://www.world-nuclear.org/information-library/economic-aspects/economics-of-nuclear-power.aspx" TargetMode="External" Id="rId24"/><Relationship Type="http://schemas.openxmlformats.org/officeDocument/2006/relationships/hyperlink" Target="https://www.world-nuclear.org/information-library/economic-aspects/economics-of-nuclear-power.aspx" TargetMode="External" Id="rId25"/><Relationship Type="http://schemas.openxmlformats.org/officeDocument/2006/relationships/hyperlink" Target="https://www.world-nuclear.org/information-library/economic-aspects/economics-of-nuclear-power.aspx" TargetMode="External" Id="rId26"/><Relationship Type="http://schemas.openxmlformats.org/officeDocument/2006/relationships/hyperlink" Target="https://www.world-nuclear.org/information-library/economic-aspects/economics-of-nuclear-power.aspx" TargetMode="External" Id="rId27"/><Relationship Type="http://schemas.openxmlformats.org/officeDocument/2006/relationships/hyperlink" Target="https://www.world-nuclear.org/information-library/economic-aspects/economics-of-nuclear-power.aspx" TargetMode="External" Id="rId28"/><Relationship Type="http://schemas.openxmlformats.org/officeDocument/2006/relationships/hyperlink" Target="https://www.world-nuclear.org/information-library/economic-aspects/economics-of-nuclear-power.aspx" TargetMode="External" Id="rId29"/><Relationship Type="http://schemas.openxmlformats.org/officeDocument/2006/relationships/hyperlink" Target="https://www.world-nuclear.org/information-library/economic-aspects/economics-of-nuclear-power.aspx" TargetMode="External" Id="rId30"/><Relationship Type="http://schemas.openxmlformats.org/officeDocument/2006/relationships/hyperlink" Target="https://www.world-nuclear.org/information-library/economic-aspects/economics-of-nuclear-power.aspx" TargetMode="External" Id="rId31"/><Relationship Type="http://schemas.openxmlformats.org/officeDocument/2006/relationships/hyperlink" Target="https://www.nei.org/CorporateSite/media/filefolder/resources/reports-and-briefs/nuclear-costs-context-201810.pdf" TargetMode="External" Id="rId32"/><Relationship Type="http://schemas.openxmlformats.org/officeDocument/2006/relationships/hyperlink" Target="https://www.eia.gov/analysis/studies/powerplants/capitalcost/pdf/capital_cost_AEO2020.pdf" TargetMode="External" Id="rId33"/><Relationship Type="http://schemas.openxmlformats.org/officeDocument/2006/relationships/hyperlink" Target="https://www.nrel.gov/analysis/jedi/conventional-hydro.html" TargetMode="External" Id="rId34"/><Relationship Type="http://schemas.openxmlformats.org/officeDocument/2006/relationships/hyperlink" Target="https://www.nrel.gov/analysis/jedi/conventional-hydro.html" TargetMode="External" Id="rId35"/><Relationship Type="http://schemas.openxmlformats.org/officeDocument/2006/relationships/hyperlink" Target="https://www.nrel.gov/analysis/jedi/conventional-hydro.html" TargetMode="External" Id="rId36"/><Relationship Type="http://schemas.openxmlformats.org/officeDocument/2006/relationships/hyperlink" Target="https://www.nrel.gov/analysis/jedi/conventional-hydro.html" TargetMode="External" Id="rId37"/><Relationship Type="http://schemas.openxmlformats.org/officeDocument/2006/relationships/hyperlink" Target="https://www.nrel.gov/analysis/jedi/conventional-hydro.html" TargetMode="External" Id="rId38"/><Relationship Type="http://schemas.openxmlformats.org/officeDocument/2006/relationships/hyperlink" Target="https://www.nrel.gov/analysis/jedi/conventional-hydro.html" TargetMode="External" Id="rId39"/><Relationship Type="http://schemas.openxmlformats.org/officeDocument/2006/relationships/hyperlink" Target="https://www.nrel.gov/analysis/jedi/conventional-hydro.html" TargetMode="External" Id="rId40"/><Relationship Type="http://schemas.openxmlformats.org/officeDocument/2006/relationships/hyperlink" Target="https://www.nrel.gov/analysis/jedi/conventional-hydro.html" TargetMode="External" Id="rId41"/><Relationship Type="http://schemas.openxmlformats.org/officeDocument/2006/relationships/hyperlink" Target="https://www.nrel.gov/analysis/jedi/conventional-hydro.html" TargetMode="External" Id="rId42"/><Relationship Type="http://schemas.openxmlformats.org/officeDocument/2006/relationships/hyperlink" Target="https://www.nrel.gov/analysis/jedi/conventional-hydro.html" TargetMode="External" Id="rId43"/><Relationship Type="http://schemas.openxmlformats.org/officeDocument/2006/relationships/hyperlink" Target="https://www.nrel.gov/analysis/jedi/conventional-hydro.html" TargetMode="External" Id="rId44"/><Relationship Type="http://schemas.openxmlformats.org/officeDocument/2006/relationships/hyperlink" Target="https://www.nrel.gov/analysis/jedi/conventional-hydro.html" TargetMode="External" Id="rId45"/><Relationship Type="http://schemas.openxmlformats.org/officeDocument/2006/relationships/hyperlink" Target="https://www.nrel.gov/analysis/jedi/conventional-hydro.html" TargetMode="External" Id="rId46"/><Relationship Type="http://schemas.openxmlformats.org/officeDocument/2006/relationships/hyperlink" Target="https://www.nrel.gov/analysis/jedi/conventional-hydro.html" TargetMode="External" Id="rId47"/><Relationship Type="http://schemas.openxmlformats.org/officeDocument/2006/relationships/hyperlink" Target="https://www.nrel.gov/analysis/jedi/conventional-hydro.html" TargetMode="External" Id="rId48"/><Relationship Type="http://schemas.openxmlformats.org/officeDocument/2006/relationships/hyperlink" Target="https://www1.eere.energy.gov/water/pdfs/doewater-00662.pdf" TargetMode="External" Id="rId49"/><Relationship Type="http://schemas.openxmlformats.org/officeDocument/2006/relationships/hyperlink" Target="https://www.nrel.gov/analysis/jedi/international.html" TargetMode="External" Id="rId50"/><Relationship Type="http://schemas.openxmlformats.org/officeDocument/2006/relationships/hyperlink" Target="https://www.nrel.gov/analysis/jedi/international.html" TargetMode="External" Id="rId51"/><Relationship Type="http://schemas.openxmlformats.org/officeDocument/2006/relationships/hyperlink" Target="https://www.nrel.gov/analysis/jedi/international.html" TargetMode="External" Id="rId52"/><Relationship Type="http://schemas.openxmlformats.org/officeDocument/2006/relationships/hyperlink" Target="https://www.nrel.gov/analysis/jedi/international.html" TargetMode="External" Id="rId53"/><Relationship Type="http://schemas.openxmlformats.org/officeDocument/2006/relationships/hyperlink" Target="https://www.nrel.gov/analysis/jedi/international.html" TargetMode="External" Id="rId54"/><Relationship Type="http://schemas.openxmlformats.org/officeDocument/2006/relationships/hyperlink" Target="https://www.nrel.gov/analysis/jedi/international.html" TargetMode="External" Id="rId55"/><Relationship Type="http://schemas.openxmlformats.org/officeDocument/2006/relationships/hyperlink" Target="https://www.nrel.gov/analysis/jedi/international.html" TargetMode="External" Id="rId56"/><Relationship Type="http://schemas.openxmlformats.org/officeDocument/2006/relationships/hyperlink" Target="https://www.nrel.gov/analysis/jedi/international.html" TargetMode="External" Id="rId57"/><Relationship Type="http://schemas.openxmlformats.org/officeDocument/2006/relationships/hyperlink" Target="https://www.nrel.gov/analysis/jedi/international.html" TargetMode="External" Id="rId58"/><Relationship Type="http://schemas.openxmlformats.org/officeDocument/2006/relationships/hyperlink" Target="https://www.nrel.gov/analysis/jedi/international.html" TargetMode="External" Id="rId59"/><Relationship Type="http://schemas.openxmlformats.org/officeDocument/2006/relationships/hyperlink" Target="https://www.nrel.gov/analysis/jedi/csp.html" TargetMode="External" Id="rId60"/><Relationship Type="http://schemas.openxmlformats.org/officeDocument/2006/relationships/hyperlink" Target="https://www.nrel.gov/analysis/jedi/csp.html" TargetMode="External" Id="rId61"/><Relationship Type="http://schemas.openxmlformats.org/officeDocument/2006/relationships/hyperlink" Target="https://www.nrel.gov/analysis/jedi/csp.html" TargetMode="External" Id="rId62"/><Relationship Type="http://schemas.openxmlformats.org/officeDocument/2006/relationships/hyperlink" Target="https://www.nrel.gov/analysis/jedi/csp.html" TargetMode="External" Id="rId63"/><Relationship Type="http://schemas.openxmlformats.org/officeDocument/2006/relationships/hyperlink" Target="https://www.nrel.gov/analysis/jedi/csp.html" TargetMode="External" Id="rId64"/><Relationship Type="http://schemas.openxmlformats.org/officeDocument/2006/relationships/hyperlink" Target="https://www.nrel.gov/analysis/jedi/csp.html" TargetMode="External" Id="rId65"/><Relationship Type="http://schemas.openxmlformats.org/officeDocument/2006/relationships/hyperlink" Target="https://www.nrel.gov/analysis/jedi/csp.html" TargetMode="External" Id="rId66"/><Relationship Type="http://schemas.openxmlformats.org/officeDocument/2006/relationships/hyperlink" Target="https://www.nrel.gov/analysis/jedi/csp.html" TargetMode="External" Id="rId67"/><Relationship Type="http://schemas.openxmlformats.org/officeDocument/2006/relationships/hyperlink" Target="https://www.nrel.gov/analysis/jedi/csp.html" TargetMode="External" Id="rId68"/><Relationship Type="http://schemas.openxmlformats.org/officeDocument/2006/relationships/hyperlink" Target="https://www.nrel.gov/analysis/jedi/csp.html" TargetMode="External" Id="rId69"/><Relationship Type="http://schemas.openxmlformats.org/officeDocument/2006/relationships/hyperlink" Target="https://www.nrel.gov/analysis/jedi/csp.html" TargetMode="External" Id="rId70"/><Relationship Type="http://schemas.openxmlformats.org/officeDocument/2006/relationships/hyperlink" Target="https://www.nrel.gov/analysis/jedi/csp.html" TargetMode="External" Id="rId71"/><Relationship Type="http://schemas.openxmlformats.org/officeDocument/2006/relationships/hyperlink" Target="https://www.nrel.gov/analysis/jedi/csp.html" TargetMode="External" Id="rId72"/><Relationship Type="http://schemas.openxmlformats.org/officeDocument/2006/relationships/hyperlink" Target="https://www.nrel.gov/analysis/jedi/csp.html" TargetMode="External" Id="rId73"/><Relationship Type="http://schemas.openxmlformats.org/officeDocument/2006/relationships/hyperlink" Target="https://www.nrel.gov/analysis/jedi/csp.html" TargetMode="External" Id="rId74"/><Relationship Type="http://schemas.openxmlformats.org/officeDocument/2006/relationships/hyperlink" Target="https://www.nrel.gov/analysis/jedi/csp.html" TargetMode="External" Id="rId75"/><Relationship Type="http://schemas.openxmlformats.org/officeDocument/2006/relationships/hyperlink" Target="https://www.nrel.gov/analysis/jedi/csp.html" TargetMode="External" Id="rId76"/><Relationship Type="http://schemas.openxmlformats.org/officeDocument/2006/relationships/hyperlink" Target="https://www.nrel.gov/analysis/jedi/csp.html" TargetMode="External" Id="rId77"/><Relationship Type="http://schemas.openxmlformats.org/officeDocument/2006/relationships/hyperlink" Target="https://www.nrel.gov/analysis/jedi/csp.html" TargetMode="External" Id="rId78"/><Relationship Type="http://schemas.openxmlformats.org/officeDocument/2006/relationships/hyperlink" Target="https://www.nrel.gov/analysis/jedi/csp.html" TargetMode="External" Id="rId79"/><Relationship Type="http://schemas.openxmlformats.org/officeDocument/2006/relationships/hyperlink" Target="https://www.nrel.gov/analysis/jedi/csp.html" TargetMode="External" Id="rId80"/><Relationship Type="http://schemas.openxmlformats.org/officeDocument/2006/relationships/hyperlink" Target="https://www.nrel.gov/analysis/jedi/csp.html" TargetMode="External" Id="rId81"/><Relationship Type="http://schemas.openxmlformats.org/officeDocument/2006/relationships/hyperlink" Target="https://www.nrel.gov/analysis/jedi/csp.html" TargetMode="External" Id="rId82"/><Relationship Type="http://schemas.openxmlformats.org/officeDocument/2006/relationships/hyperlink" Target="https://www.nrel.gov/analysis/jedi/csp.html" TargetMode="External" Id="rId83"/><Relationship Type="http://schemas.openxmlformats.org/officeDocument/2006/relationships/hyperlink" Target="https://www.nrel.gov/analysis/jedi/csp.html" TargetMode="External" Id="rId84"/><Relationship Type="http://schemas.openxmlformats.org/officeDocument/2006/relationships/hyperlink" Target="https://www.nrel.gov/analysis/jedi/csp.html" TargetMode="External" Id="rId85"/><Relationship Type="http://schemas.openxmlformats.org/officeDocument/2006/relationships/hyperlink" Target="https://www.nrel.gov/analysis/jedi/csp.html" TargetMode="External" Id="rId86"/><Relationship Type="http://schemas.openxmlformats.org/officeDocument/2006/relationships/hyperlink" Target="https://www.nrel.gov/analysis/jedi/csp.html" TargetMode="External" Id="rId87"/><Relationship Type="http://schemas.openxmlformats.org/officeDocument/2006/relationships/hyperlink" Target="https://www.nrel.gov/analysis/jedi/csp.html" TargetMode="External" Id="rId88"/><Relationship Type="http://schemas.openxmlformats.org/officeDocument/2006/relationships/hyperlink" Target="https://www.nrel.gov/analysis/jedi/csp.html" TargetMode="External" Id="rId89"/><Relationship Type="http://schemas.openxmlformats.org/officeDocument/2006/relationships/hyperlink" Target="https://www.nrel.gov/analysis/jedi/csp.html" TargetMode="External" Id="rId90"/><Relationship Type="http://schemas.openxmlformats.org/officeDocument/2006/relationships/hyperlink" Target="https://www.nrel.gov/analysis/jedi/csp.html" TargetMode="External" Id="rId91"/><Relationship Type="http://schemas.openxmlformats.org/officeDocument/2006/relationships/hyperlink" Target="https://www.nrel.gov/analysis/jedi/international.html" TargetMode="External" Id="rId92"/><Relationship Type="http://schemas.openxmlformats.org/officeDocument/2006/relationships/hyperlink" Target="https://www.nrel.gov/analysis/jedi/international.html" TargetMode="External" Id="rId93"/><Relationship Type="http://schemas.openxmlformats.org/officeDocument/2006/relationships/hyperlink" Target="https://www.nrel.gov/analysis/jedi/international.html" TargetMode="External" Id="rId94"/><Relationship Type="http://schemas.openxmlformats.org/officeDocument/2006/relationships/hyperlink" Target="https://www.nrel.gov/analysis/jedi/international.html" TargetMode="External" Id="rId95"/><Relationship Type="http://schemas.openxmlformats.org/officeDocument/2006/relationships/hyperlink" Target="https://www.nrel.gov/analysis/jedi/international.html" TargetMode="External" Id="rId96"/><Relationship Type="http://schemas.openxmlformats.org/officeDocument/2006/relationships/hyperlink" Target="https://www.nrel.gov/analysis/jedi/international.html" TargetMode="External" Id="rId97"/><Relationship Type="http://schemas.openxmlformats.org/officeDocument/2006/relationships/hyperlink" Target="https://www.nrel.gov/analysis/jedi/international.html" TargetMode="External" Id="rId98"/><Relationship Type="http://schemas.openxmlformats.org/officeDocument/2006/relationships/hyperlink" Target="https://www.nrel.gov/analysis/jedi/international.html" TargetMode="External" Id="rId99"/><Relationship Type="http://schemas.openxmlformats.org/officeDocument/2006/relationships/hyperlink" Target="https://www.nrel.gov/analysis/jedi/international.html" TargetMode="External" Id="rId100"/><Relationship Type="http://schemas.openxmlformats.org/officeDocument/2006/relationships/hyperlink" Target="https://www.nrel.gov/analysis/jedi/international.html" TargetMode="External" Id="rId101"/><Relationship Type="http://schemas.openxmlformats.org/officeDocument/2006/relationships/hyperlink" Target="https://www.nrel.gov/analysis/jedi/international.html" TargetMode="External" Id="rId102"/><Relationship Type="http://schemas.openxmlformats.org/officeDocument/2006/relationships/hyperlink" Target="https://www.nrel.gov/analysis/jedi/international.html" TargetMode="External" Id="rId103"/><Relationship Type="http://schemas.openxmlformats.org/officeDocument/2006/relationships/hyperlink" Target="https://www.nrel.gov/analysis/jedi/international.html" TargetMode="External" Id="rId104"/><Relationship Type="http://schemas.openxmlformats.org/officeDocument/2006/relationships/hyperlink" Target="https://www.eia.gov/analysis/studies/powerplants/capitalcost/pdf/capital_cost_AEO2020.pdf" TargetMode="External" Id="rId105"/><Relationship Type="http://schemas.openxmlformats.org/officeDocument/2006/relationships/hyperlink" Target="https://www.eia.gov/analysis/studies/powerplants/capitalcost/pdf/capital_cost_AEO2020.pdf" TargetMode="External" Id="rId106"/><Relationship Type="http://schemas.openxmlformats.org/officeDocument/2006/relationships/hyperlink" Target="https://www.eia.gov/analysis/studies/powerplants/capitalcost/pdf/capital_cost_AEO2020.pdf" TargetMode="External" Id="rId107"/><Relationship Type="http://schemas.openxmlformats.org/officeDocument/2006/relationships/hyperlink" Target="https://www.eia.gov/analysis/studies/powerplants/capitalcost/pdf/capital_cost_AEO2020.pdf" TargetMode="External" Id="rId108"/><Relationship Type="http://schemas.openxmlformats.org/officeDocument/2006/relationships/hyperlink" Target="https://www.eia.gov/analysis/studies/powerplants/capitalcost/pdf/capital_cost_AEO2020.pdf" TargetMode="External" Id="rId109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topLeftCell="A1" workbookViewId="0">
      <selection activeCell="A1" sqref="A1"/>
    </sheetView>
  </sheetViews>
  <sheetFormatPr baseColWidth="8" defaultRowHeight="14.5"/>
  <cols>
    <col width="61.81640625" customWidth="1" min="2" max="2"/>
    <col width="4.54296875" customWidth="1" min="3" max="3"/>
    <col width="65.7265625" customWidth="1" min="4" max="4"/>
    <col width="5.7265625" customWidth="1" min="5" max="5"/>
    <col width="63.453125" customWidth="1" min="6" max="6"/>
    <col width="52.81640625" customWidth="1" min="8" max="8"/>
  </cols>
  <sheetData>
    <row r="1">
      <c r="A1" s="71" t="inlineStr">
        <is>
          <t>SoESCaOMCbIC Share of Electricity Sector Capital and O&amp;M Costs by ISIC Code</t>
        </is>
      </c>
    </row>
    <row r="2"/>
    <row r="3">
      <c r="A3" s="71" t="inlineStr">
        <is>
          <t>Sources:</t>
        </is>
      </c>
      <c r="B3" s="78" t="inlineStr">
        <is>
          <t>Solar PV Costs</t>
        </is>
      </c>
      <c r="D3" s="78" t="inlineStr">
        <is>
          <t>Hard Coal and Lignite Costs</t>
        </is>
      </c>
      <c r="F3" s="78" t="inlineStr">
        <is>
          <t>Nuclear Costs</t>
        </is>
      </c>
      <c r="H3" s="78" t="inlineStr">
        <is>
          <t>CCS Cost Breakdown</t>
        </is>
      </c>
    </row>
    <row r="4">
      <c r="B4" t="inlineStr">
        <is>
          <t>NREL</t>
        </is>
      </c>
      <c r="D4" t="inlineStr">
        <is>
          <t>NREL</t>
        </is>
      </c>
      <c r="F4" t="inlineStr">
        <is>
          <t>World Nuclear Association</t>
        </is>
      </c>
      <c r="H4" t="inlineStr">
        <is>
          <t>Economic Research Institute for ASEAN and East Asia</t>
        </is>
      </c>
    </row>
    <row r="5">
      <c r="B5" s="79" t="n">
        <v>2022</v>
      </c>
      <c r="D5" s="79" t="n">
        <v>2016</v>
      </c>
      <c r="F5" s="79" t="n">
        <v>2020</v>
      </c>
      <c r="H5" s="79" t="n">
        <v>2022</v>
      </c>
    </row>
    <row r="6">
      <c r="B6" t="inlineStr">
        <is>
          <t>U.S. Solar Photovoltaic System Cost Benchmark: Q1 2021</t>
        </is>
      </c>
      <c r="D6" t="inlineStr">
        <is>
          <t>JEDI Coal Model</t>
        </is>
      </c>
      <c r="F6" t="inlineStr">
        <is>
          <t>Economics of Nuclear Power</t>
        </is>
      </c>
      <c r="H6" t="inlineStr">
        <is>
          <t>A Model Case Study: CCUS Cost Estimation</t>
        </is>
      </c>
    </row>
    <row r="7">
      <c r="B7" s="65" t="inlineStr">
        <is>
          <t>https://www.nrel.gov/docs/fy22osti/80694.pdf</t>
        </is>
      </c>
      <c r="D7" s="65" t="inlineStr">
        <is>
          <t>https://www.nrel.gov/analysis/jedi/coal.html</t>
        </is>
      </c>
      <c r="F7" s="56" t="inlineStr">
        <is>
          <t>https://www.world-nuclear.org/information-library/economic-aspects/economics-of-nuclear-power.aspx</t>
        </is>
      </c>
      <c r="H7" s="65" t="inlineStr">
        <is>
          <t>https://www.eria.org/uploads/media/Research-Project-Report/RPR-2021-25/11_Chapter-2-A-Model-Case-Study_CCUS-Cost-Estimation_ed.pdf</t>
        </is>
      </c>
    </row>
    <row r="8">
      <c r="B8" t="inlineStr">
        <is>
          <t>Figure 24</t>
        </is>
      </c>
      <c r="D8" t="inlineStr">
        <is>
          <t>"DefaultData" and "Calculations" tabs</t>
        </is>
      </c>
      <c r="F8" t="inlineStr">
        <is>
          <t>Capital cost breakdown by labour, goods, and materials</t>
        </is>
      </c>
      <c r="H8" t="inlineStr">
        <is>
          <t>Table 2.2</t>
        </is>
      </c>
    </row>
    <row r="9"/>
    <row r="10">
      <c r="B10" s="78" t="inlineStr">
        <is>
          <t>Onshore Wind Costs</t>
        </is>
      </c>
      <c r="D10" s="78" t="inlineStr">
        <is>
          <t>Natural Gas Nonpeaker and All Oil Costs</t>
        </is>
      </c>
      <c r="F10" s="78" t="inlineStr">
        <is>
          <t>Hydro Construction Costs</t>
        </is>
      </c>
      <c r="H10" s="78" t="inlineStr">
        <is>
          <t>CCS Costs</t>
        </is>
      </c>
    </row>
    <row r="11">
      <c r="B11" t="inlineStr">
        <is>
          <t>NREL</t>
        </is>
      </c>
      <c r="D11" t="inlineStr">
        <is>
          <t>NREL</t>
        </is>
      </c>
      <c r="F11" t="inlineStr">
        <is>
          <t>NREL</t>
        </is>
      </c>
      <c r="H11" t="inlineStr">
        <is>
          <t>see EPS file elec/CCaMC</t>
        </is>
      </c>
    </row>
    <row r="12">
      <c r="B12" s="79" t="n">
        <v>2019</v>
      </c>
      <c r="D12" s="79" t="n">
        <v>2017</v>
      </c>
      <c r="F12" s="79" t="n">
        <v>2016</v>
      </c>
      <c r="H12" s="79" t="n"/>
    </row>
    <row r="13">
      <c r="B13" t="inlineStr">
        <is>
          <t>JEDI Land Based Wind</t>
        </is>
      </c>
      <c r="D13" t="inlineStr">
        <is>
          <t>JEDI Natural Gas Model</t>
        </is>
      </c>
      <c r="F13" t="inlineStr">
        <is>
          <t>JEDI Conventional Hydropower Model</t>
        </is>
      </c>
    </row>
    <row r="14">
      <c r="B14" s="65" t="inlineStr">
        <is>
          <t>https://www.nrel.gov/analysis/jedi/wind.html</t>
        </is>
      </c>
      <c r="D14" s="65" t="inlineStr">
        <is>
          <t>https://www.nrel.gov/analysis/jedi/natural-gas.html</t>
        </is>
      </c>
      <c r="F14" s="65" t="inlineStr">
        <is>
          <t>https://www.nrel.gov/analysis/jedi/conventional-hydro.html</t>
        </is>
      </c>
      <c r="H14" s="65" t="n"/>
    </row>
    <row r="15">
      <c r="B15" t="inlineStr">
        <is>
          <t>"DefaultData" and "Calculations" tabs</t>
        </is>
      </c>
      <c r="D15" t="inlineStr">
        <is>
          <t>"DefaultData" and "Calculations" tabs</t>
        </is>
      </c>
      <c r="F15" t="inlineStr">
        <is>
          <t>"DefaultData" and "Calculations" tabs</t>
        </is>
      </c>
    </row>
    <row r="16"/>
    <row r="17">
      <c r="B17" s="78" t="inlineStr">
        <is>
          <t>Cost to Sector Mapping for Solar PV and Onshore Wind</t>
        </is>
      </c>
      <c r="D17" s="78" t="inlineStr">
        <is>
          <t>Geothermal O&amp;M Costs</t>
        </is>
      </c>
      <c r="F17" s="78" t="inlineStr">
        <is>
          <t>Hydro O&amp;M Costs</t>
        </is>
      </c>
    </row>
    <row r="18">
      <c r="B18" t="inlineStr">
        <is>
          <t>NREL</t>
        </is>
      </c>
      <c r="D18" t="inlineStr">
        <is>
          <t>EIA</t>
        </is>
      </c>
      <c r="F18" t="inlineStr">
        <is>
          <t>INL</t>
        </is>
      </c>
    </row>
    <row r="19">
      <c r="B19" s="79" t="n">
        <v>2016</v>
      </c>
      <c r="D19" s="79" t="n">
        <v>2020</v>
      </c>
      <c r="F19" s="79" t="n">
        <v>2003</v>
      </c>
    </row>
    <row r="20" ht="29" customHeight="1">
      <c r="B20" s="107" t="inlineStr">
        <is>
          <t>I-JEDI Model</t>
        </is>
      </c>
      <c r="C20" s="108" t="n"/>
      <c r="D20" s="107" t="inlineStr">
        <is>
          <t>Capital Cost and Performance Characteristic Estimates for Utility Scale Electric Power Generating Technologies</t>
        </is>
      </c>
      <c r="E20" s="108" t="n"/>
      <c r="F20" s="107" t="inlineStr">
        <is>
          <t>Estimaton of Economic Parameters of U.S. Hydropower Resources</t>
        </is>
      </c>
    </row>
    <row r="21" ht="29" customHeight="1">
      <c r="B21" s="109" t="inlineStr">
        <is>
          <t>https://www.nrel.gov/analysis/jedi/international.html</t>
        </is>
      </c>
      <c r="C21" s="108" t="n"/>
      <c r="D21" s="109" t="inlineStr">
        <is>
          <t>https://www.eia.gov/analysis/studies/powerplants/capitalcost/pdf/capital_cost_AEO2020.pdf</t>
        </is>
      </c>
      <c r="E21" s="108" t="n"/>
      <c r="F21" s="109" t="inlineStr">
        <is>
          <t>https://www1.eere.energy.gov/water/pdfs/doewater-00662.pdf</t>
        </is>
      </c>
    </row>
    <row r="22">
      <c r="B22" t="inlineStr">
        <is>
          <t>"Calculations" tab</t>
        </is>
      </c>
      <c r="D22" t="inlineStr">
        <is>
          <t>Table 15.2</t>
        </is>
      </c>
      <c r="F22" t="inlineStr">
        <is>
          <t>p.8, 2.2</t>
        </is>
      </c>
    </row>
    <row r="23"/>
    <row r="24">
      <c r="B24" s="78" t="inlineStr">
        <is>
          <t>Solar Thermal Costs</t>
        </is>
      </c>
      <c r="D24" s="78" t="inlineStr">
        <is>
          <t>Offshore Wind</t>
        </is>
      </c>
      <c r="F24" s="78" t="inlineStr">
        <is>
          <t>Biomass; Geothermal</t>
        </is>
      </c>
    </row>
    <row r="25">
      <c r="B25" t="inlineStr">
        <is>
          <t>NREL</t>
        </is>
      </c>
      <c r="D25" t="inlineStr">
        <is>
          <t>NREL</t>
        </is>
      </c>
      <c r="F25" t="inlineStr">
        <is>
          <t>NREL</t>
        </is>
      </c>
    </row>
    <row r="26">
      <c r="B26" s="79" t="n">
        <v>2016</v>
      </c>
      <c r="D26" s="79" t="n">
        <v>2017</v>
      </c>
      <c r="F26" s="79" t="n">
        <v>2016</v>
      </c>
    </row>
    <row r="27">
      <c r="B27" t="inlineStr">
        <is>
          <t>JEDI Concentrating Solar Power Model</t>
        </is>
      </c>
      <c r="D27" t="inlineStr">
        <is>
          <t>JEDI Offshore Wind Model</t>
        </is>
      </c>
      <c r="F27" t="inlineStr">
        <is>
          <t>I-JEDI Model</t>
        </is>
      </c>
    </row>
    <row r="28">
      <c r="B28" s="65" t="inlineStr">
        <is>
          <t>https://www.nrel.gov/analysis/jedi/csp.html</t>
        </is>
      </c>
      <c r="D28" s="65" t="inlineStr">
        <is>
          <t>https://www.nrel.gov/analysis/jedi/wind.html</t>
        </is>
      </c>
      <c r="F28" s="65" t="inlineStr">
        <is>
          <t>https://www.nrel.gov/analysis/jedi/international.html</t>
        </is>
      </c>
    </row>
    <row r="29">
      <c r="B29" t="inlineStr">
        <is>
          <t>"DefaultData" and "Calculations" tabs</t>
        </is>
      </c>
      <c r="D29" t="inlineStr">
        <is>
          <t>"DefaultData" and "Calculations" tabs</t>
        </is>
      </c>
      <c r="F29" t="inlineStr">
        <is>
          <t>"DefaultData" and "Calculations" tabs</t>
        </is>
      </c>
    </row>
    <row r="30"/>
    <row r="31"/>
    <row r="32"/>
    <row r="33">
      <c r="A33" s="71" t="inlineStr">
        <is>
          <t>Notes:</t>
        </is>
      </c>
    </row>
    <row r="34">
      <c r="A34" t="inlineStr">
        <is>
          <t>Petroleum, crude, and fuel oil plants assigned same cost structure as natural gas plants as the designs are usually the same. If the type of plant</t>
        </is>
      </c>
    </row>
    <row r="35">
      <c r="A35" t="inlineStr">
        <is>
          <t>in the region being adapted differs from a traditional natural gas combined cycle plant, these values should be updated.</t>
        </is>
      </c>
    </row>
    <row r="36"/>
    <row r="37">
      <c r="A37" t="inlineStr">
        <is>
          <t xml:space="preserve">Municipal solid waste assigned same cost structure as biomass plants as the designs are usually similar. If the type of plant in the region being </t>
        </is>
      </c>
    </row>
    <row r="38">
      <c r="A38" t="inlineStr">
        <is>
          <t>adapted differs from a traditional biomass plant, these values should be updated</t>
        </is>
      </c>
    </row>
    <row r="39"/>
    <row r="40">
      <c r="A40" t="inlineStr">
        <is>
          <t>Natural gas peaker assigned same costs structure as natural gas nonpeaker.</t>
        </is>
      </c>
    </row>
    <row r="41"/>
    <row r="42">
      <c r="A42" t="inlineStr">
        <is>
          <t>Though a geothermal-specific JEDI model exists, we use the I-JEDI version for simplicity.</t>
        </is>
      </c>
    </row>
    <row r="44">
      <c r="A44" s="139" t="inlineStr">
        <is>
          <t>42-code sibling (build_sector_shares_42):</t>
        </is>
      </c>
    </row>
    <row r="45">
      <c r="A45" s="140" t="inlineStr">
        <is>
          <t>This workbook is the 42-code (un-split) sibling of the 52-code expansion. The 42 scheme is the 52 scheme with the six OECD-native parents</t>
        </is>
      </c>
    </row>
    <row r="46">
      <c r="A46" s="140" t="inlineStr">
        <is>
          <t>left merged (ISIC 01T03, 07T08, 30, 49T53, 69T82, 90T96); the BEA carves ISIC 231/239 and 351/352T353 are retained (present in both</t>
        </is>
      </c>
    </row>
    <row r="47">
      <c r="A47" s="140" t="inlineStr">
        <is>
          <t>schemes).</t>
        </is>
      </c>
    </row>
    <row r="49">
      <c r="A49" s="140" t="inlineStr">
        <is>
          <t>The output tabs are the stock derivation, unchanged and live: the stock workbook is natively 42-code (its output columns already are the</t>
        </is>
      </c>
    </row>
    <row r="50">
      <c r="A50" s="140" t="inlineStr">
        <is>
          <t>42-code ISIC list, in canonical order), so no child split is applied here.</t>
        </is>
      </c>
    </row>
  </sheetData>
  <hyperlinks>
    <hyperlink xmlns:r="http://schemas.openxmlformats.org/officeDocument/2006/relationships" ref="D7" r:id="rId1"/>
    <hyperlink xmlns:r="http://schemas.openxmlformats.org/officeDocument/2006/relationships" ref="F7" r:id="rId2"/>
    <hyperlink xmlns:r="http://schemas.openxmlformats.org/officeDocument/2006/relationships" ref="B14" r:id="rId3"/>
    <hyperlink xmlns:r="http://schemas.openxmlformats.org/officeDocument/2006/relationships" ref="D14" r:id="rId4"/>
    <hyperlink xmlns:r="http://schemas.openxmlformats.org/officeDocument/2006/relationships" ref="F14" r:id="rId5"/>
    <hyperlink xmlns:r="http://schemas.openxmlformats.org/officeDocument/2006/relationships" ref="B21" r:id="rId6"/>
    <hyperlink xmlns:r="http://schemas.openxmlformats.org/officeDocument/2006/relationships" ref="D21" r:id="rId7"/>
    <hyperlink xmlns:r="http://schemas.openxmlformats.org/officeDocument/2006/relationships" ref="F21" r:id="rId8"/>
    <hyperlink xmlns:r="http://schemas.openxmlformats.org/officeDocument/2006/relationships" ref="B28" r:id="rId9"/>
    <hyperlink xmlns:r="http://schemas.openxmlformats.org/officeDocument/2006/relationships" ref="D28" r:id="rId10"/>
    <hyperlink xmlns:r="http://schemas.openxmlformats.org/officeDocument/2006/relationships" ref="F28" r:id="rId1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:B1048576"/>
    </sheetView>
  </sheetViews>
  <sheetFormatPr baseColWidth="8" defaultRowHeight="14.5"/>
  <cols>
    <col width="77.453125" bestFit="1" customWidth="1" min="1" max="1"/>
    <col width="12.1796875" bestFit="1" customWidth="1" min="2" max="2"/>
    <col width="20.453125" bestFit="1" customWidth="1" min="3" max="3"/>
    <col width="17.7265625" bestFit="1" customWidth="1" min="4" max="4"/>
    <col width="17.7265625" customWidth="1" min="5" max="5"/>
    <col width="14" bestFit="1" customWidth="1" min="6" max="6"/>
    <col width="21.54296875" bestFit="1" customWidth="1" min="7" max="7"/>
    <col width="12" bestFit="1" customWidth="1" min="8" max="9"/>
  </cols>
  <sheetData>
    <row r="1" customFormat="1" s="71">
      <c r="A1" s="71" t="inlineStr">
        <is>
          <t>OECD Code</t>
        </is>
      </c>
      <c r="B1" s="71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1"/>
  <sheetViews>
    <sheetView topLeftCell="A249" zoomScale="85" zoomScaleNormal="85" workbookViewId="0">
      <selection activeCell="B114" sqref="B114"/>
    </sheetView>
  </sheetViews>
  <sheetFormatPr baseColWidth="8" defaultRowHeight="14.5"/>
  <cols>
    <col width="65.7265625" bestFit="1" customWidth="1" min="1" max="1"/>
    <col width="11.54296875" bestFit="1" customWidth="1" min="2" max="2"/>
    <col width="46.1796875" customWidth="1" min="3" max="3"/>
    <col width="23.54296875" bestFit="1" customWidth="1" min="4" max="4"/>
    <col width="48.54296875" customWidth="1" min="5" max="5"/>
    <col width="60.453125" customWidth="1" min="6" max="6"/>
  </cols>
  <sheetData>
    <row r="1" ht="18.5" customHeight="1">
      <c r="A1" s="135" t="inlineStr">
        <is>
          <t>Solar PV</t>
        </is>
      </c>
      <c r="B1" s="141" t="n"/>
      <c r="C1" s="141" t="n"/>
      <c r="D1" s="141" t="n"/>
      <c r="E1" s="141" t="n"/>
      <c r="F1" s="142" t="n"/>
    </row>
    <row r="2">
      <c r="A2" s="1" t="inlineStr">
        <is>
          <t>Capital Costs</t>
        </is>
      </c>
      <c r="B2" s="2" t="inlineStr">
        <is>
          <t xml:space="preserve">Percent </t>
        </is>
      </c>
      <c r="C2" s="2" t="inlineStr">
        <is>
          <t>OECD Mapping</t>
        </is>
      </c>
      <c r="D2" s="2" t="inlineStr">
        <is>
          <t>ISIC Mapping</t>
        </is>
      </c>
      <c r="E2" s="2" t="inlineStr">
        <is>
          <t>Notes</t>
        </is>
      </c>
      <c r="F2" s="4" t="inlineStr">
        <is>
          <t>Sources</t>
        </is>
      </c>
    </row>
    <row r="3">
      <c r="A3" s="5" t="inlineStr">
        <is>
          <t>Construction Costs</t>
        </is>
      </c>
      <c r="B3" s="2" t="inlineStr">
        <is>
          <t>of Cost</t>
        </is>
      </c>
      <c r="C3" s="21" t="n"/>
      <c r="D3" s="21" t="n"/>
      <c r="E3" s="21" t="n"/>
      <c r="F3" s="6" t="n"/>
    </row>
    <row r="4">
      <c r="A4" s="7" t="inlineStr">
        <is>
          <t>Module</t>
        </is>
      </c>
      <c r="B4" s="117">
        <f>graphs_nrel!U5</f>
        <v/>
      </c>
      <c r="C4" s="74">
        <f>'OECD Mapping'!A20</f>
        <v/>
      </c>
      <c r="D4" s="74">
        <f>'OECD Mapping'!B20</f>
        <v/>
      </c>
      <c r="E4" s="90" t="inlineStr">
        <is>
          <t>Mapping based on I-JEDI and judgment</t>
        </is>
      </c>
      <c r="F4" s="16" t="inlineStr">
        <is>
          <t>https://www.nrel.gov/docs/fy19osti/72399.pdf, Figure 28</t>
        </is>
      </c>
    </row>
    <row r="5">
      <c r="A5" s="7" t="inlineStr">
        <is>
          <t>Inverter</t>
        </is>
      </c>
      <c r="B5" s="117">
        <f>graphs_nrel!U6</f>
        <v/>
      </c>
      <c r="C5" s="75">
        <f>'OECD Mapping'!A21</f>
        <v/>
      </c>
      <c r="D5" s="75">
        <f>'OECD Mapping'!B21</f>
        <v/>
      </c>
      <c r="E5" s="90" t="inlineStr">
        <is>
          <t>Mapping based on I-JEDI and judgment</t>
        </is>
      </c>
      <c r="F5" s="16" t="inlineStr">
        <is>
          <t>https://www.nrel.gov/docs/fy19osti/72399.pdf, Figure 28</t>
        </is>
      </c>
    </row>
    <row r="6">
      <c r="A6" s="7" t="inlineStr">
        <is>
          <t>Electrical BOS</t>
        </is>
      </c>
      <c r="B6" s="117">
        <f>graphs_nrel!U7</f>
        <v/>
      </c>
      <c r="C6" s="74">
        <f>'OECD Mapping'!A21</f>
        <v/>
      </c>
      <c r="D6" s="74">
        <f>'OECD Mapping'!B21</f>
        <v/>
      </c>
      <c r="E6" s="90" t="inlineStr">
        <is>
          <t>Mapping based on I-JEDI and judgment</t>
        </is>
      </c>
      <c r="F6" s="16" t="inlineStr">
        <is>
          <t>https://www.nrel.gov/docs/fy19osti/72399.pdf, Figure 28</t>
        </is>
      </c>
    </row>
    <row r="7">
      <c r="A7" s="7" t="inlineStr">
        <is>
          <t>Structural BOS</t>
        </is>
      </c>
      <c r="B7" s="117">
        <f>graphs_nrel!U8</f>
        <v/>
      </c>
      <c r="C7" s="74">
        <f>'OECD Mapping'!A29</f>
        <v/>
      </c>
      <c r="D7" s="74">
        <f>'OECD Mapping'!B29</f>
        <v/>
      </c>
      <c r="E7" s="90" t="inlineStr">
        <is>
          <t>Mapping based on I-JEDI and judgment</t>
        </is>
      </c>
      <c r="F7" s="16" t="inlineStr">
        <is>
          <t>https://www.nrel.gov/docs/fy19osti/72399.pdf, Figure 28</t>
        </is>
      </c>
    </row>
    <row r="8">
      <c r="A8" s="7" t="inlineStr">
        <is>
          <t>Install Labor and Equipment</t>
        </is>
      </c>
      <c r="B8" s="117">
        <f>graphs_nrel!U9</f>
        <v/>
      </c>
      <c r="C8" s="74">
        <f>'OECD Mapping'!A29</f>
        <v/>
      </c>
      <c r="D8" s="74">
        <f>'OECD Mapping'!B29</f>
        <v/>
      </c>
      <c r="E8" s="90" t="inlineStr">
        <is>
          <t>Mapping based on I-JEDI and judgment</t>
        </is>
      </c>
      <c r="F8" s="16" t="inlineStr">
        <is>
          <t>https://www.nrel.gov/docs/fy19osti/72399.pdf, Figure 28</t>
        </is>
      </c>
    </row>
    <row r="9">
      <c r="A9" s="7" t="inlineStr">
        <is>
          <t>EPC Overhead</t>
        </is>
      </c>
      <c r="B9" s="117">
        <f>graphs_nrel!U10</f>
        <v/>
      </c>
      <c r="C9" s="74">
        <f>'OECD Mapping'!A38</f>
        <v/>
      </c>
      <c r="D9" s="74">
        <f>'OECD Mapping'!B38</f>
        <v/>
      </c>
      <c r="E9" s="90" t="inlineStr">
        <is>
          <t>Mapping based on I-JEDI and judgment</t>
        </is>
      </c>
      <c r="F9" s="16" t="inlineStr">
        <is>
          <t>https://www.nrel.gov/docs/fy19osti/72399.pdf, Figure 28</t>
        </is>
      </c>
    </row>
    <row r="10">
      <c r="A10" s="7" t="inlineStr">
        <is>
          <t>Sales Tax</t>
        </is>
      </c>
      <c r="B10" s="117">
        <f>graphs_nrel!U11</f>
        <v/>
      </c>
      <c r="C10" s="74">
        <f>'OECD Mapping'!A39</f>
        <v/>
      </c>
      <c r="D10" s="74">
        <f>'OECD Mapping'!B39</f>
        <v/>
      </c>
      <c r="E10" s="90" t="inlineStr">
        <is>
          <t>Mapping based on I-JEDI and judgment</t>
        </is>
      </c>
      <c r="F10" s="16" t="inlineStr">
        <is>
          <t>https://www.nrel.gov/docs/fy19osti/72399.pdf, Figure 28</t>
        </is>
      </c>
    </row>
    <row r="11">
      <c r="A11" s="7" t="inlineStr">
        <is>
          <t>Developer Overhead</t>
        </is>
      </c>
      <c r="B11" s="117">
        <f>graphs_nrel!U12</f>
        <v/>
      </c>
      <c r="C11" s="74">
        <f>'OECD Mapping'!A38</f>
        <v/>
      </c>
      <c r="D11" s="74">
        <f>'OECD Mapping'!B38</f>
        <v/>
      </c>
      <c r="E11" s="90" t="inlineStr">
        <is>
          <t>Mapping based on I-JEDI and judgment</t>
        </is>
      </c>
      <c r="F11" s="16" t="inlineStr">
        <is>
          <t>https://www.nrel.gov/docs/fy19osti/72399.pdf, Figure 28</t>
        </is>
      </c>
    </row>
    <row r="12">
      <c r="A12" s="7" t="inlineStr">
        <is>
          <t>Contingency</t>
        </is>
      </c>
      <c r="B12" s="117">
        <f>graphs_nrel!U13</f>
        <v/>
      </c>
      <c r="C12" s="74">
        <f>'OECD Mapping'!A38</f>
        <v/>
      </c>
      <c r="D12" s="74">
        <f>'OECD Mapping'!B38</f>
        <v/>
      </c>
      <c r="E12" s="90" t="inlineStr">
        <is>
          <t>Mapping based on I-JEDI and judgment</t>
        </is>
      </c>
      <c r="F12" s="16" t="inlineStr">
        <is>
          <t>https://www.nrel.gov/docs/fy19osti/72399.pdf, Figure 28</t>
        </is>
      </c>
    </row>
    <row r="13" ht="15" customHeight="1" thickBot="1">
      <c r="A13" s="57" t="inlineStr">
        <is>
          <t>EPC/Developer Net Profit</t>
        </is>
      </c>
      <c r="B13" s="117">
        <f>graphs_nrel!U14</f>
        <v/>
      </c>
      <c r="C13" s="76">
        <f>'OECD Mapping'!A38</f>
        <v/>
      </c>
      <c r="D13" s="76">
        <f>'OECD Mapping'!B38</f>
        <v/>
      </c>
      <c r="E13" s="95" t="inlineStr">
        <is>
          <t>Mapping based on I-JEDI and judgment</t>
        </is>
      </c>
      <c r="F13" s="35" t="inlineStr">
        <is>
          <t>https://www.nrel.gov/docs/fy19osti/72399.pdf, Figure 28</t>
        </is>
      </c>
    </row>
    <row r="14" customFormat="1" s="88">
      <c r="A14" s="11" t="inlineStr">
        <is>
          <t>Fixed O&amp;M Costs</t>
        </is>
      </c>
      <c r="B14" s="118" t="n"/>
      <c r="C14" s="13" t="n"/>
      <c r="D14" s="13" t="n"/>
      <c r="E14" s="13" t="n"/>
      <c r="F14" s="14" t="n"/>
    </row>
    <row r="15">
      <c r="A15" s="7" t="inlineStr">
        <is>
          <t>Maintenance and repair services</t>
        </is>
      </c>
      <c r="B15" s="119">
        <f>graphs_nrel!R23</f>
        <v/>
      </c>
      <c r="C15" s="8">
        <f>'OECD Mapping'!A29</f>
        <v/>
      </c>
      <c r="D15" s="8">
        <f>'OECD Mapping'!B29</f>
        <v/>
      </c>
      <c r="E15" s="90" t="inlineStr">
        <is>
          <t>Mapping based on I-JEDI and judgment</t>
        </is>
      </c>
      <c r="F15" s="16" t="inlineStr">
        <is>
          <t>https://www.nrel.gov/analysis/jedi/international.html</t>
        </is>
      </c>
    </row>
    <row r="16" ht="15" customFormat="1" customHeight="1" s="87" thickBot="1">
      <c r="A16" s="17" t="inlineStr">
        <is>
          <t>Repair parts</t>
        </is>
      </c>
      <c r="B16" s="119">
        <f>graphs_nrel!R24</f>
        <v/>
      </c>
      <c r="C16" s="9">
        <f>'OECD Mapping'!A20</f>
        <v/>
      </c>
      <c r="D16" s="9">
        <f>'OECD Mapping'!B20</f>
        <v/>
      </c>
      <c r="E16" s="94" t="inlineStr">
        <is>
          <t>Mapping based on I-JEDI and judgment</t>
        </is>
      </c>
      <c r="F16" s="19" t="inlineStr">
        <is>
          <t>https://www.nrel.gov/analysis/jedi/international.html</t>
        </is>
      </c>
    </row>
    <row r="17" ht="15" customHeight="1" thickBot="1"/>
    <row r="18" ht="19" customHeight="1" thickBot="1">
      <c r="A18" s="131" t="inlineStr">
        <is>
          <t>Onshore Wind</t>
        </is>
      </c>
      <c r="B18" s="88" t="n"/>
      <c r="C18" s="88" t="n"/>
      <c r="D18" s="88" t="n"/>
      <c r="E18" s="88" t="n"/>
      <c r="F18" s="143" t="n"/>
    </row>
    <row r="19">
      <c r="A19" s="92" t="inlineStr">
        <is>
          <t>Capital Costs</t>
        </is>
      </c>
      <c r="B19" s="54" t="inlineStr">
        <is>
          <t xml:space="preserve">Percent </t>
        </is>
      </c>
      <c r="C19" s="54" t="inlineStr">
        <is>
          <t>I-O Mapping</t>
        </is>
      </c>
      <c r="D19" s="54" t="inlineStr">
        <is>
          <t>ISIC Mapping</t>
        </is>
      </c>
      <c r="E19" s="54" t="inlineStr">
        <is>
          <t>Notes</t>
        </is>
      </c>
      <c r="F19" s="82" t="inlineStr">
        <is>
          <t>Sources</t>
        </is>
      </c>
    </row>
    <row r="20">
      <c r="A20" s="5" t="inlineStr">
        <is>
          <t>Construction Costs</t>
        </is>
      </c>
      <c r="B20" s="2" t="inlineStr">
        <is>
          <t>of Cost</t>
        </is>
      </c>
      <c r="C20" s="21" t="n"/>
      <c r="D20" s="21" t="n"/>
      <c r="E20" s="21" t="n"/>
      <c r="F20" s="6" t="n"/>
    </row>
    <row r="21">
      <c r="A21" s="20" t="inlineStr">
        <is>
          <t>Equipment Costs</t>
        </is>
      </c>
      <c r="B21" s="111" t="n"/>
      <c r="C21" s="21" t="n"/>
      <c r="D21" s="21" t="n"/>
      <c r="E21" s="90" t="n"/>
      <c r="F21" s="56" t="n"/>
    </row>
    <row r="22">
      <c r="A22" s="20" t="inlineStr">
        <is>
          <t xml:space="preserve">  Turbines and other equipment (excluding blades and towers)</t>
        </is>
      </c>
      <c r="B22" s="111" t="n">
        <v>0.4223873552967589</v>
      </c>
      <c r="C22" s="21">
        <f>'OECD Mapping'!A22</f>
        <v/>
      </c>
      <c r="D22" s="21">
        <f>'OECD Mapping'!B22</f>
        <v/>
      </c>
      <c r="E22" s="90" t="inlineStr">
        <is>
          <t>Mapping based on Land Based Wind JEDI and judgment</t>
        </is>
      </c>
      <c r="F22" s="16" t="n"/>
    </row>
    <row r="23">
      <c r="A23" s="20" t="inlineStr">
        <is>
          <t xml:space="preserve">  Blades</t>
        </is>
      </c>
      <c r="B23" s="111" t="n">
        <v>0.09888667180860573</v>
      </c>
      <c r="C23" s="21">
        <f>'OECD Mapping'!A22</f>
        <v/>
      </c>
      <c r="D23" s="21">
        <f>'OECD Mapping'!B22</f>
        <v/>
      </c>
      <c r="E23" s="90" t="inlineStr">
        <is>
          <t>Mapping based on Land Based Wind JEDI and judgment</t>
        </is>
      </c>
      <c r="F23" s="16" t="n"/>
    </row>
    <row r="24">
      <c r="A24" s="20" t="inlineStr">
        <is>
          <t xml:space="preserve">  Towers</t>
        </is>
      </c>
      <c r="B24" s="111" t="n">
        <v>0.1094816723595278</v>
      </c>
      <c r="C24" s="21">
        <f>'OECD Mapping'!A19</f>
        <v/>
      </c>
      <c r="D24" s="21">
        <f>'OECD Mapping'!B19</f>
        <v/>
      </c>
      <c r="E24" s="90" t="inlineStr">
        <is>
          <t>Mapping based on Land Based Wind JEDI and judgment</t>
        </is>
      </c>
      <c r="F24" s="16" t="n"/>
    </row>
    <row r="25">
      <c r="A25" s="20" t="inlineStr">
        <is>
          <t xml:space="preserve">  Transportation</t>
        </is>
      </c>
      <c r="B25" s="111" t="n">
        <v>0.07557767059657726</v>
      </c>
      <c r="C25" s="21">
        <f>'OECD Mapping'!A31</f>
        <v/>
      </c>
      <c r="D25" s="21">
        <f>'OECD Mapping'!B31</f>
        <v/>
      </c>
      <c r="E25" s="90" t="inlineStr">
        <is>
          <t>Mapping based on Land Based Wind JEDI and judgment</t>
        </is>
      </c>
      <c r="F25" s="16" t="n"/>
    </row>
    <row r="26">
      <c r="A26" s="20" t="inlineStr">
        <is>
          <t xml:space="preserve">  Equipment Total</t>
        </is>
      </c>
      <c r="B26" s="111" t="n">
        <v>0.7063333700614697</v>
      </c>
      <c r="C26" s="21" t="n"/>
      <c r="D26" s="21" t="n"/>
      <c r="E26" s="90" t="n"/>
      <c r="F26" s="16" t="n"/>
    </row>
    <row r="27">
      <c r="A27" s="20" t="inlineStr">
        <is>
          <t>Balance of Plant</t>
        </is>
      </c>
      <c r="B27" s="111" t="n"/>
      <c r="C27" s="21" t="n"/>
      <c r="D27" s="21" t="n"/>
      <c r="E27" s="90" t="n"/>
      <c r="F27" s="16" t="n"/>
    </row>
    <row r="28">
      <c r="A28" s="20" t="inlineStr">
        <is>
          <t xml:space="preserve">  Materials</t>
        </is>
      </c>
      <c r="B28" s="111" t="n"/>
      <c r="C28" s="21" t="n"/>
      <c r="D28" s="21" t="n"/>
      <c r="E28" s="90" t="n"/>
      <c r="F28" s="16" t="n"/>
    </row>
    <row r="29">
      <c r="A29" s="20" t="inlineStr">
        <is>
          <t xml:space="preserve">    Construction (concrete, rebar, equip, roads and site prep)</t>
        </is>
      </c>
      <c r="B29" s="111" t="n">
        <v>0.1020651733441418</v>
      </c>
      <c r="C29" s="21">
        <f>'OECD Mapping'!A29</f>
        <v/>
      </c>
      <c r="D29" s="21">
        <f>'OECD Mapping'!B29</f>
        <v/>
      </c>
      <c r="E29" s="90" t="inlineStr">
        <is>
          <t>Mapping based on Land Based Wind JEDI and judgment</t>
        </is>
      </c>
      <c r="F29" s="16" t="n"/>
    </row>
    <row r="30">
      <c r="A30" s="20" t="inlineStr">
        <is>
          <t xml:space="preserve">    Transformer</t>
        </is>
      </c>
      <c r="B30" s="111" t="n">
        <v>0.01154568708684262</v>
      </c>
      <c r="C30" s="21">
        <f>'OECD Mapping'!A22</f>
        <v/>
      </c>
      <c r="D30" s="21">
        <f>'OECD Mapping'!B22</f>
        <v/>
      </c>
      <c r="E30" s="90" t="inlineStr">
        <is>
          <t>Mapping based on Land Based Wind JEDI and judgment</t>
        </is>
      </c>
      <c r="F30" s="16" t="n"/>
    </row>
    <row r="31">
      <c r="A31" s="20" t="inlineStr">
        <is>
          <t xml:space="preserve">    Electrical (drop cable, wire, )</t>
        </is>
      </c>
      <c r="B31" s="111" t="n">
        <v>0.01216993434476407</v>
      </c>
      <c r="C31" s="21">
        <f>'OECD Mapping'!A21</f>
        <v/>
      </c>
      <c r="D31" s="21">
        <f>'OECD Mapping'!B21</f>
        <v/>
      </c>
      <c r="E31" s="90" t="inlineStr">
        <is>
          <t>Mapping based on Land Based Wind JEDI and judgment</t>
        </is>
      </c>
      <c r="F31" s="16" t="n"/>
    </row>
    <row r="32">
      <c r="A32" s="20" t="inlineStr">
        <is>
          <t xml:space="preserve">    HV line extension</t>
        </is>
      </c>
      <c r="B32" s="111" t="n">
        <v>0.02223040995445555</v>
      </c>
      <c r="C32" s="93">
        <f>'OECD Mapping'!A29</f>
        <v/>
      </c>
      <c r="D32" s="93">
        <f>'OECD Mapping'!B29</f>
        <v/>
      </c>
      <c r="E32" s="90" t="inlineStr">
        <is>
          <t>Mapping based on Land Based Wind JEDI and judgment</t>
        </is>
      </c>
      <c r="F32" s="6" t="n"/>
    </row>
    <row r="33">
      <c r="A33" s="20" t="inlineStr">
        <is>
          <t xml:space="preserve">    Materials Subtotal</t>
        </is>
      </c>
      <c r="B33" s="111" t="n">
        <v>0.1480112047302041</v>
      </c>
      <c r="C33" s="8" t="n"/>
      <c r="D33" s="8" t="n"/>
      <c r="E33" s="90" t="n"/>
      <c r="F33" s="16" t="n"/>
    </row>
    <row r="34">
      <c r="A34" s="20" t="inlineStr">
        <is>
          <t xml:space="preserve">  Labor</t>
        </is>
      </c>
      <c r="B34" s="111" t="n"/>
      <c r="C34" s="8" t="n"/>
      <c r="D34" s="8" t="n"/>
      <c r="E34" s="90" t="n"/>
      <c r="F34" s="16" t="n"/>
    </row>
    <row r="35">
      <c r="A35" s="20" t="inlineStr">
        <is>
          <t xml:space="preserve">    Foundation</t>
        </is>
      </c>
      <c r="B35" s="111" t="n">
        <v>0.007273306948177962</v>
      </c>
      <c r="C35" s="21">
        <f>'OECD Mapping'!A29</f>
        <v/>
      </c>
      <c r="D35" s="21">
        <f>'OECD Mapping'!B29</f>
        <v/>
      </c>
      <c r="E35" s="90" t="inlineStr">
        <is>
          <t>Mapping based on Land Based Wind JEDI and judgment</t>
        </is>
      </c>
      <c r="F35" s="6" t="n"/>
    </row>
    <row r="36">
      <c r="A36" s="20" t="inlineStr">
        <is>
          <t xml:space="preserve">    Erection</t>
        </is>
      </c>
      <c r="B36" s="111" t="n">
        <v>0.008238052356697197</v>
      </c>
      <c r="C36" s="21">
        <f>'OECD Mapping'!A29</f>
        <v/>
      </c>
      <c r="D36" s="21">
        <f>'OECD Mapping'!B29</f>
        <v/>
      </c>
      <c r="E36" s="90" t="inlineStr">
        <is>
          <t>Mapping based on Land Based Wind JEDI and judgment</t>
        </is>
      </c>
      <c r="F36" s="6" t="n"/>
    </row>
    <row r="37">
      <c r="A37" s="20" t="inlineStr">
        <is>
          <t xml:space="preserve">    Electrical</t>
        </is>
      </c>
      <c r="B37" s="111" t="n">
        <v>0.01200532362477911</v>
      </c>
      <c r="C37" s="21">
        <f>'OECD Mapping'!A29</f>
        <v/>
      </c>
      <c r="D37" s="21">
        <f>'OECD Mapping'!B29</f>
        <v/>
      </c>
      <c r="E37" s="90" t="inlineStr">
        <is>
          <t>Mapping based on Land Based Wind JEDI and judgment</t>
        </is>
      </c>
      <c r="F37" s="6" t="n"/>
    </row>
    <row r="38">
      <c r="A38" s="20" t="inlineStr">
        <is>
          <t xml:space="preserve">    Management/Supervision</t>
        </is>
      </c>
      <c r="B38" s="111" t="n">
        <v>0.006229584633178713</v>
      </c>
      <c r="C38" s="21">
        <f>'OECD Mapping'!A29</f>
        <v/>
      </c>
      <c r="D38" s="21">
        <f>'OECD Mapping'!B29</f>
        <v/>
      </c>
      <c r="E38" s="90" t="inlineStr">
        <is>
          <t>Mapping based on Land Based Wind JEDI and judgment</t>
        </is>
      </c>
      <c r="F38" s="6" t="n"/>
    </row>
    <row r="39">
      <c r="A39" s="20" t="inlineStr">
        <is>
          <t xml:space="preserve">    Misc. </t>
        </is>
      </c>
      <c r="B39" s="111" t="n">
        <v>0.03611313353492009</v>
      </c>
      <c r="C39" s="21">
        <f>'OECD Mapping'!A38</f>
        <v/>
      </c>
      <c r="D39" s="21">
        <f>'OECD Mapping'!B38</f>
        <v/>
      </c>
      <c r="E39" s="90" t="inlineStr">
        <is>
          <t>Mapping based on Land Based Wind JEDI and judgment</t>
        </is>
      </c>
      <c r="F39" s="6" t="n"/>
    </row>
    <row r="40">
      <c r="A40" s="20" t="inlineStr">
        <is>
          <t xml:space="preserve">    Labor Subtotal</t>
        </is>
      </c>
      <c r="B40" s="111" t="n">
        <v>0.06985940109775307</v>
      </c>
      <c r="C40" s="21" t="n"/>
      <c r="D40" s="21" t="n"/>
      <c r="E40" s="21" t="n"/>
      <c r="F40" s="6" t="n"/>
    </row>
    <row r="41">
      <c r="A41" s="20" t="inlineStr">
        <is>
          <t xml:space="preserve">  Development/Other Costs</t>
        </is>
      </c>
      <c r="B41" s="111" t="n"/>
      <c r="C41" s="21" t="n"/>
      <c r="D41" s="21" t="n"/>
      <c r="E41" s="21" t="n"/>
      <c r="F41" s="6" t="n"/>
    </row>
    <row r="42">
      <c r="A42" s="20" t="inlineStr">
        <is>
          <t xml:space="preserve">    HV Sub/Interconnection</t>
        </is>
      </c>
      <c r="B42" s="111" t="n"/>
      <c r="C42" s="21" t="n"/>
      <c r="D42" s="21" t="n"/>
      <c r="E42" s="21" t="n"/>
      <c r="F42" s="6" t="n"/>
    </row>
    <row r="43">
      <c r="A43" s="20" t="inlineStr">
        <is>
          <t xml:space="preserve">       Materials</t>
        </is>
      </c>
      <c r="B43" s="111" t="n">
        <v>0.007014549101207153</v>
      </c>
      <c r="C43" s="21">
        <f>'OECD Mapping'!A22</f>
        <v/>
      </c>
      <c r="D43" s="21">
        <f>'OECD Mapping'!B22</f>
        <v/>
      </c>
      <c r="E43" s="90" t="inlineStr">
        <is>
          <t>Mapping based on Land Based Wind JEDI and judgment</t>
        </is>
      </c>
      <c r="F43" s="6" t="n"/>
    </row>
    <row r="44">
      <c r="A44" s="20" t="inlineStr">
        <is>
          <t xml:space="preserve">       Labor</t>
        </is>
      </c>
      <c r="B44" s="111" t="n">
        <v>0.002148694618509211</v>
      </c>
      <c r="C44" s="21">
        <f>'OECD Mapping'!A29</f>
        <v/>
      </c>
      <c r="D44" s="21">
        <f>'OECD Mapping'!B29</f>
        <v/>
      </c>
      <c r="E44" s="90" t="inlineStr">
        <is>
          <t>Mapping based on Land Based Wind JEDI and judgment</t>
        </is>
      </c>
      <c r="F44" s="6" t="n"/>
    </row>
    <row r="45">
      <c r="A45" s="20" t="inlineStr">
        <is>
          <t xml:space="preserve">    Engineering</t>
        </is>
      </c>
      <c r="B45" s="111" t="n">
        <v>0.00954504554137121</v>
      </c>
      <c r="C45" s="21">
        <f>'OECD Mapping'!A38</f>
        <v/>
      </c>
      <c r="D45" s="21">
        <f>'OECD Mapping'!B38</f>
        <v/>
      </c>
      <c r="E45" s="90" t="inlineStr">
        <is>
          <t>Mapping based on Land Based Wind JEDI and judgment</t>
        </is>
      </c>
      <c r="F45" s="6" t="n"/>
    </row>
    <row r="46">
      <c r="A46" s="20" t="inlineStr">
        <is>
          <t xml:space="preserve">    Legal Services</t>
        </is>
      </c>
      <c r="B46" s="111" t="n">
        <v>0.005202049820047309</v>
      </c>
      <c r="C46" s="21">
        <f>'OECD Mapping'!A38</f>
        <v/>
      </c>
      <c r="D46" s="21">
        <f>'OECD Mapping'!B38</f>
        <v/>
      </c>
      <c r="E46" s="90" t="inlineStr">
        <is>
          <t>Mapping based on Land Based Wind JEDI and judgment</t>
        </is>
      </c>
      <c r="F46" s="6" t="n"/>
    </row>
    <row r="47">
      <c r="A47" s="20" t="inlineStr">
        <is>
          <t xml:space="preserve">    Land Easements</t>
        </is>
      </c>
      <c r="B47" s="111" t="n">
        <v>0</v>
      </c>
      <c r="C47" s="21">
        <f>'OECD Mapping'!A37</f>
        <v/>
      </c>
      <c r="D47" s="21">
        <f>'OECD Mapping'!B37</f>
        <v/>
      </c>
      <c r="E47" s="90" t="inlineStr">
        <is>
          <t>Mapping based on Land Based Wind JEDI and judgment</t>
        </is>
      </c>
      <c r="F47" s="6" t="n"/>
    </row>
    <row r="48">
      <c r="A48" s="20" t="inlineStr">
        <is>
          <t xml:space="preserve">    Site Certificate/Permitting</t>
        </is>
      </c>
      <c r="B48" s="111" t="n">
        <v>0.00243398661304966</v>
      </c>
      <c r="C48" s="21">
        <f>'OECD Mapping'!A39</f>
        <v/>
      </c>
      <c r="D48" s="21">
        <f>'OECD Mapping'!B39</f>
        <v/>
      </c>
      <c r="E48" s="90" t="inlineStr">
        <is>
          <t>Mapping based on Land Based Wind JEDI and judgment</t>
        </is>
      </c>
      <c r="F48" s="6" t="n"/>
    </row>
    <row r="49">
      <c r="A49" s="20" t="inlineStr">
        <is>
          <t xml:space="preserve">    Development/Other Subtotal</t>
        </is>
      </c>
      <c r="B49" s="111" t="n">
        <v>0.02634432569418454</v>
      </c>
      <c r="C49" s="21" t="n"/>
      <c r="D49" s="21" t="n"/>
      <c r="E49" s="21" t="n"/>
      <c r="F49" s="6" t="n"/>
    </row>
    <row r="50">
      <c r="A50" s="20" t="inlineStr">
        <is>
          <t xml:space="preserve">  Balance of Plant Total</t>
        </is>
      </c>
      <c r="B50" s="111" t="n">
        <v>0.2442149315221417</v>
      </c>
      <c r="C50" s="21" t="n"/>
      <c r="D50" s="21" t="n"/>
      <c r="E50" s="21" t="n"/>
      <c r="F50" s="6" t="n"/>
    </row>
    <row r="51">
      <c r="A51" s="20" t="inlineStr">
        <is>
          <t>Subtotal (all cost without taxes)</t>
        </is>
      </c>
      <c r="B51" s="111" t="n">
        <v>0.9505483015836114</v>
      </c>
      <c r="C51" s="21" t="n"/>
      <c r="D51" s="21" t="n"/>
      <c r="E51" s="21" t="n"/>
      <c r="F51" s="6" t="n"/>
    </row>
    <row r="52">
      <c r="A52" s="20" t="inlineStr">
        <is>
          <t>Sales Tax (Material and Equipment Purchases)</t>
        </is>
      </c>
      <c r="B52" s="111" t="n">
        <v>0.04945169841638862</v>
      </c>
      <c r="C52" s="21">
        <f>'OECD Mapping'!A39</f>
        <v/>
      </c>
      <c r="D52" s="21">
        <f>'OECD Mapping'!B39</f>
        <v/>
      </c>
      <c r="E52" s="90" t="inlineStr">
        <is>
          <t>Mapping based on Land Based Wind JEDI and judgment</t>
        </is>
      </c>
      <c r="F52" s="6" t="n"/>
    </row>
    <row r="53" ht="15" customHeight="1" thickBot="1">
      <c r="A53" s="24" t="inlineStr">
        <is>
          <t>Total</t>
        </is>
      </c>
      <c r="B53" s="18" t="n">
        <v>1</v>
      </c>
      <c r="C53" s="25" t="n"/>
      <c r="D53" s="25" t="n"/>
      <c r="E53" s="25" t="n"/>
      <c r="F53" s="10" t="n"/>
    </row>
    <row r="54" customFormat="1" s="88">
      <c r="A54" s="11" t="inlineStr">
        <is>
          <t>Fixed O&amp;M Costs</t>
        </is>
      </c>
      <c r="B54" s="12" t="n"/>
      <c r="C54" s="13" t="n"/>
      <c r="D54" s="13" t="n"/>
      <c r="E54" s="13" t="n"/>
      <c r="F54" s="14" t="n"/>
    </row>
    <row r="55">
      <c r="A55" s="20" t="inlineStr">
        <is>
          <t>Labor</t>
        </is>
      </c>
      <c r="B55" s="21" t="n"/>
      <c r="C55" s="21" t="n"/>
      <c r="D55" s="21" t="n"/>
      <c r="E55" s="21" t="n"/>
      <c r="F55" s="6" t="n"/>
    </row>
    <row r="56">
      <c r="A56" s="20" t="inlineStr">
        <is>
          <t>Personnel</t>
        </is>
      </c>
      <c r="B56" s="21" t="n"/>
      <c r="C56" s="21" t="n"/>
      <c r="D56" s="21" t="n"/>
      <c r="E56" s="21" t="n"/>
      <c r="F56" s="6" t="n"/>
    </row>
    <row r="57">
      <c r="A57" s="20" t="inlineStr">
        <is>
          <t xml:space="preserve">  Field Salaries (i.e., onsite wind technicians, etc.)</t>
        </is>
      </c>
      <c r="B57" s="111" t="n">
        <v>0.0787642413724554</v>
      </c>
      <c r="C57" s="21">
        <f>'OECD Mapping'!A26</f>
        <v/>
      </c>
      <c r="D57" s="21">
        <f>'OECD Mapping'!B26</f>
        <v/>
      </c>
      <c r="E57" s="90" t="inlineStr">
        <is>
          <t>Mapping based on Land Based Wind JEDI and judgment</t>
        </is>
      </c>
      <c r="F57" s="6" t="n"/>
    </row>
    <row r="58">
      <c r="A58" s="20" t="inlineStr">
        <is>
          <t xml:space="preserve">  Administrative</t>
        </is>
      </c>
      <c r="B58" s="111" t="n">
        <v>0.007468016959758735</v>
      </c>
      <c r="C58" s="21">
        <f>'OECD Mapping'!A26</f>
        <v/>
      </c>
      <c r="D58" s="21">
        <f>'OECD Mapping'!B26</f>
        <v/>
      </c>
      <c r="E58" s="90" t="inlineStr">
        <is>
          <t>Mapping based on Land Based Wind JEDI and judgment</t>
        </is>
      </c>
      <c r="F58" s="6" t="n"/>
    </row>
    <row r="59">
      <c r="A59" s="20" t="inlineStr">
        <is>
          <t xml:space="preserve">  Management</t>
        </is>
      </c>
      <c r="B59" s="111" t="n">
        <v>0.01400253179954763</v>
      </c>
      <c r="C59" s="21">
        <f>'OECD Mapping'!A26</f>
        <v/>
      </c>
      <c r="D59" s="21">
        <f>'OECD Mapping'!B26</f>
        <v/>
      </c>
      <c r="E59" s="90" t="inlineStr">
        <is>
          <t>Mapping based on Land Based Wind JEDI and judgment</t>
        </is>
      </c>
      <c r="F59" s="6" t="n"/>
    </row>
    <row r="60">
      <c r="A60" s="20" t="inlineStr">
        <is>
          <t xml:space="preserve">  Labor/Personnel Subtotal</t>
        </is>
      </c>
      <c r="B60" s="111" t="n">
        <v>0.1002347901317618</v>
      </c>
      <c r="C60" s="21" t="n"/>
      <c r="D60" s="21" t="n"/>
      <c r="E60" s="21" t="n"/>
      <c r="F60" s="6" t="n"/>
    </row>
    <row r="61">
      <c r="A61" s="20" t="inlineStr">
        <is>
          <t>Materials and Services</t>
        </is>
      </c>
      <c r="B61" s="111" t="n"/>
      <c r="C61" s="21" t="n"/>
      <c r="D61" s="21" t="n"/>
      <c r="E61" s="21" t="n"/>
      <c r="F61" s="6" t="n"/>
    </row>
    <row r="62">
      <c r="A62" s="20" t="inlineStr">
        <is>
          <t xml:space="preserve">  Vehicles</t>
        </is>
      </c>
      <c r="B62" s="111" t="n">
        <v>0.0245568269722944</v>
      </c>
      <c r="C62" s="21">
        <f>'OECD Mapping'!A30</f>
        <v/>
      </c>
      <c r="D62" s="21">
        <f>'OECD Mapping'!B30</f>
        <v/>
      </c>
      <c r="E62" s="90" t="inlineStr">
        <is>
          <t>Mapping based on Land Based Wind JEDI and judgment</t>
        </is>
      </c>
      <c r="F62" s="6" t="n"/>
    </row>
    <row r="63">
      <c r="A63" s="20" t="inlineStr">
        <is>
          <t xml:space="preserve">  Site Maint/Misc. Services</t>
        </is>
      </c>
      <c r="B63" s="111" t="n">
        <v>0.009577162519194816</v>
      </c>
      <c r="C63" s="21">
        <f>'OECD Mapping'!A38</f>
        <v/>
      </c>
      <c r="D63" s="21">
        <f>'OECD Mapping'!B38</f>
        <v/>
      </c>
      <c r="E63" s="90" t="inlineStr">
        <is>
          <t>Mapping based on Land Based Wind JEDI and judgment</t>
        </is>
      </c>
      <c r="F63" s="6" t="n"/>
    </row>
    <row r="64">
      <c r="A64" s="20" t="inlineStr">
        <is>
          <t xml:space="preserve">  Fees, Permits, Licenses</t>
        </is>
      </c>
      <c r="B64" s="111" t="n">
        <v>0.004788581259597408</v>
      </c>
      <c r="C64" s="21">
        <f>'OECD Mapping'!A39</f>
        <v/>
      </c>
      <c r="D64" s="21">
        <f>'OECD Mapping'!B39</f>
        <v/>
      </c>
      <c r="E64" s="90" t="inlineStr">
        <is>
          <t>Mapping based on Land Based Wind JEDI and judgment</t>
        </is>
      </c>
      <c r="F64" s="6" t="n"/>
    </row>
    <row r="65">
      <c r="A65" s="20" t="inlineStr">
        <is>
          <t xml:space="preserve">  Utilities</t>
        </is>
      </c>
      <c r="B65" s="111" t="n">
        <v>0.01915432503838963</v>
      </c>
      <c r="C65" s="21">
        <f>'OECD Mapping'!A26</f>
        <v/>
      </c>
      <c r="D65" s="21">
        <f>'OECD Mapping'!B26</f>
        <v/>
      </c>
      <c r="E65" s="90" t="inlineStr">
        <is>
          <t>Mapping based on Land Based Wind JEDI and judgment</t>
        </is>
      </c>
      <c r="F65" s="6" t="n"/>
    </row>
    <row r="66">
      <c r="A66" s="20" t="inlineStr">
        <is>
          <t xml:space="preserve">  Insurance</t>
        </is>
      </c>
      <c r="B66" s="111" t="n">
        <v>0.184176202292208</v>
      </c>
      <c r="C66" s="21">
        <f>'OECD Mapping'!A36</f>
        <v/>
      </c>
      <c r="D66" s="21">
        <f>'OECD Mapping'!B36</f>
        <v/>
      </c>
      <c r="E66" s="90" t="inlineStr">
        <is>
          <t>Mapping based on Land Based Wind JEDI and judgment</t>
        </is>
      </c>
      <c r="F66" s="6" t="n"/>
    </row>
    <row r="67">
      <c r="A67" s="20" t="inlineStr">
        <is>
          <t xml:space="preserve">  Fuel (motor vehicle gasoline)</t>
        </is>
      </c>
      <c r="B67" s="111" t="n">
        <v>0.009577162519194816</v>
      </c>
      <c r="C67" s="21">
        <f>'OECD Mapping'!A11</f>
        <v/>
      </c>
      <c r="D67" s="21">
        <f>'OECD Mapping'!B11</f>
        <v/>
      </c>
      <c r="E67" s="90" t="inlineStr">
        <is>
          <t>Mapping based on Land Based Wind JEDI and judgment</t>
        </is>
      </c>
      <c r="F67" s="6" t="n"/>
    </row>
    <row r="68">
      <c r="A68" s="20" t="inlineStr">
        <is>
          <t xml:space="preserve">  Consumables/Tools and Misc. Supplies</t>
        </is>
      </c>
      <c r="B68" s="111" t="n">
        <v>0.06225155637476631</v>
      </c>
      <c r="C68" s="21">
        <f>'OECD Mapping'!A30</f>
        <v/>
      </c>
      <c r="D68" s="21">
        <f>'OECD Mapping'!B30</f>
        <v/>
      </c>
      <c r="E68" s="90" t="inlineStr">
        <is>
          <t>Mapping based on Land Based Wind JEDI and judgment</t>
        </is>
      </c>
      <c r="F68" s="6" t="n"/>
    </row>
    <row r="69">
      <c r="A69" s="20" t="inlineStr">
        <is>
          <t xml:space="preserve">  Replacement Parts/Equipment/ Spare Parts Inventory</t>
        </is>
      </c>
      <c r="B69" s="111" t="n">
        <v>0.54552991118952</v>
      </c>
      <c r="C69" s="21">
        <f>'OECD Mapping'!A22</f>
        <v/>
      </c>
      <c r="D69" s="21">
        <f>'OECD Mapping'!B22</f>
        <v/>
      </c>
      <c r="E69" s="90" t="inlineStr">
        <is>
          <t>Mapping based on Land Based Wind JEDI and judgment</t>
        </is>
      </c>
      <c r="F69" s="6" t="n"/>
    </row>
    <row r="70">
      <c r="A70" s="20" t="inlineStr">
        <is>
          <t xml:space="preserve">  Materials and Services Subtotal</t>
        </is>
      </c>
      <c r="B70" s="111" t="n">
        <v>0.8596117281651654</v>
      </c>
      <c r="C70" s="21" t="n"/>
      <c r="D70" s="21" t="n"/>
      <c r="E70" s="21" t="n"/>
      <c r="F70" s="6" t="n"/>
    </row>
    <row r="71">
      <c r="A71" s="20" t="inlineStr">
        <is>
          <t>Sales Tax (Materials &amp; Equipment Purchases)</t>
        </is>
      </c>
      <c r="B71" s="111" t="n">
        <v>0.04015348170307288</v>
      </c>
      <c r="C71" s="21">
        <f>'OECD Mapping'!A39</f>
        <v/>
      </c>
      <c r="D71" s="21">
        <f>'OECD Mapping'!B39</f>
        <v/>
      </c>
      <c r="E71" s="90" t="inlineStr">
        <is>
          <t>Mapping based on Land Based Wind JEDI and judgment</t>
        </is>
      </c>
      <c r="F71" s="6" t="n"/>
    </row>
    <row r="72">
      <c r="A72" s="20" t="inlineStr">
        <is>
          <t>Other Taxes/Payments</t>
        </is>
      </c>
      <c r="B72" s="111" t="n">
        <v>0</v>
      </c>
      <c r="C72" s="21" t="n"/>
      <c r="D72" s="21" t="n"/>
      <c r="E72" s="21" t="n"/>
      <c r="F72" s="6" t="n"/>
    </row>
    <row r="73" ht="15" customHeight="1" thickBot="1">
      <c r="A73" s="24" t="inlineStr">
        <is>
          <t>Total O&amp;M Cost</t>
        </is>
      </c>
      <c r="B73" s="18" t="n">
        <v>1</v>
      </c>
      <c r="C73" s="25" t="n"/>
      <c r="D73" s="25" t="n"/>
      <c r="E73" s="25" t="n"/>
      <c r="F73" s="10" t="n"/>
    </row>
    <row r="74" ht="15" customHeight="1" thickBot="1"/>
    <row r="75" ht="18.5" customHeight="1">
      <c r="A75" s="135" t="inlineStr">
        <is>
          <t>Coal</t>
        </is>
      </c>
      <c r="B75" s="141" t="n"/>
      <c r="C75" s="141" t="n"/>
      <c r="D75" s="141" t="n"/>
      <c r="E75" s="141" t="n"/>
      <c r="F75" s="142" t="n"/>
    </row>
    <row r="76">
      <c r="A76" s="1" t="inlineStr">
        <is>
          <t>Capital Costs</t>
        </is>
      </c>
      <c r="B76" s="2" t="inlineStr">
        <is>
          <t>Percent</t>
        </is>
      </c>
      <c r="C76" s="2" t="inlineStr">
        <is>
          <t>I-O Mapping</t>
        </is>
      </c>
      <c r="D76" s="3" t="inlineStr">
        <is>
          <t>ISIC Mapping</t>
        </is>
      </c>
      <c r="E76" s="3" t="inlineStr">
        <is>
          <t>Notes</t>
        </is>
      </c>
      <c r="F76" s="4" t="inlineStr">
        <is>
          <t>Sources</t>
        </is>
      </c>
    </row>
    <row r="77">
      <c r="A77" s="5" t="inlineStr">
        <is>
          <t>Construction Costs</t>
        </is>
      </c>
      <c r="B77" s="2" t="inlineStr">
        <is>
          <t>of Cost</t>
        </is>
      </c>
    </row>
    <row r="78">
      <c r="A78" s="7" t="inlineStr">
        <is>
          <t xml:space="preserve"> Facility and Equipment</t>
        </is>
      </c>
      <c r="C78" s="2" t="n"/>
      <c r="D78" s="3" t="n"/>
      <c r="E78" s="3" t="n"/>
      <c r="F78" s="16" t="inlineStr">
        <is>
          <t>https://www.nrel.gov/analysis/jedi/coal.html</t>
        </is>
      </c>
    </row>
    <row r="79">
      <c r="A79" s="7" t="inlineStr">
        <is>
          <t xml:space="preserve">   Power Generation</t>
        </is>
      </c>
      <c r="B79" s="27" t="n">
        <v>0.1371900826446281</v>
      </c>
      <c r="C79" s="28">
        <f>'OECD Mapping'!A22</f>
        <v/>
      </c>
      <c r="D79" s="28">
        <f>'OECD Mapping'!B22</f>
        <v/>
      </c>
      <c r="E79" s="73" t="inlineStr">
        <is>
          <t>Mapping based on JEDI and judgment</t>
        </is>
      </c>
      <c r="F79" s="16" t="inlineStr">
        <is>
          <t>https://www.nrel.gov/analysis/jedi/coal.html</t>
        </is>
      </c>
    </row>
    <row r="80">
      <c r="A80" s="7" t="inlineStr">
        <is>
          <t xml:space="preserve">   General facilities</t>
        </is>
      </c>
      <c r="B80" s="27" t="n">
        <v>0.0838507390748453</v>
      </c>
      <c r="C80" s="28">
        <f>'OECD Mapping'!A29</f>
        <v/>
      </c>
      <c r="D80" s="28">
        <f>'OECD Mapping'!B29</f>
        <v/>
      </c>
      <c r="E80" s="73" t="inlineStr">
        <is>
          <t>Mapping based on JEDI and judgment</t>
        </is>
      </c>
      <c r="F80" s="16" t="inlineStr">
        <is>
          <t>https://www.nrel.gov/analysis/jedi/coal.html</t>
        </is>
      </c>
    </row>
    <row r="81">
      <c r="A81" s="7" t="inlineStr">
        <is>
          <t xml:space="preserve">   Plant Equipment</t>
        </is>
      </c>
      <c r="B81" s="27" t="n">
        <v>0.2351575253879646</v>
      </c>
      <c r="C81" s="28">
        <f>'OECD Mapping'!A22</f>
        <v/>
      </c>
      <c r="D81" s="28">
        <f>'OECD Mapping'!B22</f>
        <v/>
      </c>
      <c r="E81" s="73" t="inlineStr">
        <is>
          <t>Mapping based on JEDI and judgment</t>
        </is>
      </c>
      <c r="F81" s="16" t="inlineStr">
        <is>
          <t>https://www.nrel.gov/analysis/jedi/coal.html</t>
        </is>
      </c>
    </row>
    <row r="82">
      <c r="A82" s="30" t="inlineStr">
        <is>
          <t xml:space="preserve">   Facility and Equipment Subtotal</t>
        </is>
      </c>
      <c r="B82" s="27">
        <f>SUM(B79:B81)</f>
        <v/>
      </c>
      <c r="C82" s="28" t="n"/>
      <c r="D82" s="28" t="n"/>
      <c r="E82" s="73" t="n"/>
      <c r="F82" s="16" t="inlineStr">
        <is>
          <t>https://www.nrel.gov/analysis/jedi/coal.html</t>
        </is>
      </c>
    </row>
    <row r="83">
      <c r="A83" s="7" t="inlineStr">
        <is>
          <t xml:space="preserve"> Labor</t>
        </is>
      </c>
      <c r="B83" s="27" t="n"/>
      <c r="C83" s="28" t="n"/>
      <c r="D83" s="28" t="n"/>
      <c r="E83" s="73" t="n"/>
      <c r="F83" s="16" t="inlineStr">
        <is>
          <t>https://www.nrel.gov/analysis/jedi/coal.html</t>
        </is>
      </c>
    </row>
    <row r="84">
      <c r="A84" s="7" t="inlineStr">
        <is>
          <t xml:space="preserve">   Construction Labor</t>
        </is>
      </c>
      <c r="B84" s="27" t="n">
        <v>0.2294214876033058</v>
      </c>
      <c r="C84" s="28">
        <f>'OECD Mapping'!A29</f>
        <v/>
      </c>
      <c r="D84" s="28">
        <f>'OECD Mapping'!B29</f>
        <v/>
      </c>
      <c r="E84" s="73" t="inlineStr">
        <is>
          <t>Mapping based on JEDI and judgment</t>
        </is>
      </c>
      <c r="F84" s="16" t="inlineStr">
        <is>
          <t>https://www.nrel.gov/analysis/jedi/coal.html</t>
        </is>
      </c>
    </row>
    <row r="85">
      <c r="A85" s="7" t="inlineStr">
        <is>
          <t xml:space="preserve">   Project management</t>
        </is>
      </c>
      <c r="B85" s="27" t="n">
        <v>0.006942148760330579</v>
      </c>
      <c r="C85" s="28">
        <f>'OECD Mapping'!A29</f>
        <v/>
      </c>
      <c r="D85" s="28">
        <f>'OECD Mapping'!B29</f>
        <v/>
      </c>
      <c r="E85" s="73" t="inlineStr">
        <is>
          <t>Mapping based on JEDI and judgment</t>
        </is>
      </c>
      <c r="F85" s="16" t="inlineStr">
        <is>
          <t>https://www.nrel.gov/analysis/jedi/coal.html</t>
        </is>
      </c>
    </row>
    <row r="86">
      <c r="A86" s="30" t="inlineStr">
        <is>
          <t xml:space="preserve">   Labor Subtotal</t>
        </is>
      </c>
      <c r="B86" s="27">
        <f>B85+B84</f>
        <v/>
      </c>
      <c r="C86" s="28" t="n"/>
      <c r="D86" s="28" t="n"/>
      <c r="E86" s="73" t="n"/>
      <c r="F86" s="16" t="inlineStr">
        <is>
          <t>https://www.nrel.gov/analysis/jedi/coal.html</t>
        </is>
      </c>
    </row>
    <row r="87">
      <c r="A87" s="30" t="inlineStr">
        <is>
          <t xml:space="preserve"> Construction Subtotal</t>
        </is>
      </c>
      <c r="B87" s="27">
        <f>B86+B82</f>
        <v/>
      </c>
      <c r="C87" s="28" t="n"/>
      <c r="D87" s="28" t="n"/>
      <c r="E87" s="73" t="n"/>
      <c r="F87" s="16" t="inlineStr">
        <is>
          <t>https://www.nrel.gov/analysis/jedi/coal.html</t>
        </is>
      </c>
    </row>
    <row r="88">
      <c r="A88" s="5" t="inlineStr">
        <is>
          <t>Other Costs</t>
        </is>
      </c>
      <c r="B88" s="27" t="n"/>
      <c r="C88" s="28" t="n"/>
      <c r="D88" s="28" t="n"/>
      <c r="E88" s="73" t="n"/>
      <c r="F88" s="16" t="inlineStr">
        <is>
          <t>https://www.nrel.gov/analysis/jedi/coal.html</t>
        </is>
      </c>
    </row>
    <row r="89">
      <c r="A89" s="7" t="inlineStr">
        <is>
          <t xml:space="preserve"> Engineering, Procurement, Construction Management</t>
        </is>
      </c>
      <c r="B89" s="27" t="n">
        <v>0.07107438016528927</v>
      </c>
      <c r="C89" s="28">
        <f>'OECD Mapping'!A38</f>
        <v/>
      </c>
      <c r="D89" s="28">
        <f>'OECD Mapping'!B38</f>
        <v/>
      </c>
      <c r="E89" s="73" t="inlineStr">
        <is>
          <t>Mapping based on JEDI and judgment</t>
        </is>
      </c>
      <c r="F89" s="16" t="inlineStr">
        <is>
          <t>https://www.nrel.gov/analysis/jedi/coal.html</t>
        </is>
      </c>
    </row>
    <row r="90">
      <c r="A90" s="7" t="inlineStr">
        <is>
          <t xml:space="preserve"> Construction insurance</t>
        </is>
      </c>
      <c r="B90" s="27" t="n">
        <v>0.01162663416750274</v>
      </c>
      <c r="C90" s="28">
        <f>'OECD Mapping'!A36</f>
        <v/>
      </c>
      <c r="D90" s="28">
        <f>'OECD Mapping'!B36</f>
        <v/>
      </c>
      <c r="E90" s="73" t="inlineStr">
        <is>
          <t>Mapping based on JEDI and judgment</t>
        </is>
      </c>
      <c r="F90" s="16" t="inlineStr">
        <is>
          <t>https://www.nrel.gov/analysis/jedi/coal.html</t>
        </is>
      </c>
    </row>
    <row r="91">
      <c r="A91" s="7" t="inlineStr">
        <is>
          <t xml:space="preserve"> Land</t>
        </is>
      </c>
      <c r="B91" s="27" t="n">
        <v>0</v>
      </c>
      <c r="C91" s="28">
        <f>'OECD Mapping'!A37</f>
        <v/>
      </c>
      <c r="D91" s="28">
        <f>'OECD Mapping'!B37</f>
        <v/>
      </c>
      <c r="E91" s="73" t="inlineStr">
        <is>
          <t>Mapping based on JEDI and judgment</t>
        </is>
      </c>
      <c r="F91" s="16" t="inlineStr">
        <is>
          <t>https://www.nrel.gov/analysis/jedi/coal.html</t>
        </is>
      </c>
    </row>
    <row r="92">
      <c r="A92" s="7" t="inlineStr">
        <is>
          <t xml:space="preserve"> Catalysts &amp; chemicals</t>
        </is>
      </c>
      <c r="B92" s="27" t="n">
        <v>0.001298854801788919</v>
      </c>
      <c r="C92" s="28">
        <f>'OECD Mapping'!A12</f>
        <v/>
      </c>
      <c r="D92" s="28">
        <f>'OECD Mapping'!B12</f>
        <v/>
      </c>
      <c r="E92" s="73" t="inlineStr">
        <is>
          <t>Mapping based on JEDI and judgment</t>
        </is>
      </c>
      <c r="F92" s="16" t="inlineStr">
        <is>
          <t>https://www.nrel.gov/analysis/jedi/coal.html</t>
        </is>
      </c>
    </row>
    <row r="93">
      <c r="A93" s="7" t="inlineStr">
        <is>
          <t xml:space="preserve"> Grid intertie</t>
        </is>
      </c>
      <c r="B93" s="27" t="n">
        <v>0.06842975206611571</v>
      </c>
      <c r="C93" s="28">
        <f>'OECD Mapping'!A29</f>
        <v/>
      </c>
      <c r="D93" s="28">
        <f>'OECD Mapping'!B29</f>
        <v/>
      </c>
      <c r="E93" s="73" t="inlineStr">
        <is>
          <t>Mapping based on JEDI and judgment</t>
        </is>
      </c>
      <c r="F93" s="16" t="inlineStr">
        <is>
          <t>https://www.nrel.gov/analysis/jedi/coal.html</t>
        </is>
      </c>
    </row>
    <row r="94">
      <c r="A94" s="7" t="inlineStr">
        <is>
          <t xml:space="preserve"> Owner costs </t>
        </is>
      </c>
      <c r="B94" s="27" t="n">
        <v>0.1163307093778158</v>
      </c>
      <c r="C94" s="28">
        <f>'OECD Mapping'!A38</f>
        <v/>
      </c>
      <c r="D94" s="28">
        <f>'OECD Mapping'!B38</f>
        <v/>
      </c>
      <c r="E94" s="73" t="inlineStr">
        <is>
          <t>Mapping based on JEDI and judgment</t>
        </is>
      </c>
      <c r="F94" s="16" t="inlineStr">
        <is>
          <t>https://www.nrel.gov/analysis/jedi/coal.html</t>
        </is>
      </c>
    </row>
    <row r="95">
      <c r="A95" s="7" t="inlineStr">
        <is>
          <t xml:space="preserve"> Legal and Advisory</t>
        </is>
      </c>
      <c r="B95" s="27" t="n">
        <v>0.03801652892561984</v>
      </c>
      <c r="C95" s="28">
        <f>'OECD Mapping'!A38</f>
        <v/>
      </c>
      <c r="D95" s="28">
        <f>'OECD Mapping'!B38</f>
        <v/>
      </c>
      <c r="E95" s="73" t="inlineStr">
        <is>
          <t>Mapping based on JEDI and judgment</t>
        </is>
      </c>
      <c r="F95" s="16" t="inlineStr">
        <is>
          <t>https://www.nrel.gov/analysis/jedi/coal.html</t>
        </is>
      </c>
    </row>
    <row r="96">
      <c r="A96" s="7" t="inlineStr">
        <is>
          <t xml:space="preserve"> Spare Parts</t>
        </is>
      </c>
      <c r="B96" s="27" t="n">
        <v>0.0006611570247933885</v>
      </c>
      <c r="C96" s="28">
        <f>'OECD Mapping'!A22</f>
        <v/>
      </c>
      <c r="D96" s="28">
        <f>'OECD Mapping'!B22</f>
        <v/>
      </c>
      <c r="E96" s="73" t="inlineStr">
        <is>
          <t>Mapping based on JEDI and judgment</t>
        </is>
      </c>
      <c r="F96" s="16" t="inlineStr">
        <is>
          <t>https://www.nrel.gov/analysis/jedi/coal.html</t>
        </is>
      </c>
    </row>
    <row r="97">
      <c r="A97" s="30" t="inlineStr">
        <is>
          <t xml:space="preserve"> Other Subtotal</t>
        </is>
      </c>
      <c r="B97" s="27">
        <f>SUM(B89:B96)</f>
        <v/>
      </c>
      <c r="C97" s="28" t="n"/>
      <c r="D97" s="29" t="n"/>
      <c r="E97" s="73" t="n"/>
      <c r="F97" s="16" t="n"/>
    </row>
    <row r="98" ht="15" customHeight="1" thickBot="1">
      <c r="A98" s="31" t="inlineStr">
        <is>
          <t xml:space="preserve">Total </t>
        </is>
      </c>
      <c r="B98" s="32">
        <f>B97+B87</f>
        <v/>
      </c>
      <c r="C98" s="33" t="n"/>
      <c r="D98" s="34" t="n"/>
      <c r="E98" s="34" t="n"/>
      <c r="F98" s="35" t="n"/>
    </row>
    <row r="99">
      <c r="A99" s="11" t="inlineStr">
        <is>
          <t>Fixed O&amp;M Costs</t>
        </is>
      </c>
      <c r="B99" s="12" t="n"/>
      <c r="C99" s="36" t="n"/>
      <c r="D99" s="37" t="n"/>
      <c r="E99" s="37" t="n"/>
      <c r="F99" s="14" t="n"/>
    </row>
    <row r="100">
      <c r="A100" s="38" t="inlineStr">
        <is>
          <t xml:space="preserve"> Labor</t>
        </is>
      </c>
      <c r="B100" s="27" t="n">
        <v>0.5974025974025974</v>
      </c>
      <c r="C100" s="39">
        <f>'OECD Mapping'!A26</f>
        <v/>
      </c>
      <c r="D100" s="39">
        <f>'OECD Mapping'!B26</f>
        <v/>
      </c>
      <c r="E100" s="73" t="inlineStr">
        <is>
          <t>Mapping based on JEDI and judgment</t>
        </is>
      </c>
      <c r="F100" s="16" t="inlineStr">
        <is>
          <t>https://www.nrel.gov/analysis/jedi/coal.html</t>
        </is>
      </c>
    </row>
    <row r="101">
      <c r="A101" s="38" t="inlineStr">
        <is>
          <t xml:space="preserve"> Materials</t>
        </is>
      </c>
      <c r="B101" s="27" t="n">
        <v>0.2510822510822511</v>
      </c>
      <c r="C101" s="39">
        <f>'OECD Mapping'!A22</f>
        <v/>
      </c>
      <c r="D101" s="39">
        <f>'OECD Mapping'!B22</f>
        <v/>
      </c>
      <c r="E101" s="73" t="inlineStr">
        <is>
          <t>Mapping based on JEDI and judgment</t>
        </is>
      </c>
      <c r="F101" s="16" t="inlineStr">
        <is>
          <t>https://www.nrel.gov/analysis/jedi/coal.html</t>
        </is>
      </c>
    </row>
    <row r="102">
      <c r="A102" s="38" t="inlineStr">
        <is>
          <t xml:space="preserve"> Services</t>
        </is>
      </c>
      <c r="B102" s="27" t="n">
        <v>0.1515151515151515</v>
      </c>
      <c r="C102" s="39">
        <f>'OECD Mapping'!A38</f>
        <v/>
      </c>
      <c r="D102" s="39">
        <f>'OECD Mapping'!B38</f>
        <v/>
      </c>
      <c r="E102" s="73" t="inlineStr">
        <is>
          <t>Mapping based on JEDI and judgment</t>
        </is>
      </c>
      <c r="F102" s="16" t="inlineStr">
        <is>
          <t>https://www.nrel.gov/analysis/jedi/coal.html</t>
        </is>
      </c>
    </row>
    <row r="103" ht="15" customHeight="1" thickBot="1">
      <c r="A103" s="40" t="inlineStr">
        <is>
          <t xml:space="preserve">Total </t>
        </is>
      </c>
      <c r="B103" s="41">
        <f>SUM(B100:B102)</f>
        <v/>
      </c>
      <c r="C103" s="42" t="n"/>
      <c r="D103" s="43" t="n"/>
      <c r="E103" s="43" t="n"/>
      <c r="F103" s="10" t="n"/>
    </row>
    <row r="104">
      <c r="A104" s="11" t="inlineStr">
        <is>
          <t>Variable O&amp;M Costs</t>
        </is>
      </c>
      <c r="B104" s="12" t="n"/>
      <c r="C104" s="36" t="n"/>
      <c r="D104" s="37" t="n"/>
      <c r="E104" s="37" t="n"/>
      <c r="F104" s="14" t="n"/>
    </row>
    <row r="105">
      <c r="A105" s="38" t="inlineStr">
        <is>
          <t xml:space="preserve"> Ash/sludge disposal</t>
        </is>
      </c>
      <c r="B105" s="27" t="n">
        <v>0.07103825136612021</v>
      </c>
      <c r="C105" s="39">
        <f>'OECD Mapping'!A38</f>
        <v/>
      </c>
      <c r="D105" s="39">
        <f>'OECD Mapping'!B38</f>
        <v/>
      </c>
      <c r="E105" s="73" t="inlineStr">
        <is>
          <t>Mapping based on JEDI and judgment</t>
        </is>
      </c>
      <c r="F105" s="16" t="inlineStr">
        <is>
          <t>https://www.nrel.gov/analysis/jedi/coal.html</t>
        </is>
      </c>
    </row>
    <row r="106">
      <c r="A106" s="38" t="inlineStr">
        <is>
          <t xml:space="preserve"> Water</t>
        </is>
      </c>
      <c r="B106" s="27" t="n">
        <v>0.7650273224043715</v>
      </c>
      <c r="C106" s="39">
        <f>'OECD Mapping'!A28</f>
        <v/>
      </c>
      <c r="D106" s="39">
        <f>'OECD Mapping'!B28</f>
        <v/>
      </c>
      <c r="E106" s="73" t="inlineStr">
        <is>
          <t>Mapping based on JEDI and judgment</t>
        </is>
      </c>
      <c r="F106" s="16" t="inlineStr">
        <is>
          <t>https://www.nrel.gov/analysis/jedi/coal.html</t>
        </is>
      </c>
    </row>
    <row r="107">
      <c r="A107" s="38" t="inlineStr">
        <is>
          <t xml:space="preserve"> Catalysts &amp; chemicals</t>
        </is>
      </c>
      <c r="B107" s="27" t="n">
        <v>0.1639344262295082</v>
      </c>
      <c r="C107" s="39">
        <f>'OECD Mapping'!A12</f>
        <v/>
      </c>
      <c r="D107" s="39">
        <f>'OECD Mapping'!B12</f>
        <v/>
      </c>
      <c r="E107" s="73" t="inlineStr">
        <is>
          <t>Mapping based on JEDI and judgment</t>
        </is>
      </c>
      <c r="F107" s="16" t="inlineStr">
        <is>
          <t>https://www.nrel.gov/analysis/jedi/coal.html</t>
        </is>
      </c>
    </row>
    <row r="108" ht="15" customHeight="1" thickBot="1">
      <c r="A108" s="40" t="inlineStr">
        <is>
          <t xml:space="preserve">Total </t>
        </is>
      </c>
      <c r="B108" s="44">
        <f>SUM(B105:B107)</f>
        <v/>
      </c>
      <c r="C108" s="42" t="n"/>
      <c r="D108" s="43" t="n"/>
      <c r="E108" s="43" t="n"/>
      <c r="F108" s="10" t="n"/>
    </row>
    <row r="109" ht="15" customHeight="1" thickBot="1"/>
    <row r="110" ht="18.5" customHeight="1">
      <c r="A110" s="135" t="inlineStr">
        <is>
          <t>Natural Gas Nonpeaker</t>
        </is>
      </c>
      <c r="B110" s="141" t="n"/>
      <c r="C110" s="141" t="n"/>
      <c r="D110" s="141" t="n"/>
      <c r="E110" s="141" t="n"/>
      <c r="F110" s="142" t="n"/>
    </row>
    <row r="111">
      <c r="A111" s="1" t="inlineStr">
        <is>
          <t>Capital Costs</t>
        </is>
      </c>
      <c r="B111" s="2" t="inlineStr">
        <is>
          <t>Percent</t>
        </is>
      </c>
      <c r="C111" s="2" t="inlineStr">
        <is>
          <t>I-O Mapping</t>
        </is>
      </c>
      <c r="D111" s="3" t="inlineStr">
        <is>
          <t>ISIC Mapping</t>
        </is>
      </c>
      <c r="E111" s="3" t="inlineStr">
        <is>
          <t>Notes</t>
        </is>
      </c>
      <c r="F111" s="4" t="inlineStr">
        <is>
          <t>Sources</t>
        </is>
      </c>
    </row>
    <row r="112">
      <c r="A112" s="5" t="inlineStr">
        <is>
          <t>Construction Costs</t>
        </is>
      </c>
      <c r="B112" s="2" t="inlineStr">
        <is>
          <t>of Cost</t>
        </is>
      </c>
      <c r="C112" s="2" t="n"/>
      <c r="D112" s="3" t="n"/>
      <c r="E112" s="3" t="n"/>
      <c r="F112" s="16" t="n"/>
    </row>
    <row r="113">
      <c r="A113" s="7" t="inlineStr">
        <is>
          <t xml:space="preserve"> Facility and Equipment</t>
        </is>
      </c>
    </row>
    <row r="114">
      <c r="A114" s="7" t="inlineStr">
        <is>
          <t xml:space="preserve">   Power Generation</t>
        </is>
      </c>
      <c r="B114" s="45" t="n">
        <v>0.3529411764705883</v>
      </c>
      <c r="C114" s="28">
        <f>'OECD Mapping'!A22</f>
        <v/>
      </c>
      <c r="D114" s="28">
        <f>'OECD Mapping'!B22</f>
        <v/>
      </c>
      <c r="E114" s="73" t="inlineStr">
        <is>
          <t>Mapping based on Natural Gas JEDI and judgment</t>
        </is>
      </c>
      <c r="F114" s="16" t="inlineStr">
        <is>
          <t>https://www.nrel.gov/analysis/jedi/natural-gas.html</t>
        </is>
      </c>
    </row>
    <row r="115">
      <c r="A115" s="7" t="inlineStr">
        <is>
          <t xml:space="preserve">   General facilities</t>
        </is>
      </c>
      <c r="B115" s="45" t="n">
        <v>0.08823529411764706</v>
      </c>
      <c r="C115" s="28">
        <f>'OECD Mapping'!A29</f>
        <v/>
      </c>
      <c r="D115" s="28">
        <f>'OECD Mapping'!B29</f>
        <v/>
      </c>
      <c r="E115" s="73" t="inlineStr">
        <is>
          <t>Mapping based on Natural Gas JEDI and judgment</t>
        </is>
      </c>
      <c r="F115" s="16" t="inlineStr">
        <is>
          <t>https://www.nrel.gov/analysis/jedi/natural-gas.html</t>
        </is>
      </c>
    </row>
    <row r="116">
      <c r="A116" s="7" t="inlineStr">
        <is>
          <t xml:space="preserve">   Plant Equipment</t>
        </is>
      </c>
      <c r="B116" s="45" t="n">
        <v>0.1588235294117647</v>
      </c>
      <c r="C116" s="28">
        <f>'OECD Mapping'!A22</f>
        <v/>
      </c>
      <c r="D116" s="28">
        <f>'OECD Mapping'!B22</f>
        <v/>
      </c>
      <c r="E116" s="73" t="inlineStr">
        <is>
          <t>Mapping based on Natural Gas JEDI and judgment</t>
        </is>
      </c>
      <c r="F116" s="16" t="inlineStr">
        <is>
          <t>https://www.nrel.gov/analysis/jedi/natural-gas.html</t>
        </is>
      </c>
    </row>
    <row r="117">
      <c r="A117" s="7" t="inlineStr">
        <is>
          <t xml:space="preserve">   Subtotal</t>
        </is>
      </c>
      <c r="B117" s="45" t="n">
        <v>0.6000000000000001</v>
      </c>
      <c r="C117" s="28" t="n"/>
      <c r="D117" s="28" t="n"/>
      <c r="E117" s="29" t="n"/>
      <c r="F117" s="16" t="inlineStr">
        <is>
          <t>https://www.nrel.gov/analysis/jedi/natural-gas.html</t>
        </is>
      </c>
    </row>
    <row r="118">
      <c r="A118" s="7" t="inlineStr">
        <is>
          <t xml:space="preserve"> Labor and Management</t>
        </is>
      </c>
      <c r="B118" s="46" t="n"/>
      <c r="C118" s="28" t="n"/>
      <c r="D118" s="28" t="n"/>
      <c r="E118" s="29" t="n"/>
      <c r="F118" s="16" t="inlineStr">
        <is>
          <t>https://www.nrel.gov/analysis/jedi/natural-gas.html</t>
        </is>
      </c>
    </row>
    <row r="119">
      <c r="A119" s="7" t="inlineStr">
        <is>
          <t xml:space="preserve">   Construction Labor</t>
        </is>
      </c>
      <c r="B119" s="46" t="n">
        <v>0.1705882352941177</v>
      </c>
      <c r="C119" s="28">
        <f>'OECD Mapping'!A29</f>
        <v/>
      </c>
      <c r="D119" s="28">
        <f>'OECD Mapping'!B29</f>
        <v/>
      </c>
      <c r="E119" s="73" t="inlineStr">
        <is>
          <t>Mapping based on Natural Gas JEDI and judgment</t>
        </is>
      </c>
      <c r="F119" s="16" t="inlineStr">
        <is>
          <t>https://www.nrel.gov/analysis/jedi/natural-gas.html</t>
        </is>
      </c>
    </row>
    <row r="120">
      <c r="A120" s="7" t="inlineStr">
        <is>
          <t xml:space="preserve">   Project management (contruction and owner's)</t>
        </is>
      </c>
      <c r="B120" s="45" t="n">
        <v>0.09411764705882353</v>
      </c>
      <c r="C120" s="28">
        <f>'OECD Mapping'!A38</f>
        <v/>
      </c>
      <c r="D120" s="28">
        <f>'OECD Mapping'!B38</f>
        <v/>
      </c>
      <c r="E120" s="73" t="inlineStr">
        <is>
          <t>Mapping based on Natural Gas JEDI and judgment</t>
        </is>
      </c>
      <c r="F120" s="16" t="inlineStr">
        <is>
          <t>https://www.nrel.gov/analysis/jedi/natural-gas.html</t>
        </is>
      </c>
    </row>
    <row r="121">
      <c r="A121" s="7" t="inlineStr">
        <is>
          <t xml:space="preserve">   Construction Utilities</t>
        </is>
      </c>
      <c r="B121" s="45" t="n">
        <v>0.005882352941176471</v>
      </c>
      <c r="C121" s="28">
        <f>'OECD Mapping'!A26</f>
        <v/>
      </c>
      <c r="D121" s="28">
        <f>'OECD Mapping'!B26</f>
        <v/>
      </c>
      <c r="E121" s="73" t="inlineStr">
        <is>
          <t>Mapping based on Natural Gas JEDI and judgment</t>
        </is>
      </c>
      <c r="F121" s="16" t="inlineStr">
        <is>
          <t>https://www.nrel.gov/analysis/jedi/natural-gas.html</t>
        </is>
      </c>
    </row>
    <row r="122">
      <c r="A122" s="7" t="inlineStr">
        <is>
          <t xml:space="preserve">   Subtotal</t>
        </is>
      </c>
      <c r="B122" s="45" t="n">
        <v>0.2705882352941176</v>
      </c>
      <c r="C122" s="28" t="n"/>
      <c r="D122" s="28" t="n"/>
      <c r="E122" s="29" t="n"/>
      <c r="F122" s="16" t="inlineStr">
        <is>
          <t>https://www.nrel.gov/analysis/jedi/natural-gas.html</t>
        </is>
      </c>
    </row>
    <row r="123">
      <c r="A123" s="7" t="inlineStr">
        <is>
          <t xml:space="preserve"> Construction Subtotal</t>
        </is>
      </c>
      <c r="B123" s="46" t="n">
        <v>0.8705882352941177</v>
      </c>
      <c r="C123" s="28" t="n"/>
      <c r="D123" s="28" t="n"/>
      <c r="E123" s="29" t="n"/>
      <c r="F123" s="16" t="inlineStr">
        <is>
          <t>https://www.nrel.gov/analysis/jedi/natural-gas.html</t>
        </is>
      </c>
    </row>
    <row r="124">
      <c r="A124" s="5" t="inlineStr">
        <is>
          <t>Other Costs</t>
        </is>
      </c>
      <c r="B124" s="46" t="n"/>
      <c r="C124" s="28" t="n"/>
      <c r="D124" s="28" t="n"/>
      <c r="E124" s="29" t="n"/>
      <c r="F124" s="16" t="inlineStr">
        <is>
          <t>https://www.nrel.gov/analysis/jedi/natural-gas.html</t>
        </is>
      </c>
    </row>
    <row r="125">
      <c r="A125" s="7" t="inlineStr">
        <is>
          <t xml:space="preserve"> Engineering/Design</t>
        </is>
      </c>
      <c r="B125" s="46" t="n">
        <v>0.02352941176470588</v>
      </c>
      <c r="C125" s="28">
        <f>'OECD Mapping'!A38</f>
        <v/>
      </c>
      <c r="D125" s="28">
        <f>'OECD Mapping'!B38</f>
        <v/>
      </c>
      <c r="E125" s="73" t="inlineStr">
        <is>
          <t>Mapping based on Natural Gas JEDI and judgment</t>
        </is>
      </c>
      <c r="F125" s="16" t="inlineStr">
        <is>
          <t>https://www.nrel.gov/analysis/jedi/natural-gas.html</t>
        </is>
      </c>
    </row>
    <row r="126">
      <c r="A126" s="7" t="inlineStr">
        <is>
          <t xml:space="preserve"> Construction insurance</t>
        </is>
      </c>
      <c r="B126" s="45" t="n">
        <v>0.005882352941176471</v>
      </c>
      <c r="C126" s="28">
        <f>'OECD Mapping'!A36</f>
        <v/>
      </c>
      <c r="D126" s="28">
        <f>'OECD Mapping'!B36</f>
        <v/>
      </c>
      <c r="E126" s="73" t="inlineStr">
        <is>
          <t>Mapping based on Natural Gas JEDI and judgment</t>
        </is>
      </c>
      <c r="F126" s="16" t="inlineStr">
        <is>
          <t>https://www.nrel.gov/analysis/jedi/natural-gas.html</t>
        </is>
      </c>
    </row>
    <row r="127">
      <c r="A127" s="7" t="inlineStr">
        <is>
          <t xml:space="preserve"> Land</t>
        </is>
      </c>
      <c r="B127" s="45" t="n">
        <v>0.04705882352941176</v>
      </c>
      <c r="C127" s="28">
        <f>'OECD Mapping'!A37</f>
        <v/>
      </c>
      <c r="D127" s="28">
        <f>'OECD Mapping'!B37</f>
        <v/>
      </c>
      <c r="E127" s="73" t="inlineStr">
        <is>
          <t>Mapping based on Natural Gas JEDI and judgment</t>
        </is>
      </c>
      <c r="F127" s="16" t="inlineStr">
        <is>
          <t>https://www.nrel.gov/analysis/jedi/natural-gas.html</t>
        </is>
      </c>
    </row>
    <row r="128">
      <c r="A128" s="7" t="inlineStr">
        <is>
          <t xml:space="preserve"> Permitting Fees</t>
        </is>
      </c>
      <c r="B128" s="45" t="n">
        <v>0.02352941176470588</v>
      </c>
      <c r="C128" s="28">
        <f>'OECD Mapping'!A39</f>
        <v/>
      </c>
      <c r="D128" s="28">
        <f>'OECD Mapping'!B39</f>
        <v/>
      </c>
      <c r="E128" s="73" t="inlineStr">
        <is>
          <t>Mapping based on Natural Gas JEDI and judgment</t>
        </is>
      </c>
      <c r="F128" s="16" t="inlineStr">
        <is>
          <t>https://www.nrel.gov/analysis/jedi/natural-gas.html</t>
        </is>
      </c>
    </row>
    <row r="129">
      <c r="A129" s="7" t="inlineStr">
        <is>
          <t xml:space="preserve"> Grid intertie</t>
        </is>
      </c>
      <c r="B129" s="45" t="n">
        <v>0.02352941176470588</v>
      </c>
      <c r="C129" s="28">
        <f>'OECD Mapping'!A29</f>
        <v/>
      </c>
      <c r="D129" s="28">
        <f>'OECD Mapping'!B29</f>
        <v/>
      </c>
      <c r="E129" s="73" t="inlineStr">
        <is>
          <t>Mapping based on Natural Gas JEDI and judgment</t>
        </is>
      </c>
      <c r="F129" s="16" t="inlineStr">
        <is>
          <t>https://www.nrel.gov/analysis/jedi/natural-gas.html</t>
        </is>
      </c>
    </row>
    <row r="130">
      <c r="A130" s="7" t="inlineStr">
        <is>
          <t xml:space="preserve"> Spare Parts</t>
        </is>
      </c>
      <c r="B130" s="45" t="n">
        <v>0.005882352941176471</v>
      </c>
      <c r="C130" s="28">
        <f>'OECD Mapping'!A22</f>
        <v/>
      </c>
      <c r="D130" s="28">
        <f>'OECD Mapping'!B22</f>
        <v/>
      </c>
      <c r="E130" s="73" t="inlineStr">
        <is>
          <t>Mapping based on Natural Gas JEDI and judgment</t>
        </is>
      </c>
      <c r="F130" s="16" t="inlineStr">
        <is>
          <t>https://www.nrel.gov/analysis/jedi/natural-gas.html</t>
        </is>
      </c>
    </row>
    <row r="131">
      <c r="A131" s="7" t="inlineStr">
        <is>
          <t xml:space="preserve"> Other Subtotal</t>
        </is>
      </c>
      <c r="B131" s="45" t="n">
        <v>0.1294117647058824</v>
      </c>
      <c r="C131" s="28" t="n"/>
      <c r="D131" s="28" t="n"/>
      <c r="E131" s="73" t="n"/>
      <c r="F131" s="16" t="n"/>
    </row>
    <row r="132">
      <c r="A132" s="5" t="inlineStr">
        <is>
          <t>Subtotal All Costs (without sales tax)</t>
        </is>
      </c>
      <c r="B132" s="46" t="n">
        <v>1</v>
      </c>
      <c r="C132" s="28" t="n"/>
      <c r="D132" s="29" t="n"/>
      <c r="E132" s="29" t="n"/>
      <c r="F132" s="16" t="inlineStr">
        <is>
          <t>https://www.nrel.gov/analysis/jedi/natural-gas.html</t>
        </is>
      </c>
    </row>
    <row r="133" ht="15" customHeight="1" thickBot="1">
      <c r="A133" s="47" t="inlineStr">
        <is>
          <t>Sales Tax (Materials &amp; Equipment Purchases)</t>
        </is>
      </c>
      <c r="B133" s="48">
        <f>B132+B124</f>
        <v/>
      </c>
      <c r="C133" s="49" t="n"/>
      <c r="D133" s="50" t="n"/>
      <c r="E133" s="50" t="n"/>
      <c r="F133" s="19" t="inlineStr">
        <is>
          <t>https://www.nrel.gov/analysis/jedi/natural-gas.html</t>
        </is>
      </c>
    </row>
    <row r="134">
      <c r="A134" s="11" t="inlineStr">
        <is>
          <t>Fixed O&amp;M Costs</t>
        </is>
      </c>
      <c r="B134" s="51" t="n"/>
      <c r="C134" s="36" t="n"/>
      <c r="D134" s="37" t="n"/>
      <c r="E134" s="37" t="n"/>
      <c r="F134" s="52" t="inlineStr">
        <is>
          <t>https://www.nrel.gov/analysis/jedi/natural-gas.html</t>
        </is>
      </c>
    </row>
    <row r="135">
      <c r="A135" s="38" t="inlineStr">
        <is>
          <t xml:space="preserve"> Labor</t>
        </is>
      </c>
      <c r="B135" s="23" t="n">
        <v>0.4182000000000002</v>
      </c>
      <c r="C135" s="39">
        <f>'OECD Mapping'!A26</f>
        <v/>
      </c>
      <c r="D135" s="39">
        <f>'OECD Mapping'!B26</f>
        <v/>
      </c>
      <c r="E135" s="73" t="inlineStr">
        <is>
          <t>Mapping based on Natural Gas JEDI and judgment</t>
        </is>
      </c>
      <c r="F135" s="16" t="inlineStr">
        <is>
          <t>https://www.nrel.gov/analysis/jedi/natural-gas.html</t>
        </is>
      </c>
    </row>
    <row r="136">
      <c r="A136" s="38" t="inlineStr">
        <is>
          <t xml:space="preserve"> Materials</t>
        </is>
      </c>
      <c r="B136" s="23" t="n">
        <v>0.06060416666666665</v>
      </c>
      <c r="C136" s="39">
        <f>'OECD Mapping'!A22</f>
        <v/>
      </c>
      <c r="D136" s="39">
        <f>'OECD Mapping'!B22</f>
        <v/>
      </c>
      <c r="E136" s="73" t="inlineStr">
        <is>
          <t>Mapping based on Natural Gas JEDI and judgment</t>
        </is>
      </c>
      <c r="F136" s="16" t="inlineStr">
        <is>
          <t>https://www.nrel.gov/analysis/jedi/natural-gas.html</t>
        </is>
      </c>
    </row>
    <row r="137">
      <c r="A137" s="38" t="inlineStr">
        <is>
          <t xml:space="preserve"> Services</t>
        </is>
      </c>
      <c r="B137" s="23" t="n">
        <v>0.5211958333333331</v>
      </c>
      <c r="C137" s="39">
        <f>'OECD Mapping'!A38</f>
        <v/>
      </c>
      <c r="D137" s="39">
        <f>'OECD Mapping'!B38</f>
        <v/>
      </c>
      <c r="E137" s="73" t="inlineStr">
        <is>
          <t>Mapping based on Natural Gas JEDI and judgment</t>
        </is>
      </c>
      <c r="F137" s="16" t="inlineStr">
        <is>
          <t>https://www.nrel.gov/analysis/jedi/natural-gas.html</t>
        </is>
      </c>
    </row>
    <row r="138" ht="15" customHeight="1" thickBot="1">
      <c r="A138" s="40" t="inlineStr">
        <is>
          <t xml:space="preserve">Total </t>
        </is>
      </c>
      <c r="B138" s="53">
        <f>SUM(B135:B137)</f>
        <v/>
      </c>
      <c r="C138" s="25" t="n"/>
      <c r="D138" s="26" t="n"/>
      <c r="E138" s="26" t="n"/>
      <c r="F138" s="19" t="inlineStr">
        <is>
          <t>https://www.nrel.gov/analysis/jedi/natural-gas.html</t>
        </is>
      </c>
    </row>
    <row r="139">
      <c r="A139" s="11" t="inlineStr">
        <is>
          <t>Variable O&amp;M Costs</t>
        </is>
      </c>
      <c r="B139" s="12" t="n"/>
      <c r="C139" s="36" t="n"/>
      <c r="D139" s="37" t="n"/>
      <c r="E139" s="37" t="n"/>
      <c r="F139" s="14" t="n"/>
    </row>
    <row r="140">
      <c r="A140" s="38" t="inlineStr">
        <is>
          <t xml:space="preserve"> Routine Turbine Maintenance</t>
        </is>
      </c>
      <c r="B140" s="27" t="n">
        <v>0.8448275862068966</v>
      </c>
      <c r="C140" s="39">
        <f>'OECD Mapping'!A25</f>
        <v/>
      </c>
      <c r="D140" s="39">
        <f>'OECD Mapping'!B25</f>
        <v/>
      </c>
      <c r="E140" s="73" t="inlineStr">
        <is>
          <t>Mapping based on Natural Gas JEDI and judgment</t>
        </is>
      </c>
      <c r="F140" s="16" t="inlineStr">
        <is>
          <t>https://www.nrel.gov/analysis/jedi/natural-gas.html</t>
        </is>
      </c>
    </row>
    <row r="141">
      <c r="A141" s="38" t="inlineStr">
        <is>
          <t xml:space="preserve"> Water</t>
        </is>
      </c>
      <c r="B141" s="27" t="n">
        <v>0.05172413793103448</v>
      </c>
      <c r="C141" s="39">
        <f>'OECD Mapping'!A28</f>
        <v/>
      </c>
      <c r="D141" s="39">
        <f>'OECD Mapping'!B28</f>
        <v/>
      </c>
      <c r="E141" s="73" t="inlineStr">
        <is>
          <t>Mapping based on Natural Gas JEDI and judgment</t>
        </is>
      </c>
      <c r="F141" s="16" t="inlineStr">
        <is>
          <t>https://www.nrel.gov/analysis/jedi/natural-gas.html</t>
        </is>
      </c>
    </row>
    <row r="142">
      <c r="A142" s="38" t="inlineStr">
        <is>
          <t xml:space="preserve"> Catalysts &amp; chemicals</t>
        </is>
      </c>
      <c r="B142" s="27" t="n">
        <v>0.103448275862069</v>
      </c>
      <c r="C142" s="39">
        <f>'OECD Mapping'!A12</f>
        <v/>
      </c>
      <c r="D142" s="39">
        <f>'OECD Mapping'!B12</f>
        <v/>
      </c>
      <c r="E142" s="73" t="inlineStr">
        <is>
          <t>Mapping based on Natural Gas JEDI and judgment</t>
        </is>
      </c>
      <c r="F142" s="16" t="inlineStr">
        <is>
          <t>https://www.nrel.gov/analysis/jedi/natural-gas.html</t>
        </is>
      </c>
    </row>
    <row r="143" ht="15" customHeight="1" thickBot="1">
      <c r="A143" s="40" t="inlineStr">
        <is>
          <t xml:space="preserve">Total </t>
        </is>
      </c>
      <c r="B143" s="44">
        <f>SUM(B140:B142)</f>
        <v/>
      </c>
      <c r="C143" s="25" t="n"/>
      <c r="D143" s="26" t="n"/>
      <c r="E143" s="26" t="n"/>
      <c r="F143" s="10" t="n"/>
    </row>
    <row r="144" ht="15" customHeight="1" thickBot="1"/>
    <row r="145" ht="18.5" customHeight="1">
      <c r="A145" s="131" t="inlineStr">
        <is>
          <t>Nuclear</t>
        </is>
      </c>
      <c r="B145" s="88" t="n"/>
      <c r="C145" s="88" t="n"/>
      <c r="D145" s="88" t="n"/>
      <c r="E145" s="88" t="n"/>
      <c r="F145" s="143" t="n"/>
    </row>
    <row r="146">
      <c r="A146" s="1" t="inlineStr">
        <is>
          <t>Capital Costs</t>
        </is>
      </c>
      <c r="B146" s="2" t="inlineStr">
        <is>
          <t>Percent</t>
        </is>
      </c>
      <c r="C146" s="2" t="inlineStr">
        <is>
          <t>I-O Mapping</t>
        </is>
      </c>
      <c r="D146" s="3" t="inlineStr">
        <is>
          <t>ISIC Mapping</t>
        </is>
      </c>
      <c r="E146" s="3" t="inlineStr">
        <is>
          <t>Notes</t>
        </is>
      </c>
      <c r="F146" s="4" t="inlineStr">
        <is>
          <t>Sources</t>
        </is>
      </c>
    </row>
    <row r="147">
      <c r="A147" s="5" t="inlineStr">
        <is>
          <t>Construction Costs</t>
        </is>
      </c>
      <c r="B147" s="2" t="inlineStr">
        <is>
          <t>of Cost</t>
        </is>
      </c>
      <c r="C147" s="2" t="n"/>
      <c r="D147" s="3" t="n"/>
      <c r="E147" s="3" t="n"/>
      <c r="F147" s="16" t="n"/>
    </row>
    <row r="148">
      <c r="A148" s="7" t="inlineStr">
        <is>
          <t>Equipment</t>
        </is>
      </c>
      <c r="B148" s="55" t="n"/>
      <c r="C148" s="21" t="n"/>
      <c r="D148" s="22" t="n"/>
      <c r="E148" s="22" t="n"/>
      <c r="F148" s="6" t="n"/>
    </row>
    <row r="149">
      <c r="A149" s="7" t="inlineStr">
        <is>
          <t xml:space="preserve">     Nuclear steam supply system</t>
        </is>
      </c>
      <c r="B149" s="55" t="n">
        <v>0.12</v>
      </c>
      <c r="C149" s="21">
        <f>'OECD Mapping'!A22</f>
        <v/>
      </c>
      <c r="D149" s="21">
        <f>'OECD Mapping'!B22</f>
        <v/>
      </c>
      <c r="E149" s="21" t="inlineStr">
        <is>
          <t>Assumption made by EI</t>
        </is>
      </c>
    </row>
    <row r="150">
      <c r="A150" s="7" t="inlineStr">
        <is>
          <t xml:space="preserve">     Electrical and generating equipment</t>
        </is>
      </c>
      <c r="B150" s="55" t="n">
        <v>0.12</v>
      </c>
      <c r="C150" s="21">
        <f>'OECD Mapping'!A22</f>
        <v/>
      </c>
      <c r="D150" s="21">
        <f>'OECD Mapping'!B22</f>
        <v/>
      </c>
      <c r="E150" s="21" t="inlineStr">
        <is>
          <t>Assumption made by EI</t>
        </is>
      </c>
      <c r="F150" s="56" t="inlineStr">
        <is>
          <t>https://www.world-nuclear.org/information-library/economic-aspects/economics-of-nuclear-power.aspx</t>
        </is>
      </c>
    </row>
    <row r="151">
      <c r="A151" s="7" t="inlineStr">
        <is>
          <t xml:space="preserve">     Mechanical equipment</t>
        </is>
      </c>
      <c r="B151" s="55" t="n">
        <v>0.16</v>
      </c>
      <c r="C151" s="21">
        <f>'OECD Mapping'!A22</f>
        <v/>
      </c>
      <c r="D151" s="21">
        <f>'OECD Mapping'!B22</f>
        <v/>
      </c>
      <c r="E151" s="21" t="inlineStr">
        <is>
          <t>Assumption made by EI</t>
        </is>
      </c>
      <c r="F151" s="56" t="inlineStr">
        <is>
          <t>https://www.world-nuclear.org/information-library/economic-aspects/economics-of-nuclear-power.aspx</t>
        </is>
      </c>
    </row>
    <row r="152">
      <c r="A152" s="7" t="inlineStr">
        <is>
          <t xml:space="preserve">     Instrumentation and control system (including software)</t>
        </is>
      </c>
      <c r="B152" s="55" t="n">
        <v>0.08</v>
      </c>
      <c r="C152" s="21">
        <f>'OECD Mapping'!A22</f>
        <v/>
      </c>
      <c r="D152" s="21">
        <f>'OECD Mapping'!B22</f>
        <v/>
      </c>
      <c r="E152" s="21" t="inlineStr">
        <is>
          <t>Assumption made by EI</t>
        </is>
      </c>
      <c r="F152" s="56" t="inlineStr">
        <is>
          <t>https://www.world-nuclear.org/information-library/economic-aspects/economics-of-nuclear-power.aspx</t>
        </is>
      </c>
    </row>
    <row r="153">
      <c r="A153" s="7" t="inlineStr">
        <is>
          <t>Construction materials</t>
        </is>
      </c>
      <c r="B153" s="55" t="n">
        <v>0.12</v>
      </c>
      <c r="C153" s="21">
        <f>'OECD Mapping'!A22</f>
        <v/>
      </c>
      <c r="D153" s="21">
        <f>'OECD Mapping'!B22</f>
        <v/>
      </c>
      <c r="E153" s="21" t="inlineStr">
        <is>
          <t>Assumption made by EI</t>
        </is>
      </c>
      <c r="F153" s="56" t="inlineStr">
        <is>
          <t>https://www.world-nuclear.org/information-library/economic-aspects/economics-of-nuclear-power.aspx</t>
        </is>
      </c>
    </row>
    <row r="154">
      <c r="A154" s="7" t="inlineStr">
        <is>
          <t>Labour onsite</t>
        </is>
      </c>
      <c r="B154" s="55" t="n">
        <v>0.25</v>
      </c>
      <c r="C154" s="21">
        <f>'OECD Mapping'!A29</f>
        <v/>
      </c>
      <c r="D154" s="21">
        <f>'OECD Mapping'!B29</f>
        <v/>
      </c>
      <c r="E154" s="21" t="inlineStr">
        <is>
          <t>Assumption made by EI</t>
        </is>
      </c>
      <c r="F154" s="56" t="inlineStr">
        <is>
          <t>https://www.world-nuclear.org/information-library/economic-aspects/economics-of-nuclear-power.aspx</t>
        </is>
      </c>
    </row>
    <row r="155">
      <c r="A155" s="7" t="inlineStr">
        <is>
          <t>Project management services</t>
        </is>
      </c>
      <c r="B155" s="55" t="n">
        <v>0.1</v>
      </c>
      <c r="C155" s="21">
        <f>'OECD Mapping'!A29</f>
        <v/>
      </c>
      <c r="D155" s="21">
        <f>'OECD Mapping'!B29</f>
        <v/>
      </c>
      <c r="E155" s="21" t="inlineStr">
        <is>
          <t>Assumption made by EI</t>
        </is>
      </c>
      <c r="F155" s="56" t="inlineStr">
        <is>
          <t>https://www.world-nuclear.org/information-library/economic-aspects/economics-of-nuclear-power.aspx</t>
        </is>
      </c>
    </row>
    <row r="156">
      <c r="A156" s="7" t="inlineStr">
        <is>
          <t>Other services</t>
        </is>
      </c>
      <c r="B156" s="55" t="n">
        <v>0.02</v>
      </c>
      <c r="C156" s="21">
        <f>'OECD Mapping'!A38</f>
        <v/>
      </c>
      <c r="D156" s="21">
        <f>'OECD Mapping'!B38</f>
        <v/>
      </c>
      <c r="E156" s="21" t="inlineStr">
        <is>
          <t>Assumption made by EI</t>
        </is>
      </c>
      <c r="F156" s="56" t="inlineStr">
        <is>
          <t>https://www.world-nuclear.org/information-library/economic-aspects/economics-of-nuclear-power.aspx</t>
        </is>
      </c>
    </row>
    <row r="157">
      <c r="A157" s="7" t="inlineStr">
        <is>
          <t>First fuel load</t>
        </is>
      </c>
      <c r="B157" s="55" t="n">
        <v>0.03</v>
      </c>
      <c r="C157" s="21">
        <f>'OECD Mapping'!A5</f>
        <v/>
      </c>
      <c r="D157" s="21">
        <f>'OECD Mapping'!B5</f>
        <v/>
      </c>
      <c r="E157" s="21" t="inlineStr">
        <is>
          <t>Assumption made by EI</t>
        </is>
      </c>
      <c r="F157" s="56" t="inlineStr">
        <is>
          <t>https://www.world-nuclear.org/information-library/economic-aspects/economics-of-nuclear-power.aspx</t>
        </is>
      </c>
    </row>
    <row r="158" ht="15" customHeight="1" thickBot="1">
      <c r="A158" s="57" t="inlineStr">
        <is>
          <t>Total</t>
        </is>
      </c>
      <c r="B158" s="58" t="n">
        <v>1</v>
      </c>
      <c r="C158" s="59" t="n"/>
      <c r="D158" s="59" t="n"/>
      <c r="E158" s="59" t="n"/>
      <c r="F158" s="56" t="inlineStr">
        <is>
          <t>https://www.world-nuclear.org/information-library/economic-aspects/economics-of-nuclear-power.aspx</t>
        </is>
      </c>
    </row>
    <row r="159">
      <c r="A159" s="11" t="inlineStr">
        <is>
          <t>Fixed O&amp;M Costs</t>
        </is>
      </c>
      <c r="B159" s="60" t="n"/>
      <c r="C159" s="60" t="n"/>
      <c r="D159" s="60" t="n"/>
      <c r="E159" s="60" t="n"/>
      <c r="F159" s="14" t="n"/>
    </row>
    <row r="160" ht="15" customHeight="1" thickBot="1">
      <c r="A160" s="57" t="inlineStr">
        <is>
          <t>Labor</t>
        </is>
      </c>
      <c r="B160" s="61" t="n">
        <v>1</v>
      </c>
      <c r="C160" s="59">
        <f>'OECD Mapping'!A26</f>
        <v/>
      </c>
      <c r="D160" s="59">
        <f>'OECD Mapping'!B26</f>
        <v/>
      </c>
      <c r="E160" s="59" t="inlineStr">
        <is>
          <t>Based on source, non-labor costs are neglible</t>
        </is>
      </c>
      <c r="F160" s="56" t="inlineStr">
        <is>
          <t>https://www.nei.org/CorporateSite/media/filefolder/resources/reports-and-briefs/nuclear-costs-context-201810.pdf</t>
        </is>
      </c>
    </row>
    <row r="161">
      <c r="A161" s="11" t="inlineStr">
        <is>
          <t>Variable O&amp;M Costs</t>
        </is>
      </c>
      <c r="B161" s="60" t="n"/>
      <c r="C161" s="60" t="n"/>
      <c r="D161" s="60" t="n"/>
      <c r="E161" s="60" t="n"/>
      <c r="F161" s="14" t="n"/>
    </row>
    <row r="162" ht="15" customHeight="1" thickBot="1">
      <c r="A162" s="24" t="inlineStr">
        <is>
          <t>water, water discharge treatment cost, chemicals, and consumables</t>
        </is>
      </c>
      <c r="B162" s="53" t="n">
        <v>1</v>
      </c>
      <c r="C162" s="25">
        <f>'OECD Mapping'!A28</f>
        <v/>
      </c>
      <c r="D162" s="25">
        <f>'OECD Mapping'!B28</f>
        <v/>
      </c>
      <c r="E162" s="25" t="inlineStr">
        <is>
          <t>Water considered to be the largest cost</t>
        </is>
      </c>
      <c r="F162" s="19" t="inlineStr">
        <is>
          <t>https://www.eia.gov/analysis/studies/powerplants/capitalcost/pdf/capital_cost_AEO2020.pdf</t>
        </is>
      </c>
    </row>
    <row r="163" ht="15" customHeight="1" thickBot="1"/>
    <row r="164" ht="18.5" customHeight="1">
      <c r="A164" s="131" t="inlineStr">
        <is>
          <t>Hydro</t>
        </is>
      </c>
      <c r="B164" s="88" t="n"/>
      <c r="C164" s="88" t="n"/>
      <c r="D164" s="88" t="n"/>
      <c r="E164" s="88" t="n"/>
      <c r="F164" s="143" t="n"/>
    </row>
    <row r="165">
      <c r="A165" s="1" t="inlineStr">
        <is>
          <t>Capital Costs</t>
        </is>
      </c>
      <c r="B165" s="2" t="inlineStr">
        <is>
          <t>Percent</t>
        </is>
      </c>
      <c r="C165" s="2" t="inlineStr">
        <is>
          <t>I-O Mapping</t>
        </is>
      </c>
      <c r="D165" s="3" t="inlineStr">
        <is>
          <t>ISIC Mapping</t>
        </is>
      </c>
      <c r="E165" s="3" t="inlineStr">
        <is>
          <t>Notes</t>
        </is>
      </c>
      <c r="F165" s="4" t="inlineStr">
        <is>
          <t>Sources</t>
        </is>
      </c>
    </row>
    <row r="166">
      <c r="A166" s="5" t="inlineStr">
        <is>
          <t>Construction Costs</t>
        </is>
      </c>
      <c r="B166" s="2" t="inlineStr">
        <is>
          <t>of Cost</t>
        </is>
      </c>
      <c r="C166" s="2" t="n"/>
      <c r="D166" s="3" t="n"/>
      <c r="E166" s="3" t="n"/>
      <c r="F166" s="16" t="n"/>
    </row>
    <row r="167">
      <c r="A167" s="62" t="inlineStr">
        <is>
          <t>Land, Water and Facility Rights</t>
        </is>
      </c>
      <c r="C167" s="63" t="n"/>
      <c r="D167" s="63" t="n"/>
      <c r="E167" s="63" t="n"/>
      <c r="F167" s="64" t="inlineStr">
        <is>
          <t>https://www.nrel.gov/analysis/jedi/conventional-hydro.html</t>
        </is>
      </c>
    </row>
    <row r="168">
      <c r="A168" s="7" t="inlineStr">
        <is>
          <t xml:space="preserve">  Land and Water Rights</t>
        </is>
      </c>
      <c r="B168" s="55" t="n">
        <v>0.005412429080140023</v>
      </c>
      <c r="C168" s="21">
        <f>'OECD Mapping'!A37</f>
        <v/>
      </c>
      <c r="D168" s="21">
        <f>'OECD Mapping'!B37</f>
        <v/>
      </c>
      <c r="E168" s="73" t="inlineStr">
        <is>
          <t>Mapping based on Conventional Hydro JEDI and judgment</t>
        </is>
      </c>
      <c r="F168" s="65" t="inlineStr">
        <is>
          <t>https://www.nrel.gov/analysis/jedi/conventional-hydro.html</t>
        </is>
      </c>
    </row>
    <row r="169">
      <c r="A169" s="7" t="inlineStr">
        <is>
          <t xml:space="preserve">  Transmission Line Right of Way</t>
        </is>
      </c>
      <c r="B169" s="55" t="n">
        <v>0.001312104019427885</v>
      </c>
      <c r="C169" s="21">
        <f>'OECD Mapping'!A37</f>
        <v/>
      </c>
      <c r="D169" s="21">
        <f>'OECD Mapping'!B37</f>
        <v/>
      </c>
      <c r="E169" s="73" t="inlineStr">
        <is>
          <t>Mapping based on Conventional Hydro JEDI and judgment</t>
        </is>
      </c>
      <c r="F169" s="65" t="inlineStr">
        <is>
          <t>https://www.nrel.gov/analysis/jedi/conventional-hydro.html</t>
        </is>
      </c>
    </row>
    <row r="170">
      <c r="A170" s="7" t="inlineStr">
        <is>
          <t xml:space="preserve">  Subtotal</t>
        </is>
      </c>
      <c r="B170" s="55" t="n">
        <v>0.006724533099567907</v>
      </c>
      <c r="C170" s="21" t="n"/>
      <c r="D170" s="21" t="n"/>
      <c r="E170" s="21" t="n"/>
      <c r="F170" s="65" t="inlineStr">
        <is>
          <t>https://www.nrel.gov/analysis/jedi/conventional-hydro.html</t>
        </is>
      </c>
    </row>
    <row r="171">
      <c r="A171" s="7" t="inlineStr">
        <is>
          <t>Construction Materials and Equipment</t>
        </is>
      </c>
      <c r="B171" s="55" t="n"/>
      <c r="C171" s="21" t="n"/>
      <c r="D171" s="21" t="n"/>
      <c r="E171" s="21" t="n"/>
      <c r="F171" s="65" t="inlineStr">
        <is>
          <t>https://www.nrel.gov/analysis/jedi/conventional-hydro.html</t>
        </is>
      </c>
    </row>
    <row r="172">
      <c r="A172" s="7" t="inlineStr">
        <is>
          <t xml:space="preserve"> Civil Works and Structures</t>
        </is>
      </c>
      <c r="B172" s="55" t="n">
        <v>0.3557048391468023</v>
      </c>
      <c r="C172" s="21">
        <f>'OECD Mapping'!A29</f>
        <v/>
      </c>
      <c r="D172" s="21">
        <f>'OECD Mapping'!B29</f>
        <v/>
      </c>
      <c r="E172" s="73" t="inlineStr">
        <is>
          <t>Mapping based on Conventional Hydro JEDI and judgment</t>
        </is>
      </c>
      <c r="F172" s="65" t="inlineStr">
        <is>
          <t>https://www.nrel.gov/analysis/jedi/conventional-hydro.html</t>
        </is>
      </c>
    </row>
    <row r="173">
      <c r="A173" s="7" t="inlineStr">
        <is>
          <t xml:space="preserve">  Civil Subtotal</t>
        </is>
      </c>
      <c r="B173" s="55" t="n">
        <v>0.3557048391468023</v>
      </c>
      <c r="C173" s="21" t="n"/>
      <c r="D173" s="21" t="n"/>
      <c r="E173" s="21" t="n"/>
      <c r="F173" s="65" t="inlineStr">
        <is>
          <t>https://www.nrel.gov/analysis/jedi/conventional-hydro.html</t>
        </is>
      </c>
    </row>
    <row r="174">
      <c r="A174" s="7" t="inlineStr">
        <is>
          <t xml:space="preserve"> Equipment</t>
        </is>
      </c>
      <c r="B174" s="55" t="n"/>
      <c r="C174" s="21" t="n"/>
      <c r="D174" s="21" t="n"/>
      <c r="E174" s="21" t="n"/>
      <c r="F174" s="65" t="inlineStr">
        <is>
          <t>https://www.nrel.gov/analysis/jedi/conventional-hydro.html</t>
        </is>
      </c>
    </row>
    <row r="175">
      <c r="A175" s="7" t="inlineStr">
        <is>
          <t xml:space="preserve">  Turbines</t>
        </is>
      </c>
      <c r="B175" s="55" t="n">
        <v>0.09020715133566705</v>
      </c>
      <c r="C175" s="21">
        <f>'OECD Mapping'!A22</f>
        <v/>
      </c>
      <c r="D175" s="21">
        <f>'OECD Mapping'!B22</f>
        <v/>
      </c>
      <c r="E175" s="73" t="inlineStr">
        <is>
          <t>Mapping based on Conventional Hydro JEDI and judgment</t>
        </is>
      </c>
      <c r="F175" s="65" t="inlineStr">
        <is>
          <t>https://www.nrel.gov/analysis/jedi/conventional-hydro.html</t>
        </is>
      </c>
    </row>
    <row r="176">
      <c r="A176" s="7" t="inlineStr">
        <is>
          <t xml:space="preserve">  Generators</t>
        </is>
      </c>
      <c r="B176" s="55" t="n">
        <v>0.05412429080140023</v>
      </c>
      <c r="C176" s="21">
        <f>'OECD Mapping'!A21</f>
        <v/>
      </c>
      <c r="D176" s="21">
        <f>'OECD Mapping'!B21</f>
        <v/>
      </c>
      <c r="E176" s="73" t="inlineStr">
        <is>
          <t>Mapping based on Conventional Hydro JEDI and judgment</t>
        </is>
      </c>
      <c r="F176" s="65" t="inlineStr">
        <is>
          <t>https://www.nrel.gov/analysis/jedi/conventional-hydro.html</t>
        </is>
      </c>
    </row>
    <row r="177">
      <c r="A177" s="7" t="inlineStr">
        <is>
          <t xml:space="preserve">  Balance of Plant - Electrical</t>
        </is>
      </c>
      <c r="B177" s="55" t="n">
        <v>0.01894350178049008</v>
      </c>
      <c r="C177" s="21">
        <f>'OECD Mapping'!A21</f>
        <v/>
      </c>
      <c r="D177" s="21">
        <f>'OECD Mapping'!B21</f>
        <v/>
      </c>
      <c r="E177" s="73" t="inlineStr">
        <is>
          <t>Mapping based on Conventional Hydro JEDI and judgment</t>
        </is>
      </c>
      <c r="F177" s="65" t="inlineStr">
        <is>
          <t>https://www.nrel.gov/analysis/jedi/conventional-hydro.html</t>
        </is>
      </c>
    </row>
    <row r="178">
      <c r="A178" s="7" t="inlineStr">
        <is>
          <t xml:space="preserve">  Balance of Plant - Mechanical</t>
        </is>
      </c>
      <c r="B178" s="55" t="n">
        <v>0.01804143026713341</v>
      </c>
      <c r="C178" s="21">
        <f>'OECD Mapping'!A22</f>
        <v/>
      </c>
      <c r="D178" s="21">
        <f>'OECD Mapping'!B22</f>
        <v/>
      </c>
      <c r="E178" s="73" t="inlineStr">
        <is>
          <t>Mapping based on Conventional Hydro JEDI and judgment</t>
        </is>
      </c>
      <c r="F178" s="65" t="inlineStr">
        <is>
          <t>https://www.nrel.gov/analysis/jedi/conventional-hydro.html</t>
        </is>
      </c>
    </row>
    <row r="179">
      <c r="A179" s="7" t="inlineStr">
        <is>
          <t xml:space="preserve">  Main Power Transformers</t>
        </is>
      </c>
      <c r="B179" s="111" t="n">
        <v>0.005783554486570412</v>
      </c>
      <c r="C179" s="21">
        <f>'OECD Mapping'!A21</f>
        <v/>
      </c>
      <c r="D179" s="21">
        <f>'OECD Mapping'!B21</f>
        <v/>
      </c>
      <c r="E179" s="73" t="inlineStr">
        <is>
          <t>Mapping based on Conventional Hydro JEDI and judgment</t>
        </is>
      </c>
      <c r="F179" s="65" t="inlineStr">
        <is>
          <t>https://www.nrel.gov/analysis/jedi/conventional-hydro.html</t>
        </is>
      </c>
    </row>
    <row r="180">
      <c r="A180" s="7" t="inlineStr">
        <is>
          <t xml:space="preserve">  Switchyard and Interconnection</t>
        </is>
      </c>
      <c r="B180" s="111" t="n">
        <v>0.01804143026713341</v>
      </c>
      <c r="C180" s="21">
        <f>'OECD Mapping'!A21</f>
        <v/>
      </c>
      <c r="D180" s="21">
        <f>'OECD Mapping'!B21</f>
        <v/>
      </c>
      <c r="E180" s="73" t="inlineStr">
        <is>
          <t>Mapping based on Conventional Hydro JEDI and judgment</t>
        </is>
      </c>
      <c r="F180" s="65" t="inlineStr">
        <is>
          <t>https://www.nrel.gov/analysis/jedi/conventional-hydro.html</t>
        </is>
      </c>
    </row>
    <row r="181">
      <c r="A181" s="7" t="inlineStr">
        <is>
          <t xml:space="preserve">  Transmission Line</t>
        </is>
      </c>
      <c r="B181" s="111" t="n">
        <v>0.008299057922881369</v>
      </c>
      <c r="C181" s="21">
        <f>'OECD Mapping'!A21</f>
        <v/>
      </c>
      <c r="D181" s="21">
        <f>'OECD Mapping'!B21</f>
        <v/>
      </c>
      <c r="E181" s="73" t="inlineStr">
        <is>
          <t>Mapping based on Conventional Hydro JEDI and judgment</t>
        </is>
      </c>
      <c r="F181" s="65" t="inlineStr">
        <is>
          <t>https://www.nrel.gov/analysis/jedi/conventional-hydro.html</t>
        </is>
      </c>
    </row>
    <row r="182">
      <c r="A182" s="7" t="inlineStr">
        <is>
          <t xml:space="preserve">  Equipment Subtotal</t>
        </is>
      </c>
      <c r="B182" s="111" t="n">
        <v>0.213440416861276</v>
      </c>
      <c r="C182" s="21" t="n"/>
      <c r="D182" s="21" t="n"/>
      <c r="E182" s="21" t="n"/>
      <c r="F182" s="65" t="inlineStr">
        <is>
          <t>https://www.nrel.gov/analysis/jedi/conventional-hydro.html</t>
        </is>
      </c>
    </row>
    <row r="183">
      <c r="A183" s="7" t="inlineStr">
        <is>
          <t>Installation/Labor</t>
        </is>
      </c>
      <c r="B183" s="111" t="n"/>
      <c r="C183" s="21" t="n"/>
      <c r="D183" s="21" t="n"/>
      <c r="E183" s="21" t="n"/>
      <c r="F183" s="65" t="inlineStr">
        <is>
          <t>https://www.nrel.gov/analysis/jedi/conventional-hydro.html</t>
        </is>
      </c>
    </row>
    <row r="184">
      <c r="A184" s="7" t="inlineStr">
        <is>
          <t xml:space="preserve"> Civil Works and Structures</t>
        </is>
      </c>
      <c r="B184" s="111" t="n">
        <v>0.1956376615307413</v>
      </c>
      <c r="C184" s="21">
        <f>'OECD Mapping'!A29</f>
        <v/>
      </c>
      <c r="D184" s="21">
        <f>'OECD Mapping'!B29</f>
        <v/>
      </c>
      <c r="E184" s="73" t="inlineStr">
        <is>
          <t>Mapping based on Conventional Hydro JEDI and judgment</t>
        </is>
      </c>
      <c r="F184" s="65" t="inlineStr">
        <is>
          <t>https://www.nrel.gov/analysis/jedi/conventional-hydro.html</t>
        </is>
      </c>
    </row>
    <row r="185">
      <c r="A185" s="7" t="inlineStr">
        <is>
          <t xml:space="preserve"> Turbines</t>
        </is>
      </c>
      <c r="B185" s="111" t="n">
        <v>0.01434293706237106</v>
      </c>
      <c r="C185" s="21">
        <f>'OECD Mapping'!A29</f>
        <v/>
      </c>
      <c r="D185" s="21">
        <f>'OECD Mapping'!B29</f>
        <v/>
      </c>
      <c r="E185" s="73" t="inlineStr">
        <is>
          <t>Mapping based on Conventional Hydro JEDI and judgment</t>
        </is>
      </c>
      <c r="F185" s="65" t="inlineStr">
        <is>
          <t>https://www.nrel.gov/analysis/jedi/conventional-hydro.html</t>
        </is>
      </c>
    </row>
    <row r="186">
      <c r="A186" s="7" t="inlineStr">
        <is>
          <t xml:space="preserve"> Generators</t>
        </is>
      </c>
      <c r="B186" s="111" t="n">
        <v>0.008605762237422637</v>
      </c>
      <c r="C186" s="21">
        <f>'OECD Mapping'!A29</f>
        <v/>
      </c>
      <c r="D186" s="21">
        <f>'OECD Mapping'!B29</f>
        <v/>
      </c>
      <c r="E186" s="73" t="inlineStr">
        <is>
          <t>Mapping based on Conventional Hydro JEDI and judgment</t>
        </is>
      </c>
      <c r="F186" s="65" t="inlineStr">
        <is>
          <t>https://www.nrel.gov/analysis/jedi/conventional-hydro.html</t>
        </is>
      </c>
    </row>
    <row r="187">
      <c r="A187" s="7" t="inlineStr">
        <is>
          <t xml:space="preserve"> Balance of Plant Electrical</t>
        </is>
      </c>
      <c r="B187" s="111" t="n">
        <v>0.003012016783097923</v>
      </c>
      <c r="C187" s="21">
        <f>'OECD Mapping'!A29</f>
        <v/>
      </c>
      <c r="D187" s="21">
        <f>'OECD Mapping'!B29</f>
        <v/>
      </c>
      <c r="E187" s="73" t="inlineStr">
        <is>
          <t>Mapping based on Conventional Hydro JEDI and judgment</t>
        </is>
      </c>
      <c r="F187" s="65" t="inlineStr">
        <is>
          <t>https://www.nrel.gov/analysis/jedi/conventional-hydro.html</t>
        </is>
      </c>
    </row>
    <row r="188">
      <c r="A188" s="7" t="inlineStr">
        <is>
          <t xml:space="preserve"> Balance of Plant Mechanical</t>
        </is>
      </c>
      <c r="B188" s="111" t="n">
        <v>0.002868587412474212</v>
      </c>
      <c r="C188" s="21">
        <f>'OECD Mapping'!A29</f>
        <v/>
      </c>
      <c r="D188" s="21">
        <f>'OECD Mapping'!B29</f>
        <v/>
      </c>
      <c r="E188" s="73" t="inlineStr">
        <is>
          <t>Mapping based on Conventional Hydro JEDI and judgment</t>
        </is>
      </c>
      <c r="F188" s="65" t="inlineStr">
        <is>
          <t>https://www.nrel.gov/analysis/jedi/conventional-hydro.html</t>
        </is>
      </c>
    </row>
    <row r="189">
      <c r="A189" s="7" t="inlineStr">
        <is>
          <t xml:space="preserve"> Main Power Transformers</t>
        </is>
      </c>
      <c r="B189" s="111" t="n">
        <v>0.0007171468531185531</v>
      </c>
      <c r="C189" s="21">
        <f>'OECD Mapping'!A29</f>
        <v/>
      </c>
      <c r="D189" s="21">
        <f>'OECD Mapping'!B29</f>
        <v/>
      </c>
      <c r="E189" s="73" t="inlineStr">
        <is>
          <t>Mapping based on Conventional Hydro JEDI and judgment</t>
        </is>
      </c>
      <c r="F189" s="65" t="inlineStr">
        <is>
          <t>https://www.nrel.gov/analysis/jedi/conventional-hydro.html</t>
        </is>
      </c>
    </row>
    <row r="190">
      <c r="A190" s="7" t="inlineStr">
        <is>
          <t xml:space="preserve"> Switchyard and Interconnection</t>
        </is>
      </c>
      <c r="B190" s="111" t="n">
        <v>0.002868587412474212</v>
      </c>
      <c r="C190" s="21">
        <f>'OECD Mapping'!A29</f>
        <v/>
      </c>
      <c r="D190" s="21">
        <f>'OECD Mapping'!B29</f>
        <v/>
      </c>
      <c r="E190" s="73" t="inlineStr">
        <is>
          <t>Mapping based on Conventional Hydro JEDI and judgment</t>
        </is>
      </c>
      <c r="F190" s="65" t="inlineStr">
        <is>
          <t>https://www.nrel.gov/analysis/jedi/conventional-hydro.html</t>
        </is>
      </c>
    </row>
    <row r="191">
      <c r="A191" s="7" t="inlineStr">
        <is>
          <t xml:space="preserve"> Transmission Lines</t>
        </is>
      </c>
      <c r="B191" s="111" t="n">
        <v>0.004838350769039838</v>
      </c>
      <c r="C191" s="21">
        <f>'OECD Mapping'!A29</f>
        <v/>
      </c>
      <c r="D191" s="21">
        <f>'OECD Mapping'!B29</f>
        <v/>
      </c>
      <c r="E191" s="73" t="inlineStr">
        <is>
          <t>Mapping based on Conventional Hydro JEDI and judgment</t>
        </is>
      </c>
      <c r="F191" s="65" t="inlineStr">
        <is>
          <t>https://www.nrel.gov/analysis/jedi/conventional-hydro.html</t>
        </is>
      </c>
    </row>
    <row r="192">
      <c r="A192" s="7" t="inlineStr">
        <is>
          <t xml:space="preserve"> Installation/Labor Subtotal</t>
        </is>
      </c>
      <c r="B192" s="111" t="n">
        <v>0.2328910500607397</v>
      </c>
      <c r="C192" s="21" t="n"/>
      <c r="D192" s="21" t="n"/>
      <c r="E192" s="21" t="n"/>
      <c r="F192" s="65" t="inlineStr">
        <is>
          <t>https://www.nrel.gov/analysis/jedi/conventional-hydro.html</t>
        </is>
      </c>
    </row>
    <row r="193">
      <c r="A193" s="7" t="inlineStr">
        <is>
          <t>Other Costs</t>
        </is>
      </c>
      <c r="B193" s="111" t="n"/>
      <c r="C193" s="21" t="n"/>
      <c r="D193" s="21" t="n"/>
      <c r="E193" s="21" t="n"/>
      <c r="F193" s="65" t="inlineStr">
        <is>
          <t>https://www.nrel.gov/analysis/jedi/conventional-hydro.html</t>
        </is>
      </c>
    </row>
    <row r="194">
      <c r="A194" s="7" t="inlineStr">
        <is>
          <t xml:space="preserve"> Mitigation</t>
        </is>
      </c>
      <c r="B194" s="111" t="n">
        <v>0</v>
      </c>
      <c r="C194" s="21">
        <f>'OECD Mapping'!A29</f>
        <v/>
      </c>
      <c r="D194" s="21">
        <f>'OECD Mapping'!B29</f>
        <v/>
      </c>
      <c r="E194" s="73" t="inlineStr">
        <is>
          <t>Mapping based on Conventional Hydro JEDI and judgment</t>
        </is>
      </c>
      <c r="F194" s="65" t="inlineStr">
        <is>
          <t>https://www.nrel.gov/analysis/jedi/conventional-hydro.html</t>
        </is>
      </c>
    </row>
    <row r="195">
      <c r="A195" s="7" t="inlineStr">
        <is>
          <t xml:space="preserve"> Licensing, Permitting and Interconnection Agreement</t>
        </is>
      </c>
      <c r="B195" s="111" t="n">
        <v>0.05737174824948425</v>
      </c>
      <c r="C195" s="21">
        <f>'OECD Mapping'!A38</f>
        <v/>
      </c>
      <c r="D195" s="21">
        <f>'OECD Mapping'!B38</f>
        <v/>
      </c>
      <c r="E195" s="73" t="inlineStr">
        <is>
          <t>Mapping based on Conventional Hydro JEDI and judgment</t>
        </is>
      </c>
      <c r="F195" s="65" t="inlineStr">
        <is>
          <t>https://www.nrel.gov/analysis/jedi/conventional-hydro.html</t>
        </is>
      </c>
    </row>
    <row r="196">
      <c r="A196" s="7" t="inlineStr">
        <is>
          <t xml:space="preserve"> Engineering and Other Professional Services</t>
        </is>
      </c>
      <c r="B196" s="111" t="n">
        <v>0.1338674125821299</v>
      </c>
      <c r="C196" s="21">
        <f>'OECD Mapping'!A38</f>
        <v/>
      </c>
      <c r="D196" s="21">
        <f>'OECD Mapping'!B38</f>
        <v/>
      </c>
      <c r="E196" s="73" t="inlineStr">
        <is>
          <t>Mapping based on Conventional Hydro JEDI and judgment</t>
        </is>
      </c>
      <c r="F196" s="65" t="inlineStr">
        <is>
          <t>https://www.nrel.gov/analysis/jedi/conventional-hydro.html</t>
        </is>
      </c>
    </row>
    <row r="197">
      <c r="A197" s="7" t="inlineStr">
        <is>
          <t xml:space="preserve"> Insurance</t>
        </is>
      </c>
      <c r="B197" s="111" t="n">
        <v>0</v>
      </c>
      <c r="C197" s="21">
        <f>'OECD Mapping'!A36</f>
        <v/>
      </c>
      <c r="D197" s="21">
        <f>'OECD Mapping'!B36</f>
        <v/>
      </c>
      <c r="E197" s="73" t="inlineStr">
        <is>
          <t>Mapping based on Conventional Hydro JEDI and judgment</t>
        </is>
      </c>
      <c r="F197" s="65" t="inlineStr">
        <is>
          <t>https://www.nrel.gov/analysis/jedi/conventional-hydro.html</t>
        </is>
      </c>
    </row>
    <row r="198">
      <c r="A198" s="7" t="inlineStr">
        <is>
          <t xml:space="preserve"> Other Development </t>
        </is>
      </c>
      <c r="B198" s="111" t="n">
        <v>0</v>
      </c>
      <c r="C198" s="21">
        <f>'OECD Mapping'!A38</f>
        <v/>
      </c>
      <c r="D198" s="21">
        <f>'OECD Mapping'!B38</f>
        <v/>
      </c>
      <c r="E198" s="73" t="inlineStr">
        <is>
          <t>Mapping based on Conventional Hydro JEDI and judgment</t>
        </is>
      </c>
      <c r="F198" s="65" t="inlineStr">
        <is>
          <t>https://www.nrel.gov/analysis/jedi/conventional-hydro.html</t>
        </is>
      </c>
    </row>
    <row r="199">
      <c r="A199" s="7" t="inlineStr">
        <is>
          <t xml:space="preserve"> Other Subtotal</t>
        </is>
      </c>
      <c r="B199" s="111" t="n">
        <v>0.1912391608316142</v>
      </c>
      <c r="C199" s="21" t="n"/>
      <c r="D199" s="21" t="n"/>
      <c r="E199" s="21" t="n"/>
      <c r="F199" s="65" t="inlineStr">
        <is>
          <t>https://www.nrel.gov/analysis/jedi/conventional-hydro.html</t>
        </is>
      </c>
    </row>
    <row r="200">
      <c r="A200" s="7" t="inlineStr">
        <is>
          <t>Subtotal</t>
        </is>
      </c>
      <c r="B200" s="111" t="n">
        <v>1</v>
      </c>
      <c r="C200" s="21" t="n"/>
      <c r="D200" s="21" t="n"/>
      <c r="E200" s="21" t="n"/>
      <c r="F200" s="65" t="inlineStr">
        <is>
          <t>https://www.nrel.gov/analysis/jedi/conventional-hydro.html</t>
        </is>
      </c>
    </row>
    <row r="201">
      <c r="A201" s="7" t="inlineStr">
        <is>
          <t>Sales Tax (Materials &amp; Equipment Purchases)</t>
        </is>
      </c>
      <c r="B201" s="111" t="n">
        <v>0</v>
      </c>
      <c r="C201" s="21" t="n"/>
      <c r="D201" s="21" t="n"/>
      <c r="E201" s="21" t="n"/>
      <c r="F201" s="65" t="inlineStr">
        <is>
          <t>https://www.nrel.gov/analysis/jedi/conventional-hydro.html</t>
        </is>
      </c>
    </row>
    <row r="202" ht="15" customHeight="1" thickBot="1">
      <c r="A202" s="57" t="inlineStr">
        <is>
          <t>Total</t>
        </is>
      </c>
      <c r="B202" s="66" t="n">
        <v>1</v>
      </c>
      <c r="C202" s="59" t="n"/>
      <c r="D202" s="59" t="n"/>
      <c r="E202" s="59" t="n"/>
      <c r="F202" s="35" t="inlineStr">
        <is>
          <t>https://www.nrel.gov/analysis/jedi/conventional-hydro.html</t>
        </is>
      </c>
    </row>
    <row r="203">
      <c r="A203" s="11" t="inlineStr">
        <is>
          <t>Fixed O&amp;M Costs</t>
        </is>
      </c>
      <c r="B203" s="60" t="n"/>
      <c r="C203" s="60" t="n"/>
      <c r="D203" s="60" t="n"/>
      <c r="E203" s="60" t="n"/>
      <c r="F203" s="52" t="inlineStr">
        <is>
          <t>https://www.nrel.gov/analysis/jedi/conventional-hydro.html</t>
        </is>
      </c>
    </row>
    <row r="204">
      <c r="A204" s="7" t="inlineStr">
        <is>
          <t>Personnel and Labor</t>
        </is>
      </c>
      <c r="B204" s="111" t="n">
        <v>0.2170563900369649</v>
      </c>
      <c r="C204" s="21">
        <f>'OECD Mapping'!A26</f>
        <v/>
      </c>
      <c r="D204" s="21">
        <f>'OECD Mapping'!B26</f>
        <v/>
      </c>
      <c r="E204" s="73" t="inlineStr">
        <is>
          <t>Mapping based on Conventional Hydro JEDI and judgment</t>
        </is>
      </c>
      <c r="F204" s="16" t="inlineStr">
        <is>
          <t>https://www.nrel.gov/analysis/jedi/conventional-hydro.html</t>
        </is>
      </c>
    </row>
    <row r="205">
      <c r="A205" s="7" t="inlineStr">
        <is>
          <t>Materials and Services</t>
        </is>
      </c>
      <c r="B205" s="111" t="n"/>
      <c r="C205" s="21" t="n"/>
      <c r="D205" s="21" t="n"/>
      <c r="E205" s="21" t="n"/>
      <c r="F205" s="16" t="inlineStr">
        <is>
          <t>https://www.nrel.gov/analysis/jedi/conventional-hydro.html</t>
        </is>
      </c>
    </row>
    <row r="206">
      <c r="A206" s="7" t="inlineStr">
        <is>
          <t xml:space="preserve"> Supplies, Tools, Vehicles, etc.</t>
        </is>
      </c>
      <c r="B206" s="111" t="n">
        <v>0.09658970720762054</v>
      </c>
      <c r="C206" s="21">
        <f>'OECD Mapping'!A22</f>
        <v/>
      </c>
      <c r="D206" s="21">
        <f>'OECD Mapping'!B22</f>
        <v/>
      </c>
      <c r="E206" s="73" t="inlineStr">
        <is>
          <t>Mapping based on Conventional Hydro JEDI and judgment</t>
        </is>
      </c>
      <c r="F206" s="16" t="inlineStr">
        <is>
          <t>https://www.nrel.gov/analysis/jedi/conventional-hydro.html</t>
        </is>
      </c>
    </row>
    <row r="207">
      <c r="A207" s="7" t="inlineStr">
        <is>
          <t xml:space="preserve"> Insurance</t>
        </is>
      </c>
      <c r="B207" s="111" t="n">
        <v>0.3125159976702563</v>
      </c>
      <c r="C207" s="21">
        <f>'OECD Mapping'!A36</f>
        <v/>
      </c>
      <c r="D207" s="21">
        <f>'OECD Mapping'!B36</f>
        <v/>
      </c>
      <c r="E207" s="73" t="inlineStr">
        <is>
          <t>Mapping based on Conventional Hydro JEDI and judgment</t>
        </is>
      </c>
      <c r="F207" s="16" t="inlineStr">
        <is>
          <t>https://www.nrel.gov/analysis/jedi/conventional-hydro.html</t>
        </is>
      </c>
    </row>
    <row r="208">
      <c r="A208" s="7" t="inlineStr">
        <is>
          <t xml:space="preserve"> Taxes and Duties</t>
        </is>
      </c>
      <c r="B208" s="111" t="n">
        <v>0</v>
      </c>
      <c r="C208" s="21">
        <f>'OECD Mapping'!A39</f>
        <v/>
      </c>
      <c r="D208" s="21">
        <f>'OECD Mapping'!B39</f>
        <v/>
      </c>
      <c r="E208" s="73" t="inlineStr">
        <is>
          <t>Mapping based on Conventional Hydro JEDI and judgment</t>
        </is>
      </c>
      <c r="F208" s="16" t="inlineStr">
        <is>
          <t>https://www.nrel.gov/analysis/jedi/conventional-hydro.html</t>
        </is>
      </c>
    </row>
    <row r="209">
      <c r="A209" s="7" t="inlineStr">
        <is>
          <t xml:space="preserve"> Regulatory Compliance</t>
        </is>
      </c>
      <c r="B209" s="111" t="n">
        <v>0.1806584906699172</v>
      </c>
      <c r="C209" s="21">
        <f>'OECD Mapping'!A38</f>
        <v/>
      </c>
      <c r="D209" s="21">
        <f>'OECD Mapping'!B38</f>
        <v/>
      </c>
      <c r="E209" s="73" t="inlineStr">
        <is>
          <t>Mapping based on Conventional Hydro JEDI and judgment</t>
        </is>
      </c>
      <c r="F209" s="16" t="inlineStr">
        <is>
          <t>https://www.nrel.gov/analysis/jedi/conventional-hydro.html</t>
        </is>
      </c>
    </row>
    <row r="210">
      <c r="A210" s="7" t="inlineStr">
        <is>
          <t xml:space="preserve"> Rents/Leases</t>
        </is>
      </c>
      <c r="B210" s="111" t="n">
        <v>0</v>
      </c>
      <c r="C210" s="21">
        <f>'OECD Mapping'!A37</f>
        <v/>
      </c>
      <c r="D210" s="21">
        <f>'OECD Mapping'!B37</f>
        <v/>
      </c>
      <c r="E210" s="73" t="inlineStr">
        <is>
          <t>Mapping based on Conventional Hydro JEDI and judgment</t>
        </is>
      </c>
      <c r="F210" s="16" t="inlineStr">
        <is>
          <t>https://www.nrel.gov/analysis/jedi/conventional-hydro.html</t>
        </is>
      </c>
    </row>
    <row r="211">
      <c r="A211" s="7" t="inlineStr">
        <is>
          <t xml:space="preserve"> Replacement Parts</t>
        </is>
      </c>
      <c r="B211" s="111" t="n">
        <v>0.1931794144152411</v>
      </c>
      <c r="C211" s="21">
        <f>'OECD Mapping'!A21</f>
        <v/>
      </c>
      <c r="D211" s="21">
        <f>'OECD Mapping'!B21</f>
        <v/>
      </c>
      <c r="E211" s="73" t="inlineStr">
        <is>
          <t>Mapping based on Conventional Hydro JEDI and judgment</t>
        </is>
      </c>
      <c r="F211" s="16" t="inlineStr">
        <is>
          <t>https://www.nrel.gov/analysis/jedi/conventional-hydro.html</t>
        </is>
      </c>
    </row>
    <row r="212">
      <c r="A212" s="7" t="inlineStr">
        <is>
          <t xml:space="preserve"> Subtotal</t>
        </is>
      </c>
      <c r="B212" s="111" t="n">
        <v>0.7829436099630351</v>
      </c>
      <c r="C212" s="21" t="n"/>
      <c r="D212" s="21" t="n"/>
      <c r="E212" s="21" t="n"/>
      <c r="F212" s="16" t="inlineStr">
        <is>
          <t>https://www.nrel.gov/analysis/jedi/conventional-hydro.html</t>
        </is>
      </c>
    </row>
    <row r="213">
      <c r="A213" s="7" t="inlineStr">
        <is>
          <t>Subtotal</t>
        </is>
      </c>
      <c r="B213" s="111" t="n">
        <v>1</v>
      </c>
      <c r="C213" s="21" t="n"/>
      <c r="D213" s="21" t="n"/>
      <c r="E213" s="21" t="n"/>
      <c r="F213" s="16" t="inlineStr">
        <is>
          <t>https://www.nrel.gov/analysis/jedi/conventional-hydro.html</t>
        </is>
      </c>
    </row>
    <row r="214">
      <c r="A214" s="7" t="inlineStr">
        <is>
          <t>Sales Tax (Materials &amp; Equipment Purchases)</t>
        </is>
      </c>
      <c r="B214" s="111" t="n">
        <v>0</v>
      </c>
      <c r="C214" s="21" t="n"/>
      <c r="D214" s="21" t="n"/>
      <c r="E214" s="21" t="n"/>
      <c r="F214" s="16" t="inlineStr">
        <is>
          <t>https://www.nrel.gov/analysis/jedi/conventional-hydro.html</t>
        </is>
      </c>
    </row>
    <row r="215" ht="15" customHeight="1" thickBot="1">
      <c r="A215" s="57" t="inlineStr">
        <is>
          <t>Total (without property taxes and debt financing)</t>
        </is>
      </c>
      <c r="B215" s="66" t="n">
        <v>1</v>
      </c>
      <c r="C215" s="59" t="n"/>
      <c r="D215" s="59" t="n"/>
      <c r="E215" s="59" t="n"/>
      <c r="F215" s="35" t="inlineStr">
        <is>
          <t>https://www.nrel.gov/analysis/jedi/conventional-hydro.html</t>
        </is>
      </c>
    </row>
    <row r="216">
      <c r="A216" s="11" t="inlineStr">
        <is>
          <t>Variable O&amp;M Costs</t>
        </is>
      </c>
      <c r="B216" s="60" t="n"/>
      <c r="C216" s="60" t="n"/>
      <c r="D216" s="60" t="n"/>
      <c r="E216" s="60" t="n"/>
      <c r="F216" s="14" t="n"/>
    </row>
    <row r="217" ht="15" customHeight="1" thickBot="1">
      <c r="A217" s="17" t="inlineStr">
        <is>
          <t>Water for power, hydraulic expenses, electric expenses, rent, misc.</t>
        </is>
      </c>
      <c r="B217" s="53" t="n">
        <v>1</v>
      </c>
      <c r="C217" s="25">
        <f>'OECD Mapping'!A28</f>
        <v/>
      </c>
      <c r="D217" s="25">
        <f>'OECD Mapping'!B28</f>
        <v/>
      </c>
      <c r="E217" s="25" t="inlineStr">
        <is>
          <t>Assigned 100% to utilities based on description</t>
        </is>
      </c>
      <c r="F217" s="19" t="inlineStr">
        <is>
          <t>https://www1.eere.energy.gov/water/pdfs/doewater-00662.pdf</t>
        </is>
      </c>
    </row>
    <row r="218" ht="15" customHeight="1" thickBot="1"/>
    <row r="219" ht="18.5" customHeight="1">
      <c r="A219" s="131" t="inlineStr">
        <is>
          <t>Biomass</t>
        </is>
      </c>
      <c r="B219" s="88" t="n"/>
      <c r="C219" s="88" t="n"/>
      <c r="D219" s="88" t="n"/>
      <c r="E219" s="88" t="n"/>
      <c r="F219" s="143" t="n"/>
    </row>
    <row r="220">
      <c r="A220" s="1" t="inlineStr">
        <is>
          <t>Capital Costs</t>
        </is>
      </c>
      <c r="B220" s="2" t="inlineStr">
        <is>
          <t>Percent</t>
        </is>
      </c>
      <c r="C220" s="2" t="inlineStr">
        <is>
          <t>I-O Mapping</t>
        </is>
      </c>
      <c r="D220" s="3" t="inlineStr">
        <is>
          <t>ISIC Mapping</t>
        </is>
      </c>
      <c r="E220" s="3" t="inlineStr">
        <is>
          <t>Notes</t>
        </is>
      </c>
      <c r="F220" s="4" t="inlineStr">
        <is>
          <t>Sources</t>
        </is>
      </c>
    </row>
    <row r="221">
      <c r="A221" s="5" t="inlineStr">
        <is>
          <t>Construction Costs</t>
        </is>
      </c>
      <c r="B221" s="2" t="inlineStr">
        <is>
          <t>of Cost</t>
        </is>
      </c>
      <c r="C221" s="2" t="n"/>
      <c r="D221" s="3" t="n"/>
      <c r="E221" s="3" t="n"/>
      <c r="F221" s="16" t="n"/>
    </row>
    <row r="222">
      <c r="A222" s="20" t="inlineStr">
        <is>
          <t>Feedstock handling equipment</t>
        </is>
      </c>
      <c r="B222" s="111" t="n">
        <v>0.14</v>
      </c>
      <c r="C222" s="21">
        <f>'OECD Mapping'!A22</f>
        <v/>
      </c>
      <c r="D222" s="21">
        <f>'OECD Mapping'!B22</f>
        <v/>
      </c>
      <c r="E222" s="73" t="inlineStr">
        <is>
          <t>Mapping based on I-JEDI and judgment</t>
        </is>
      </c>
      <c r="F222" s="56" t="inlineStr">
        <is>
          <t>https://www.nrel.gov/analysis/jedi/international.html</t>
        </is>
      </c>
    </row>
    <row r="223">
      <c r="A223" s="20" t="inlineStr">
        <is>
          <t>Turbines, boilers, and air quality control equipment</t>
        </is>
      </c>
      <c r="B223" s="111" t="n">
        <v>0.42</v>
      </c>
      <c r="C223" s="21">
        <f>'OECD Mapping'!A22</f>
        <v/>
      </c>
      <c r="D223" s="21">
        <f>'OECD Mapping'!B22</f>
        <v/>
      </c>
      <c r="E223" s="73" t="inlineStr">
        <is>
          <t>Mapping based on I-JEDI and judgment</t>
        </is>
      </c>
      <c r="F223" s="56" t="inlineStr">
        <is>
          <t>https://www.nrel.gov/analysis/jedi/international.html</t>
        </is>
      </c>
    </row>
    <row r="224">
      <c r="A224" s="20" t="inlineStr">
        <is>
          <t>Other equipment</t>
        </is>
      </c>
      <c r="B224" s="111" t="n">
        <v>0</v>
      </c>
      <c r="C224" s="21">
        <f>'OECD Mapping'!A22</f>
        <v/>
      </c>
      <c r="D224" s="21">
        <f>'OECD Mapping'!B22</f>
        <v/>
      </c>
      <c r="E224" s="73" t="inlineStr">
        <is>
          <t>Mapping based on I-JEDI and judgment</t>
        </is>
      </c>
      <c r="F224" s="56" t="inlineStr">
        <is>
          <t>https://www.nrel.gov/analysis/jedi/international.html</t>
        </is>
      </c>
    </row>
    <row r="225">
      <c r="A225" s="20" t="inlineStr">
        <is>
          <t>Construction Labor</t>
        </is>
      </c>
      <c r="B225" s="111" t="n">
        <v>0.14</v>
      </c>
      <c r="C225" s="21">
        <f>'OECD Mapping'!A29</f>
        <v/>
      </c>
      <c r="D225" s="21">
        <f>'OECD Mapping'!B29</f>
        <v/>
      </c>
      <c r="E225" s="73" t="inlineStr">
        <is>
          <t>Mapping based on I-JEDI and judgment</t>
        </is>
      </c>
      <c r="F225" s="56" t="inlineStr">
        <is>
          <t>https://www.nrel.gov/analysis/jedi/international.html</t>
        </is>
      </c>
    </row>
    <row r="226">
      <c r="A226" s="20" t="inlineStr">
        <is>
          <t>Balance of Plant</t>
        </is>
      </c>
      <c r="B226" s="111" t="n">
        <v>0.12</v>
      </c>
      <c r="C226" s="21">
        <f>'OECD Mapping'!A22</f>
        <v/>
      </c>
      <c r="D226" s="21">
        <f>'OECD Mapping'!B22</f>
        <v/>
      </c>
      <c r="E226" s="73" t="inlineStr">
        <is>
          <t>Mapping based on I-JEDI and judgment</t>
        </is>
      </c>
      <c r="F226" s="56" t="inlineStr">
        <is>
          <t>https://www.nrel.gov/analysis/jedi/international.html</t>
        </is>
      </c>
    </row>
    <row r="227" ht="15" customHeight="1" thickBot="1">
      <c r="A227" s="67" t="inlineStr">
        <is>
          <t>Professional Services (legal, engineering, development, etc.)</t>
        </is>
      </c>
      <c r="B227" s="66" t="n">
        <v>0.18</v>
      </c>
      <c r="C227" s="59">
        <f>'OECD Mapping'!A38</f>
        <v/>
      </c>
      <c r="D227" s="59">
        <f>'OECD Mapping'!B38</f>
        <v/>
      </c>
      <c r="E227" s="73" t="inlineStr">
        <is>
          <t>Mapping based on I-JEDI and judgment</t>
        </is>
      </c>
      <c r="F227" s="56" t="inlineStr">
        <is>
          <t>https://www.nrel.gov/analysis/jedi/international.html</t>
        </is>
      </c>
    </row>
    <row r="228">
      <c r="A228" s="11" t="inlineStr">
        <is>
          <t>Fixed O&amp;M Costs</t>
        </is>
      </c>
      <c r="B228" s="60" t="n"/>
      <c r="C228" s="60" t="n"/>
      <c r="D228" s="60" t="n"/>
      <c r="E228" s="60" t="n"/>
      <c r="F228" s="52" t="n"/>
    </row>
    <row r="229" ht="15" customHeight="1" thickBot="1">
      <c r="A229" s="24" t="inlineStr">
        <is>
          <t>Labor</t>
        </is>
      </c>
      <c r="B229" s="53" t="n">
        <v>1</v>
      </c>
      <c r="C229" s="25">
        <f>'OECD Mapping'!A26</f>
        <v/>
      </c>
      <c r="D229" s="25">
        <f>'OECD Mapping'!B26</f>
        <v/>
      </c>
      <c r="E229" s="73" t="inlineStr">
        <is>
          <t>Mapping based on I-JEDI and judgment</t>
        </is>
      </c>
      <c r="F229" s="68" t="inlineStr">
        <is>
          <t>https://www.nrel.gov/analysis/jedi/international.html</t>
        </is>
      </c>
    </row>
    <row r="230">
      <c r="A230" s="11" t="inlineStr">
        <is>
          <t>Variable O&amp;M Costs</t>
        </is>
      </c>
      <c r="B230" s="60" t="n"/>
      <c r="C230" s="60" t="n"/>
      <c r="D230" s="60" t="n"/>
      <c r="E230" s="60" t="n"/>
      <c r="F230" s="14" t="n"/>
    </row>
    <row r="231">
      <c r="A231" s="7" t="inlineStr">
        <is>
          <t>Chemicals (including ammonia)</t>
        </is>
      </c>
      <c r="B231" s="69" t="n">
        <v>0.7361678694606265</v>
      </c>
      <c r="C231" s="21">
        <f>'OECD Mapping'!A12</f>
        <v/>
      </c>
      <c r="D231" s="21">
        <f>'OECD Mapping'!B12</f>
        <v/>
      </c>
      <c r="E231" s="73" t="inlineStr">
        <is>
          <t>Mapping based on I-JEDI and judgment</t>
        </is>
      </c>
      <c r="F231" s="56" t="inlineStr">
        <is>
          <t>https://www.nrel.gov/analysis/jedi/international.html</t>
        </is>
      </c>
    </row>
    <row r="232">
      <c r="A232" s="7" t="inlineStr">
        <is>
          <t>Water</t>
        </is>
      </c>
      <c r="B232" s="69" t="n">
        <v>0.0783410138248848</v>
      </c>
      <c r="C232" s="21">
        <f>'OECD Mapping'!A28</f>
        <v/>
      </c>
      <c r="D232" s="21">
        <f>'OECD Mapping'!B28</f>
        <v/>
      </c>
      <c r="E232" s="73" t="inlineStr">
        <is>
          <t>Mapping based on I-JEDI and judgment</t>
        </is>
      </c>
      <c r="F232" s="56" t="inlineStr">
        <is>
          <t>https://www.nrel.gov/analysis/jedi/international.html</t>
        </is>
      </c>
    </row>
    <row r="233" ht="15" customHeight="1" thickBot="1">
      <c r="A233" s="17" t="inlineStr">
        <is>
          <t>Solids/Ash Disposal</t>
        </is>
      </c>
      <c r="B233" s="70" t="n">
        <v>0.1854911167144886</v>
      </c>
      <c r="C233" s="25">
        <f>'OECD Mapping'!A28</f>
        <v/>
      </c>
      <c r="D233" s="25">
        <f>'OECD Mapping'!B28</f>
        <v/>
      </c>
      <c r="E233" s="73" t="inlineStr">
        <is>
          <t>Mapping based on I-JEDI and judgment</t>
        </is>
      </c>
      <c r="F233" s="68" t="inlineStr">
        <is>
          <t>https://www.nrel.gov/analysis/jedi/international.html</t>
        </is>
      </c>
    </row>
    <row r="234" ht="15" customHeight="1" thickBot="1"/>
    <row r="235" ht="18.5" customHeight="1">
      <c r="A235" s="131" t="inlineStr">
        <is>
          <t>Solar Thermal</t>
        </is>
      </c>
      <c r="B235" s="88" t="n"/>
      <c r="C235" s="88" t="n"/>
      <c r="D235" s="88" t="n"/>
      <c r="E235" s="88" t="n"/>
      <c r="F235" s="143" t="n"/>
    </row>
    <row r="236">
      <c r="A236" s="1" t="inlineStr">
        <is>
          <t>Capital Costs</t>
        </is>
      </c>
      <c r="B236" s="2" t="inlineStr">
        <is>
          <t>Percent</t>
        </is>
      </c>
      <c r="C236" s="2" t="inlineStr">
        <is>
          <t>I-O Mapping</t>
        </is>
      </c>
      <c r="D236" s="2" t="inlineStr">
        <is>
          <t>ISIC Mapping</t>
        </is>
      </c>
      <c r="E236" s="2" t="inlineStr">
        <is>
          <t>Notes</t>
        </is>
      </c>
      <c r="F236" s="4" t="inlineStr">
        <is>
          <t>Sources</t>
        </is>
      </c>
    </row>
    <row r="237">
      <c r="A237" s="5" t="inlineStr">
        <is>
          <t>Construction Costs</t>
        </is>
      </c>
      <c r="B237" s="2" t="inlineStr">
        <is>
          <t>of Cost</t>
        </is>
      </c>
      <c r="C237" s="2" t="n"/>
      <c r="D237" s="2" t="n"/>
      <c r="E237" s="2" t="n"/>
      <c r="F237" s="16" t="n"/>
    </row>
    <row r="238">
      <c r="A238" s="83" t="inlineStr">
        <is>
          <t xml:space="preserve">  Materials</t>
        </is>
      </c>
      <c r="B238" s="21" t="n"/>
      <c r="C238" s="21" t="n"/>
      <c r="D238" s="21" t="n"/>
      <c r="E238" s="21" t="n"/>
      <c r="F238" s="56" t="n"/>
    </row>
    <row r="239">
      <c r="A239" s="83" t="inlineStr">
        <is>
          <t xml:space="preserve">    Construction (concrete rebar, equip, roads and site prep)</t>
        </is>
      </c>
      <c r="B239" s="111" t="n">
        <v>0.02668443741023771</v>
      </c>
      <c r="C239" s="21">
        <f>'OECD Mapping'!A29</f>
        <v/>
      </c>
      <c r="D239" s="21">
        <f>'OECD Mapping'!B29</f>
        <v/>
      </c>
      <c r="E239" s="21" t="inlineStr">
        <is>
          <t>Mapping based on JEDI</t>
        </is>
      </c>
      <c r="F239" s="56" t="inlineStr">
        <is>
          <t>https://www.nrel.gov/analysis/jedi/csp.html</t>
        </is>
      </c>
    </row>
    <row r="240">
      <c r="A240" s="83" t="inlineStr">
        <is>
          <t xml:space="preserve">    Subtotal</t>
        </is>
      </c>
      <c r="B240" s="111" t="n">
        <v>0.02668443741023771</v>
      </c>
      <c r="C240" s="21" t="n"/>
      <c r="D240" s="21" t="n"/>
      <c r="E240" s="21" t="n"/>
      <c r="F240" s="16" t="n"/>
    </row>
    <row r="241">
      <c r="A241" s="83" t="inlineStr">
        <is>
          <t xml:space="preserve">  Labor</t>
        </is>
      </c>
      <c r="B241" s="111" t="n"/>
      <c r="C241" s="21" t="n"/>
      <c r="D241" s="21" t="n"/>
      <c r="E241" s="21" t="n"/>
      <c r="F241" s="16" t="n"/>
    </row>
    <row r="242">
      <c r="A242" s="83" t="inlineStr">
        <is>
          <t xml:space="preserve">    Sitework and Infrastructure</t>
        </is>
      </c>
      <c r="B242" s="111" t="n">
        <v>0.007528433364852877</v>
      </c>
      <c r="C242" s="21">
        <f>'OECD Mapping'!A29</f>
        <v/>
      </c>
      <c r="D242" s="21">
        <f>'OECD Mapping'!B29</f>
        <v/>
      </c>
      <c r="E242" s="21" t="inlineStr">
        <is>
          <t>Mapping based on JEDI</t>
        </is>
      </c>
      <c r="F242" s="56" t="inlineStr">
        <is>
          <t>https://www.nrel.gov/analysis/jedi/csp.html</t>
        </is>
      </c>
    </row>
    <row r="243">
      <c r="A243" s="83" t="inlineStr">
        <is>
          <t xml:space="preserve">    Field Erection</t>
        </is>
      </c>
      <c r="B243" s="111" t="n">
        <v>0.08998734944831978</v>
      </c>
      <c r="C243" s="21">
        <f>'OECD Mapping'!A29</f>
        <v/>
      </c>
      <c r="D243" s="21">
        <f>'OECD Mapping'!B29</f>
        <v/>
      </c>
      <c r="E243" s="21" t="inlineStr">
        <is>
          <t>Mapping based on JEDI</t>
        </is>
      </c>
      <c r="F243" s="56" t="inlineStr">
        <is>
          <t>https://www.nrel.gov/analysis/jedi/csp.html</t>
        </is>
      </c>
    </row>
    <row r="244">
      <c r="A244" s="38" t="inlineStr">
        <is>
          <t xml:space="preserve">    Support Structures</t>
        </is>
      </c>
      <c r="B244" s="111" t="n">
        <v>0.00531650100871912</v>
      </c>
      <c r="C244" s="21">
        <f>'OECD Mapping'!A29</f>
        <v/>
      </c>
      <c r="D244" s="21">
        <f>'OECD Mapping'!B29</f>
        <v/>
      </c>
      <c r="E244" s="21" t="inlineStr">
        <is>
          <t>Mapping based on JEDI</t>
        </is>
      </c>
      <c r="F244" s="56" t="inlineStr">
        <is>
          <t>https://www.nrel.gov/analysis/jedi/csp.html</t>
        </is>
      </c>
    </row>
    <row r="245">
      <c r="A245" s="83" t="inlineStr">
        <is>
          <t xml:space="preserve">    Piping</t>
        </is>
      </c>
      <c r="B245" s="111" t="n">
        <v>0.02935797776959359</v>
      </c>
      <c r="C245" s="21">
        <f>'OECD Mapping'!A29</f>
        <v/>
      </c>
      <c r="D245" s="21">
        <f>'OECD Mapping'!B29</f>
        <v/>
      </c>
      <c r="E245" s="21" t="inlineStr">
        <is>
          <t>Mapping based on JEDI</t>
        </is>
      </c>
      <c r="F245" s="56" t="inlineStr">
        <is>
          <t>https://www.nrel.gov/analysis/jedi/csp.html</t>
        </is>
      </c>
    </row>
    <row r="246">
      <c r="A246" s="38" t="inlineStr">
        <is>
          <t xml:space="preserve">    Electrical</t>
        </is>
      </c>
      <c r="B246" s="111" t="n">
        <v>0.01171348510384459</v>
      </c>
      <c r="C246" s="21">
        <f>'OECD Mapping'!A29</f>
        <v/>
      </c>
      <c r="D246" s="21">
        <f>'OECD Mapping'!B29</f>
        <v/>
      </c>
      <c r="E246" s="21" t="inlineStr">
        <is>
          <t>Mapping based on JEDI</t>
        </is>
      </c>
      <c r="F246" s="56" t="inlineStr">
        <is>
          <t>https://www.nrel.gov/analysis/jedi/csp.html</t>
        </is>
      </c>
    </row>
    <row r="247">
      <c r="A247" s="7" t="inlineStr">
        <is>
          <t xml:space="preserve">    Subtotal</t>
        </is>
      </c>
      <c r="B247" s="111" t="n">
        <v>0.14390374669533</v>
      </c>
      <c r="C247" s="21" t="n"/>
      <c r="D247" s="21" t="n"/>
      <c r="E247" s="21" t="n"/>
      <c r="F247" s="16" t="n"/>
    </row>
    <row r="248">
      <c r="A248" s="7" t="inlineStr">
        <is>
          <t xml:space="preserve">  Subtotal</t>
        </is>
      </c>
      <c r="B248" s="111" t="n">
        <v>0.1705881841055677</v>
      </c>
      <c r="C248" s="21" t="n"/>
      <c r="D248" s="21" t="n"/>
      <c r="E248" s="21" t="n"/>
      <c r="F248" s="16" t="n"/>
    </row>
    <row r="249">
      <c r="A249" s="7" t="inlineStr">
        <is>
          <t>Equipment Costs</t>
        </is>
      </c>
      <c r="B249" s="111" t="n"/>
      <c r="C249" s="21" t="n"/>
      <c r="D249" s="21" t="n"/>
      <c r="E249" s="21" t="n"/>
      <c r="F249" s="16" t="n"/>
    </row>
    <row r="250">
      <c r="A250" s="83" t="inlineStr">
        <is>
          <t xml:space="preserve">    Mirrors</t>
        </is>
      </c>
      <c r="B250" s="111" t="n">
        <v>0.05917173883574404</v>
      </c>
      <c r="C250" s="21">
        <f>'OECD Mapping'!A15</f>
        <v/>
      </c>
      <c r="D250" s="21">
        <f>'OECD Mapping'!B15</f>
        <v/>
      </c>
      <c r="E250" s="21" t="inlineStr">
        <is>
          <t>Mapping based on JEDI</t>
        </is>
      </c>
      <c r="F250" s="56" t="inlineStr">
        <is>
          <t>https://www.nrel.gov/analysis/jedi/csp.html</t>
        </is>
      </c>
    </row>
    <row r="251">
      <c r="A251" s="83" t="inlineStr">
        <is>
          <t xml:space="preserve">    Heat Collection Elements</t>
        </is>
      </c>
      <c r="B251" s="111" t="n">
        <v>0.1876123455114661</v>
      </c>
      <c r="C251" s="21">
        <f>'OECD Mapping'!A19</f>
        <v/>
      </c>
      <c r="D251" s="21">
        <f>'OECD Mapping'!B19</f>
        <v/>
      </c>
      <c r="E251" s="21" t="inlineStr">
        <is>
          <t>Mapping based on JEDI</t>
        </is>
      </c>
      <c r="F251" s="56" t="inlineStr">
        <is>
          <t>https://www.nrel.gov/analysis/jedi/csp.html</t>
        </is>
      </c>
    </row>
    <row r="252">
      <c r="A252" s="83" t="inlineStr">
        <is>
          <t xml:space="preserve">    Thermal Energy Storage Tanks</t>
        </is>
      </c>
      <c r="B252" s="111" t="n">
        <v>0.05447848144020809</v>
      </c>
      <c r="C252" s="21">
        <f>'OECD Mapping'!A19</f>
        <v/>
      </c>
      <c r="D252" s="21">
        <f>'OECD Mapping'!B19</f>
        <v/>
      </c>
      <c r="E252" s="21" t="inlineStr">
        <is>
          <t>Mapping based on JEDI</t>
        </is>
      </c>
      <c r="F252" s="56" t="inlineStr">
        <is>
          <t>https://www.nrel.gov/analysis/jedi/csp.html</t>
        </is>
      </c>
    </row>
    <row r="253">
      <c r="A253" s="83" t="inlineStr">
        <is>
          <t xml:space="preserve">    Heat Exchangers</t>
        </is>
      </c>
      <c r="B253" s="111" t="n">
        <v>0.04047297426358237</v>
      </c>
      <c r="C253" s="21">
        <f>'OECD Mapping'!A19</f>
        <v/>
      </c>
      <c r="D253" s="21">
        <f>'OECD Mapping'!B19</f>
        <v/>
      </c>
      <c r="E253" s="21" t="inlineStr">
        <is>
          <t>Mapping based on JEDI</t>
        </is>
      </c>
      <c r="F253" s="56" t="inlineStr">
        <is>
          <t>https://www.nrel.gov/analysis/jedi/csp.html</t>
        </is>
      </c>
    </row>
    <row r="254">
      <c r="A254" s="83" t="inlineStr">
        <is>
          <t xml:space="preserve">    Heat Transfer System Equipment</t>
        </is>
      </c>
      <c r="B254" s="111" t="n">
        <v>0.0332022841686674</v>
      </c>
      <c r="C254" s="21">
        <f>'OECD Mapping'!A19</f>
        <v/>
      </c>
      <c r="D254" s="21">
        <f>'OECD Mapping'!B19</f>
        <v/>
      </c>
      <c r="E254" s="21" t="inlineStr">
        <is>
          <t>Mapping based on JEDI</t>
        </is>
      </c>
      <c r="F254" s="56" t="inlineStr">
        <is>
          <t>https://www.nrel.gov/analysis/jedi/csp.html</t>
        </is>
      </c>
    </row>
    <row r="255">
      <c r="A255" s="83" t="inlineStr">
        <is>
          <t xml:space="preserve">    Heat Transfer and Storage Fluids</t>
        </is>
      </c>
      <c r="B255" s="111" t="n">
        <v>0.1171843610451007</v>
      </c>
      <c r="C255" s="21">
        <f>'OECD Mapping'!A22</f>
        <v/>
      </c>
      <c r="D255" s="21">
        <f>'OECD Mapping'!B22</f>
        <v/>
      </c>
      <c r="E255" s="21" t="inlineStr">
        <is>
          <t>Mapping based on JEDI</t>
        </is>
      </c>
      <c r="F255" s="56" t="inlineStr">
        <is>
          <t>https://www.nrel.gov/analysis/jedi/csp.html</t>
        </is>
      </c>
    </row>
    <row r="256">
      <c r="A256" s="83" t="inlineStr">
        <is>
          <t xml:space="preserve">    Steam Turbines &amp; Generators</t>
        </is>
      </c>
      <c r="B256" s="111" t="n">
        <v>0.07918688711425521</v>
      </c>
      <c r="C256" s="21">
        <f>'OECD Mapping'!A22</f>
        <v/>
      </c>
      <c r="D256" s="21">
        <f>'OECD Mapping'!B22</f>
        <v/>
      </c>
      <c r="E256" s="21" t="inlineStr">
        <is>
          <t>Mapping based on JEDI</t>
        </is>
      </c>
      <c r="F256" s="56" t="inlineStr">
        <is>
          <t>https://www.nrel.gov/analysis/jedi/csp.html</t>
        </is>
      </c>
    </row>
    <row r="257">
      <c r="A257" s="83" t="inlineStr">
        <is>
          <t xml:space="preserve">    Misc. Electrical and Solar Equipment (pumps, motors, drive, etc.)</t>
        </is>
      </c>
      <c r="B257" s="111" t="n">
        <v>0.002666259476024297</v>
      </c>
      <c r="C257" s="21">
        <f>'OECD Mapping'!A21</f>
        <v/>
      </c>
      <c r="D257" s="21">
        <f>'OECD Mapping'!B21</f>
        <v/>
      </c>
      <c r="E257" s="21" t="inlineStr">
        <is>
          <t>Mapping based on JEDI</t>
        </is>
      </c>
      <c r="F257" s="56" t="inlineStr">
        <is>
          <t>https://www.nrel.gov/analysis/jedi/csp.html</t>
        </is>
      </c>
    </row>
    <row r="258">
      <c r="A258" s="83" t="inlineStr">
        <is>
          <t xml:space="preserve">    Water Treatment</t>
        </is>
      </c>
      <c r="B258" s="111" t="n">
        <v>0.002306583839444286</v>
      </c>
      <c r="C258" s="21">
        <f>'OECD Mapping'!A22</f>
        <v/>
      </c>
      <c r="D258" s="21">
        <f>'OECD Mapping'!B22</f>
        <v/>
      </c>
      <c r="E258" s="21" t="inlineStr">
        <is>
          <t>Mapping based on JEDI</t>
        </is>
      </c>
      <c r="F258" s="56" t="inlineStr">
        <is>
          <t>https://www.nrel.gov/analysis/jedi/csp.html</t>
        </is>
      </c>
    </row>
    <row r="259">
      <c r="A259" s="83" t="inlineStr">
        <is>
          <t xml:space="preserve">    Metal Support Structure</t>
        </is>
      </c>
      <c r="B259" s="111" t="n">
        <v>0.03552779830477379</v>
      </c>
      <c r="C259" s="21">
        <f>'OECD Mapping'!A19</f>
        <v/>
      </c>
      <c r="D259" s="21">
        <f>'OECD Mapping'!B19</f>
        <v/>
      </c>
      <c r="E259" s="21" t="inlineStr">
        <is>
          <t>Mapping based on JEDI</t>
        </is>
      </c>
      <c r="F259" s="56" t="inlineStr">
        <is>
          <t>https://www.nrel.gov/analysis/jedi/csp.html</t>
        </is>
      </c>
    </row>
    <row r="260">
      <c r="A260" s="83" t="inlineStr">
        <is>
          <t xml:space="preserve">    Interconnection Piping</t>
        </is>
      </c>
      <c r="B260" s="111" t="n">
        <v>0.0516200066442301</v>
      </c>
      <c r="C260" s="21">
        <f>'OECD Mapping'!A22</f>
        <v/>
      </c>
      <c r="D260" s="21">
        <f>'OECD Mapping'!B22</f>
        <v/>
      </c>
      <c r="E260" s="21" t="inlineStr">
        <is>
          <t>Mapping based on JEDI</t>
        </is>
      </c>
      <c r="F260" s="56" t="inlineStr">
        <is>
          <t>https://www.nrel.gov/analysis/jedi/csp.html</t>
        </is>
      </c>
    </row>
    <row r="261">
      <c r="A261" s="83" t="inlineStr">
        <is>
          <t xml:space="preserve">    Electronics &amp; Controls</t>
        </is>
      </c>
      <c r="B261" s="111" t="n">
        <v>0.01784544504570058</v>
      </c>
      <c r="C261" s="21">
        <f>'OECD Mapping'!A21</f>
        <v/>
      </c>
      <c r="D261" s="21">
        <f>'OECD Mapping'!B21</f>
        <v/>
      </c>
      <c r="E261" s="21" t="inlineStr">
        <is>
          <t>Mapping based on JEDI</t>
        </is>
      </c>
      <c r="F261" s="56" t="inlineStr">
        <is>
          <t>https://www.nrel.gov/analysis/jedi/csp.html</t>
        </is>
      </c>
    </row>
    <row r="262">
      <c r="A262" s="83" t="inlineStr">
        <is>
          <t xml:space="preserve">    Balance of Plant</t>
        </is>
      </c>
      <c r="B262" s="111" t="n">
        <v>0.02036026214842803</v>
      </c>
      <c r="C262" s="21">
        <f>'OECD Mapping'!A22</f>
        <v/>
      </c>
      <c r="D262" s="21">
        <f>'OECD Mapping'!B22</f>
        <v/>
      </c>
      <c r="E262" s="21" t="inlineStr">
        <is>
          <t>Mapping based on JEDI</t>
        </is>
      </c>
      <c r="F262" s="56" t="inlineStr">
        <is>
          <t>https://www.nrel.gov/analysis/jedi/csp.html</t>
        </is>
      </c>
    </row>
    <row r="263">
      <c r="A263" s="83" t="inlineStr">
        <is>
          <t xml:space="preserve">  Subtotal</t>
        </is>
      </c>
      <c r="B263" s="111" t="n">
        <v>0.701635427837625</v>
      </c>
      <c r="C263" s="21" t="n"/>
      <c r="D263" s="21" t="n"/>
      <c r="E263" s="21" t="n"/>
      <c r="F263" s="6" t="n"/>
    </row>
    <row r="264">
      <c r="A264" s="83" t="inlineStr">
        <is>
          <t>Other Costs</t>
        </is>
      </c>
      <c r="B264" s="111" t="n"/>
      <c r="C264" s="21" t="n"/>
      <c r="D264" s="21" t="n"/>
      <c r="E264" s="21" t="n"/>
      <c r="F264" s="6" t="n"/>
    </row>
    <row r="265">
      <c r="A265" s="83" t="inlineStr">
        <is>
          <t xml:space="preserve">    Freight &amp; Transportation</t>
        </is>
      </c>
      <c r="B265" s="111" t="n">
        <v>0</v>
      </c>
      <c r="C265" s="21">
        <f>'OECD Mapping'!A31</f>
        <v/>
      </c>
      <c r="D265" s="21">
        <f>'OECD Mapping'!B31</f>
        <v/>
      </c>
      <c r="E265" s="21" t="inlineStr">
        <is>
          <t>Mapping based on JEDI</t>
        </is>
      </c>
      <c r="F265" s="56" t="inlineStr">
        <is>
          <t>https://www.nrel.gov/analysis/jedi/csp.html</t>
        </is>
      </c>
    </row>
    <row r="266">
      <c r="A266" s="83" t="inlineStr">
        <is>
          <t xml:space="preserve">    Engineering &amp; Project Management</t>
        </is>
      </c>
      <c r="B266" s="111" t="n">
        <v>0.1036201619535093</v>
      </c>
      <c r="C266" s="21">
        <f>'OECD Mapping'!A38</f>
        <v/>
      </c>
      <c r="D266" s="21">
        <f>'OECD Mapping'!B38</f>
        <v/>
      </c>
      <c r="E266" s="21" t="inlineStr">
        <is>
          <t>Mapping based on JEDI</t>
        </is>
      </c>
      <c r="F266" s="56" t="inlineStr">
        <is>
          <t>https://www.nrel.gov/analysis/jedi/csp.html</t>
        </is>
      </c>
    </row>
    <row r="267">
      <c r="A267" s="83" t="inlineStr">
        <is>
          <t xml:space="preserve">    Misc. Costs (permitting, licensing, legal)</t>
        </is>
      </c>
      <c r="B267" s="111" t="n">
        <v>0.02415622610329812</v>
      </c>
      <c r="C267" s="21">
        <f>'OECD Mapping'!A38</f>
        <v/>
      </c>
      <c r="D267" s="21">
        <f>'OECD Mapping'!B38</f>
        <v/>
      </c>
      <c r="E267" s="21" t="inlineStr">
        <is>
          <t>Mapping based on JEDI</t>
        </is>
      </c>
      <c r="F267" s="56" t="inlineStr">
        <is>
          <t>https://www.nrel.gov/analysis/jedi/csp.html</t>
        </is>
      </c>
    </row>
    <row r="268">
      <c r="A268" s="83" t="inlineStr">
        <is>
          <t xml:space="preserve">  Subtotal</t>
        </is>
      </c>
      <c r="B268" s="111" t="n">
        <v>0.1277763880568074</v>
      </c>
      <c r="C268" s="21" t="n"/>
      <c r="D268" s="21" t="n"/>
      <c r="E268" s="21" t="n"/>
      <c r="F268" s="6" t="n"/>
    </row>
    <row r="269">
      <c r="A269" s="83" t="inlineStr">
        <is>
          <t>Subtotal</t>
        </is>
      </c>
      <c r="B269" s="111" t="n">
        <v>1</v>
      </c>
      <c r="C269" s="21" t="n"/>
      <c r="D269" s="21" t="n"/>
      <c r="E269" s="21" t="n"/>
      <c r="F269" s="6" t="n"/>
    </row>
    <row r="270">
      <c r="A270" s="83" t="inlineStr">
        <is>
          <t xml:space="preserve"> Sales tax</t>
        </is>
      </c>
      <c r="B270" s="21" t="n"/>
      <c r="C270" s="21" t="n"/>
      <c r="D270" s="21" t="n"/>
      <c r="E270" s="21" t="n"/>
      <c r="F270" s="6" t="n"/>
    </row>
    <row r="271" ht="15" customHeight="1" thickBot="1">
      <c r="A271" s="85" t="inlineStr">
        <is>
          <t>Total</t>
        </is>
      </c>
      <c r="B271" s="25" t="n"/>
      <c r="C271" s="25" t="n"/>
      <c r="D271" s="25" t="n"/>
      <c r="E271" s="25" t="n"/>
      <c r="F271" s="10" t="n"/>
    </row>
    <row r="272" ht="15" customHeight="1" thickBot="1">
      <c r="A272" s="96" t="inlineStr">
        <is>
          <t>Fixed O&amp;M Costs</t>
        </is>
      </c>
      <c r="B272" s="97" t="n"/>
      <c r="C272" s="97" t="n"/>
      <c r="D272" s="97" t="n"/>
      <c r="E272" s="97" t="n"/>
      <c r="F272" s="98" t="n"/>
    </row>
    <row r="273">
      <c r="A273" s="99" t="inlineStr">
        <is>
          <t>Personnel</t>
        </is>
      </c>
      <c r="B273" s="60" t="n"/>
      <c r="C273" s="60" t="n"/>
      <c r="D273" s="60" t="n"/>
      <c r="E273" s="60" t="n"/>
      <c r="F273" s="14" t="n"/>
    </row>
    <row r="274">
      <c r="A274" s="83" t="inlineStr">
        <is>
          <t xml:space="preserve">  Operations</t>
        </is>
      </c>
      <c r="B274" s="111" t="n">
        <v>0.1095713816368082</v>
      </c>
      <c r="C274" s="21">
        <f>'OECD Mapping'!A26</f>
        <v/>
      </c>
      <c r="D274" s="21">
        <f>'OECD Mapping'!B26</f>
        <v/>
      </c>
      <c r="E274" s="21" t="inlineStr">
        <is>
          <t>EI assumption</t>
        </is>
      </c>
      <c r="F274" s="65" t="inlineStr">
        <is>
          <t>https://www.nrel.gov/analysis/jedi/csp.html</t>
        </is>
      </c>
    </row>
    <row r="275">
      <c r="A275" s="83" t="inlineStr">
        <is>
          <t xml:space="preserve">  Administrative</t>
        </is>
      </c>
      <c r="B275" s="111" t="n">
        <v>0.1010375819968427</v>
      </c>
      <c r="C275" s="21">
        <f>'OECD Mapping'!A26</f>
        <v/>
      </c>
      <c r="D275" s="21">
        <f>'OECD Mapping'!B26</f>
        <v/>
      </c>
      <c r="E275" s="21" t="inlineStr">
        <is>
          <t>EI assumption</t>
        </is>
      </c>
      <c r="F275" s="65" t="inlineStr">
        <is>
          <t>https://www.nrel.gov/analysis/jedi/csp.html</t>
        </is>
      </c>
    </row>
    <row r="276">
      <c r="A276" s="83" t="inlineStr">
        <is>
          <t xml:space="preserve">  Power Plant Maintenance</t>
        </is>
      </c>
      <c r="B276" s="111" t="n">
        <v>0.0694374137598064</v>
      </c>
      <c r="C276" s="21">
        <f>'OECD Mapping'!A26</f>
        <v/>
      </c>
      <c r="D276" s="21">
        <f>'OECD Mapping'!B26</f>
        <v/>
      </c>
      <c r="E276" s="21" t="inlineStr">
        <is>
          <t>EI assumption</t>
        </is>
      </c>
      <c r="F276" s="65" t="inlineStr">
        <is>
          <t>https://www.nrel.gov/analysis/jedi/csp.html</t>
        </is>
      </c>
    </row>
    <row r="277">
      <c r="A277" s="83" t="inlineStr">
        <is>
          <t xml:space="preserve">  Field Maintenance</t>
        </is>
      </c>
      <c r="B277" s="111" t="n">
        <v>0.09465351814404413</v>
      </c>
      <c r="C277" s="21">
        <f>'OECD Mapping'!A26</f>
        <v/>
      </c>
      <c r="D277" s="21">
        <f>'OECD Mapping'!B26</f>
        <v/>
      </c>
      <c r="E277" s="21" t="inlineStr">
        <is>
          <t>EI assumption</t>
        </is>
      </c>
      <c r="F277" s="65" t="inlineStr">
        <is>
          <t>https://www.nrel.gov/analysis/jedi/csp.html</t>
        </is>
      </c>
    </row>
    <row r="278">
      <c r="A278" s="83" t="inlineStr">
        <is>
          <t xml:space="preserve">  Personnel Subtotal</t>
        </is>
      </c>
      <c r="B278" s="111" t="n">
        <v>0.3746998955375014</v>
      </c>
      <c r="C278" s="21" t="n"/>
      <c r="D278" s="21" t="n"/>
      <c r="E278" s="21" t="n"/>
      <c r="F278" s="6" t="n"/>
    </row>
    <row r="279">
      <c r="A279" s="83" t="inlineStr">
        <is>
          <t>Materials and Services</t>
        </is>
      </c>
      <c r="B279" s="111" t="n"/>
      <c r="C279" s="21" t="n"/>
      <c r="D279" s="21" t="n"/>
      <c r="E279" s="21" t="n"/>
      <c r="F279" s="6" t="n"/>
    </row>
    <row r="280">
      <c r="A280" s="83" t="inlineStr">
        <is>
          <t xml:space="preserve">  Water</t>
        </is>
      </c>
      <c r="B280" s="111" t="n">
        <v>0.06621388318161463</v>
      </c>
      <c r="C280" s="21">
        <f>'OECD Mapping'!A28</f>
        <v/>
      </c>
      <c r="D280" s="21">
        <f>'OECD Mapping'!B28</f>
        <v/>
      </c>
      <c r="E280" s="21" t="inlineStr">
        <is>
          <t>JEDI</t>
        </is>
      </c>
      <c r="F280" s="6" t="n"/>
    </row>
    <row r="281">
      <c r="A281" s="83" t="inlineStr">
        <is>
          <t xml:space="preserve">  Water Treatment (Chemicals)</t>
        </is>
      </c>
      <c r="B281" s="111" t="n">
        <v>0.01719225187811643</v>
      </c>
      <c r="C281" s="21">
        <f>'OECD Mapping'!A12</f>
        <v/>
      </c>
      <c r="D281" s="21">
        <f>'OECD Mapping'!B12</f>
        <v/>
      </c>
      <c r="E281" s="21" t="inlineStr">
        <is>
          <t>EI assumption; more detailed than JEDI</t>
        </is>
      </c>
      <c r="F281" s="65" t="inlineStr">
        <is>
          <t>https://www.nrel.gov/analysis/jedi/csp.html</t>
        </is>
      </c>
    </row>
    <row r="282">
      <c r="A282" s="83" t="inlineStr">
        <is>
          <t xml:space="preserve">  Misc. Services</t>
        </is>
      </c>
      <c r="B282" s="111" t="n">
        <v>0.07766155158735354</v>
      </c>
      <c r="C282" s="21">
        <f>'OECD Mapping'!A38</f>
        <v/>
      </c>
      <c r="D282" s="21">
        <f>'OECD Mapping'!B38</f>
        <v/>
      </c>
      <c r="E282" s="21" t="inlineStr">
        <is>
          <t>JEDI</t>
        </is>
      </c>
      <c r="F282" s="65" t="inlineStr">
        <is>
          <t>https://www.nrel.gov/analysis/jedi/csp.html</t>
        </is>
      </c>
    </row>
    <row r="283">
      <c r="A283" s="83" t="inlineStr">
        <is>
          <t xml:space="preserve">  Utilities</t>
        </is>
      </c>
      <c r="B283" s="111" t="n">
        <v>0.04145585480458365</v>
      </c>
      <c r="C283" s="21">
        <f>'OECD Mapping'!A26</f>
        <v/>
      </c>
      <c r="D283" s="21">
        <f>'OECD Mapping'!B26</f>
        <v/>
      </c>
      <c r="E283" s="21" t="inlineStr">
        <is>
          <t>JEDI</t>
        </is>
      </c>
      <c r="F283" s="65" t="inlineStr">
        <is>
          <t>https://www.nrel.gov/analysis/jedi/csp.html</t>
        </is>
      </c>
    </row>
    <row r="284">
      <c r="A284" s="83" t="inlineStr">
        <is>
          <t xml:space="preserve">  Fuel (motor vehicle gasoline)</t>
        </is>
      </c>
      <c r="B284" s="111" t="n">
        <v>0</v>
      </c>
      <c r="C284" s="21">
        <f>'OECD Mapping'!A11</f>
        <v/>
      </c>
      <c r="D284" s="21">
        <f>'OECD Mapping'!B11</f>
        <v/>
      </c>
      <c r="E284" s="21" t="inlineStr">
        <is>
          <t>JEDI</t>
        </is>
      </c>
      <c r="F284" s="65" t="inlineStr">
        <is>
          <t>https://www.nrel.gov/analysis/jedi/csp.html</t>
        </is>
      </c>
    </row>
    <row r="285">
      <c r="A285" s="83" t="inlineStr">
        <is>
          <t xml:space="preserve">  Field Parts and Materials and Plant Equip</t>
        </is>
      </c>
      <c r="B285" s="111" t="n">
        <v>0.4227765630108304</v>
      </c>
      <c r="C285" s="21">
        <f>'OECD Mapping'!A19</f>
        <v/>
      </c>
      <c r="D285" s="21">
        <f>'OECD Mapping'!B19</f>
        <v/>
      </c>
      <c r="E285" s="21" t="inlineStr">
        <is>
          <t>JEDI</t>
        </is>
      </c>
      <c r="F285" s="65" t="inlineStr">
        <is>
          <t>https://www.nrel.gov/analysis/jedi/csp.html</t>
        </is>
      </c>
    </row>
    <row r="286">
      <c r="A286" s="83" t="inlineStr">
        <is>
          <t xml:space="preserve">  Misc. Supplies &amp; Equipment</t>
        </is>
      </c>
      <c r="B286" s="111" t="n">
        <v>0</v>
      </c>
      <c r="C286" s="21">
        <f>'OECD Mapping'!A22</f>
        <v/>
      </c>
      <c r="D286" s="21">
        <f>'OECD Mapping'!B22</f>
        <v/>
      </c>
      <c r="E286" s="21" t="inlineStr">
        <is>
          <t>JEDI</t>
        </is>
      </c>
      <c r="F286" s="65" t="inlineStr">
        <is>
          <t>https://www.nrel.gov/analysis/jedi/csp.html</t>
        </is>
      </c>
    </row>
    <row r="287">
      <c r="A287" s="83" t="inlineStr">
        <is>
          <t xml:space="preserve">  Materials and Services Subtotal</t>
        </is>
      </c>
      <c r="B287" s="111" t="n">
        <v>0.6253001044624986</v>
      </c>
      <c r="C287" s="21" t="n"/>
      <c r="D287" s="21" t="n"/>
      <c r="E287" s="21" t="n"/>
      <c r="F287" s="6" t="n"/>
    </row>
    <row r="288" ht="15" customHeight="1" thickBot="1">
      <c r="A288" s="85" t="inlineStr">
        <is>
          <t>Total</t>
        </is>
      </c>
      <c r="B288" s="18" t="n">
        <v>1</v>
      </c>
      <c r="C288" s="25" t="n"/>
      <c r="D288" s="25" t="n"/>
      <c r="E288" s="25" t="n"/>
      <c r="F288" s="10" t="n"/>
    </row>
    <row r="289" ht="19" customHeight="1" thickBot="1">
      <c r="A289" s="131" t="inlineStr">
        <is>
          <t>Geothermal</t>
        </is>
      </c>
      <c r="B289" s="88" t="n"/>
      <c r="C289" s="88" t="n"/>
      <c r="D289" s="88" t="n"/>
      <c r="E289" s="88" t="n"/>
      <c r="F289" s="143" t="n"/>
    </row>
    <row r="290">
      <c r="A290" s="92" t="inlineStr">
        <is>
          <t>Capital Costs</t>
        </is>
      </c>
      <c r="B290" s="54" t="inlineStr">
        <is>
          <t>Percent</t>
        </is>
      </c>
      <c r="C290" s="54" t="inlineStr">
        <is>
          <t>I-O Mapping</t>
        </is>
      </c>
      <c r="D290" s="54" t="inlineStr">
        <is>
          <t>ISIC Mapping</t>
        </is>
      </c>
      <c r="E290" s="54" t="inlineStr">
        <is>
          <t>Notes</t>
        </is>
      </c>
      <c r="F290" s="82" t="inlineStr">
        <is>
          <t>Sources</t>
        </is>
      </c>
    </row>
    <row r="291">
      <c r="A291" s="5" t="inlineStr">
        <is>
          <t>Construction Costs</t>
        </is>
      </c>
      <c r="B291" s="2" t="inlineStr">
        <is>
          <t>of Cost</t>
        </is>
      </c>
      <c r="C291" s="2" t="n"/>
      <c r="D291" s="2" t="n"/>
      <c r="E291" s="2" t="n"/>
      <c r="F291" s="16" t="n"/>
    </row>
    <row r="292">
      <c r="A292" s="86" t="inlineStr">
        <is>
          <t>Drilling</t>
        </is>
      </c>
      <c r="B292" s="21" t="n"/>
      <c r="C292" s="21" t="n"/>
      <c r="D292" s="21" t="n"/>
      <c r="E292" s="21" t="n"/>
      <c r="F292" s="6" t="n"/>
    </row>
    <row r="293">
      <c r="A293" s="83" t="inlineStr">
        <is>
          <t>Site preparation</t>
        </is>
      </c>
      <c r="B293" s="111" t="n">
        <v>0.0005878425037930875</v>
      </c>
      <c r="C293" s="111">
        <f>'OECD Mapping'!A5</f>
        <v/>
      </c>
      <c r="D293" s="111">
        <f>'OECD Mapping'!B5</f>
        <v/>
      </c>
      <c r="E293" s="21" t="inlineStr">
        <is>
          <t>JEDI</t>
        </is>
      </c>
      <c r="F293" s="16" t="inlineStr">
        <is>
          <t>https://www.nrel.gov/analysis/jedi/international.html</t>
        </is>
      </c>
    </row>
    <row r="294">
      <c r="A294" s="83" t="inlineStr">
        <is>
          <t>Rig operator and drilling services</t>
        </is>
      </c>
      <c r="B294" s="111" t="n">
        <v>0.02210371791762551</v>
      </c>
      <c r="C294" s="111">
        <f>'OECD Mapping'!A5</f>
        <v/>
      </c>
      <c r="D294" s="111">
        <f>'OECD Mapping'!B5</f>
        <v/>
      </c>
      <c r="E294" s="21" t="inlineStr">
        <is>
          <t>JEDI</t>
        </is>
      </c>
      <c r="F294" s="16" t="inlineStr">
        <is>
          <t>https://www.nrel.gov/analysis/jedi/international.html</t>
        </is>
      </c>
    </row>
    <row r="295">
      <c r="A295" s="83" t="inlineStr">
        <is>
          <t>Cement and cement additives</t>
        </is>
      </c>
      <c r="B295" s="111" t="n">
        <v>0.0003664862101147734</v>
      </c>
      <c r="C295" s="111">
        <f>'OECD Mapping'!A16</f>
        <v/>
      </c>
      <c r="D295" s="111">
        <f>'OECD Mapping'!B16</f>
        <v/>
      </c>
      <c r="E295" s="21" t="inlineStr">
        <is>
          <t>JEDI</t>
        </is>
      </c>
      <c r="F295" s="16" t="inlineStr">
        <is>
          <t>https://www.nrel.gov/analysis/jedi/international.html</t>
        </is>
      </c>
    </row>
    <row r="296">
      <c r="A296" s="83" t="inlineStr">
        <is>
          <t>Petroleum</t>
        </is>
      </c>
      <c r="B296" s="111" t="n">
        <v>0.002300147042007933</v>
      </c>
      <c r="C296" s="111">
        <f>'OECD Mapping'!A11</f>
        <v/>
      </c>
      <c r="D296" s="111">
        <f>'OECD Mapping'!B11</f>
        <v/>
      </c>
      <c r="E296" s="21" t="inlineStr">
        <is>
          <t>JEDI</t>
        </is>
      </c>
      <c r="F296" s="16" t="inlineStr">
        <is>
          <t>https://www.nrel.gov/analysis/jedi/international.html</t>
        </is>
      </c>
    </row>
    <row r="297">
      <c r="A297" s="83" t="inlineStr">
        <is>
          <t>Bits and stabilizers</t>
        </is>
      </c>
      <c r="B297" s="111" t="n">
        <v>0.001528390509862028</v>
      </c>
      <c r="C297" s="111">
        <f>'OECD Mapping'!A19</f>
        <v/>
      </c>
      <c r="D297" s="111">
        <f>'OECD Mapping'!B19</f>
        <v/>
      </c>
      <c r="E297" s="21" t="inlineStr">
        <is>
          <t>JEDI</t>
        </is>
      </c>
      <c r="F297" s="16" t="inlineStr">
        <is>
          <t>https://www.nrel.gov/analysis/jedi/international.html</t>
        </is>
      </c>
    </row>
    <row r="298">
      <c r="A298" s="83" t="inlineStr">
        <is>
          <t>Mud and detergents</t>
        </is>
      </c>
      <c r="B298" s="111" t="n">
        <v>0.0004850741977299692</v>
      </c>
      <c r="C298" s="111">
        <f>'OECD Mapping'!A12</f>
        <v/>
      </c>
      <c r="D298" s="111">
        <f>'OECD Mapping'!B12</f>
        <v/>
      </c>
      <c r="E298" s="21" t="inlineStr">
        <is>
          <t>JEDI</t>
        </is>
      </c>
      <c r="F298" s="16" t="inlineStr">
        <is>
          <t>https://www.nrel.gov/analysis/jedi/international.html</t>
        </is>
      </c>
    </row>
    <row r="299">
      <c r="A299" s="83" t="inlineStr">
        <is>
          <t>Casing and wellhead</t>
        </is>
      </c>
      <c r="B299" s="111" t="n">
        <v>0.005827473972334983</v>
      </c>
      <c r="C299" s="111">
        <f>'OECD Mapping'!A5</f>
        <v/>
      </c>
      <c r="D299" s="111">
        <f>'OECD Mapping'!B5</f>
        <v/>
      </c>
      <c r="E299" s="21" t="inlineStr">
        <is>
          <t>JEDI</t>
        </is>
      </c>
      <c r="F299" s="16" t="inlineStr">
        <is>
          <t>https://www.nrel.gov/analysis/jedi/international.html</t>
        </is>
      </c>
    </row>
    <row r="300">
      <c r="A300" s="83" t="inlineStr">
        <is>
          <t>Worker housing</t>
        </is>
      </c>
      <c r="B300" s="111" t="n">
        <v>0.0006888674369449567</v>
      </c>
      <c r="C300" s="111">
        <f>'OECD Mapping'!A32</f>
        <v/>
      </c>
      <c r="D300" s="111">
        <f>'OECD Mapping'!B32</f>
        <v/>
      </c>
      <c r="E300" s="21" t="inlineStr">
        <is>
          <t>JEDI</t>
        </is>
      </c>
      <c r="F300" s="16" t="inlineStr">
        <is>
          <t>https://www.nrel.gov/analysis/jedi/international.html</t>
        </is>
      </c>
    </row>
    <row r="301">
      <c r="A301" s="83" t="inlineStr">
        <is>
          <t>Professional services (engineers, geologists, supervisors, etc.)</t>
        </is>
      </c>
      <c r="B301" s="111" t="n">
        <v>0.002973530640056851</v>
      </c>
      <c r="C301" s="21">
        <f>'OECD Mapping'!A26</f>
        <v/>
      </c>
      <c r="D301" s="21">
        <f>'OECD Mapping'!B26</f>
        <v/>
      </c>
      <c r="E301" s="21" t="inlineStr">
        <is>
          <t>50% assigned in JEDI; 100% here</t>
        </is>
      </c>
      <c r="F301" s="16" t="inlineStr">
        <is>
          <t>https://www.nrel.gov/analysis/jedi/international.html</t>
        </is>
      </c>
    </row>
    <row r="302">
      <c r="A302" s="86" t="inlineStr">
        <is>
          <t>Other</t>
        </is>
      </c>
      <c r="B302" s="111" t="n"/>
      <c r="C302" s="111" t="n"/>
      <c r="D302" s="102" t="n"/>
      <c r="E302" s="21" t="n"/>
      <c r="F302" s="6" t="n"/>
    </row>
    <row r="303">
      <c r="A303" s="83" t="inlineStr">
        <is>
          <t>Engineering and design</t>
        </is>
      </c>
      <c r="B303" s="111" t="n">
        <v>0.5017469450956762</v>
      </c>
      <c r="C303" s="21">
        <f>'OECD Mapping'!A26</f>
        <v/>
      </c>
      <c r="D303" s="21">
        <f>'OECD Mapping'!B26</f>
        <v/>
      </c>
      <c r="E303" s="21" t="inlineStr">
        <is>
          <t>50% assigned in JEDI; 100% here</t>
        </is>
      </c>
      <c r="F303" s="16" t="inlineStr">
        <is>
          <t>https://www.nrel.gov/analysis/jedi/international.html</t>
        </is>
      </c>
    </row>
    <row r="304">
      <c r="A304" s="83" t="inlineStr">
        <is>
          <t>Mechanical equipment (turbines, generators, pumps, condensers, heat exchangers)</t>
        </is>
      </c>
      <c r="B304" s="111" t="n">
        <v>0.4605698735418576</v>
      </c>
      <c r="C304" s="111">
        <f>'OECD Mapping'!A22</f>
        <v/>
      </c>
      <c r="D304" s="111">
        <f>'OECD Mapping'!B22</f>
        <v/>
      </c>
      <c r="E304" s="21" t="inlineStr">
        <is>
          <t>JEDI</t>
        </is>
      </c>
      <c r="F304" s="16" t="inlineStr">
        <is>
          <t>https://www.nrel.gov/analysis/jedi/international.html</t>
        </is>
      </c>
    </row>
    <row r="305">
      <c r="A305" s="83" t="inlineStr">
        <is>
          <t>Permitting and environmental assessment</t>
        </is>
      </c>
      <c r="B305" s="111" t="n">
        <v>0.0008216509319960073</v>
      </c>
      <c r="C305" s="111">
        <f>'OECD Mapping'!A39</f>
        <v/>
      </c>
      <c r="D305" s="111">
        <f>'OECD Mapping'!B39</f>
        <v/>
      </c>
      <c r="E305" s="21" t="inlineStr">
        <is>
          <t>JEDI</t>
        </is>
      </c>
      <c r="F305" s="16" t="inlineStr">
        <is>
          <t>https://www.nrel.gov/analysis/jedi/international.html</t>
        </is>
      </c>
    </row>
    <row r="306" ht="15" customHeight="1" thickBot="1">
      <c r="A306" s="84" t="inlineStr">
        <is>
          <t>Additional civil works (i.e., roads)</t>
        </is>
      </c>
      <c r="B306" s="66" t="n">
        <v>0</v>
      </c>
      <c r="C306" s="66">
        <f>'OECD Mapping'!A29</f>
        <v/>
      </c>
      <c r="D306" s="66">
        <f>'OECD Mapping'!B29</f>
        <v/>
      </c>
      <c r="E306" s="21" t="inlineStr">
        <is>
          <t>JEDI</t>
        </is>
      </c>
      <c r="F306" s="35" t="inlineStr">
        <is>
          <t>https://www.nrel.gov/analysis/jedi/international.html</t>
        </is>
      </c>
    </row>
    <row r="307">
      <c r="A307" s="11" t="inlineStr">
        <is>
          <t>Fixed O&amp;M Costs</t>
        </is>
      </c>
      <c r="B307" s="60" t="n"/>
      <c r="C307" s="103" t="n"/>
      <c r="D307" s="104" t="n"/>
      <c r="E307" s="60" t="n"/>
      <c r="F307" s="14" t="n"/>
    </row>
    <row r="308">
      <c r="A308" s="83" t="inlineStr">
        <is>
          <t>Labor</t>
        </is>
      </c>
      <c r="B308" s="111" t="n">
        <v>0.2287154592979835</v>
      </c>
      <c r="C308" s="111">
        <f>'OECD Mapping'!A26</f>
        <v/>
      </c>
      <c r="D308" s="111">
        <f>'OECD Mapping'!B26</f>
        <v/>
      </c>
      <c r="E308" s="21" t="inlineStr">
        <is>
          <t>EI assumption</t>
        </is>
      </c>
      <c r="F308" s="65" t="inlineStr">
        <is>
          <t>https://www.eia.gov/analysis/studies/powerplants/capitalcost/pdf/capital_cost_AEO2020.pdf</t>
        </is>
      </c>
    </row>
    <row r="309">
      <c r="A309" s="83" t="inlineStr">
        <is>
          <t>Steam Turbine Maintenance</t>
        </is>
      </c>
      <c r="B309" s="111" t="n">
        <v>0.5834578043315907</v>
      </c>
      <c r="C309" s="111">
        <f>'OECD Mapping'!A25</f>
        <v/>
      </c>
      <c r="D309" s="111">
        <f>'OECD Mapping'!B25</f>
        <v/>
      </c>
      <c r="E309" s="21" t="inlineStr">
        <is>
          <t>EI assumption</t>
        </is>
      </c>
      <c r="F309" s="65" t="inlineStr">
        <is>
          <t>https://www.eia.gov/analysis/studies/powerplants/capitalcost/pdf/capital_cost_AEO2020.pdf</t>
        </is>
      </c>
    </row>
    <row r="310">
      <c r="A310" s="83" t="inlineStr">
        <is>
          <t>Materials and Contract Services</t>
        </is>
      </c>
      <c r="B310" s="111" t="n">
        <v>0.1029686333084391</v>
      </c>
      <c r="C310" s="21">
        <f>'OECD Mapping'!A38</f>
        <v/>
      </c>
      <c r="D310" s="21">
        <f>'OECD Mapping'!B38</f>
        <v/>
      </c>
      <c r="E310" s="21" t="inlineStr">
        <is>
          <t>EI assumption</t>
        </is>
      </c>
      <c r="F310" s="65" t="inlineStr">
        <is>
          <t>https://www.eia.gov/analysis/studies/powerplants/capitalcost/pdf/capital_cost_AEO2020.pdf</t>
        </is>
      </c>
    </row>
    <row r="311" ht="15" customHeight="1" thickBot="1">
      <c r="A311" s="84" t="inlineStr">
        <is>
          <t>Adminsitrative and General</t>
        </is>
      </c>
      <c r="B311" s="66" t="n">
        <v>0.08485810306198655</v>
      </c>
      <c r="C311" s="59">
        <f>'OECD Mapping'!A26</f>
        <v/>
      </c>
      <c r="D311" s="59">
        <f>'OECD Mapping'!B26</f>
        <v/>
      </c>
      <c r="E311" s="59" t="inlineStr">
        <is>
          <t>EI assumption</t>
        </is>
      </c>
      <c r="F311" s="65" t="inlineStr">
        <is>
          <t>https://www.eia.gov/analysis/studies/powerplants/capitalcost/pdf/capital_cost_AEO2020.pdf</t>
        </is>
      </c>
    </row>
    <row r="312">
      <c r="A312" s="11" t="inlineStr">
        <is>
          <t>Variable O&amp;M Costs</t>
        </is>
      </c>
      <c r="B312" s="105" t="n"/>
      <c r="C312" s="103" t="n"/>
      <c r="D312" s="104" t="n"/>
      <c r="E312" s="60" t="n"/>
      <c r="F312" s="14" t="n"/>
    </row>
    <row r="313" ht="26.5" customHeight="1" thickBot="1">
      <c r="A313" s="106" t="inlineStr">
        <is>
          <t>Catalyst replacement, ammonia, limestone, water, ash disposal, FGD waste disposal, and water discharge treatment cost</t>
        </is>
      </c>
      <c r="B313" s="70" t="n">
        <v>1</v>
      </c>
      <c r="C313" s="18">
        <f>'OECD Mapping'!A28</f>
        <v/>
      </c>
      <c r="D313" s="18">
        <f>'OECD Mapping'!B28</f>
        <v/>
      </c>
      <c r="E313" s="25" t="inlineStr">
        <is>
          <t>Water likely to be biggest cost; 100% assigned to utilities</t>
        </is>
      </c>
      <c r="F313" s="65" t="inlineStr">
        <is>
          <t>https://www.eia.gov/analysis/studies/powerplants/capitalcost/pdf/capital_cost_AEO2020.pdf</t>
        </is>
      </c>
    </row>
    <row r="314" ht="15" customHeight="1" thickBot="1">
      <c r="B314" s="81" t="n"/>
      <c r="C314" s="125" t="n"/>
      <c r="D314" s="101" t="n"/>
    </row>
    <row r="315" ht="19" customHeight="1" thickBot="1">
      <c r="A315" s="131" t="inlineStr">
        <is>
          <t>Offshore Wind</t>
        </is>
      </c>
      <c r="B315" s="88" t="n"/>
      <c r="C315" s="88" t="n"/>
      <c r="D315" s="88" t="n"/>
      <c r="E315" s="88" t="n"/>
      <c r="F315" s="143" t="n"/>
    </row>
    <row r="316">
      <c r="A316" s="92" t="inlineStr">
        <is>
          <t>Capital Costs</t>
        </is>
      </c>
      <c r="B316" s="54" t="inlineStr">
        <is>
          <t xml:space="preserve">Percent </t>
        </is>
      </c>
      <c r="C316" s="54" t="inlineStr">
        <is>
          <t>I-O Mapping</t>
        </is>
      </c>
      <c r="D316" s="54" t="inlineStr">
        <is>
          <t>ISIC Mapping</t>
        </is>
      </c>
      <c r="E316" s="54" t="inlineStr">
        <is>
          <t>Notes</t>
        </is>
      </c>
      <c r="F316" s="82" t="inlineStr">
        <is>
          <t>Sources</t>
        </is>
      </c>
    </row>
    <row r="317">
      <c r="A317" s="5" t="inlineStr">
        <is>
          <t>Construction Costs</t>
        </is>
      </c>
      <c r="B317" s="2" t="inlineStr">
        <is>
          <t>of Cost</t>
        </is>
      </c>
      <c r="C317" s="21" t="n"/>
      <c r="D317" s="21" t="n"/>
      <c r="E317" s="21" t="n"/>
      <c r="F317" s="6" t="n"/>
    </row>
    <row r="318">
      <c r="A318" s="20" t="inlineStr">
        <is>
          <t>Turbine Equipment</t>
        </is>
      </c>
      <c r="B318" s="21" t="n"/>
      <c r="C318" s="21" t="n"/>
      <c r="D318" s="21" t="n"/>
      <c r="E318" s="90" t="n"/>
      <c r="F318" s="16" t="n"/>
    </row>
    <row r="319">
      <c r="A319" s="20" t="inlineStr">
        <is>
          <t xml:space="preserve">    Nacelle/Drivetrain</t>
        </is>
      </c>
      <c r="B319" s="111" t="n">
        <v>0.03224137424353231</v>
      </c>
      <c r="C319" s="21">
        <f>'OECD Mapping'!A22</f>
        <v/>
      </c>
      <c r="D319" s="21">
        <f>'OECD Mapping'!B22</f>
        <v/>
      </c>
      <c r="E319" s="90" t="inlineStr">
        <is>
          <t>Offshore Wind JEDI</t>
        </is>
      </c>
      <c r="F319" s="16" t="n"/>
    </row>
    <row r="320">
      <c r="A320" s="20" t="inlineStr">
        <is>
          <t xml:space="preserve">    Blades</t>
        </is>
      </c>
      <c r="B320" s="111" t="n">
        <v>0.0160380169023218</v>
      </c>
      <c r="C320" s="21">
        <f>'OECD Mapping'!A22</f>
        <v/>
      </c>
      <c r="D320" s="21">
        <f>'OECD Mapping'!B22</f>
        <v/>
      </c>
      <c r="E320" s="90" t="inlineStr">
        <is>
          <t>Offshore Wind JEDI</t>
        </is>
      </c>
      <c r="F320" s="16" t="n"/>
    </row>
    <row r="321">
      <c r="A321" s="20" t="inlineStr">
        <is>
          <t xml:space="preserve">    Towers</t>
        </is>
      </c>
      <c r="B321" s="111" t="n">
        <v>0.01240052858086031</v>
      </c>
      <c r="C321" s="21">
        <f>'OECD Mapping'!A19</f>
        <v/>
      </c>
      <c r="D321" s="21">
        <f>'OECD Mapping'!B19</f>
        <v/>
      </c>
      <c r="E321" s="90" t="inlineStr">
        <is>
          <t>Offshore Wind JEDI</t>
        </is>
      </c>
      <c r="F321" s="16" t="n"/>
    </row>
    <row r="322">
      <c r="A322" s="20" t="inlineStr">
        <is>
          <t xml:space="preserve">    Ground Transportation (to project staging area/port)</t>
        </is>
      </c>
      <c r="B322" s="111" t="n">
        <v>0</v>
      </c>
      <c r="C322" s="21">
        <f>'OECD Mapping'!A31</f>
        <v/>
      </c>
      <c r="D322" s="21">
        <f>'OECD Mapping'!B31</f>
        <v/>
      </c>
      <c r="E322" s="90" t="inlineStr">
        <is>
          <t>Offshore Wind JEDI</t>
        </is>
      </c>
      <c r="F322" s="16" t="n"/>
    </row>
    <row r="323">
      <c r="A323" s="20" t="inlineStr">
        <is>
          <t xml:space="preserve">    Warranty Cost</t>
        </is>
      </c>
      <c r="B323" s="111" t="n">
        <v>0</v>
      </c>
      <c r="C323" s="21">
        <f>'OECD Mapping'!A22</f>
        <v/>
      </c>
      <c r="D323" s="21">
        <f>'OECD Mapping'!B22</f>
        <v/>
      </c>
      <c r="E323" s="90" t="inlineStr">
        <is>
          <t>Offshore Wind JEDI</t>
        </is>
      </c>
      <c r="F323" s="16" t="n"/>
    </row>
    <row r="324">
      <c r="A324" s="20" t="inlineStr">
        <is>
          <t xml:space="preserve">    Turbine Equipment Total</t>
        </is>
      </c>
      <c r="B324" s="111" t="n">
        <v>0.06067991972671442</v>
      </c>
      <c r="C324" s="21" t="n"/>
      <c r="D324" s="21" t="n"/>
      <c r="E324" s="90" t="n"/>
      <c r="F324" s="16" t="n"/>
    </row>
    <row r="325">
      <c r="A325" s="20" t="inlineStr">
        <is>
          <t>Materials and Other Equipment</t>
        </is>
      </c>
      <c r="B325" s="111" t="n"/>
      <c r="C325" s="21" t="n"/>
      <c r="D325" s="21" t="n"/>
      <c r="E325" s="90" t="n"/>
      <c r="F325" s="16" t="n"/>
    </row>
    <row r="326">
      <c r="A326" s="20" t="inlineStr">
        <is>
          <t xml:space="preserve">    Piling, anchors, mooring</t>
        </is>
      </c>
      <c r="B326" s="111" t="n">
        <v>0.005979028266996322</v>
      </c>
      <c r="C326" s="21">
        <f>'OECD Mapping'!A22</f>
        <v/>
      </c>
      <c r="D326" s="21">
        <f>'OECD Mapping'!B22</f>
        <v/>
      </c>
      <c r="E326" s="90" t="inlineStr">
        <is>
          <t>Offshore Wind JEDI</t>
        </is>
      </c>
      <c r="F326" s="16" t="n"/>
    </row>
    <row r="327">
      <c r="A327" s="20" t="inlineStr">
        <is>
          <t xml:space="preserve">    Foundation (including anchors or alternatives for fixed bottom types only)</t>
        </is>
      </c>
      <c r="B327" s="111" t="n">
        <v>0.02045860103503216</v>
      </c>
      <c r="C327" s="21">
        <f>'OECD Mapping'!A19</f>
        <v/>
      </c>
      <c r="D327" s="21">
        <f>'OECD Mapping'!B19</f>
        <v/>
      </c>
      <c r="E327" s="90" t="inlineStr">
        <is>
          <t>Offshore Wind JEDI</t>
        </is>
      </c>
      <c r="F327" s="16" t="n"/>
    </row>
    <row r="328">
      <c r="A328" s="20" t="inlineStr">
        <is>
          <t xml:space="preserve">    Substructure</t>
        </is>
      </c>
      <c r="B328" s="111" t="n">
        <v>0.01371763344164712</v>
      </c>
      <c r="C328" s="93">
        <f>'OECD Mapping'!A19</f>
        <v/>
      </c>
      <c r="D328" s="93">
        <f>'OECD Mapping'!B19</f>
        <v/>
      </c>
      <c r="E328" s="90" t="inlineStr">
        <is>
          <t>Offshore Wind JEDI</t>
        </is>
      </c>
      <c r="F328" s="6" t="n"/>
    </row>
    <row r="329">
      <c r="A329" s="20" t="inlineStr">
        <is>
          <t xml:space="preserve">    Project Collection System</t>
        </is>
      </c>
      <c r="B329" s="111" t="n">
        <v>0.004967076607971465</v>
      </c>
      <c r="C329" s="90">
        <f>'OECD Mapping'!A21</f>
        <v/>
      </c>
      <c r="D329" s="90">
        <f>'OECD Mapping'!B21</f>
        <v/>
      </c>
      <c r="E329" s="90" t="inlineStr">
        <is>
          <t>Offshore Wind JEDI</t>
        </is>
      </c>
      <c r="F329" s="16" t="n"/>
    </row>
    <row r="330">
      <c r="A330" s="20" t="inlineStr">
        <is>
          <t xml:space="preserve">    HV Cable (project site to point of grid interconnection)</t>
        </is>
      </c>
      <c r="B330" s="111" t="n">
        <v>0.1323879981420561</v>
      </c>
      <c r="C330" s="90">
        <f>'OECD Mapping'!A21</f>
        <v/>
      </c>
      <c r="D330" s="90">
        <f>'OECD Mapping'!B21</f>
        <v/>
      </c>
      <c r="E330" s="90" t="inlineStr">
        <is>
          <t>Offshore Wind JEDI</t>
        </is>
      </c>
      <c r="F330" s="16" t="n"/>
    </row>
    <row r="331">
      <c r="A331" s="20" t="inlineStr">
        <is>
          <t xml:space="preserve">    Onshore substation (formerly converter station)</t>
        </is>
      </c>
      <c r="B331" s="111" t="n">
        <v>0.05679706250954348</v>
      </c>
      <c r="C331" s="21">
        <f>'OECD Mapping'!A21</f>
        <v/>
      </c>
      <c r="D331" s="21">
        <f>'OECD Mapping'!B21</f>
        <v/>
      </c>
      <c r="E331" s="90" t="inlineStr">
        <is>
          <t>Offshore Wind JEDI</t>
        </is>
      </c>
      <c r="F331" s="6" t="n"/>
    </row>
    <row r="332">
      <c r="A332" s="20" t="inlineStr">
        <is>
          <t xml:space="preserve">    Offshore substation (formerly substation)</t>
        </is>
      </c>
      <c r="B332" s="111" t="n">
        <v>0.08147147254805141</v>
      </c>
      <c r="C332" s="21">
        <f>'OECD Mapping'!A21</f>
        <v/>
      </c>
      <c r="D332" s="21">
        <f>'OECD Mapping'!B21</f>
        <v/>
      </c>
      <c r="E332" s="90" t="inlineStr">
        <is>
          <t>Offshore Wind JEDI</t>
        </is>
      </c>
      <c r="F332" s="6" t="n"/>
    </row>
    <row r="333">
      <c r="A333" s="20" t="inlineStr">
        <is>
          <t xml:space="preserve">    Materials and Other Equipment Total</t>
        </is>
      </c>
      <c r="B333" s="111" t="n">
        <v>0.3157788725512981</v>
      </c>
      <c r="C333" s="21" t="n"/>
      <c r="D333" s="21" t="n"/>
      <c r="E333" s="90" t="n"/>
      <c r="F333" s="6" t="n"/>
    </row>
    <row r="334">
      <c r="A334" s="20" t="inlineStr">
        <is>
          <t>Labor Installation</t>
        </is>
      </c>
      <c r="B334" s="111" t="n"/>
      <c r="C334" s="21" t="n"/>
      <c r="D334" s="21" t="n"/>
      <c r="E334" s="90" t="n"/>
      <c r="F334" s="6" t="n"/>
    </row>
    <row r="335">
      <c r="A335" s="20" t="inlineStr">
        <is>
          <t xml:space="preserve">    Foundation</t>
        </is>
      </c>
      <c r="B335" s="111" t="n">
        <v>0.00621665972760632</v>
      </c>
      <c r="C335" s="21">
        <f>'OECD Mapping'!A29</f>
        <v/>
      </c>
      <c r="D335" s="21">
        <f>'OECD Mapping'!B29</f>
        <v/>
      </c>
      <c r="E335" s="90" t="inlineStr">
        <is>
          <t>Offshore Wind JEDI</t>
        </is>
      </c>
      <c r="F335" s="6" t="n"/>
    </row>
    <row r="336">
      <c r="A336" s="20" t="inlineStr">
        <is>
          <t xml:space="preserve">    Substructure  </t>
        </is>
      </c>
      <c r="B336" s="111" t="n">
        <v>0.004168313328400525</v>
      </c>
      <c r="C336" s="21">
        <f>'OECD Mapping'!A29</f>
        <v/>
      </c>
      <c r="D336" s="21">
        <f>'OECD Mapping'!B29</f>
        <v/>
      </c>
      <c r="E336" s="90" t="inlineStr">
        <is>
          <t>Offshore Wind JEDI</t>
        </is>
      </c>
      <c r="F336" s="6" t="n"/>
    </row>
    <row r="337">
      <c r="A337" s="20" t="inlineStr">
        <is>
          <t xml:space="preserve">    Erection/Installation</t>
        </is>
      </c>
      <c r="B337" s="111" t="n">
        <v>0.004233472495314711</v>
      </c>
      <c r="C337" s="21">
        <f>'OECD Mapping'!A29</f>
        <v/>
      </c>
      <c r="D337" s="21">
        <f>'OECD Mapping'!B29</f>
        <v/>
      </c>
      <c r="E337" s="90" t="inlineStr">
        <is>
          <t>Offshore Wind JEDI</t>
        </is>
      </c>
      <c r="F337" s="6" t="n"/>
    </row>
    <row r="338">
      <c r="A338" s="20" t="inlineStr">
        <is>
          <t xml:space="preserve">    Project Collection  </t>
        </is>
      </c>
      <c r="B338" s="111" t="n">
        <v>0.07206943770706753</v>
      </c>
      <c r="C338" s="21">
        <f>'OECD Mapping'!A29</f>
        <v/>
      </c>
      <c r="D338" s="21">
        <f>'OECD Mapping'!B29</f>
        <v/>
      </c>
      <c r="E338" s="90" t="inlineStr">
        <is>
          <t>Offshore Wind JEDI</t>
        </is>
      </c>
      <c r="F338" s="6" t="n"/>
    </row>
    <row r="339">
      <c r="A339" s="20" t="inlineStr">
        <is>
          <t xml:space="preserve">    Grid Interconnection (including substation)</t>
        </is>
      </c>
      <c r="B339" s="111" t="n">
        <v>0.0567377134894526</v>
      </c>
      <c r="C339" s="21">
        <f>'OECD Mapping'!A29</f>
        <v/>
      </c>
      <c r="D339" s="21">
        <f>'OECD Mapping'!B29</f>
        <v/>
      </c>
      <c r="E339" s="90" t="inlineStr">
        <is>
          <t>Offshore Wind JEDI</t>
        </is>
      </c>
      <c r="F339" s="6" t="n"/>
    </row>
    <row r="340">
      <c r="A340" s="20" t="inlineStr">
        <is>
          <t xml:space="preserve">    Management/Supervision</t>
        </is>
      </c>
      <c r="B340" s="111" t="n">
        <v>0.02544306945738374</v>
      </c>
      <c r="C340" s="21">
        <f>'OECD Mapping'!A38</f>
        <v/>
      </c>
      <c r="D340" s="21">
        <f>'OECD Mapping'!B38</f>
        <v/>
      </c>
      <c r="E340" s="90" t="inlineStr">
        <is>
          <t>Offshore Wind JEDI</t>
        </is>
      </c>
      <c r="F340" s="6" t="n"/>
    </row>
    <row r="341">
      <c r="A341" s="20" t="inlineStr">
        <is>
          <t xml:space="preserve">    Labor Installation Total</t>
        </is>
      </c>
      <c r="B341" s="111" t="n">
        <v>0.1688686662052254</v>
      </c>
      <c r="C341" s="21" t="n"/>
      <c r="D341" s="21" t="n"/>
      <c r="E341" s="90" t="n"/>
      <c r="F341" s="6" t="n"/>
    </row>
    <row r="342">
      <c r="A342" s="20" t="inlineStr">
        <is>
          <t>Insurance During Construction</t>
        </is>
      </c>
      <c r="B342" s="111" t="n"/>
      <c r="C342" s="21" t="n"/>
      <c r="D342" s="21" t="n"/>
      <c r="E342" s="90" t="n"/>
      <c r="F342" s="6" t="n"/>
    </row>
    <row r="343">
      <c r="A343" s="20" t="inlineStr">
        <is>
          <t xml:space="preserve">    CAR/Third Party liability/business interuption, etc.</t>
        </is>
      </c>
      <c r="B343" s="111" t="n">
        <v>0.008715166956677829</v>
      </c>
      <c r="C343" s="21">
        <f>'OECD Mapping'!A36</f>
        <v/>
      </c>
      <c r="D343" s="21">
        <f>'OECD Mapping'!B36</f>
        <v/>
      </c>
      <c r="E343" s="90" t="inlineStr">
        <is>
          <t>Offshore Wind JEDI</t>
        </is>
      </c>
      <c r="F343" s="6" t="n"/>
    </row>
    <row r="344">
      <c r="A344" s="20" t="inlineStr">
        <is>
          <t>Development Services/Other</t>
        </is>
      </c>
      <c r="B344" s="111" t="n"/>
      <c r="C344" s="21" t="n"/>
      <c r="D344" s="21" t="n"/>
      <c r="E344" s="90" t="n"/>
      <c r="F344" s="6" t="n"/>
    </row>
    <row r="345">
      <c r="A345" s="20" t="inlineStr">
        <is>
          <t xml:space="preserve">    Engineering</t>
        </is>
      </c>
      <c r="B345" s="111" t="n">
        <v>0.06067991972671441</v>
      </c>
      <c r="C345" s="21">
        <f>'OECD Mapping'!A38</f>
        <v/>
      </c>
      <c r="D345" s="21">
        <f>'OECD Mapping'!B38</f>
        <v/>
      </c>
      <c r="E345" s="90" t="inlineStr">
        <is>
          <t>Offshore Wind JEDI</t>
        </is>
      </c>
      <c r="F345" s="6" t="n"/>
    </row>
    <row r="346">
      <c r="A346" s="20" t="inlineStr">
        <is>
          <t xml:space="preserve">    Legal Services</t>
        </is>
      </c>
      <c r="B346" s="111" t="n">
        <v>0.01533150424508801</v>
      </c>
      <c r="C346" s="21">
        <f>'OECD Mapping'!A38</f>
        <v/>
      </c>
      <c r="D346" s="21">
        <f>'OECD Mapping'!B38</f>
        <v/>
      </c>
      <c r="E346" s="90" t="inlineStr">
        <is>
          <t>Offshore Wind JEDI</t>
        </is>
      </c>
      <c r="F346" s="6" t="n"/>
    </row>
    <row r="347">
      <c r="A347" s="20" t="inlineStr">
        <is>
          <t xml:space="preserve">    Public Relations</t>
        </is>
      </c>
      <c r="B347" s="111" t="n">
        <v>0.004599453850734927</v>
      </c>
      <c r="C347" s="21">
        <f>'OECD Mapping'!A38</f>
        <v/>
      </c>
      <c r="D347" s="21">
        <f>'OECD Mapping'!B38</f>
        <v/>
      </c>
      <c r="E347" s="90" t="inlineStr">
        <is>
          <t>Offshore Wind JEDI</t>
        </is>
      </c>
      <c r="F347" s="6" t="n"/>
    </row>
    <row r="348">
      <c r="A348" s="20" t="inlineStr">
        <is>
          <t xml:space="preserve">    Ports and Staging</t>
        </is>
      </c>
      <c r="B348" s="111" t="n">
        <v>0.003434617059405454</v>
      </c>
      <c r="C348" s="21">
        <f>'OECD Mapping'!A31</f>
        <v/>
      </c>
      <c r="D348" s="21">
        <f>'OECD Mapping'!B31</f>
        <v/>
      </c>
      <c r="E348" s="90" t="inlineStr">
        <is>
          <t>Offshore Wind JEDI</t>
        </is>
      </c>
      <c r="F348" s="6" t="n"/>
    </row>
    <row r="349">
      <c r="A349" s="20" t="inlineStr">
        <is>
          <t xml:space="preserve">    Site Certificate/Permitting</t>
        </is>
      </c>
      <c r="B349" s="111" t="n">
        <v>0.05110500126425074</v>
      </c>
      <c r="C349" s="21">
        <f>'OECD Mapping'!A38</f>
        <v/>
      </c>
      <c r="D349" s="21">
        <f>'OECD Mapping'!B38</f>
        <v/>
      </c>
      <c r="E349" s="90" t="inlineStr">
        <is>
          <t>Offshore Wind JEDI</t>
        </is>
      </c>
      <c r="F349" s="6" t="n"/>
    </row>
    <row r="350">
      <c r="A350" s="20" t="inlineStr">
        <is>
          <t xml:space="preserve">    Air Transportation (personnel or materials)</t>
        </is>
      </c>
      <c r="B350" s="111" t="n">
        <v>0</v>
      </c>
      <c r="C350" s="93">
        <f>'OECD Mapping'!A31</f>
        <v/>
      </c>
      <c r="D350" s="93">
        <f>'OECD Mapping'!B31</f>
        <v/>
      </c>
      <c r="E350" s="90" t="inlineStr">
        <is>
          <t>Offshore Wind JEDI</t>
        </is>
      </c>
      <c r="F350" s="6" t="n"/>
    </row>
    <row r="351">
      <c r="A351" s="20" t="inlineStr">
        <is>
          <t xml:space="preserve">    Marine Transportation (personnel or materials)</t>
        </is>
      </c>
      <c r="B351" s="111" t="n">
        <v>0.182432549075969</v>
      </c>
      <c r="C351" s="21">
        <f>'OECD Mapping'!A31</f>
        <v/>
      </c>
      <c r="D351" s="21">
        <f>'OECD Mapping'!B31</f>
        <v/>
      </c>
      <c r="E351" s="90" t="inlineStr">
        <is>
          <t>Offshore Wind JEDI</t>
        </is>
      </c>
      <c r="F351" s="6" t="n"/>
    </row>
    <row r="352">
      <c r="A352" s="20" t="inlineStr">
        <is>
          <t xml:space="preserve">    Erection/Installation (equipment services)</t>
        </is>
      </c>
      <c r="B352" s="111" t="n">
        <v>0.007208345059589912</v>
      </c>
      <c r="C352" s="21">
        <f>'OECD Mapping'!A38</f>
        <v/>
      </c>
      <c r="D352" s="21">
        <f>'OECD Mapping'!B38</f>
        <v/>
      </c>
      <c r="E352" s="90" t="inlineStr">
        <is>
          <t>Offshore Wind JEDI</t>
        </is>
      </c>
      <c r="F352" s="6" t="n"/>
    </row>
    <row r="353">
      <c r="A353" s="20" t="inlineStr">
        <is>
          <t xml:space="preserve">    Decomissioning Bonding</t>
        </is>
      </c>
      <c r="B353" s="111" t="n">
        <v>0.02614550087003348</v>
      </c>
      <c r="C353" s="21">
        <f>'OECD Mapping'!A36</f>
        <v/>
      </c>
      <c r="D353" s="21">
        <f>'OECD Mapping'!B36</f>
        <v/>
      </c>
      <c r="E353" s="90" t="inlineStr">
        <is>
          <t>Offshore Wind JEDI</t>
        </is>
      </c>
      <c r="F353" s="6" t="n"/>
    </row>
    <row r="354">
      <c r="A354" s="20" t="inlineStr">
        <is>
          <t xml:space="preserve">    Development Services/Other Total</t>
        </is>
      </c>
      <c r="B354" s="111" t="n">
        <v>0.3509368911517859</v>
      </c>
      <c r="C354" s="21" t="n"/>
      <c r="D354" s="21" t="n"/>
      <c r="E354" s="90" t="n"/>
      <c r="F354" s="6" t="n"/>
    </row>
    <row r="355">
      <c r="A355" s="20" t="inlineStr">
        <is>
          <t>Construction Financing (AFUDC)</t>
        </is>
      </c>
      <c r="B355" s="111" t="n"/>
      <c r="C355" s="21" t="n"/>
      <c r="D355" s="21" t="n"/>
      <c r="E355" s="90" t="n"/>
      <c r="F355" s="6" t="n"/>
    </row>
    <row r="356">
      <c r="A356" s="20" t="inlineStr">
        <is>
          <t xml:space="preserve">    Interest During Construction</t>
        </is>
      </c>
      <c r="B356" s="111" t="n">
        <v>0</v>
      </c>
      <c r="C356" s="21">
        <f>'OECD Mapping'!A36</f>
        <v/>
      </c>
      <c r="D356" s="21">
        <f>'OECD Mapping'!B36</f>
        <v/>
      </c>
      <c r="E356" s="90" t="inlineStr">
        <is>
          <t>Offshore Wind JEDI</t>
        </is>
      </c>
      <c r="F356" s="6" t="n"/>
    </row>
    <row r="357">
      <c r="A357" s="20" t="inlineStr">
        <is>
          <t xml:space="preserve">    Due Diligence Costs</t>
        </is>
      </c>
      <c r="B357" s="111" t="n">
        <v>0</v>
      </c>
      <c r="C357" s="21">
        <f>'OECD Mapping'!A38</f>
        <v/>
      </c>
      <c r="D357" s="21">
        <f>'OECD Mapping'!B38</f>
        <v/>
      </c>
      <c r="E357" s="90" t="inlineStr">
        <is>
          <t>Offshore Wind JEDI</t>
        </is>
      </c>
      <c r="F357" s="6" t="n"/>
    </row>
    <row r="358">
      <c r="A358" s="20" t="inlineStr">
        <is>
          <t xml:space="preserve">    Reserve Accounts (MRA/DSRA)</t>
        </is>
      </c>
      <c r="B358" s="111" t="n">
        <v>0</v>
      </c>
      <c r="C358" s="21">
        <f>'OECD Mapping'!A36</f>
        <v/>
      </c>
      <c r="D358" s="21">
        <f>'OECD Mapping'!B36</f>
        <v/>
      </c>
      <c r="E358" s="90" t="inlineStr">
        <is>
          <t>Offshore Wind JEDI</t>
        </is>
      </c>
      <c r="F358" s="6" t="n"/>
    </row>
    <row r="359">
      <c r="A359" s="20" t="inlineStr">
        <is>
          <t xml:space="preserve">    Bank Fees</t>
        </is>
      </c>
      <c r="B359" s="111" t="n">
        <v>0</v>
      </c>
      <c r="C359" s="21">
        <f>'OECD Mapping'!A36</f>
        <v/>
      </c>
      <c r="D359" s="21">
        <f>'OECD Mapping'!B36</f>
        <v/>
      </c>
      <c r="E359" s="90" t="inlineStr">
        <is>
          <t>Offshore Wind JEDI</t>
        </is>
      </c>
      <c r="F359" s="6" t="n"/>
    </row>
    <row r="360">
      <c r="A360" s="20" t="inlineStr">
        <is>
          <t xml:space="preserve">    Construction Financing Total</t>
        </is>
      </c>
      <c r="B360" s="111" t="n">
        <v>0</v>
      </c>
      <c r="C360" s="21" t="n"/>
      <c r="D360" s="21" t="n"/>
      <c r="E360" s="90" t="n"/>
      <c r="F360" s="6" t="n"/>
    </row>
    <row r="361">
      <c r="A361" s="20" t="inlineStr">
        <is>
          <t>Other Miscellaneous</t>
        </is>
      </c>
      <c r="B361" s="111" t="n">
        <v>0.09502048340829852</v>
      </c>
      <c r="C361" s="21">
        <f>'OECD Mapping'!A38</f>
        <v/>
      </c>
      <c r="D361" s="21">
        <f>'OECD Mapping'!B38</f>
        <v/>
      </c>
      <c r="E361" s="90" t="inlineStr">
        <is>
          <t>Offshore Wind JEDI</t>
        </is>
      </c>
      <c r="F361" s="6" t="n"/>
    </row>
    <row r="362">
      <c r="A362" s="20" t="inlineStr">
        <is>
          <t>Subtotal (all costs without taxes)</t>
        </is>
      </c>
      <c r="B362" s="111" t="n">
        <v>1</v>
      </c>
      <c r="C362" s="21" t="n"/>
      <c r="D362" s="21" t="n"/>
      <c r="E362" s="90" t="n"/>
      <c r="F362" s="6" t="n"/>
    </row>
    <row r="363">
      <c r="A363" s="20" t="inlineStr">
        <is>
          <t>Sales Tax (Material and Equipment Purchases)</t>
        </is>
      </c>
      <c r="B363" s="111" t="n">
        <v>0</v>
      </c>
      <c r="C363" s="21">
        <f>'OECD Mapping'!A39</f>
        <v/>
      </c>
      <c r="D363" s="21">
        <f>'OECD Mapping'!B39</f>
        <v/>
      </c>
      <c r="E363" s="90" t="inlineStr">
        <is>
          <t>Offshore Wind JEDI</t>
        </is>
      </c>
      <c r="F363" s="6" t="n"/>
    </row>
    <row r="364" ht="15" customHeight="1" thickBot="1">
      <c r="A364" s="67" t="inlineStr">
        <is>
          <t>Total Construction Cost</t>
        </is>
      </c>
      <c r="B364" s="66" t="n">
        <v>1</v>
      </c>
      <c r="C364" s="59" t="n"/>
      <c r="D364" s="59" t="n"/>
      <c r="E364" s="95" t="n"/>
      <c r="F364" s="72" t="n"/>
    </row>
    <row r="365">
      <c r="A365" s="11" t="inlineStr">
        <is>
          <t>Fixed O&amp;M Costs</t>
        </is>
      </c>
      <c r="B365" s="60" t="n"/>
      <c r="C365" s="103" t="n"/>
      <c r="D365" s="104" t="n"/>
      <c r="E365" s="60" t="n"/>
      <c r="F365" s="14" t="n"/>
    </row>
    <row r="366">
      <c r="A366" s="20" t="inlineStr">
        <is>
          <t>Labor</t>
        </is>
      </c>
      <c r="B366" s="111" t="n"/>
      <c r="C366" s="21" t="n"/>
      <c r="D366" s="21" t="n"/>
      <c r="E366" s="21" t="n"/>
      <c r="F366" s="6" t="n"/>
    </row>
    <row r="367">
      <c r="A367" s="20" t="inlineStr">
        <is>
          <t xml:space="preserve">    Technician Salaries</t>
        </is>
      </c>
      <c r="B367" s="111" t="n">
        <v>0.06318286908842388</v>
      </c>
      <c r="C367" s="21">
        <f>'OECD Mapping'!A26</f>
        <v/>
      </c>
      <c r="D367" s="21">
        <f>'OECD Mapping'!B26</f>
        <v/>
      </c>
      <c r="E367" s="90" t="inlineStr">
        <is>
          <t>Offshore Wind JEDI</t>
        </is>
      </c>
      <c r="F367" s="6" t="n"/>
    </row>
    <row r="368">
      <c r="A368" s="20" t="inlineStr">
        <is>
          <t xml:space="preserve">    Monitoring &amp; Daily Operation Staff and Other Craft Labor</t>
        </is>
      </c>
      <c r="B368" s="111" t="n">
        <v>0</v>
      </c>
      <c r="C368" s="21">
        <f>'OECD Mapping'!A26</f>
        <v/>
      </c>
      <c r="D368" s="21">
        <f>'OECD Mapping'!B26</f>
        <v/>
      </c>
      <c r="E368" s="90" t="inlineStr">
        <is>
          <t>Offshore Wind JEDI</t>
        </is>
      </c>
      <c r="F368" s="6" t="n"/>
    </row>
    <row r="369">
      <c r="A369" s="20" t="inlineStr">
        <is>
          <t xml:space="preserve">    Administrative</t>
        </is>
      </c>
      <c r="B369" s="111" t="n">
        <v>0.01170053140693321</v>
      </c>
      <c r="C369" s="21">
        <f>'OECD Mapping'!A26</f>
        <v/>
      </c>
      <c r="D369" s="21">
        <f>'OECD Mapping'!B26</f>
        <v/>
      </c>
      <c r="E369" s="90" t="inlineStr">
        <is>
          <t>Offshore Wind JEDI</t>
        </is>
      </c>
      <c r="F369" s="6" t="n"/>
    </row>
    <row r="370">
      <c r="A370" s="20" t="inlineStr">
        <is>
          <t xml:space="preserve">    Management/Supervision</t>
        </is>
      </c>
      <c r="B370" s="111" t="n">
        <v>0.05616254966827284</v>
      </c>
      <c r="C370" s="21">
        <f>'OECD Mapping'!A26</f>
        <v/>
      </c>
      <c r="D370" s="21">
        <f>'OECD Mapping'!B26</f>
        <v/>
      </c>
      <c r="E370" s="90" t="inlineStr">
        <is>
          <t>Offshore Wind JEDI</t>
        </is>
      </c>
      <c r="F370" s="6" t="n"/>
    </row>
    <row r="371">
      <c r="A371" s="20" t="inlineStr">
        <is>
          <t xml:space="preserve">    Labor Total</t>
        </is>
      </c>
      <c r="B371" s="111" t="n">
        <v>0.1310459501636299</v>
      </c>
      <c r="C371" s="21" t="n"/>
      <c r="D371" s="21" t="n"/>
      <c r="E371" s="21" t="n"/>
      <c r="F371" s="6" t="n"/>
    </row>
    <row r="372">
      <c r="A372" s="20" t="inlineStr">
        <is>
          <t>Materials and Services</t>
        </is>
      </c>
      <c r="B372" s="111" t="n"/>
      <c r="C372" s="21" t="n"/>
      <c r="D372" s="21" t="n"/>
      <c r="E372" s="21" t="n"/>
      <c r="F372" s="6" t="n"/>
    </row>
    <row r="373">
      <c r="A373" s="20" t="inlineStr">
        <is>
          <t xml:space="preserve">    Water Transport</t>
        </is>
      </c>
      <c r="B373" s="111" t="n">
        <v>0.1994320770116259</v>
      </c>
      <c r="C373" s="21">
        <f>'OECD Mapping'!A31</f>
        <v/>
      </c>
      <c r="D373" s="21">
        <f>'OECD Mapping'!B31</f>
        <v/>
      </c>
      <c r="E373" s="90" t="inlineStr">
        <is>
          <t>Offshore Wind JEDI</t>
        </is>
      </c>
      <c r="F373" s="6" t="n"/>
    </row>
    <row r="374">
      <c r="A374" s="20" t="inlineStr">
        <is>
          <t xml:space="preserve">    Site Facilities</t>
        </is>
      </c>
      <c r="B374" s="111" t="n">
        <v>0.09971603850581295</v>
      </c>
      <c r="C374" s="21">
        <f>'OECD Mapping'!A38</f>
        <v/>
      </c>
      <c r="D374" s="21">
        <f>'OECD Mapping'!B38</f>
        <v/>
      </c>
      <c r="E374" s="90" t="inlineStr">
        <is>
          <t>Offshore Wind JEDI</t>
        </is>
      </c>
      <c r="F374" s="6" t="n"/>
    </row>
    <row r="375">
      <c r="A375" s="20" t="inlineStr">
        <is>
          <t xml:space="preserve">    Machinery and Equipment</t>
        </is>
      </c>
      <c r="B375" s="111" t="n">
        <v>0.04273544507391984</v>
      </c>
      <c r="C375" s="21">
        <f>'OECD Mapping'!A22</f>
        <v/>
      </c>
      <c r="D375" s="21">
        <f>'OECD Mapping'!B22</f>
        <v/>
      </c>
      <c r="E375" s="90" t="inlineStr">
        <is>
          <t>Offshore Wind JEDI</t>
        </is>
      </c>
      <c r="F375" s="6" t="n"/>
    </row>
    <row r="376">
      <c r="A376" s="20" t="inlineStr">
        <is>
          <t xml:space="preserve">    Subcontractors</t>
        </is>
      </c>
      <c r="B376" s="111" t="n">
        <v>0.06410316761087977</v>
      </c>
      <c r="C376" s="21">
        <f>'OECD Mapping'!A29</f>
        <v/>
      </c>
      <c r="D376" s="21">
        <f>'OECD Mapping'!B29</f>
        <v/>
      </c>
      <c r="E376" s="90" t="inlineStr">
        <is>
          <t>Offshore Wind JEDI</t>
        </is>
      </c>
      <c r="F376" s="6" t="n"/>
    </row>
    <row r="377">
      <c r="A377" s="20" t="inlineStr">
        <is>
          <t xml:space="preserve">    Corrective Maintenance Parts</t>
        </is>
      </c>
      <c r="B377" s="111" t="n">
        <v>0.4629673216341316</v>
      </c>
      <c r="C377" s="21">
        <f>'OECD Mapping'!A22</f>
        <v/>
      </c>
      <c r="D377" s="21">
        <f>'OECD Mapping'!B22</f>
        <v/>
      </c>
      <c r="E377" s="90" t="inlineStr">
        <is>
          <t>Offshore Wind JEDI</t>
        </is>
      </c>
      <c r="F377" s="6" t="n"/>
    </row>
    <row r="378">
      <c r="A378" s="20" t="inlineStr">
        <is>
          <t xml:space="preserve">    Materials and Services Subtotal</t>
        </is>
      </c>
      <c r="B378" s="111" t="n">
        <v>0.8689540498363701</v>
      </c>
      <c r="C378" s="21" t="n"/>
      <c r="D378" s="21" t="n"/>
      <c r="E378" s="21" t="n"/>
      <c r="F378" s="6" t="n"/>
    </row>
    <row r="379">
      <c r="A379" s="20" t="inlineStr">
        <is>
          <t>Subtotal (all costs without taxes)</t>
        </is>
      </c>
      <c r="B379" s="111" t="n">
        <v>1</v>
      </c>
      <c r="C379" s="21" t="n"/>
      <c r="D379" s="21" t="n"/>
      <c r="E379" s="21" t="n"/>
      <c r="F379" s="6" t="n"/>
    </row>
    <row r="380">
      <c r="A380" s="20" t="inlineStr">
        <is>
          <t>Sales Tax (Material and Equipment Purchases)</t>
        </is>
      </c>
      <c r="B380" s="111" t="n">
        <v>0</v>
      </c>
      <c r="C380" s="21">
        <f>'OECD Mapping'!A39</f>
        <v/>
      </c>
      <c r="D380" s="21">
        <f>'OECD Mapping'!B39</f>
        <v/>
      </c>
      <c r="E380" s="90" t="inlineStr">
        <is>
          <t>Offshore Wind JEDI</t>
        </is>
      </c>
      <c r="F380" s="6" t="n"/>
    </row>
    <row r="381" ht="15" customHeight="1" thickBot="1">
      <c r="A381" s="24" t="inlineStr">
        <is>
          <t>Total Operational Cost</t>
        </is>
      </c>
      <c r="B381" s="18" t="n">
        <v>1</v>
      </c>
      <c r="C381" s="25" t="n"/>
      <c r="D381" s="25" t="n"/>
      <c r="E381" s="25" t="n"/>
      <c r="F381" s="10" t="n"/>
    </row>
  </sheetData>
  <mergeCells count="10">
    <mergeCell ref="A235:F235"/>
    <mergeCell ref="A219:F219"/>
    <mergeCell ref="A1:F1"/>
    <mergeCell ref="A75:F75"/>
    <mergeCell ref="A289:F289"/>
    <mergeCell ref="A110:F110"/>
    <mergeCell ref="A164:F164"/>
    <mergeCell ref="A315:F315"/>
    <mergeCell ref="A18:F18"/>
    <mergeCell ref="A145:F145"/>
  </mergeCells>
  <dataValidations disablePrompts="1" count="1">
    <dataValidation sqref="B17" showDropDown="0" showInputMessage="0" showErrorMessage="1" allowBlank="1" errorTitle="Expenditures" error="Expenditures must be a number that is greater than or equal to zero." type="decimal">
      <formula1>0</formula1>
      <formula2>9000000000000000000</formula2>
    </dataValidation>
  </dataValidations>
  <hyperlinks>
    <hyperlink xmlns:r="http://schemas.openxmlformats.org/officeDocument/2006/relationships" ref="F4" r:id="rId1"/>
    <hyperlink xmlns:r="http://schemas.openxmlformats.org/officeDocument/2006/relationships" ref="F5" display="https://www.nrel.gov/docs/fy19osti/72399.pdf, Figure 28" r:id="rId2"/>
    <hyperlink xmlns:r="http://schemas.openxmlformats.org/officeDocument/2006/relationships" ref="F6" display="https://www.nrel.gov/docs/fy19osti/72399.pdf, Figure 28" r:id="rId3"/>
    <hyperlink xmlns:r="http://schemas.openxmlformats.org/officeDocument/2006/relationships" ref="F7" display="https://www.nrel.gov/docs/fy19osti/72399.pdf, Figure 28" r:id="rId4"/>
    <hyperlink xmlns:r="http://schemas.openxmlformats.org/officeDocument/2006/relationships" ref="F8" display="https://www.nrel.gov/docs/fy19osti/72399.pdf, Figure 28" r:id="rId5"/>
    <hyperlink xmlns:r="http://schemas.openxmlformats.org/officeDocument/2006/relationships" ref="F9" display="https://www.nrel.gov/docs/fy19osti/72399.pdf, Figure 28" r:id="rId6"/>
    <hyperlink xmlns:r="http://schemas.openxmlformats.org/officeDocument/2006/relationships" ref="F10" display="https://www.nrel.gov/docs/fy19osti/72399.pdf, Figure 28" r:id="rId7"/>
    <hyperlink xmlns:r="http://schemas.openxmlformats.org/officeDocument/2006/relationships" ref="F11" display="https://www.nrel.gov/docs/fy19osti/72399.pdf, Figure 28" r:id="rId8"/>
    <hyperlink xmlns:r="http://schemas.openxmlformats.org/officeDocument/2006/relationships" ref="F12" display="https://www.nrel.gov/docs/fy19osti/72399.pdf, Figure 28" r:id="rId9"/>
    <hyperlink xmlns:r="http://schemas.openxmlformats.org/officeDocument/2006/relationships" ref="F13" display="https://www.nrel.gov/docs/fy19osti/72399.pdf, Figure 28" r:id="rId10"/>
    <hyperlink xmlns:r="http://schemas.openxmlformats.org/officeDocument/2006/relationships" ref="F15" display="https://www.nrel.gov/analysis/jedi/international.html" r:id="rId11"/>
    <hyperlink xmlns:r="http://schemas.openxmlformats.org/officeDocument/2006/relationships" ref="F16" display="https://www.nrel.gov/analysis/jedi/international.html" r:id="rId12"/>
    <hyperlink xmlns:r="http://schemas.openxmlformats.org/officeDocument/2006/relationships" ref="F78" r:id="rId13"/>
    <hyperlink xmlns:r="http://schemas.openxmlformats.org/officeDocument/2006/relationships" ref="F100" r:id="rId14"/>
    <hyperlink xmlns:r="http://schemas.openxmlformats.org/officeDocument/2006/relationships" ref="F101" r:id="rId15"/>
    <hyperlink xmlns:r="http://schemas.openxmlformats.org/officeDocument/2006/relationships" ref="F102" r:id="rId16"/>
    <hyperlink xmlns:r="http://schemas.openxmlformats.org/officeDocument/2006/relationships" ref="F105" r:id="rId17"/>
    <hyperlink xmlns:r="http://schemas.openxmlformats.org/officeDocument/2006/relationships" ref="F106" r:id="rId18"/>
    <hyperlink xmlns:r="http://schemas.openxmlformats.org/officeDocument/2006/relationships" ref="F107" r:id="rId19"/>
    <hyperlink xmlns:r="http://schemas.openxmlformats.org/officeDocument/2006/relationships" ref="F140" display="https://www.nrel.gov/analysis/jedi/natural-gas.html" r:id="rId20"/>
    <hyperlink xmlns:r="http://schemas.openxmlformats.org/officeDocument/2006/relationships" ref="F141" display="https://www.nrel.gov/analysis/jedi/natural-gas.html" r:id="rId21"/>
    <hyperlink xmlns:r="http://schemas.openxmlformats.org/officeDocument/2006/relationships" ref="F142" display="https://www.nrel.gov/analysis/jedi/natural-gas.html" r:id="rId22"/>
    <hyperlink xmlns:r="http://schemas.openxmlformats.org/officeDocument/2006/relationships" ref="F150" r:id="rId23"/>
    <hyperlink xmlns:r="http://schemas.openxmlformats.org/officeDocument/2006/relationships" ref="F151" display="https://www.world-nuclear.org/information-library/economic-aspects/economics-of-nuclear-power.aspx" r:id="rId24"/>
    <hyperlink xmlns:r="http://schemas.openxmlformats.org/officeDocument/2006/relationships" ref="F152" display="https://www.world-nuclear.org/information-library/economic-aspects/economics-of-nuclear-power.aspx" r:id="rId25"/>
    <hyperlink xmlns:r="http://schemas.openxmlformats.org/officeDocument/2006/relationships" ref="F153" display="https://www.world-nuclear.org/information-library/economic-aspects/economics-of-nuclear-power.aspx" r:id="rId26"/>
    <hyperlink xmlns:r="http://schemas.openxmlformats.org/officeDocument/2006/relationships" ref="F154" display="https://www.world-nuclear.org/information-library/economic-aspects/economics-of-nuclear-power.aspx" r:id="rId27"/>
    <hyperlink xmlns:r="http://schemas.openxmlformats.org/officeDocument/2006/relationships" ref="F155" display="https://www.world-nuclear.org/information-library/economic-aspects/economics-of-nuclear-power.aspx" r:id="rId28"/>
    <hyperlink xmlns:r="http://schemas.openxmlformats.org/officeDocument/2006/relationships" ref="F156" display="https://www.world-nuclear.org/information-library/economic-aspects/economics-of-nuclear-power.aspx" r:id="rId29"/>
    <hyperlink xmlns:r="http://schemas.openxmlformats.org/officeDocument/2006/relationships" ref="F157" display="https://www.world-nuclear.org/information-library/economic-aspects/economics-of-nuclear-power.aspx" r:id="rId30"/>
    <hyperlink xmlns:r="http://schemas.openxmlformats.org/officeDocument/2006/relationships" ref="F158" display="https://www.world-nuclear.org/information-library/economic-aspects/economics-of-nuclear-power.aspx" r:id="rId31"/>
    <hyperlink xmlns:r="http://schemas.openxmlformats.org/officeDocument/2006/relationships" ref="F160" r:id="rId32"/>
    <hyperlink xmlns:r="http://schemas.openxmlformats.org/officeDocument/2006/relationships" ref="F162" r:id="rId33"/>
    <hyperlink xmlns:r="http://schemas.openxmlformats.org/officeDocument/2006/relationships" ref="F167" r:id="rId34"/>
    <hyperlink xmlns:r="http://schemas.openxmlformats.org/officeDocument/2006/relationships" ref="F202" r:id="rId35"/>
    <hyperlink xmlns:r="http://schemas.openxmlformats.org/officeDocument/2006/relationships" ref="F203" display="https://www.nrel.gov/analysis/jedi/conventional-hydro.html" r:id="rId36"/>
    <hyperlink xmlns:r="http://schemas.openxmlformats.org/officeDocument/2006/relationships" ref="F204" display="https://www.nrel.gov/analysis/jedi/conventional-hydro.html" r:id="rId37"/>
    <hyperlink xmlns:r="http://schemas.openxmlformats.org/officeDocument/2006/relationships" ref="F205" display="https://www.nrel.gov/analysis/jedi/conventional-hydro.html" r:id="rId38"/>
    <hyperlink xmlns:r="http://schemas.openxmlformats.org/officeDocument/2006/relationships" ref="F206" display="https://www.nrel.gov/analysis/jedi/conventional-hydro.html" r:id="rId39"/>
    <hyperlink xmlns:r="http://schemas.openxmlformats.org/officeDocument/2006/relationships" ref="F207" display="https://www.nrel.gov/analysis/jedi/conventional-hydro.html" r:id="rId40"/>
    <hyperlink xmlns:r="http://schemas.openxmlformats.org/officeDocument/2006/relationships" ref="F208" display="https://www.nrel.gov/analysis/jedi/conventional-hydro.html" r:id="rId41"/>
    <hyperlink xmlns:r="http://schemas.openxmlformats.org/officeDocument/2006/relationships" ref="F209" display="https://www.nrel.gov/analysis/jedi/conventional-hydro.html" r:id="rId42"/>
    <hyperlink xmlns:r="http://schemas.openxmlformats.org/officeDocument/2006/relationships" ref="F210" display="https://www.nrel.gov/analysis/jedi/conventional-hydro.html" r:id="rId43"/>
    <hyperlink xmlns:r="http://schemas.openxmlformats.org/officeDocument/2006/relationships" ref="F211" display="https://www.nrel.gov/analysis/jedi/conventional-hydro.html" r:id="rId44"/>
    <hyperlink xmlns:r="http://schemas.openxmlformats.org/officeDocument/2006/relationships" ref="F212" display="https://www.nrel.gov/analysis/jedi/conventional-hydro.html" r:id="rId45"/>
    <hyperlink xmlns:r="http://schemas.openxmlformats.org/officeDocument/2006/relationships" ref="F213" display="https://www.nrel.gov/analysis/jedi/conventional-hydro.html" r:id="rId46"/>
    <hyperlink xmlns:r="http://schemas.openxmlformats.org/officeDocument/2006/relationships" ref="F214" display="https://www.nrel.gov/analysis/jedi/conventional-hydro.html" r:id="rId47"/>
    <hyperlink xmlns:r="http://schemas.openxmlformats.org/officeDocument/2006/relationships" ref="F215" display="https://www.nrel.gov/analysis/jedi/conventional-hydro.html" r:id="rId48"/>
    <hyperlink xmlns:r="http://schemas.openxmlformats.org/officeDocument/2006/relationships" ref="F217" r:id="rId49"/>
    <hyperlink xmlns:r="http://schemas.openxmlformats.org/officeDocument/2006/relationships" ref="F222" display="https://www.nrel.gov/analysis/jedi/international.html" r:id="rId50"/>
    <hyperlink xmlns:r="http://schemas.openxmlformats.org/officeDocument/2006/relationships" ref="F223" display="https://www.nrel.gov/analysis/jedi/international.html" r:id="rId51"/>
    <hyperlink xmlns:r="http://schemas.openxmlformats.org/officeDocument/2006/relationships" ref="F224" display="https://www.nrel.gov/analysis/jedi/international.html" r:id="rId52"/>
    <hyperlink xmlns:r="http://schemas.openxmlformats.org/officeDocument/2006/relationships" ref="F225" display="https://www.nrel.gov/analysis/jedi/international.html" r:id="rId53"/>
    <hyperlink xmlns:r="http://schemas.openxmlformats.org/officeDocument/2006/relationships" ref="F226" display="https://www.nrel.gov/analysis/jedi/international.html" r:id="rId54"/>
    <hyperlink xmlns:r="http://schemas.openxmlformats.org/officeDocument/2006/relationships" ref="F227" display="https://www.nrel.gov/analysis/jedi/international.html" r:id="rId55"/>
    <hyperlink xmlns:r="http://schemas.openxmlformats.org/officeDocument/2006/relationships" ref="F229" r:id="rId56"/>
    <hyperlink xmlns:r="http://schemas.openxmlformats.org/officeDocument/2006/relationships" ref="F231" r:id="rId57"/>
    <hyperlink xmlns:r="http://schemas.openxmlformats.org/officeDocument/2006/relationships" ref="F232" r:id="rId58"/>
    <hyperlink xmlns:r="http://schemas.openxmlformats.org/officeDocument/2006/relationships" ref="F233" r:id="rId59"/>
    <hyperlink xmlns:r="http://schemas.openxmlformats.org/officeDocument/2006/relationships" ref="F239" r:id="rId60"/>
    <hyperlink xmlns:r="http://schemas.openxmlformats.org/officeDocument/2006/relationships" ref="F242" r:id="rId61"/>
    <hyperlink xmlns:r="http://schemas.openxmlformats.org/officeDocument/2006/relationships" ref="F243" r:id="rId62"/>
    <hyperlink xmlns:r="http://schemas.openxmlformats.org/officeDocument/2006/relationships" ref="F244" r:id="rId63"/>
    <hyperlink xmlns:r="http://schemas.openxmlformats.org/officeDocument/2006/relationships" ref="F245" r:id="rId64"/>
    <hyperlink xmlns:r="http://schemas.openxmlformats.org/officeDocument/2006/relationships" ref="F246" r:id="rId65"/>
    <hyperlink xmlns:r="http://schemas.openxmlformats.org/officeDocument/2006/relationships" ref="F250" r:id="rId66"/>
    <hyperlink xmlns:r="http://schemas.openxmlformats.org/officeDocument/2006/relationships" ref="F251" r:id="rId67"/>
    <hyperlink xmlns:r="http://schemas.openxmlformats.org/officeDocument/2006/relationships" ref="F252" r:id="rId68"/>
    <hyperlink xmlns:r="http://schemas.openxmlformats.org/officeDocument/2006/relationships" ref="F253" r:id="rId69"/>
    <hyperlink xmlns:r="http://schemas.openxmlformats.org/officeDocument/2006/relationships" ref="F254" r:id="rId70"/>
    <hyperlink xmlns:r="http://schemas.openxmlformats.org/officeDocument/2006/relationships" ref="F255" r:id="rId71"/>
    <hyperlink xmlns:r="http://schemas.openxmlformats.org/officeDocument/2006/relationships" ref="F256" r:id="rId72"/>
    <hyperlink xmlns:r="http://schemas.openxmlformats.org/officeDocument/2006/relationships" ref="F257" r:id="rId73"/>
    <hyperlink xmlns:r="http://schemas.openxmlformats.org/officeDocument/2006/relationships" ref="F258" r:id="rId74"/>
    <hyperlink xmlns:r="http://schemas.openxmlformats.org/officeDocument/2006/relationships" ref="F259" r:id="rId75"/>
    <hyperlink xmlns:r="http://schemas.openxmlformats.org/officeDocument/2006/relationships" ref="F260" r:id="rId76"/>
    <hyperlink xmlns:r="http://schemas.openxmlformats.org/officeDocument/2006/relationships" ref="F261" r:id="rId77"/>
    <hyperlink xmlns:r="http://schemas.openxmlformats.org/officeDocument/2006/relationships" ref="F262" r:id="rId78"/>
    <hyperlink xmlns:r="http://schemas.openxmlformats.org/officeDocument/2006/relationships" ref="F265" r:id="rId79"/>
    <hyperlink xmlns:r="http://schemas.openxmlformats.org/officeDocument/2006/relationships" ref="F266" r:id="rId80"/>
    <hyperlink xmlns:r="http://schemas.openxmlformats.org/officeDocument/2006/relationships" ref="F267" r:id="rId81"/>
    <hyperlink xmlns:r="http://schemas.openxmlformats.org/officeDocument/2006/relationships" ref="F274" r:id="rId82"/>
    <hyperlink xmlns:r="http://schemas.openxmlformats.org/officeDocument/2006/relationships" ref="F275" r:id="rId83"/>
    <hyperlink xmlns:r="http://schemas.openxmlformats.org/officeDocument/2006/relationships" ref="F276" r:id="rId84"/>
    <hyperlink xmlns:r="http://schemas.openxmlformats.org/officeDocument/2006/relationships" ref="F277" r:id="rId85"/>
    <hyperlink xmlns:r="http://schemas.openxmlformats.org/officeDocument/2006/relationships" ref="F281" r:id="rId86"/>
    <hyperlink xmlns:r="http://schemas.openxmlformats.org/officeDocument/2006/relationships" ref="F282" display="https://www.nrel.gov/analysis/jedi/csp.html" r:id="rId87"/>
    <hyperlink xmlns:r="http://schemas.openxmlformats.org/officeDocument/2006/relationships" ref="F283" display="https://www.nrel.gov/analysis/jedi/csp.html" r:id="rId88"/>
    <hyperlink xmlns:r="http://schemas.openxmlformats.org/officeDocument/2006/relationships" ref="F284" r:id="rId89"/>
    <hyperlink xmlns:r="http://schemas.openxmlformats.org/officeDocument/2006/relationships" ref="F285" r:id="rId90"/>
    <hyperlink xmlns:r="http://schemas.openxmlformats.org/officeDocument/2006/relationships" ref="F286" r:id="rId91"/>
    <hyperlink xmlns:r="http://schemas.openxmlformats.org/officeDocument/2006/relationships" ref="F293" display="https://www.nrel.gov/analysis/jedi/international.html" r:id="rId92"/>
    <hyperlink xmlns:r="http://schemas.openxmlformats.org/officeDocument/2006/relationships" ref="F294" display="https://www.nrel.gov/analysis/jedi/international.html" r:id="rId93"/>
    <hyperlink xmlns:r="http://schemas.openxmlformats.org/officeDocument/2006/relationships" ref="F295" display="https://www.nrel.gov/analysis/jedi/international.html" r:id="rId94"/>
    <hyperlink xmlns:r="http://schemas.openxmlformats.org/officeDocument/2006/relationships" ref="F296" display="https://www.nrel.gov/analysis/jedi/international.html" r:id="rId95"/>
    <hyperlink xmlns:r="http://schemas.openxmlformats.org/officeDocument/2006/relationships" ref="F297" display="https://www.nrel.gov/analysis/jedi/international.html" r:id="rId96"/>
    <hyperlink xmlns:r="http://schemas.openxmlformats.org/officeDocument/2006/relationships" ref="F298" display="https://www.nrel.gov/analysis/jedi/international.html" r:id="rId97"/>
    <hyperlink xmlns:r="http://schemas.openxmlformats.org/officeDocument/2006/relationships" ref="F299" display="https://www.nrel.gov/analysis/jedi/international.html" r:id="rId98"/>
    <hyperlink xmlns:r="http://schemas.openxmlformats.org/officeDocument/2006/relationships" ref="F300" display="https://www.nrel.gov/analysis/jedi/international.html" r:id="rId99"/>
    <hyperlink xmlns:r="http://schemas.openxmlformats.org/officeDocument/2006/relationships" ref="F301" display="https://www.nrel.gov/analysis/jedi/international.html" r:id="rId100"/>
    <hyperlink xmlns:r="http://schemas.openxmlformats.org/officeDocument/2006/relationships" ref="F303" display="https://www.nrel.gov/analysis/jedi/international.html" r:id="rId101"/>
    <hyperlink xmlns:r="http://schemas.openxmlformats.org/officeDocument/2006/relationships" ref="F304" display="https://www.nrel.gov/analysis/jedi/international.html" r:id="rId102"/>
    <hyperlink xmlns:r="http://schemas.openxmlformats.org/officeDocument/2006/relationships" ref="F305" display="https://www.nrel.gov/analysis/jedi/international.html" r:id="rId103"/>
    <hyperlink xmlns:r="http://schemas.openxmlformats.org/officeDocument/2006/relationships" ref="F306" display="https://www.nrel.gov/analysis/jedi/international.html" r:id="rId104"/>
    <hyperlink xmlns:r="http://schemas.openxmlformats.org/officeDocument/2006/relationships" ref="F308" r:id="rId105"/>
    <hyperlink xmlns:r="http://schemas.openxmlformats.org/officeDocument/2006/relationships" ref="F309" r:id="rId106"/>
    <hyperlink xmlns:r="http://schemas.openxmlformats.org/officeDocument/2006/relationships" ref="F310" r:id="rId107"/>
    <hyperlink xmlns:r="http://schemas.openxmlformats.org/officeDocument/2006/relationships" ref="F311" r:id="rId108"/>
    <hyperlink xmlns:r="http://schemas.openxmlformats.org/officeDocument/2006/relationships" ref="F313" r:id="rId109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4"/>
  <sheetViews>
    <sheetView zoomScaleNormal="100" workbookViewId="0">
      <selection activeCell="T14" sqref="T14"/>
    </sheetView>
  </sheetViews>
  <sheetFormatPr baseColWidth="8" defaultRowHeight="14.5"/>
  <cols>
    <col width="21.1796875" customWidth="1" min="16" max="16"/>
    <col width="20" customWidth="1" min="20" max="20"/>
  </cols>
  <sheetData>
    <row r="1">
      <c r="A1" s="115" t="inlineStr">
        <is>
          <t>Solar PV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</row>
    <row r="2"/>
    <row r="3">
      <c r="T3" s="120" t="inlineStr">
        <is>
          <t>SUMMARY</t>
        </is>
      </c>
      <c r="U3" s="121" t="n"/>
      <c r="V3" s="113">
        <f>SUM(U5:U14)</f>
        <v/>
      </c>
    </row>
    <row r="4">
      <c r="Q4" t="inlineStr">
        <is>
          <t>total</t>
        </is>
      </c>
      <c r="R4" t="inlineStr">
        <is>
          <t>percent</t>
        </is>
      </c>
    </row>
    <row r="5">
      <c r="P5" s="71" t="inlineStr">
        <is>
          <t>EPC</t>
        </is>
      </c>
      <c r="Q5" s="71" t="n">
        <v>4</v>
      </c>
      <c r="R5" s="114">
        <f>Q5/$Q$20</f>
        <v/>
      </c>
      <c r="T5" s="122" t="inlineStr">
        <is>
          <t>Module</t>
        </is>
      </c>
      <c r="U5" s="113">
        <f>R19</f>
        <v/>
      </c>
    </row>
    <row r="6">
      <c r="P6" s="71" t="inlineStr">
        <is>
          <t>Developer overhead</t>
        </is>
      </c>
      <c r="Q6" s="71" t="n">
        <v>2</v>
      </c>
      <c r="R6" s="114">
        <f>Q6/$Q$20</f>
        <v/>
      </c>
      <c r="T6" s="122" t="inlineStr">
        <is>
          <t>Inverter</t>
        </is>
      </c>
      <c r="U6" s="113">
        <f>R17</f>
        <v/>
      </c>
    </row>
    <row r="7">
      <c r="P7" s="71" t="inlineStr">
        <is>
          <t>contingency</t>
        </is>
      </c>
      <c r="Q7" s="71" t="n">
        <v>2</v>
      </c>
      <c r="R7" s="114">
        <f>Q7/$Q$20</f>
        <v/>
      </c>
      <c r="T7" s="122" t="inlineStr">
        <is>
          <t>Electrical BOS</t>
        </is>
      </c>
      <c r="U7" s="113">
        <f>R14</f>
        <v/>
      </c>
    </row>
    <row r="8">
      <c r="P8" t="inlineStr">
        <is>
          <t>transmission line</t>
        </is>
      </c>
      <c r="Q8" t="n">
        <v>2</v>
      </c>
      <c r="R8" s="112" t="n"/>
      <c r="T8" s="122" t="inlineStr">
        <is>
          <t>Structural BOS</t>
        </is>
      </c>
      <c r="U8" s="113">
        <f>R15</f>
        <v/>
      </c>
    </row>
    <row r="9">
      <c r="P9" t="inlineStr">
        <is>
          <t>interconnection fee</t>
        </is>
      </c>
      <c r="Q9" t="n">
        <v>2</v>
      </c>
      <c r="R9" s="112" t="n"/>
      <c r="T9" s="122" t="inlineStr">
        <is>
          <t>Install Labor and Equipment</t>
        </is>
      </c>
      <c r="U9" s="113">
        <f>R13</f>
        <v/>
      </c>
    </row>
    <row r="10">
      <c r="P10" t="inlineStr">
        <is>
          <t>permitting fee</t>
        </is>
      </c>
      <c r="Q10" t="n">
        <v>2</v>
      </c>
      <c r="R10" s="112" t="n"/>
      <c r="T10" s="122" t="inlineStr">
        <is>
          <t>EPC Overhead</t>
        </is>
      </c>
      <c r="U10" s="113">
        <f>R12</f>
        <v/>
      </c>
    </row>
    <row r="11">
      <c r="P11" s="71" t="inlineStr">
        <is>
          <t>sale tax</t>
        </is>
      </c>
      <c r="Q11" s="71" t="n">
        <v>4</v>
      </c>
      <c r="R11" s="114">
        <f>Q11/$Q$20</f>
        <v/>
      </c>
      <c r="T11" s="122" t="inlineStr">
        <is>
          <t>Sales Tax</t>
        </is>
      </c>
      <c r="U11" s="113">
        <f>R11</f>
        <v/>
      </c>
    </row>
    <row r="12">
      <c r="P12" s="71" t="inlineStr">
        <is>
          <t>epc overhead</t>
        </is>
      </c>
      <c r="Q12" s="71" t="n">
        <v>5</v>
      </c>
      <c r="R12" s="114">
        <f>Q12/$Q$20</f>
        <v/>
      </c>
      <c r="T12" s="122" t="inlineStr">
        <is>
          <t>Developer Overhead</t>
        </is>
      </c>
      <c r="U12" s="113">
        <f>R6</f>
        <v/>
      </c>
    </row>
    <row r="13">
      <c r="P13" s="71" t="inlineStr">
        <is>
          <t xml:space="preserve">install labor </t>
        </is>
      </c>
      <c r="Q13" s="71" t="n">
        <v>11</v>
      </c>
      <c r="R13" s="114">
        <f>Q13/$Q$20</f>
        <v/>
      </c>
      <c r="T13" s="122" t="inlineStr">
        <is>
          <t>Contingency</t>
        </is>
      </c>
      <c r="U13" s="113">
        <f>R7</f>
        <v/>
      </c>
    </row>
    <row r="14">
      <c r="P14" s="71" t="inlineStr">
        <is>
          <t>electrical bos</t>
        </is>
      </c>
      <c r="Q14" s="71" t="n">
        <v>7</v>
      </c>
      <c r="R14" s="114">
        <f>Q14/$Q$20</f>
        <v/>
      </c>
      <c r="T14" s="122" t="inlineStr">
        <is>
          <t>EPC/Developer Net Profit</t>
        </is>
      </c>
      <c r="U14" s="113">
        <f>R5</f>
        <v/>
      </c>
    </row>
    <row r="15">
      <c r="P15" s="71" t="inlineStr">
        <is>
          <t>structural bos</t>
        </is>
      </c>
      <c r="Q15" s="71" t="n">
        <v>12</v>
      </c>
      <c r="R15" s="114">
        <f>Q15/$Q$20</f>
        <v/>
      </c>
      <c r="T15" s="123" t="n"/>
      <c r="U15" s="124" t="n"/>
    </row>
    <row r="16">
      <c r="P16" t="inlineStr">
        <is>
          <t>bidirectional inverter</t>
        </is>
      </c>
      <c r="Q16" t="n">
        <v>0</v>
      </c>
      <c r="R16" s="112" t="n"/>
      <c r="T16" s="122" t="n"/>
      <c r="U16" s="125" t="n"/>
    </row>
    <row r="17">
      <c r="P17" s="71" t="inlineStr">
        <is>
          <t>solar inverter</t>
        </is>
      </c>
      <c r="Q17" s="71" t="n">
        <v>4</v>
      </c>
      <c r="R17" s="114">
        <f>Q17/$Q$20</f>
        <v/>
      </c>
      <c r="T17" s="122" t="n"/>
      <c r="U17" s="125" t="n"/>
    </row>
    <row r="18">
      <c r="P18" t="inlineStr">
        <is>
          <t>lithiomion battery</t>
        </is>
      </c>
      <c r="Q18" t="n">
        <v>0</v>
      </c>
      <c r="R18" s="112" t="n"/>
    </row>
    <row r="19">
      <c r="P19" s="71" t="inlineStr">
        <is>
          <t>pv module</t>
        </is>
      </c>
      <c r="Q19" s="71" t="n">
        <v>33</v>
      </c>
      <c r="R19" s="114">
        <f>Q19/$Q$20</f>
        <v/>
      </c>
    </row>
    <row r="20">
      <c r="Q20" s="71">
        <f>SUM(Q5:Q7,Q11:Q15,Q17,Q19)</f>
        <v/>
      </c>
    </row>
    <row r="21"/>
    <row r="22">
      <c r="P22" s="71" t="inlineStr">
        <is>
          <t>JEDI</t>
        </is>
      </c>
    </row>
    <row r="23">
      <c r="P23" t="inlineStr">
        <is>
          <t>Maintenance and repair services</t>
        </is>
      </c>
      <c r="Q23" t="n">
        <v>1581937.886280458</v>
      </c>
      <c r="R23" s="112">
        <f>Q23/SUM($Q$23:$Q$24)</f>
        <v/>
      </c>
    </row>
    <row r="24">
      <c r="P24" t="inlineStr">
        <is>
          <t>Repair parts</t>
        </is>
      </c>
      <c r="Q24" t="n">
        <v>1373114.205152522</v>
      </c>
      <c r="R24" s="112">
        <f>Q24/SUM($Q$23:$Q$24)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39" t="inlineStr">
        <is>
          <t>Validation checks (42-code sibling)</t>
        </is>
      </c>
    </row>
    <row r="2">
      <c r="A2" s="140" t="inlineStr">
        <is>
          <t>Allocation output rows sum to 1 across the 42 ISIC codes (rate files excluded — see note).</t>
        </is>
      </c>
    </row>
    <row r="4">
      <c r="A4" s="139" t="inlineStr">
        <is>
          <t>SoESCaOMCbIC-capital.csv</t>
        </is>
      </c>
    </row>
    <row r="5">
      <c r="A5" t="inlineStr">
        <is>
          <t xml:space="preserve">  hard coal</t>
        </is>
      </c>
      <c r="B5">
        <f>SUM('SoESCaOMCbIC-capital'!B2:AQ2)</f>
        <v/>
      </c>
      <c r="C5" s="139">
        <f>IF(ABS(B5-1)&lt;0.000001,"=1",IF(ABS(B5)&lt;0.000001,"=0","CHECK"))</f>
        <v/>
      </c>
    </row>
    <row r="6">
      <c r="A6" t="inlineStr">
        <is>
          <t xml:space="preserve">  natural gas steam turbine</t>
        </is>
      </c>
      <c r="B6">
        <f>SUM('SoESCaOMCbIC-capital'!B3:AQ3)</f>
        <v/>
      </c>
      <c r="C6" s="139">
        <f>IF(ABS(B6-1)&lt;0.000001,"=1",IF(ABS(B6)&lt;0.000001,"=0","CHECK"))</f>
        <v/>
      </c>
    </row>
    <row r="7">
      <c r="A7" t="inlineStr">
        <is>
          <t xml:space="preserve">  natural gas combined cycle</t>
        </is>
      </c>
      <c r="B7">
        <f>SUM('SoESCaOMCbIC-capital'!B4:AQ4)</f>
        <v/>
      </c>
      <c r="C7" s="139">
        <f>IF(ABS(B7-1)&lt;0.000001,"=1",IF(ABS(B7)&lt;0.000001,"=0","CHECK"))</f>
        <v/>
      </c>
    </row>
    <row r="8">
      <c r="A8" t="inlineStr">
        <is>
          <t xml:space="preserve">  nuclear</t>
        </is>
      </c>
      <c r="B8">
        <f>SUM('SoESCaOMCbIC-capital'!B5:AQ5)</f>
        <v/>
      </c>
      <c r="C8" s="139">
        <f>IF(ABS(B8-1)&lt;0.000001,"=1",IF(ABS(B8)&lt;0.000001,"=0","CHECK"))</f>
        <v/>
      </c>
    </row>
    <row r="9">
      <c r="A9" t="inlineStr">
        <is>
          <t xml:space="preserve">  hydro</t>
        </is>
      </c>
      <c r="B9">
        <f>SUM('SoESCaOMCbIC-capital'!B6:AQ6)</f>
        <v/>
      </c>
      <c r="C9" s="139">
        <f>IF(ABS(B9-1)&lt;0.000001,"=1",IF(ABS(B9)&lt;0.000001,"=0","CHECK"))</f>
        <v/>
      </c>
    </row>
    <row r="10">
      <c r="A10" t="inlineStr">
        <is>
          <t xml:space="preserve">  wind</t>
        </is>
      </c>
      <c r="B10">
        <f>SUM('SoESCaOMCbIC-capital'!B7:AQ7)</f>
        <v/>
      </c>
      <c r="C10" s="139">
        <f>IF(ABS(B10-1)&lt;0.000001,"=1",IF(ABS(B10)&lt;0.000001,"=0","CHECK"))</f>
        <v/>
      </c>
    </row>
    <row r="11">
      <c r="A11" t="inlineStr">
        <is>
          <t xml:space="preserve">  solar PV</t>
        </is>
      </c>
      <c r="B11">
        <f>SUM('SoESCaOMCbIC-capital'!B8:AQ8)</f>
        <v/>
      </c>
      <c r="C11" s="139">
        <f>IF(ABS(B11-1)&lt;0.000001,"=1",IF(ABS(B11)&lt;0.000001,"=0","CHECK"))</f>
        <v/>
      </c>
    </row>
    <row r="12">
      <c r="A12" t="inlineStr">
        <is>
          <t xml:space="preserve">  solar thermal</t>
        </is>
      </c>
      <c r="B12">
        <f>SUM('SoESCaOMCbIC-capital'!B9:AQ9)</f>
        <v/>
      </c>
      <c r="C12" s="139">
        <f>IF(ABS(B12-1)&lt;0.000001,"=1",IF(ABS(B12)&lt;0.000001,"=0","CHECK"))</f>
        <v/>
      </c>
    </row>
    <row r="13">
      <c r="A13" t="inlineStr">
        <is>
          <t xml:space="preserve">  biomass</t>
        </is>
      </c>
      <c r="B13">
        <f>SUM('SoESCaOMCbIC-capital'!B10:AQ10)</f>
        <v/>
      </c>
      <c r="C13" s="139">
        <f>IF(ABS(B13-1)&lt;0.000001,"=1",IF(ABS(B13)&lt;0.000001,"=0","CHECK"))</f>
        <v/>
      </c>
    </row>
    <row r="14">
      <c r="A14" t="inlineStr">
        <is>
          <t xml:space="preserve">  geothermal</t>
        </is>
      </c>
      <c r="B14">
        <f>SUM('SoESCaOMCbIC-capital'!B11:AQ11)</f>
        <v/>
      </c>
      <c r="C14" s="139">
        <f>IF(ABS(B14-1)&lt;0.000001,"=1",IF(ABS(B14)&lt;0.000001,"=0","CHECK"))</f>
        <v/>
      </c>
    </row>
    <row r="15">
      <c r="A15" t="inlineStr">
        <is>
          <t xml:space="preserve">  petroleum</t>
        </is>
      </c>
      <c r="B15">
        <f>SUM('SoESCaOMCbIC-capital'!B12:AQ12)</f>
        <v/>
      </c>
      <c r="C15" s="139">
        <f>IF(ABS(B15-1)&lt;0.000001,"=1",IF(ABS(B15)&lt;0.000001,"=0","CHECK"))</f>
        <v/>
      </c>
    </row>
    <row r="16">
      <c r="A16" t="inlineStr">
        <is>
          <t xml:space="preserve">  natural gas peaker</t>
        </is>
      </c>
      <c r="B16">
        <f>SUM('SoESCaOMCbIC-capital'!B13:AQ13)</f>
        <v/>
      </c>
      <c r="C16" s="139">
        <f>IF(ABS(B16-1)&lt;0.000001,"=1",IF(ABS(B16)&lt;0.000001,"=0","CHECK"))</f>
        <v/>
      </c>
    </row>
    <row r="17">
      <c r="A17" t="inlineStr">
        <is>
          <t xml:space="preserve">  lignite</t>
        </is>
      </c>
      <c r="B17">
        <f>SUM('SoESCaOMCbIC-capital'!B14:AQ14)</f>
        <v/>
      </c>
      <c r="C17" s="139">
        <f>IF(ABS(B17-1)&lt;0.000001,"=1",IF(ABS(B17)&lt;0.000001,"=0","CHECK"))</f>
        <v/>
      </c>
    </row>
    <row r="18">
      <c r="A18" t="inlineStr">
        <is>
          <t xml:space="preserve">  offshore wind</t>
        </is>
      </c>
      <c r="B18">
        <f>SUM('SoESCaOMCbIC-capital'!B15:AQ15)</f>
        <v/>
      </c>
      <c r="C18" s="139">
        <f>IF(ABS(B18-1)&lt;0.000001,"=1",IF(ABS(B18)&lt;0.000001,"=0","CHECK"))</f>
        <v/>
      </c>
    </row>
    <row r="19">
      <c r="A19" t="inlineStr">
        <is>
          <t xml:space="preserve">  crude oil</t>
        </is>
      </c>
      <c r="B19">
        <f>SUM('SoESCaOMCbIC-capital'!B16:AQ16)</f>
        <v/>
      </c>
      <c r="C19" s="139">
        <f>IF(ABS(B19-1)&lt;0.000001,"=1",IF(ABS(B19)&lt;0.000001,"=0","CHECK"))</f>
        <v/>
      </c>
    </row>
    <row r="20">
      <c r="A20" t="inlineStr">
        <is>
          <t xml:space="preserve">  heavy or residual fuel oil</t>
        </is>
      </c>
      <c r="B20">
        <f>SUM('SoESCaOMCbIC-capital'!B17:AQ17)</f>
        <v/>
      </c>
      <c r="C20" s="139">
        <f>IF(ABS(B20-1)&lt;0.000001,"=1",IF(ABS(B20)&lt;0.000001,"=0","CHECK"))</f>
        <v/>
      </c>
    </row>
    <row r="21">
      <c r="A21" t="inlineStr">
        <is>
          <t xml:space="preserve">  municipal solid waste</t>
        </is>
      </c>
      <c r="B21">
        <f>SUM('SoESCaOMCbIC-capital'!B18:AQ18)</f>
        <v/>
      </c>
      <c r="C21" s="139">
        <f>IF(ABS(B21-1)&lt;0.000001,"=1",IF(ABS(B21)&lt;0.000001,"=0","CHECK"))</f>
        <v/>
      </c>
    </row>
    <row r="22">
      <c r="A22" t="inlineStr">
        <is>
          <t xml:space="preserve">  hard coal w CCS</t>
        </is>
      </c>
      <c r="B22">
        <f>SUM('SoESCaOMCbIC-capital'!B19:AQ19)</f>
        <v/>
      </c>
      <c r="C22" s="139">
        <f>IF(ABS(B22-1)&lt;0.000001,"=1",IF(ABS(B22)&lt;0.000001,"=0","CHECK"))</f>
        <v/>
      </c>
    </row>
    <row r="23">
      <c r="A23" t="inlineStr">
        <is>
          <t xml:space="preserve">  natural gas combined cycle w CCS</t>
        </is>
      </c>
      <c r="B23">
        <f>SUM('SoESCaOMCbIC-capital'!B20:AQ20)</f>
        <v/>
      </c>
      <c r="C23" s="139">
        <f>IF(ABS(B23-1)&lt;0.000001,"=1",IF(ABS(B23)&lt;0.000001,"=0","CHECK"))</f>
        <v/>
      </c>
    </row>
    <row r="24">
      <c r="A24" t="inlineStr">
        <is>
          <t xml:space="preserve">  biomass w CCS</t>
        </is>
      </c>
      <c r="B24">
        <f>SUM('SoESCaOMCbIC-capital'!B21:AQ21)</f>
        <v/>
      </c>
      <c r="C24" s="139">
        <f>IF(ABS(B24-1)&lt;0.000001,"=1",IF(ABS(B24)&lt;0.000001,"=0","CHECK"))</f>
        <v/>
      </c>
    </row>
    <row r="25">
      <c r="A25" t="inlineStr">
        <is>
          <t xml:space="preserve">  lignite w CCS</t>
        </is>
      </c>
      <c r="B25">
        <f>SUM('SoESCaOMCbIC-capital'!B22:AQ22)</f>
        <v/>
      </c>
      <c r="C25" s="139">
        <f>IF(ABS(B25-1)&lt;0.000001,"=1",IF(ABS(B25)&lt;0.000001,"=0","CHECK"))</f>
        <v/>
      </c>
    </row>
    <row r="26">
      <c r="A26" t="inlineStr">
        <is>
          <t xml:space="preserve">  small modular reactor</t>
        </is>
      </c>
      <c r="B26">
        <f>SUM('SoESCaOMCbIC-capital'!B23:AQ23)</f>
        <v/>
      </c>
      <c r="C26" s="139">
        <f>IF(ABS(B26-1)&lt;0.000001,"=1",IF(ABS(B26)&lt;0.000001,"=0","CHECK"))</f>
        <v/>
      </c>
    </row>
    <row r="27">
      <c r="A27" t="inlineStr">
        <is>
          <t xml:space="preserve">  hydrogen combustion turbine</t>
        </is>
      </c>
      <c r="B27">
        <f>SUM('SoESCaOMCbIC-capital'!B24:AQ24)</f>
        <v/>
      </c>
      <c r="C27" s="139">
        <f>IF(ABS(B27-1)&lt;0.000001,"=1",IF(ABS(B27)&lt;0.000001,"=0","CHECK"))</f>
        <v/>
      </c>
    </row>
    <row r="28">
      <c r="A28" t="inlineStr">
        <is>
          <t xml:space="preserve">  hydrogen combined cycle</t>
        </is>
      </c>
      <c r="B28">
        <f>SUM('SoESCaOMCbIC-capital'!B25:AQ25)</f>
        <v/>
      </c>
      <c r="C28" s="139">
        <f>IF(ABS(B28-1)&lt;0.000001,"=1",IF(ABS(B28)&lt;0.000001,"=0","CHECK"))</f>
        <v/>
      </c>
    </row>
    <row r="30">
      <c r="A30" s="139" t="inlineStr">
        <is>
          <t>SoESCaOMCbIC-fixedOM.csv</t>
        </is>
      </c>
    </row>
    <row r="31">
      <c r="A31" t="inlineStr">
        <is>
          <t xml:space="preserve">  hard coal</t>
        </is>
      </c>
      <c r="B31">
        <f>SUM('SoESCaOMCbIC-fixedOM'!B2:AQ2)</f>
        <v/>
      </c>
      <c r="C31" s="139">
        <f>IF(ABS(B31-1)&lt;0.000001,"=1",IF(ABS(B31)&lt;0.000001,"=0","CHECK"))</f>
        <v/>
      </c>
    </row>
    <row r="32">
      <c r="A32" t="inlineStr">
        <is>
          <t xml:space="preserve">  natural gas steam turbine</t>
        </is>
      </c>
      <c r="B32">
        <f>SUM('SoESCaOMCbIC-fixedOM'!B3:AQ3)</f>
        <v/>
      </c>
      <c r="C32" s="139">
        <f>IF(ABS(B32-1)&lt;0.000001,"=1",IF(ABS(B32)&lt;0.000001,"=0","CHECK"))</f>
        <v/>
      </c>
    </row>
    <row r="33">
      <c r="A33" t="inlineStr">
        <is>
          <t xml:space="preserve">  natural gas combined cycle</t>
        </is>
      </c>
      <c r="B33">
        <f>SUM('SoESCaOMCbIC-fixedOM'!B4:AQ4)</f>
        <v/>
      </c>
      <c r="C33" s="139">
        <f>IF(ABS(B33-1)&lt;0.000001,"=1",IF(ABS(B33)&lt;0.000001,"=0","CHECK"))</f>
        <v/>
      </c>
    </row>
    <row r="34">
      <c r="A34" t="inlineStr">
        <is>
          <t xml:space="preserve">  nuclear</t>
        </is>
      </c>
      <c r="B34">
        <f>SUM('SoESCaOMCbIC-fixedOM'!B5:AQ5)</f>
        <v/>
      </c>
      <c r="C34" s="139">
        <f>IF(ABS(B34-1)&lt;0.000001,"=1",IF(ABS(B34)&lt;0.000001,"=0","CHECK"))</f>
        <v/>
      </c>
    </row>
    <row r="35">
      <c r="A35" t="inlineStr">
        <is>
          <t xml:space="preserve">  hydro</t>
        </is>
      </c>
      <c r="B35">
        <f>SUM('SoESCaOMCbIC-fixedOM'!B6:AQ6)</f>
        <v/>
      </c>
      <c r="C35" s="139">
        <f>IF(ABS(B35-1)&lt;0.000001,"=1",IF(ABS(B35)&lt;0.000001,"=0","CHECK"))</f>
        <v/>
      </c>
    </row>
    <row r="36">
      <c r="A36" t="inlineStr">
        <is>
          <t xml:space="preserve">  wind</t>
        </is>
      </c>
      <c r="B36">
        <f>SUM('SoESCaOMCbIC-fixedOM'!B7:AQ7)</f>
        <v/>
      </c>
      <c r="C36" s="139">
        <f>IF(ABS(B36-1)&lt;0.000001,"=1",IF(ABS(B36)&lt;0.000001,"=0","CHECK"))</f>
        <v/>
      </c>
    </row>
    <row r="37">
      <c r="A37" t="inlineStr">
        <is>
          <t xml:space="preserve">  solar PV</t>
        </is>
      </c>
      <c r="B37">
        <f>SUM('SoESCaOMCbIC-fixedOM'!B8:AQ8)</f>
        <v/>
      </c>
      <c r="C37" s="139">
        <f>IF(ABS(B37-1)&lt;0.000001,"=1",IF(ABS(B37)&lt;0.000001,"=0","CHECK"))</f>
        <v/>
      </c>
    </row>
    <row r="38">
      <c r="A38" t="inlineStr">
        <is>
          <t xml:space="preserve">  solar thermal</t>
        </is>
      </c>
      <c r="B38">
        <f>SUM('SoESCaOMCbIC-fixedOM'!B9:AQ9)</f>
        <v/>
      </c>
      <c r="C38" s="139">
        <f>IF(ABS(B38-1)&lt;0.000001,"=1",IF(ABS(B38)&lt;0.000001,"=0","CHECK"))</f>
        <v/>
      </c>
    </row>
    <row r="39">
      <c r="A39" t="inlineStr">
        <is>
          <t xml:space="preserve">  biomass</t>
        </is>
      </c>
      <c r="B39">
        <f>SUM('SoESCaOMCbIC-fixedOM'!B10:AQ10)</f>
        <v/>
      </c>
      <c r="C39" s="139">
        <f>IF(ABS(B39-1)&lt;0.000001,"=1",IF(ABS(B39)&lt;0.000001,"=0","CHECK"))</f>
        <v/>
      </c>
    </row>
    <row r="40">
      <c r="A40" t="inlineStr">
        <is>
          <t xml:space="preserve">  geothermal</t>
        </is>
      </c>
      <c r="B40">
        <f>SUM('SoESCaOMCbIC-fixedOM'!B11:AQ11)</f>
        <v/>
      </c>
      <c r="C40" s="139">
        <f>IF(ABS(B40-1)&lt;0.000001,"=1",IF(ABS(B40)&lt;0.000001,"=0","CHECK"))</f>
        <v/>
      </c>
    </row>
    <row r="41">
      <c r="A41" t="inlineStr">
        <is>
          <t xml:space="preserve">  petroleum</t>
        </is>
      </c>
      <c r="B41">
        <f>SUM('SoESCaOMCbIC-fixedOM'!B12:AQ12)</f>
        <v/>
      </c>
      <c r="C41" s="139">
        <f>IF(ABS(B41-1)&lt;0.000001,"=1",IF(ABS(B41)&lt;0.000001,"=0","CHECK"))</f>
        <v/>
      </c>
    </row>
    <row r="42">
      <c r="A42" t="inlineStr">
        <is>
          <t xml:space="preserve">  natural gas peaker</t>
        </is>
      </c>
      <c r="B42">
        <f>SUM('SoESCaOMCbIC-fixedOM'!B13:AQ13)</f>
        <v/>
      </c>
      <c r="C42" s="139">
        <f>IF(ABS(B42-1)&lt;0.000001,"=1",IF(ABS(B42)&lt;0.000001,"=0","CHECK"))</f>
        <v/>
      </c>
    </row>
    <row r="43">
      <c r="A43" t="inlineStr">
        <is>
          <t xml:space="preserve">  lignite</t>
        </is>
      </c>
      <c r="B43">
        <f>SUM('SoESCaOMCbIC-fixedOM'!B14:AQ14)</f>
        <v/>
      </c>
      <c r="C43" s="139">
        <f>IF(ABS(B43-1)&lt;0.000001,"=1",IF(ABS(B43)&lt;0.000001,"=0","CHECK"))</f>
        <v/>
      </c>
    </row>
    <row r="44">
      <c r="A44" t="inlineStr">
        <is>
          <t xml:space="preserve">  offshore wind</t>
        </is>
      </c>
      <c r="B44">
        <f>SUM('SoESCaOMCbIC-fixedOM'!B15:AQ15)</f>
        <v/>
      </c>
      <c r="C44" s="139">
        <f>IF(ABS(B44-1)&lt;0.000001,"=1",IF(ABS(B44)&lt;0.000001,"=0","CHECK"))</f>
        <v/>
      </c>
    </row>
    <row r="45">
      <c r="A45" t="inlineStr">
        <is>
          <t xml:space="preserve">  crude oil</t>
        </is>
      </c>
      <c r="B45">
        <f>SUM('SoESCaOMCbIC-fixedOM'!B16:AQ16)</f>
        <v/>
      </c>
      <c r="C45" s="139">
        <f>IF(ABS(B45-1)&lt;0.000001,"=1",IF(ABS(B45)&lt;0.000001,"=0","CHECK"))</f>
        <v/>
      </c>
    </row>
    <row r="46">
      <c r="A46" t="inlineStr">
        <is>
          <t xml:space="preserve">  heavy or residual fuel oil</t>
        </is>
      </c>
      <c r="B46">
        <f>SUM('SoESCaOMCbIC-fixedOM'!B17:AQ17)</f>
        <v/>
      </c>
      <c r="C46" s="139">
        <f>IF(ABS(B46-1)&lt;0.000001,"=1",IF(ABS(B46)&lt;0.000001,"=0","CHECK"))</f>
        <v/>
      </c>
    </row>
    <row r="47">
      <c r="A47" t="inlineStr">
        <is>
          <t xml:space="preserve">  municipal solid waste</t>
        </is>
      </c>
      <c r="B47">
        <f>SUM('SoESCaOMCbIC-fixedOM'!B18:AQ18)</f>
        <v/>
      </c>
      <c r="C47" s="139">
        <f>IF(ABS(B47-1)&lt;0.000001,"=1",IF(ABS(B47)&lt;0.000001,"=0","CHECK"))</f>
        <v/>
      </c>
    </row>
    <row r="48">
      <c r="A48" t="inlineStr">
        <is>
          <t xml:space="preserve">  hard coal w CCS</t>
        </is>
      </c>
      <c r="B48">
        <f>SUM('SoESCaOMCbIC-fixedOM'!B19:AQ19)</f>
        <v/>
      </c>
      <c r="C48" s="139">
        <f>IF(ABS(B48-1)&lt;0.000001,"=1",IF(ABS(B48)&lt;0.000001,"=0","CHECK"))</f>
        <v/>
      </c>
    </row>
    <row r="49">
      <c r="A49" t="inlineStr">
        <is>
          <t xml:space="preserve">  natural gas combined cycle w CCS</t>
        </is>
      </c>
      <c r="B49">
        <f>SUM('SoESCaOMCbIC-fixedOM'!B20:AQ20)</f>
        <v/>
      </c>
      <c r="C49" s="139">
        <f>IF(ABS(B49-1)&lt;0.000001,"=1",IF(ABS(B49)&lt;0.000001,"=0","CHECK"))</f>
        <v/>
      </c>
    </row>
    <row r="50">
      <c r="A50" t="inlineStr">
        <is>
          <t xml:space="preserve">  biomass w CCS</t>
        </is>
      </c>
      <c r="B50">
        <f>SUM('SoESCaOMCbIC-fixedOM'!B21:AQ21)</f>
        <v/>
      </c>
      <c r="C50" s="139">
        <f>IF(ABS(B50-1)&lt;0.000001,"=1",IF(ABS(B50)&lt;0.000001,"=0","CHECK"))</f>
        <v/>
      </c>
    </row>
    <row r="51">
      <c r="A51" t="inlineStr">
        <is>
          <t xml:space="preserve">  lignite w CCS</t>
        </is>
      </c>
      <c r="B51">
        <f>SUM('SoESCaOMCbIC-fixedOM'!B22:AQ22)</f>
        <v/>
      </c>
      <c r="C51" s="139">
        <f>IF(ABS(B51-1)&lt;0.000001,"=1",IF(ABS(B51)&lt;0.000001,"=0","CHECK"))</f>
        <v/>
      </c>
    </row>
    <row r="52">
      <c r="A52" t="inlineStr">
        <is>
          <t xml:space="preserve">  small modular reactor</t>
        </is>
      </c>
      <c r="B52">
        <f>SUM('SoESCaOMCbIC-fixedOM'!B23:AQ23)</f>
        <v/>
      </c>
      <c r="C52" s="139">
        <f>IF(ABS(B52-1)&lt;0.000001,"=1",IF(ABS(B52)&lt;0.000001,"=0","CHECK"))</f>
        <v/>
      </c>
    </row>
    <row r="53">
      <c r="A53" t="inlineStr">
        <is>
          <t xml:space="preserve">  hydrogen combustion turbine</t>
        </is>
      </c>
      <c r="B53">
        <f>SUM('SoESCaOMCbIC-fixedOM'!B24:AQ24)</f>
        <v/>
      </c>
      <c r="C53" s="139">
        <f>IF(ABS(B53-1)&lt;0.000001,"=1",IF(ABS(B53)&lt;0.000001,"=0","CHECK"))</f>
        <v/>
      </c>
    </row>
    <row r="54">
      <c r="A54" t="inlineStr">
        <is>
          <t xml:space="preserve">  hydrogen combined cycle</t>
        </is>
      </c>
      <c r="B54">
        <f>SUM('SoESCaOMCbIC-fixedOM'!B25:AQ25)</f>
        <v/>
      </c>
      <c r="C54" s="139">
        <f>IF(ABS(B54-1)&lt;0.000001,"=1",IF(ABS(B54)&lt;0.000001,"=0","CHECK"))</f>
        <v/>
      </c>
    </row>
    <row r="56">
      <c r="A56" s="139" t="inlineStr">
        <is>
          <t>SoESCaOMCbIC-variableOM.csv</t>
        </is>
      </c>
    </row>
    <row r="57">
      <c r="A57" t="inlineStr">
        <is>
          <t xml:space="preserve">  hard coal</t>
        </is>
      </c>
      <c r="B57">
        <f>SUM('SoESCaOMCbIC-variableOM'!B2:AQ2)</f>
        <v/>
      </c>
      <c r="C57" s="139">
        <f>IF(ABS(B57-1)&lt;0.000001,"=1",IF(ABS(B57)&lt;0.000001,"=0","CHECK"))</f>
        <v/>
      </c>
    </row>
    <row r="58">
      <c r="A58" t="inlineStr">
        <is>
          <t xml:space="preserve">  natural gas steam turbine</t>
        </is>
      </c>
      <c r="B58">
        <f>SUM('SoESCaOMCbIC-variableOM'!B3:AQ3)</f>
        <v/>
      </c>
      <c r="C58" s="139">
        <f>IF(ABS(B58-1)&lt;0.000001,"=1",IF(ABS(B58)&lt;0.000001,"=0","CHECK"))</f>
        <v/>
      </c>
    </row>
    <row r="59">
      <c r="A59" t="inlineStr">
        <is>
          <t xml:space="preserve">  natural gas combined cycle</t>
        </is>
      </c>
      <c r="B59">
        <f>SUM('SoESCaOMCbIC-variableOM'!B4:AQ4)</f>
        <v/>
      </c>
      <c r="C59" s="139">
        <f>IF(ABS(B59-1)&lt;0.000001,"=1",IF(ABS(B59)&lt;0.000001,"=0","CHECK"))</f>
        <v/>
      </c>
    </row>
    <row r="60">
      <c r="A60" t="inlineStr">
        <is>
          <t xml:space="preserve">  nuclear</t>
        </is>
      </c>
      <c r="B60">
        <f>SUM('SoESCaOMCbIC-variableOM'!B5:AQ5)</f>
        <v/>
      </c>
      <c r="C60" s="139">
        <f>IF(ABS(B60-1)&lt;0.000001,"=1",IF(ABS(B60)&lt;0.000001,"=0","CHECK"))</f>
        <v/>
      </c>
    </row>
    <row r="61">
      <c r="A61" t="inlineStr">
        <is>
          <t xml:space="preserve">  hydro</t>
        </is>
      </c>
      <c r="B61">
        <f>SUM('SoESCaOMCbIC-variableOM'!B6:AQ6)</f>
        <v/>
      </c>
      <c r="C61" s="139">
        <f>IF(ABS(B61-1)&lt;0.000001,"=1",IF(ABS(B61)&lt;0.000001,"=0","CHECK"))</f>
        <v/>
      </c>
    </row>
    <row r="62">
      <c r="A62" t="inlineStr">
        <is>
          <t xml:space="preserve">  wind</t>
        </is>
      </c>
      <c r="B62">
        <f>SUM('SoESCaOMCbIC-variableOM'!B7:AQ7)</f>
        <v/>
      </c>
      <c r="C62" s="139">
        <f>IF(ABS(B62-1)&lt;0.000001,"=1",IF(ABS(B62)&lt;0.000001,"=0","CHECK"))</f>
        <v/>
      </c>
    </row>
    <row r="63">
      <c r="A63" t="inlineStr">
        <is>
          <t xml:space="preserve">  solar PV</t>
        </is>
      </c>
      <c r="B63">
        <f>SUM('SoESCaOMCbIC-variableOM'!B8:AQ8)</f>
        <v/>
      </c>
      <c r="C63" s="139">
        <f>IF(ABS(B63-1)&lt;0.000001,"=1",IF(ABS(B63)&lt;0.000001,"=0","CHECK"))</f>
        <v/>
      </c>
    </row>
    <row r="64">
      <c r="A64" t="inlineStr">
        <is>
          <t xml:space="preserve">  solar thermal</t>
        </is>
      </c>
      <c r="B64">
        <f>SUM('SoESCaOMCbIC-variableOM'!B9:AQ9)</f>
        <v/>
      </c>
      <c r="C64" s="139">
        <f>IF(ABS(B64-1)&lt;0.000001,"=1",IF(ABS(B64)&lt;0.000001,"=0","CHECK"))</f>
        <v/>
      </c>
    </row>
    <row r="65">
      <c r="A65" t="inlineStr">
        <is>
          <t xml:space="preserve">  biomass</t>
        </is>
      </c>
      <c r="B65">
        <f>SUM('SoESCaOMCbIC-variableOM'!B10:AQ10)</f>
        <v/>
      </c>
      <c r="C65" s="139">
        <f>IF(ABS(B65-1)&lt;0.000001,"=1",IF(ABS(B65)&lt;0.000001,"=0","CHECK"))</f>
        <v/>
      </c>
    </row>
    <row r="66">
      <c r="A66" t="inlineStr">
        <is>
          <t xml:space="preserve">  geothermal</t>
        </is>
      </c>
      <c r="B66">
        <f>SUM('SoESCaOMCbIC-variableOM'!B11:AQ11)</f>
        <v/>
      </c>
      <c r="C66" s="139">
        <f>IF(ABS(B66-1)&lt;0.000001,"=1",IF(ABS(B66)&lt;0.000001,"=0","CHECK"))</f>
        <v/>
      </c>
    </row>
    <row r="67">
      <c r="A67" t="inlineStr">
        <is>
          <t xml:space="preserve">  petroleum</t>
        </is>
      </c>
      <c r="B67">
        <f>SUM('SoESCaOMCbIC-variableOM'!B12:AQ12)</f>
        <v/>
      </c>
      <c r="C67" s="139">
        <f>IF(ABS(B67-1)&lt;0.000001,"=1",IF(ABS(B67)&lt;0.000001,"=0","CHECK"))</f>
        <v/>
      </c>
    </row>
    <row r="68">
      <c r="A68" t="inlineStr">
        <is>
          <t xml:space="preserve">  natural gas peaker</t>
        </is>
      </c>
      <c r="B68">
        <f>SUM('SoESCaOMCbIC-variableOM'!B13:AQ13)</f>
        <v/>
      </c>
      <c r="C68" s="139">
        <f>IF(ABS(B68-1)&lt;0.000001,"=1",IF(ABS(B68)&lt;0.000001,"=0","CHECK"))</f>
        <v/>
      </c>
    </row>
    <row r="69">
      <c r="A69" t="inlineStr">
        <is>
          <t xml:space="preserve">  lignite</t>
        </is>
      </c>
      <c r="B69">
        <f>SUM('SoESCaOMCbIC-variableOM'!B14:AQ14)</f>
        <v/>
      </c>
      <c r="C69" s="139">
        <f>IF(ABS(B69-1)&lt;0.000001,"=1",IF(ABS(B69)&lt;0.000001,"=0","CHECK"))</f>
        <v/>
      </c>
    </row>
    <row r="70">
      <c r="A70" t="inlineStr">
        <is>
          <t xml:space="preserve">  offshore wind</t>
        </is>
      </c>
      <c r="B70">
        <f>SUM('SoESCaOMCbIC-variableOM'!B15:AQ15)</f>
        <v/>
      </c>
      <c r="C70" s="139">
        <f>IF(ABS(B70-1)&lt;0.000001,"=1",IF(ABS(B70)&lt;0.000001,"=0","CHECK"))</f>
        <v/>
      </c>
    </row>
    <row r="71">
      <c r="A71" t="inlineStr">
        <is>
          <t xml:space="preserve">  crude oil</t>
        </is>
      </c>
      <c r="B71">
        <f>SUM('SoESCaOMCbIC-variableOM'!B16:AQ16)</f>
        <v/>
      </c>
      <c r="C71" s="139">
        <f>IF(ABS(B71-1)&lt;0.000001,"=1",IF(ABS(B71)&lt;0.000001,"=0","CHECK"))</f>
        <v/>
      </c>
    </row>
    <row r="72">
      <c r="A72" t="inlineStr">
        <is>
          <t xml:space="preserve">  heavy or residual fuel oil</t>
        </is>
      </c>
      <c r="B72">
        <f>SUM('SoESCaOMCbIC-variableOM'!B17:AQ17)</f>
        <v/>
      </c>
      <c r="C72" s="139">
        <f>IF(ABS(B72-1)&lt;0.000001,"=1",IF(ABS(B72)&lt;0.000001,"=0","CHECK"))</f>
        <v/>
      </c>
    </row>
    <row r="73">
      <c r="A73" t="inlineStr">
        <is>
          <t xml:space="preserve">  municipal solid waste</t>
        </is>
      </c>
      <c r="B73">
        <f>SUM('SoESCaOMCbIC-variableOM'!B18:AQ18)</f>
        <v/>
      </c>
      <c r="C73" s="139">
        <f>IF(ABS(B73-1)&lt;0.000001,"=1",IF(ABS(B73)&lt;0.000001,"=0","CHECK"))</f>
        <v/>
      </c>
    </row>
    <row r="74">
      <c r="A74" t="inlineStr">
        <is>
          <t xml:space="preserve">  hard coal w CCS</t>
        </is>
      </c>
      <c r="B74">
        <f>SUM('SoESCaOMCbIC-variableOM'!B19:AQ19)</f>
        <v/>
      </c>
      <c r="C74" s="139">
        <f>IF(ABS(B74-1)&lt;0.000001,"=1",IF(ABS(B74)&lt;0.000001,"=0","CHECK"))</f>
        <v/>
      </c>
    </row>
    <row r="75">
      <c r="A75" t="inlineStr">
        <is>
          <t xml:space="preserve">  natural gas combined cycle w CCS</t>
        </is>
      </c>
      <c r="B75">
        <f>SUM('SoESCaOMCbIC-variableOM'!B20:AQ20)</f>
        <v/>
      </c>
      <c r="C75" s="139">
        <f>IF(ABS(B75-1)&lt;0.000001,"=1",IF(ABS(B75)&lt;0.000001,"=0","CHECK"))</f>
        <v/>
      </c>
    </row>
    <row r="76">
      <c r="A76" t="inlineStr">
        <is>
          <t xml:space="preserve">  biomass w CCS</t>
        </is>
      </c>
      <c r="B76">
        <f>SUM('SoESCaOMCbIC-variableOM'!B21:AQ21)</f>
        <v/>
      </c>
      <c r="C76" s="139">
        <f>IF(ABS(B76-1)&lt;0.000001,"=1",IF(ABS(B76)&lt;0.000001,"=0","CHECK"))</f>
        <v/>
      </c>
    </row>
    <row r="77">
      <c r="A77" t="inlineStr">
        <is>
          <t xml:space="preserve">  lignite w CCS</t>
        </is>
      </c>
      <c r="B77">
        <f>SUM('SoESCaOMCbIC-variableOM'!B22:AQ22)</f>
        <v/>
      </c>
      <c r="C77" s="139">
        <f>IF(ABS(B77-1)&lt;0.000001,"=1",IF(ABS(B77)&lt;0.000001,"=0","CHECK"))</f>
        <v/>
      </c>
    </row>
    <row r="78">
      <c r="A78" t="inlineStr">
        <is>
          <t xml:space="preserve">  small modular reactor</t>
        </is>
      </c>
      <c r="B78">
        <f>SUM('SoESCaOMCbIC-variableOM'!B23:AQ23)</f>
        <v/>
      </c>
      <c r="C78" s="139">
        <f>IF(ABS(B78-1)&lt;0.000001,"=1",IF(ABS(B78)&lt;0.000001,"=0","CHECK"))</f>
        <v/>
      </c>
    </row>
    <row r="79">
      <c r="A79" t="inlineStr">
        <is>
          <t xml:space="preserve">  hydrogen combustion turbine</t>
        </is>
      </c>
      <c r="B79">
        <f>SUM('SoESCaOMCbIC-variableOM'!B24:AQ24)</f>
        <v/>
      </c>
      <c r="C79" s="139">
        <f>IF(ABS(B79-1)&lt;0.000001,"=1",IF(ABS(B79)&lt;0.000001,"=0","CHECK"))</f>
        <v/>
      </c>
    </row>
    <row r="80">
      <c r="A80" t="inlineStr">
        <is>
          <t xml:space="preserve">  hydrogen combined cycle</t>
        </is>
      </c>
      <c r="B80">
        <f>SUM('SoESCaOMCbIC-variableOM'!B25:AQ25)</f>
        <v/>
      </c>
      <c r="C80" s="139">
        <f>IF(ABS(B80-1)&lt;0.000001,"=1",IF(ABS(B80)&lt;0.000001,"=0","CHECK"))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101"/>
  <sheetViews>
    <sheetView topLeftCell="A7" workbookViewId="0">
      <selection activeCell="A4" sqref="A4:XFD16"/>
    </sheetView>
  </sheetViews>
  <sheetFormatPr baseColWidth="8" defaultRowHeight="14.5"/>
  <cols>
    <col width="26.1796875" customWidth="1" min="1" max="1"/>
    <col width="25.453125" customWidth="1" min="2" max="2"/>
  </cols>
  <sheetData>
    <row r="1">
      <c r="A1" t="inlineStr">
        <is>
          <t>The difference in costs between the non-CCS and CCS versions of plant types is shown below (2012 $)</t>
        </is>
      </c>
    </row>
    <row r="2">
      <c r="A2" t="inlineStr">
        <is>
          <t>See EPS file elec/CCaMC for underlying calculations.</t>
        </is>
      </c>
    </row>
    <row r="3"/>
    <row r="4">
      <c r="A4" t="inlineStr">
        <is>
          <t>CCS CAPEX</t>
        </is>
      </c>
    </row>
    <row r="5">
      <c r="B5" t="n">
        <v>2021</v>
      </c>
      <c r="C5" t="n">
        <v>2022</v>
      </c>
      <c r="D5" t="n">
        <v>2023</v>
      </c>
      <c r="E5" t="n">
        <v>2024</v>
      </c>
      <c r="F5" t="n">
        <v>2025</v>
      </c>
      <c r="G5" t="n">
        <v>2026</v>
      </c>
      <c r="H5" t="n">
        <v>2027</v>
      </c>
      <c r="I5" t="n">
        <v>2028</v>
      </c>
      <c r="J5" t="n">
        <v>2029</v>
      </c>
      <c r="K5" t="n">
        <v>2030</v>
      </c>
      <c r="L5" t="n">
        <v>2031</v>
      </c>
      <c r="M5" t="n">
        <v>2032</v>
      </c>
      <c r="N5" t="n">
        <v>2033</v>
      </c>
      <c r="O5" t="n">
        <v>2034</v>
      </c>
      <c r="P5" t="n">
        <v>2035</v>
      </c>
      <c r="Q5" t="n">
        <v>2036</v>
      </c>
      <c r="R5" t="n">
        <v>2037</v>
      </c>
      <c r="S5" t="n">
        <v>2038</v>
      </c>
      <c r="T5" t="n">
        <v>2039</v>
      </c>
      <c r="U5" t="n">
        <v>2040</v>
      </c>
      <c r="V5" t="n">
        <v>2041</v>
      </c>
      <c r="W5" t="n">
        <v>2042</v>
      </c>
      <c r="X5" t="n">
        <v>2043</v>
      </c>
      <c r="Y5" t="n">
        <v>2044</v>
      </c>
      <c r="Z5" t="n">
        <v>2045</v>
      </c>
      <c r="AA5" t="n">
        <v>2046</v>
      </c>
      <c r="AB5" t="n">
        <v>2047</v>
      </c>
      <c r="AC5" t="n">
        <v>2048</v>
      </c>
      <c r="AD5" t="n">
        <v>2049</v>
      </c>
      <c r="AE5" t="n">
        <v>2050</v>
      </c>
    </row>
    <row r="6">
      <c r="A6" t="inlineStr">
        <is>
          <t>hard coal</t>
        </is>
      </c>
      <c r="B6" s="124" t="n">
        <v>2103947.132589222</v>
      </c>
      <c r="C6" s="124" t="n">
        <v>2103947.132589222</v>
      </c>
      <c r="D6" s="124" t="n">
        <v>2058678.317627333</v>
      </c>
      <c r="E6" s="124" t="n">
        <v>2013514.778979309</v>
      </c>
      <c r="F6" s="124" t="n">
        <v>1968456.516645149</v>
      </c>
      <c r="G6" s="124" t="n">
        <v>1923187.701683259</v>
      </c>
      <c r="H6" s="124" t="n">
        <v>1878024.163035234</v>
      </c>
      <c r="I6" s="124" t="n">
        <v>1832755.348073344</v>
      </c>
      <c r="J6" s="124" t="n">
        <v>1787591.80942532</v>
      </c>
      <c r="K6" s="124" t="n">
        <v>1742428.270777293</v>
      </c>
      <c r="L6" s="124" t="n">
        <v>1697264.732129269</v>
      </c>
      <c r="M6" s="124" t="n">
        <v>1651995.91716738</v>
      </c>
      <c r="N6" s="124" t="n">
        <v>1606832.378519355</v>
      </c>
      <c r="O6" s="124" t="n">
        <v>1561668.839871329</v>
      </c>
      <c r="P6" s="124" t="n">
        <v>1516505.301223306</v>
      </c>
      <c r="Q6" s="124" t="n">
        <v>1496186.972647388</v>
      </c>
      <c r="R6" s="124" t="n">
        <v>1476079.196699198</v>
      </c>
      <c r="S6" s="124" t="n">
        <v>1455866.144437146</v>
      </c>
      <c r="T6" s="124" t="n">
        <v>1435653.092175094</v>
      </c>
      <c r="U6" s="124" t="n">
        <v>1415440.03991304</v>
      </c>
      <c r="V6" s="124" t="n">
        <v>1395226.987650986</v>
      </c>
      <c r="W6" s="124" t="n">
        <v>1375013.935388934</v>
      </c>
      <c r="X6" s="124" t="n">
        <v>1354800.883126881</v>
      </c>
      <c r="Y6" s="124" t="n">
        <v>1334587.830864828</v>
      </c>
      <c r="Z6" s="124" t="n">
        <v>1314374.778602774</v>
      </c>
      <c r="AA6" s="124" t="n">
        <v>1294161.726340722</v>
      </c>
      <c r="AB6" s="124" t="n">
        <v>1273843.397764803</v>
      </c>
      <c r="AC6" s="124" t="n">
        <v>1253735.621816616</v>
      </c>
      <c r="AD6" s="124" t="n">
        <v>1233417.293240697</v>
      </c>
      <c r="AE6" s="124" t="n">
        <v>1213309.517292508</v>
      </c>
    </row>
    <row r="7">
      <c r="A7" t="inlineStr">
        <is>
          <t>natural gas combined cycle</t>
        </is>
      </c>
      <c r="B7" s="124" t="n">
        <v>1088381.509670428</v>
      </c>
      <c r="C7" s="124" t="n">
        <v>1088381.509670428</v>
      </c>
      <c r="D7" s="124" t="n">
        <v>1059692.549476419</v>
      </c>
      <c r="E7" s="124" t="n">
        <v>1030908.906245466</v>
      </c>
      <c r="F7" s="124" t="n">
        <v>1002219.946051456</v>
      </c>
      <c r="G7" s="124" t="n">
        <v>973530.9858574461</v>
      </c>
      <c r="H7" s="124" t="n">
        <v>944842.0256634367</v>
      </c>
      <c r="I7" s="124" t="n">
        <v>916058.3824324834</v>
      </c>
      <c r="J7" s="124" t="n">
        <v>887369.4222384734</v>
      </c>
      <c r="K7" s="124" t="n">
        <v>858680.462044464</v>
      </c>
      <c r="L7" s="124" t="n">
        <v>829896.8188135107</v>
      </c>
      <c r="M7" s="124" t="n">
        <v>801207.858619501</v>
      </c>
      <c r="N7" s="124" t="n">
        <v>772518.898425492</v>
      </c>
      <c r="O7" s="124" t="n">
        <v>743829.9382314822</v>
      </c>
      <c r="P7" s="124" t="n">
        <v>715046.2950005285</v>
      </c>
      <c r="Q7" s="124" t="n">
        <v>703779.0136042015</v>
      </c>
      <c r="R7" s="124" t="n">
        <v>692606.4152448181</v>
      </c>
      <c r="S7" s="124" t="n">
        <v>681339.1338484912</v>
      </c>
      <c r="T7" s="124" t="n">
        <v>670071.8524521639</v>
      </c>
      <c r="U7" s="124" t="n">
        <v>658804.5710558366</v>
      </c>
      <c r="V7" s="124" t="n">
        <v>647631.9726964534</v>
      </c>
      <c r="W7" s="124" t="n">
        <v>636364.691300126</v>
      </c>
      <c r="X7" s="124" t="n">
        <v>625097.4099037992</v>
      </c>
      <c r="Y7" s="124" t="n">
        <v>613924.8115444155</v>
      </c>
      <c r="Z7" s="124" t="n">
        <v>602657.5301480886</v>
      </c>
      <c r="AA7" s="124" t="n">
        <v>591390.2487517612</v>
      </c>
      <c r="AB7" s="124" t="n">
        <v>580217.6503923781</v>
      </c>
      <c r="AC7" s="124" t="n">
        <v>568950.3689960508</v>
      </c>
      <c r="AD7" s="124" t="n">
        <v>557683.0875997237</v>
      </c>
      <c r="AE7" s="124" t="n">
        <v>546510.4892403402</v>
      </c>
    </row>
    <row r="8">
      <c r="A8" t="inlineStr">
        <is>
          <t>biomass</t>
        </is>
      </c>
      <c r="B8" s="124" t="n">
        <v>1289895.798019413</v>
      </c>
      <c r="C8" s="124" t="n">
        <v>1424324.126407417</v>
      </c>
      <c r="D8" s="124" t="n">
        <v>1558752.454795422</v>
      </c>
      <c r="E8" s="124" t="n">
        <v>1693180.783183427</v>
      </c>
      <c r="F8" s="124" t="n">
        <v>1796492.548244192</v>
      </c>
      <c r="G8" s="124" t="n">
        <v>1852795.252017445</v>
      </c>
      <c r="H8" s="124" t="n">
        <v>1874191.289881199</v>
      </c>
      <c r="I8" s="124" t="n">
        <v>1881812.378460882</v>
      </c>
      <c r="J8" s="124" t="n">
        <v>1887554.654982066</v>
      </c>
      <c r="K8" s="124" t="n">
        <v>1892600.822962204</v>
      </c>
      <c r="L8" s="124" t="n">
        <v>1905769.033221718</v>
      </c>
      <c r="M8" s="124" t="n">
        <v>1916724.976696886</v>
      </c>
      <c r="N8" s="124" t="n">
        <v>1923267.469677406</v>
      </c>
      <c r="O8" s="124" t="n">
        <v>1930862.854063061</v>
      </c>
      <c r="P8" s="124" t="n">
        <v>1937772.61151279</v>
      </c>
      <c r="Q8" s="124" t="n">
        <v>1948062.537618166</v>
      </c>
      <c r="R8" s="124" t="n">
        <v>1958121.390541563</v>
      </c>
      <c r="S8" s="124" t="n">
        <v>1965944.372737021</v>
      </c>
      <c r="T8" s="124" t="n">
        <v>1977867.628599814</v>
      </c>
      <c r="U8" s="124" t="n">
        <v>1986058.763307501</v>
      </c>
      <c r="V8" s="124" t="n">
        <v>1991682.665769585</v>
      </c>
      <c r="W8" s="124" t="n">
        <v>2001284.524875909</v>
      </c>
      <c r="X8" s="124" t="n">
        <v>2007869.097264851</v>
      </c>
      <c r="Y8" s="124" t="n">
        <v>2016326.593350499</v>
      </c>
      <c r="Z8" s="124" t="n">
        <v>2026393.773852348</v>
      </c>
      <c r="AA8" s="124" t="n">
        <v>2035925.231581424</v>
      </c>
      <c r="AB8" s="124" t="n">
        <v>2044107.679105334</v>
      </c>
      <c r="AC8" s="124" t="n">
        <v>2053831.593409029</v>
      </c>
      <c r="AD8" s="124" t="n">
        <v>2065027.976375475</v>
      </c>
      <c r="AE8" s="124" t="n">
        <v>2090069.724841983</v>
      </c>
    </row>
    <row r="9">
      <c r="A9" t="inlineStr">
        <is>
          <t>lignite</t>
        </is>
      </c>
      <c r="B9" s="124" t="n">
        <v>2438353.287584211</v>
      </c>
      <c r="C9" s="124" t="n">
        <v>2438353.287584211</v>
      </c>
      <c r="D9" s="124" t="n">
        <v>2385889.34394342</v>
      </c>
      <c r="E9" s="124" t="n">
        <v>2333547.409473888</v>
      </c>
      <c r="F9" s="124" t="n">
        <v>2281327.484175612</v>
      </c>
      <c r="G9" s="124" t="n">
        <v>2228863.540534821</v>
      </c>
      <c r="H9" s="124" t="n">
        <v>2176521.606065286</v>
      </c>
      <c r="I9" s="124" t="n">
        <v>2124057.662424495</v>
      </c>
      <c r="J9" s="124" t="n">
        <v>2071715.727954963</v>
      </c>
      <c r="K9" s="124" t="n">
        <v>2019373.793485428</v>
      </c>
      <c r="L9" s="124" t="n">
        <v>1967031.859015895</v>
      </c>
      <c r="M9" s="124" t="n">
        <v>1914567.915375105</v>
      </c>
      <c r="N9" s="124" t="n">
        <v>1862225.98090557</v>
      </c>
      <c r="O9" s="124" t="n">
        <v>1809884.046436036</v>
      </c>
      <c r="P9" s="124" t="n">
        <v>1757542.111966503</v>
      </c>
      <c r="Q9" s="124" t="n">
        <v>1733994.341913777</v>
      </c>
      <c r="R9" s="124" t="n">
        <v>1710690.590203564</v>
      </c>
      <c r="S9" s="124" t="n">
        <v>1687264.829322095</v>
      </c>
      <c r="T9" s="124" t="n">
        <v>1663839.068440626</v>
      </c>
      <c r="U9" s="124" t="n">
        <v>1640413.307559156</v>
      </c>
      <c r="V9" s="124" t="n">
        <v>1616987.546677686</v>
      </c>
      <c r="W9" s="124" t="n">
        <v>1593561.785796217</v>
      </c>
      <c r="X9" s="124" t="n">
        <v>1570136.024914747</v>
      </c>
      <c r="Y9" s="124" t="n">
        <v>1546710.264033277</v>
      </c>
      <c r="Z9" s="124" t="n">
        <v>1523284.503151807</v>
      </c>
      <c r="AA9" s="124" t="n">
        <v>1499858.742270339</v>
      </c>
      <c r="AB9" s="124" t="n">
        <v>1476310.972217611</v>
      </c>
      <c r="AC9" s="124" t="n">
        <v>1453007.2205074</v>
      </c>
      <c r="AD9" s="124" t="n">
        <v>1429459.450454672</v>
      </c>
      <c r="AE9" s="124" t="n">
        <v>1406155.69874446</v>
      </c>
    </row>
    <row r="10"/>
    <row r="11">
      <c r="A11" t="inlineStr">
        <is>
          <t xml:space="preserve">Non-CCS CAPEX </t>
        </is>
      </c>
    </row>
    <row r="12">
      <c r="B12" t="n">
        <v>2021</v>
      </c>
      <c r="C12" t="n">
        <v>2022</v>
      </c>
      <c r="D12" t="n">
        <v>2023</v>
      </c>
      <c r="E12" t="n">
        <v>2024</v>
      </c>
      <c r="F12" t="n">
        <v>2025</v>
      </c>
      <c r="G12" t="n">
        <v>2026</v>
      </c>
      <c r="H12" t="n">
        <v>2027</v>
      </c>
      <c r="I12" t="n">
        <v>2028</v>
      </c>
      <c r="J12" t="n">
        <v>2029</v>
      </c>
      <c r="K12" t="n">
        <v>2030</v>
      </c>
      <c r="L12" t="n">
        <v>2031</v>
      </c>
      <c r="M12" t="n">
        <v>2032</v>
      </c>
      <c r="N12" t="n">
        <v>2033</v>
      </c>
      <c r="O12" t="n">
        <v>2034</v>
      </c>
      <c r="P12" t="n">
        <v>2035</v>
      </c>
      <c r="Q12" t="n">
        <v>2036</v>
      </c>
      <c r="R12" t="n">
        <v>2037</v>
      </c>
      <c r="S12" t="n">
        <v>2038</v>
      </c>
      <c r="T12" t="n">
        <v>2039</v>
      </c>
      <c r="U12" t="n">
        <v>2040</v>
      </c>
      <c r="V12" t="n">
        <v>2041</v>
      </c>
      <c r="W12" t="n">
        <v>2042</v>
      </c>
      <c r="X12" t="n">
        <v>2043</v>
      </c>
      <c r="Y12" t="n">
        <v>2044</v>
      </c>
      <c r="Z12" t="n">
        <v>2045</v>
      </c>
      <c r="AA12" t="n">
        <v>2046</v>
      </c>
      <c r="AB12" t="n">
        <v>2047</v>
      </c>
      <c r="AC12" t="n">
        <v>2048</v>
      </c>
      <c r="AD12" t="n">
        <v>2049</v>
      </c>
      <c r="AE12" t="n">
        <v>2050</v>
      </c>
    </row>
    <row r="13">
      <c r="A13" t="inlineStr">
        <is>
          <t>hard coal</t>
        </is>
      </c>
      <c r="B13" t="n">
        <v>3007428.45817745</v>
      </c>
      <c r="C13" t="n">
        <v>3007428.45817745</v>
      </c>
      <c r="D13" t="n">
        <v>2991110.629528396</v>
      </c>
      <c r="E13" t="n">
        <v>2974687.524565478</v>
      </c>
      <c r="F13" t="n">
        <v>2958264.41960256</v>
      </c>
      <c r="G13" t="n">
        <v>2941946.590953507</v>
      </c>
      <c r="H13" t="n">
        <v>2925523.485990589</v>
      </c>
      <c r="I13" t="n">
        <v>2909205.657341536</v>
      </c>
      <c r="J13" t="n">
        <v>2892782.552378617</v>
      </c>
      <c r="K13" t="n">
        <v>2876464.723729564</v>
      </c>
      <c r="L13" t="n">
        <v>2860041.618766646</v>
      </c>
      <c r="M13" t="n">
        <v>2843723.790117592</v>
      </c>
      <c r="N13" t="n">
        <v>2827300.685154674</v>
      </c>
      <c r="O13" t="n">
        <v>2810982.856505621</v>
      </c>
      <c r="P13" t="n">
        <v>2794559.751542703</v>
      </c>
      <c r="Q13" t="n">
        <v>2767819.567821029</v>
      </c>
      <c r="R13" t="n">
        <v>2740974.107785489</v>
      </c>
      <c r="S13" t="n">
        <v>2714128.64774995</v>
      </c>
      <c r="T13" t="n">
        <v>2687388.464028276</v>
      </c>
      <c r="U13" t="n">
        <v>2660543.003992736</v>
      </c>
      <c r="V13" t="n">
        <v>2633802.820271063</v>
      </c>
      <c r="W13" t="n">
        <v>2606957.360235523</v>
      </c>
      <c r="X13" t="n">
        <v>2580217.176513849</v>
      </c>
      <c r="Y13" t="n">
        <v>2553371.716478309</v>
      </c>
      <c r="Z13" t="n">
        <v>2526631.532756635</v>
      </c>
      <c r="AA13" t="n">
        <v>2499786.072721095</v>
      </c>
      <c r="AB13" t="n">
        <v>2473045.888999422</v>
      </c>
      <c r="AC13" t="n">
        <v>2446200.428963882</v>
      </c>
      <c r="AD13" t="n">
        <v>2419460.245242208</v>
      </c>
      <c r="AE13" t="n">
        <v>2392614.785206669</v>
      </c>
    </row>
    <row r="14">
      <c r="A14" t="inlineStr">
        <is>
          <t>natural gas combined cycle</t>
        </is>
      </c>
      <c r="B14" t="n">
        <v>1087150.630190158</v>
      </c>
      <c r="C14" t="n">
        <v>1087150.630190158</v>
      </c>
      <c r="D14" t="n">
        <v>1076735.496126326</v>
      </c>
      <c r="E14" t="n">
        <v>1066415.045099437</v>
      </c>
      <c r="F14" t="n">
        <v>1055999.911035606</v>
      </c>
      <c r="G14" t="n">
        <v>1045584.776971774</v>
      </c>
      <c r="H14" t="n">
        <v>1035169.642907942</v>
      </c>
      <c r="I14" t="n">
        <v>1024849.191881054</v>
      </c>
      <c r="J14" t="n">
        <v>1014434.057817222</v>
      </c>
      <c r="K14" t="n">
        <v>1004018.923753391</v>
      </c>
      <c r="L14" t="n">
        <v>993698.4727265025</v>
      </c>
      <c r="M14" t="n">
        <v>983283.3386626708</v>
      </c>
      <c r="N14" t="n">
        <v>972868.2045988389</v>
      </c>
      <c r="O14" t="n">
        <v>962453.0705350069</v>
      </c>
      <c r="P14" t="n">
        <v>952132.6195081191</v>
      </c>
      <c r="Q14" t="n">
        <v>944273.9274417731</v>
      </c>
      <c r="R14" t="n">
        <v>936415.2353754275</v>
      </c>
      <c r="S14" t="n">
        <v>928651.2263460254</v>
      </c>
      <c r="T14" t="n">
        <v>920792.5342796795</v>
      </c>
      <c r="U14" t="n">
        <v>913028.5252502776</v>
      </c>
      <c r="V14" t="n">
        <v>905169.8331839318</v>
      </c>
      <c r="W14" t="n">
        <v>897311.1411175861</v>
      </c>
      <c r="X14" t="n">
        <v>889547.1320881841</v>
      </c>
      <c r="Y14" t="n">
        <v>881688.4400218383</v>
      </c>
      <c r="Z14" t="n">
        <v>873829.7479554923</v>
      </c>
      <c r="AA14" t="n">
        <v>866065.7389260905</v>
      </c>
      <c r="AB14" t="n">
        <v>858207.0468597446</v>
      </c>
      <c r="AC14" t="n">
        <v>850348.3547933988</v>
      </c>
      <c r="AD14" t="n">
        <v>842584.3457639968</v>
      </c>
      <c r="AE14" t="n">
        <v>834725.6536976511</v>
      </c>
    </row>
    <row r="15">
      <c r="A15" t="inlineStr">
        <is>
          <t>biomass</t>
        </is>
      </c>
      <c r="B15" t="n">
        <v>4567459.294250462</v>
      </c>
      <c r="C15" t="n">
        <v>4415131.444638552</v>
      </c>
      <c r="D15" t="n">
        <v>4262803.595026642</v>
      </c>
      <c r="E15" t="n">
        <v>4110475.745414732</v>
      </c>
      <c r="F15" t="n">
        <v>3989264.45913006</v>
      </c>
      <c r="G15" t="n">
        <v>3915062.234132902</v>
      </c>
      <c r="H15" t="n">
        <v>3875766.675045242</v>
      </c>
      <c r="I15" t="n">
        <v>3850246.065241653</v>
      </c>
      <c r="J15" t="n">
        <v>3826604.267496563</v>
      </c>
      <c r="K15" t="n">
        <v>3803658.578292519</v>
      </c>
      <c r="L15" t="n">
        <v>3774170.216328857</v>
      </c>
      <c r="M15" t="n">
        <v>3746894.121149539</v>
      </c>
      <c r="N15" t="n">
        <v>3724031.476464869</v>
      </c>
      <c r="O15" t="n">
        <v>3700115.940375064</v>
      </c>
      <c r="P15" t="n">
        <v>3676886.031221187</v>
      </c>
      <c r="Q15" t="n">
        <v>3650275.953411661</v>
      </c>
      <c r="R15" t="n">
        <v>3623896.948784114</v>
      </c>
      <c r="S15" t="n">
        <v>3599753.814884507</v>
      </c>
      <c r="T15" t="n">
        <v>3571510.407317565</v>
      </c>
      <c r="U15" t="n">
        <v>3546999.120905729</v>
      </c>
      <c r="V15" t="n">
        <v>3525055.066739495</v>
      </c>
      <c r="W15" t="n">
        <v>3499133.055929022</v>
      </c>
      <c r="X15" t="n">
        <v>3476228.33183593</v>
      </c>
      <c r="Y15" t="n">
        <v>3451450.684046133</v>
      </c>
      <c r="Z15" t="n">
        <v>3425063.351840135</v>
      </c>
      <c r="AA15" t="n">
        <v>3399211.742406908</v>
      </c>
      <c r="AB15" t="n">
        <v>3374709.143178849</v>
      </c>
      <c r="AC15" t="n">
        <v>3348665.077171005</v>
      </c>
      <c r="AD15" t="n">
        <v>7950962.512248086</v>
      </c>
      <c r="AE15" t="n">
        <v>7911207.699686845</v>
      </c>
    </row>
    <row r="16">
      <c r="A16" t="inlineStr">
        <is>
          <t>lignite</t>
        </is>
      </c>
      <c r="B16" t="n">
        <v>3485435.995317397</v>
      </c>
      <c r="C16" t="n">
        <v>3485435.995317397</v>
      </c>
      <c r="D16" t="n">
        <v>3466524.573772461</v>
      </c>
      <c r="E16" t="n">
        <v>3447491.143056266</v>
      </c>
      <c r="F16" t="n">
        <v>3428457.712340073</v>
      </c>
      <c r="G16" t="n">
        <v>3409546.290795137</v>
      </c>
      <c r="H16" t="n">
        <v>3390512.860078942</v>
      </c>
      <c r="I16" t="n">
        <v>3371601.438534006</v>
      </c>
      <c r="J16" t="n">
        <v>3352568.007817812</v>
      </c>
      <c r="K16" t="n">
        <v>3333656.586272875</v>
      </c>
      <c r="L16" t="n">
        <v>3314623.155556682</v>
      </c>
      <c r="M16" t="n">
        <v>3295711.734011745</v>
      </c>
      <c r="N16" t="n">
        <v>3276678.303295551</v>
      </c>
      <c r="O16" t="n">
        <v>3257766.881750615</v>
      </c>
      <c r="P16" t="n">
        <v>3238733.451034421</v>
      </c>
      <c r="Q16" t="n">
        <v>3207743.121534977</v>
      </c>
      <c r="R16" t="n">
        <v>3176630.782864275</v>
      </c>
      <c r="S16" t="n">
        <v>3145518.444193573</v>
      </c>
      <c r="T16" t="n">
        <v>3114528.114694129</v>
      </c>
      <c r="U16" t="n">
        <v>3083415.776023427</v>
      </c>
      <c r="V16" t="n">
        <v>3052425.446523984</v>
      </c>
      <c r="W16" t="n">
        <v>3021313.107853282</v>
      </c>
      <c r="X16" t="n">
        <v>2990322.778353838</v>
      </c>
      <c r="Y16" t="n">
        <v>2959210.439683136</v>
      </c>
      <c r="Z16" t="n">
        <v>2928220.110183692</v>
      </c>
      <c r="AA16" t="n">
        <v>2897107.77151299</v>
      </c>
      <c r="AB16" t="n">
        <v>2866117.442013546</v>
      </c>
      <c r="AC16" t="n">
        <v>2835005.103342844</v>
      </c>
      <c r="AD16" t="n">
        <v>2804014.773843401</v>
      </c>
      <c r="AE16" t="n">
        <v>2772902.435172699</v>
      </c>
    </row>
    <row r="17"/>
    <row r="18">
      <c r="A18" t="inlineStr">
        <is>
          <t>Additional CCS Fixed O&amp;M</t>
        </is>
      </c>
    </row>
    <row r="19">
      <c r="B19" t="n">
        <v>2021</v>
      </c>
    </row>
    <row r="20">
      <c r="A20" t="inlineStr">
        <is>
          <t>hard coal</t>
        </is>
      </c>
      <c r="B20" s="124" t="n">
        <v>39823.29409159685</v>
      </c>
      <c r="C20" s="124" t="n"/>
      <c r="D20" s="124" t="n"/>
      <c r="E20" s="124" t="n"/>
      <c r="F20" s="124" t="n"/>
      <c r="G20" s="124" t="n"/>
      <c r="H20" s="124" t="n"/>
      <c r="I20" s="124" t="n"/>
      <c r="J20" s="124" t="n"/>
      <c r="K20" s="124" t="n"/>
      <c r="L20" s="124" t="n"/>
      <c r="M20" s="124" t="n"/>
      <c r="N20" s="124" t="n"/>
      <c r="O20" s="124" t="n"/>
      <c r="P20" s="124" t="n"/>
      <c r="Q20" s="124" t="n"/>
      <c r="R20" s="124" t="n"/>
      <c r="S20" s="124" t="n"/>
      <c r="T20" s="124" t="n"/>
      <c r="U20" s="124" t="n"/>
      <c r="V20" s="124" t="n"/>
      <c r="W20" s="124" t="n"/>
      <c r="X20" s="124" t="n"/>
      <c r="Y20" s="124" t="n"/>
      <c r="Z20" s="124" t="n"/>
      <c r="AA20" s="124" t="n"/>
      <c r="AB20" s="124" t="n"/>
      <c r="AC20" s="124" t="n"/>
      <c r="AD20" s="124" t="n"/>
      <c r="AE20" s="124" t="n"/>
    </row>
    <row r="21">
      <c r="A21" t="inlineStr">
        <is>
          <t>natural gas combined cycle</t>
        </is>
      </c>
      <c r="B21" s="124" t="n">
        <v>24826.0109975274</v>
      </c>
      <c r="C21" s="124" t="n"/>
      <c r="D21" s="124" t="n"/>
      <c r="E21" s="124" t="n"/>
      <c r="F21" s="124" t="n"/>
      <c r="G21" s="124" t="n"/>
      <c r="H21" s="124" t="n"/>
      <c r="I21" s="124" t="n"/>
      <c r="J21" s="124" t="n"/>
      <c r="K21" s="124" t="n"/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  <c r="AB21" s="124" t="n"/>
      <c r="AC21" s="124" t="n"/>
      <c r="AD21" s="124" t="n"/>
      <c r="AE21" s="124" t="n"/>
    </row>
    <row r="22">
      <c r="A22" t="inlineStr">
        <is>
          <t>biomass</t>
        </is>
      </c>
      <c r="B22" s="124" t="n">
        <v>37358.75287665092</v>
      </c>
      <c r="C22" s="124" t="n"/>
      <c r="D22" s="124" t="n"/>
      <c r="E22" s="124" t="n"/>
      <c r="F22" s="124" t="n"/>
      <c r="G22" s="124" t="n"/>
      <c r="H22" s="124" t="n"/>
      <c r="I22" s="124" t="n"/>
      <c r="J22" s="124" t="n"/>
      <c r="K22" s="124" t="n"/>
      <c r="L22" s="124" t="n"/>
      <c r="M22" s="124" t="n"/>
      <c r="N22" s="124" t="n"/>
      <c r="O22" s="124" t="n"/>
      <c r="P22" s="124" t="n"/>
      <c r="Q22" s="124" t="n"/>
      <c r="R22" s="124" t="n"/>
      <c r="S22" s="124" t="n"/>
      <c r="T22" s="124" t="n"/>
      <c r="U22" s="124" t="n"/>
      <c r="V22" s="124" t="n"/>
      <c r="W22" s="124" t="n"/>
      <c r="X22" s="124" t="n"/>
      <c r="Y22" s="124" t="n"/>
      <c r="Z22" s="124" t="n"/>
      <c r="AA22" s="124" t="n"/>
      <c r="AB22" s="124" t="n"/>
      <c r="AC22" s="124" t="n"/>
      <c r="AD22" s="124" t="n"/>
      <c r="AE22" s="124" t="n"/>
    </row>
    <row r="23">
      <c r="A23" t="inlineStr">
        <is>
          <t>lignite</t>
        </is>
      </c>
      <c r="B23" s="124" t="n">
        <v>39823.29409159685</v>
      </c>
      <c r="C23" s="124" t="n"/>
      <c r="D23" s="124" t="n"/>
      <c r="E23" s="124" t="n"/>
      <c r="F23" s="124" t="n"/>
      <c r="G23" s="124" t="n"/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  <c r="AB23" s="124" t="n"/>
      <c r="AC23" s="124" t="n"/>
      <c r="AD23" s="124" t="n"/>
      <c r="AE23" s="124" t="n"/>
    </row>
    <row r="24"/>
    <row r="25">
      <c r="A25" t="inlineStr">
        <is>
          <t>Non-CCS Fixed O&amp;M</t>
        </is>
      </c>
    </row>
    <row r="26">
      <c r="B26" t="n">
        <v>2021</v>
      </c>
    </row>
    <row r="27">
      <c r="A27" t="inlineStr">
        <is>
          <t>hard coal</t>
        </is>
      </c>
      <c r="B27" s="124" t="n">
        <v>65750.80045761522</v>
      </c>
    </row>
    <row r="28">
      <c r="A28" t="inlineStr">
        <is>
          <t>natural gas combined cycle</t>
        </is>
      </c>
      <c r="B28" s="124" t="n">
        <v>26096.96719194006</v>
      </c>
    </row>
    <row r="29">
      <c r="A29" t="inlineStr">
        <is>
          <t>biomass</t>
        </is>
      </c>
      <c r="B29" s="124" t="n">
        <v>133213.1552570395</v>
      </c>
    </row>
    <row r="30">
      <c r="A30" t="inlineStr">
        <is>
          <t>lignite</t>
        </is>
      </c>
      <c r="B30" s="124" t="n">
        <v>65750.80045761522</v>
      </c>
    </row>
    <row r="31"/>
    <row r="32">
      <c r="A32" t="inlineStr">
        <is>
          <t>Additional CCS Variable O&amp;M</t>
        </is>
      </c>
    </row>
    <row r="33">
      <c r="B33" t="n">
        <v>2021</v>
      </c>
    </row>
    <row r="34">
      <c r="A34" t="inlineStr">
        <is>
          <t>hard coal</t>
        </is>
      </c>
      <c r="B34" s="124" t="n">
        <v>5.583734214119644</v>
      </c>
      <c r="C34" s="124" t="n"/>
      <c r="D34" s="124" t="n"/>
      <c r="E34" s="124" t="n"/>
      <c r="F34" s="124" t="n"/>
      <c r="G34" s="124" t="n"/>
      <c r="H34" s="124" t="n"/>
      <c r="I34" s="124" t="n"/>
      <c r="J34" s="124" t="n"/>
      <c r="K34" s="124" t="n"/>
      <c r="L34" s="124" t="n"/>
      <c r="M34" s="124" t="n"/>
      <c r="N34" s="124" t="n"/>
      <c r="O34" s="124" t="n"/>
      <c r="P34" s="124" t="n"/>
      <c r="Q34" s="124" t="n"/>
      <c r="R34" s="124" t="n"/>
      <c r="S34" s="124" t="n"/>
      <c r="T34" s="124" t="n"/>
      <c r="U34" s="124" t="n"/>
      <c r="V34" s="124" t="n"/>
      <c r="W34" s="124" t="n"/>
      <c r="X34" s="124" t="n"/>
      <c r="Y34" s="124" t="n"/>
      <c r="Z34" s="124" t="n"/>
      <c r="AA34" s="124" t="n"/>
      <c r="AB34" s="124" t="n"/>
      <c r="AC34" s="124" t="n"/>
      <c r="AD34" s="124" t="n"/>
      <c r="AE34" s="124" t="n"/>
    </row>
    <row r="35">
      <c r="A35" t="inlineStr">
        <is>
          <t>natural gas combined cycle</t>
        </is>
      </c>
      <c r="B35" s="124" t="n">
        <v>2.135206406613278</v>
      </c>
      <c r="C35" s="124" t="n"/>
      <c r="D35" s="124" t="n"/>
      <c r="E35" s="124" t="n"/>
      <c r="F35" s="124" t="n"/>
      <c r="G35" s="124" t="n"/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  <c r="AB35" s="124" t="n"/>
      <c r="AC35" s="124" t="n"/>
      <c r="AD35" s="124" t="n"/>
      <c r="AE35" s="124" t="n"/>
    </row>
    <row r="36">
      <c r="A36" t="inlineStr">
        <is>
          <t>biomass</t>
        </is>
      </c>
      <c r="B36" s="124" t="n">
        <v>13.20794320541086</v>
      </c>
      <c r="C36" s="124" t="n"/>
      <c r="D36" s="124" t="n"/>
      <c r="E36" s="124" t="n"/>
      <c r="F36" s="124" t="n"/>
      <c r="G36" s="124" t="n"/>
      <c r="H36" s="124" t="n"/>
      <c r="I36" s="124" t="n"/>
      <c r="J36" s="124" t="n"/>
      <c r="K36" s="124" t="n"/>
      <c r="L36" s="124" t="n"/>
      <c r="M36" s="124" t="n"/>
      <c r="N36" s="124" t="n"/>
      <c r="O36" s="124" t="n"/>
      <c r="P36" s="124" t="n"/>
      <c r="Q36" s="124" t="n"/>
      <c r="R36" s="124" t="n"/>
      <c r="S36" s="124" t="n"/>
      <c r="T36" s="124" t="n"/>
      <c r="U36" s="124" t="n"/>
      <c r="V36" s="124" t="n"/>
      <c r="W36" s="124" t="n"/>
      <c r="X36" s="124" t="n"/>
      <c r="Y36" s="124" t="n"/>
      <c r="Z36" s="124" t="n"/>
      <c r="AA36" s="124" t="n"/>
      <c r="AB36" s="124" t="n"/>
      <c r="AC36" s="124" t="n"/>
      <c r="AD36" s="124" t="n"/>
      <c r="AE36" s="124" t="n"/>
    </row>
    <row r="37">
      <c r="A37" t="inlineStr">
        <is>
          <t>lignite</t>
        </is>
      </c>
      <c r="B37" s="124" t="n">
        <v>9.45950266862622</v>
      </c>
      <c r="C37" s="124" t="n"/>
      <c r="D37" s="124" t="n"/>
      <c r="E37" s="124" t="n"/>
      <c r="F37" s="124" t="n"/>
      <c r="G37" s="124" t="n"/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  <c r="AB37" s="124" t="n"/>
      <c r="AC37" s="124" t="n"/>
      <c r="AD37" s="124" t="n"/>
      <c r="AE37" s="124" t="n"/>
    </row>
    <row r="38"/>
    <row r="39">
      <c r="A39" t="inlineStr">
        <is>
          <t>Non-CCS Variable O&amp;M</t>
        </is>
      </c>
    </row>
    <row r="40">
      <c r="B40" t="n">
        <v>2021</v>
      </c>
    </row>
    <row r="41">
      <c r="A41" t="inlineStr">
        <is>
          <t>hard coal</t>
        </is>
      </c>
      <c r="B41" s="124" t="n">
        <v>7.168192936487434</v>
      </c>
    </row>
    <row r="42">
      <c r="A42" t="inlineStr">
        <is>
          <t>natural gas combined cycle</t>
        </is>
      </c>
      <c r="B42" s="124" t="n">
        <v>1.660716094032549</v>
      </c>
    </row>
    <row r="43">
      <c r="A43" t="inlineStr">
        <is>
          <t>biomass</t>
        </is>
      </c>
      <c r="B43" s="124" t="n">
        <v>4.270412813226556</v>
      </c>
    </row>
    <row r="44">
      <c r="A44" t="inlineStr">
        <is>
          <t>lignite</t>
        </is>
      </c>
      <c r="B44" s="124" t="n">
        <v>12.14376215122577</v>
      </c>
    </row>
    <row r="45">
      <c r="B45" s="124" t="n"/>
    </row>
    <row r="46">
      <c r="A46" t="inlineStr">
        <is>
          <t>CAPEX Breakdown</t>
        </is>
      </c>
    </row>
    <row r="47">
      <c r="B47" t="inlineStr">
        <is>
          <t>Supporting boiler</t>
        </is>
      </c>
      <c r="C47" t="n">
        <v>91.94</v>
      </c>
    </row>
    <row r="48">
      <c r="B48" t="inlineStr">
        <is>
          <t>Higher desulphurisation</t>
        </is>
      </c>
      <c r="C48" t="n">
        <v>10.2</v>
      </c>
    </row>
    <row r="49">
      <c r="B49" t="inlineStr">
        <is>
          <t>Other related equipment</t>
        </is>
      </c>
      <c r="C49" t="n">
        <v>48.75</v>
      </c>
    </row>
    <row r="50">
      <c r="A50" t="inlineStr">
        <is>
          <t>OPEX Breakdown</t>
        </is>
      </c>
    </row>
    <row r="51">
      <c r="B51" t="inlineStr">
        <is>
          <t>Boiler fuel</t>
        </is>
      </c>
      <c r="C51" t="n">
        <v>8.35</v>
      </c>
      <c r="D51" t="inlineStr">
        <is>
          <t>*not included in O&amp;M total</t>
        </is>
      </c>
    </row>
    <row r="52">
      <c r="B52" t="inlineStr">
        <is>
          <t>Other boiler O&amp;M costs</t>
        </is>
      </c>
      <c r="C52" t="n">
        <v>1.62</v>
      </c>
      <c r="D52" t="inlineStr">
        <is>
          <t>*variable</t>
        </is>
      </c>
    </row>
    <row r="53">
      <c r="B53" t="inlineStr">
        <is>
          <t>Amine</t>
        </is>
      </c>
      <c r="C53" t="n">
        <v>2.53</v>
      </c>
      <c r="D53" t="inlineStr">
        <is>
          <t>*variable</t>
        </is>
      </c>
    </row>
    <row r="54">
      <c r="B54" t="inlineStr">
        <is>
          <t>NaOH</t>
        </is>
      </c>
      <c r="C54" t="n">
        <v>0.63</v>
      </c>
      <c r="D54" t="inlineStr">
        <is>
          <t>*variable</t>
        </is>
      </c>
    </row>
    <row r="55">
      <c r="B55" t="inlineStr">
        <is>
          <t>Labor</t>
        </is>
      </c>
      <c r="C55" t="n">
        <v>18.1</v>
      </c>
      <c r="D55" t="inlineStr">
        <is>
          <t>*fixed</t>
        </is>
      </c>
    </row>
    <row r="56"/>
    <row r="57"/>
    <row r="58">
      <c r="A58" t="inlineStr">
        <is>
          <t>CAPEX breakdown for non-CCS Components</t>
        </is>
      </c>
    </row>
    <row r="59">
      <c r="A59" s="126" t="n"/>
      <c r="B59" s="110" t="inlineStr">
        <is>
          <t>ISIC 01T03</t>
        </is>
      </c>
      <c r="C59" s="110" t="inlineStr">
        <is>
          <t>ISIC 05</t>
        </is>
      </c>
      <c r="D59" s="110" t="inlineStr">
        <is>
          <t>ISIC 06</t>
        </is>
      </c>
      <c r="E59" s="110" t="inlineStr">
        <is>
          <t>ISIC 07T08</t>
        </is>
      </c>
      <c r="F59" s="110" t="inlineStr">
        <is>
          <t>ISIC 09</t>
        </is>
      </c>
      <c r="G59" s="110" t="inlineStr">
        <is>
          <t>ISIC 10T12</t>
        </is>
      </c>
      <c r="H59" s="110" t="inlineStr">
        <is>
          <t>ISIC 13T15</t>
        </is>
      </c>
      <c r="I59" s="110" t="inlineStr">
        <is>
          <t>ISIC 16</t>
        </is>
      </c>
      <c r="J59" s="110" t="inlineStr">
        <is>
          <t>ISIC 17T18</t>
        </is>
      </c>
      <c r="K59" s="110" t="inlineStr">
        <is>
          <t>ISIC 19</t>
        </is>
      </c>
      <c r="L59" s="110" t="inlineStr">
        <is>
          <t>ISIC 20</t>
        </is>
      </c>
      <c r="M59" s="110" t="inlineStr">
        <is>
          <t>ISIC 21</t>
        </is>
      </c>
      <c r="N59" s="110" t="inlineStr">
        <is>
          <t>ISIC 22</t>
        </is>
      </c>
      <c r="O59" s="110" t="inlineStr">
        <is>
          <t>ISIC 231</t>
        </is>
      </c>
      <c r="P59" s="110" t="inlineStr">
        <is>
          <t>ISIC 239</t>
        </is>
      </c>
      <c r="Q59" s="110" t="inlineStr">
        <is>
          <t>ISIC 241</t>
        </is>
      </c>
      <c r="R59" s="110" t="inlineStr">
        <is>
          <t>ISIC 242</t>
        </is>
      </c>
      <c r="S59" s="110" t="inlineStr">
        <is>
          <t>ISIC 25</t>
        </is>
      </c>
      <c r="T59" s="110" t="inlineStr">
        <is>
          <t>ISIC 26</t>
        </is>
      </c>
      <c r="U59" s="110" t="inlineStr">
        <is>
          <t>ISIC 27</t>
        </is>
      </c>
      <c r="V59" s="110" t="inlineStr">
        <is>
          <t>ISIC 28</t>
        </is>
      </c>
      <c r="W59" s="110" t="inlineStr">
        <is>
          <t>ISIC 29</t>
        </is>
      </c>
      <c r="X59" s="110" t="inlineStr">
        <is>
          <t>ISIC 30</t>
        </is>
      </c>
      <c r="Y59" s="110" t="inlineStr">
        <is>
          <t>ISIC 31T33</t>
        </is>
      </c>
      <c r="Z59" s="110" t="inlineStr">
        <is>
          <t>ISIC 351</t>
        </is>
      </c>
      <c r="AA59" s="110" t="inlineStr">
        <is>
          <t>ISIC 352T353</t>
        </is>
      </c>
      <c r="AB59" s="110" t="inlineStr">
        <is>
          <t>ISIC 36T39</t>
        </is>
      </c>
      <c r="AC59" s="110" t="inlineStr">
        <is>
          <t>ISIC 41T43</t>
        </is>
      </c>
      <c r="AD59" s="110" t="inlineStr">
        <is>
          <t>ISIC 45T47</t>
        </is>
      </c>
      <c r="AE59" s="110" t="inlineStr">
        <is>
          <t>ISIC 49T53</t>
        </is>
      </c>
      <c r="AF59" s="110" t="inlineStr">
        <is>
          <t>ISIC 55T56</t>
        </is>
      </c>
      <c r="AG59" s="110" t="inlineStr">
        <is>
          <t>ISIC 58T60</t>
        </is>
      </c>
      <c r="AH59" s="110" t="inlineStr">
        <is>
          <t>ISIC 61</t>
        </is>
      </c>
      <c r="AI59" s="110" t="inlineStr">
        <is>
          <t>ISIC 62T63</t>
        </is>
      </c>
      <c r="AJ59" s="110" t="inlineStr">
        <is>
          <t>ISIC 64T66</t>
        </is>
      </c>
      <c r="AK59" s="110" t="inlineStr">
        <is>
          <t>ISIC 68</t>
        </is>
      </c>
      <c r="AL59" s="110" t="inlineStr">
        <is>
          <t>ISIC 69T82</t>
        </is>
      </c>
      <c r="AM59" s="110" t="inlineStr">
        <is>
          <t>ISIC 84</t>
        </is>
      </c>
      <c r="AN59" s="110" t="inlineStr">
        <is>
          <t>ISIC 85</t>
        </is>
      </c>
      <c r="AO59" s="110" t="inlineStr">
        <is>
          <t>ISIC 86T88</t>
        </is>
      </c>
      <c r="AP59" s="110" t="inlineStr">
        <is>
          <t>ISIC 90T96</t>
        </is>
      </c>
      <c r="AQ59" s="110" t="inlineStr">
        <is>
          <t>ISIC 97T98</t>
        </is>
      </c>
    </row>
    <row r="60">
      <c r="A60" t="inlineStr">
        <is>
          <t>hard coal</t>
        </is>
      </c>
      <c r="B60" s="144">
        <f>'SoESCaOMCbIC-capital'!B2*($B13/SUM($B13,$B6))</f>
        <v/>
      </c>
      <c r="C60" s="144">
        <f>'SoESCaOMCbIC-capital'!C2*($B13/SUM($B13,$B6))</f>
        <v/>
      </c>
      <c r="D60" s="144">
        <f>'SoESCaOMCbIC-capital'!D2*($B13/SUM($B13,$B6))</f>
        <v/>
      </c>
      <c r="E60" s="144">
        <f>'SoESCaOMCbIC-capital'!E2*($B13/SUM($B13,$B6))</f>
        <v/>
      </c>
      <c r="F60" s="144">
        <f>'SoESCaOMCbIC-capital'!F2*($B13/SUM($B13,$B6))</f>
        <v/>
      </c>
      <c r="G60" s="144">
        <f>'SoESCaOMCbIC-capital'!G2*($B13/SUM($B13,$B6))</f>
        <v/>
      </c>
      <c r="H60" s="144">
        <f>'SoESCaOMCbIC-capital'!H2*($B13/SUM($B13,$B6))</f>
        <v/>
      </c>
      <c r="I60" s="144">
        <f>'SoESCaOMCbIC-capital'!I2*($B13/SUM($B13,$B6))</f>
        <v/>
      </c>
      <c r="J60" s="144">
        <f>'SoESCaOMCbIC-capital'!J2*($B13/SUM($B13,$B6))</f>
        <v/>
      </c>
      <c r="K60" s="144">
        <f>'SoESCaOMCbIC-capital'!K2*($B13/SUM($B13,$B6))</f>
        <v/>
      </c>
      <c r="L60" s="144">
        <f>'SoESCaOMCbIC-capital'!L2*($B13/SUM($B13,$B6))</f>
        <v/>
      </c>
      <c r="M60" s="144">
        <f>'SoESCaOMCbIC-capital'!M2*($B13/SUM($B13,$B6))</f>
        <v/>
      </c>
      <c r="N60" s="144">
        <f>'SoESCaOMCbIC-capital'!N2*($B13/SUM($B13,$B6))</f>
        <v/>
      </c>
      <c r="O60" s="144">
        <f>'SoESCaOMCbIC-capital'!O2*($B13/SUM($B13,$B6))</f>
        <v/>
      </c>
      <c r="P60" s="144">
        <f>'SoESCaOMCbIC-capital'!P2*($B13/SUM($B13,$B6))</f>
        <v/>
      </c>
      <c r="Q60" s="144">
        <f>'SoESCaOMCbIC-capital'!Q2*($B13/SUM($B13,$B6))</f>
        <v/>
      </c>
      <c r="R60" s="144">
        <f>'SoESCaOMCbIC-capital'!R2*($B13/SUM($B13,$B6))</f>
        <v/>
      </c>
      <c r="S60" s="144">
        <f>'SoESCaOMCbIC-capital'!S2*($B13/SUM($B13,$B6))</f>
        <v/>
      </c>
      <c r="T60" s="144">
        <f>'SoESCaOMCbIC-capital'!T2*($B13/SUM($B13,$B6))</f>
        <v/>
      </c>
      <c r="U60" s="144">
        <f>'SoESCaOMCbIC-capital'!U2*($B13/SUM($B13,$B6))</f>
        <v/>
      </c>
      <c r="V60" s="144">
        <f>'SoESCaOMCbIC-capital'!V2*($B13/SUM($B13,$B6))</f>
        <v/>
      </c>
      <c r="W60" s="144">
        <f>'SoESCaOMCbIC-capital'!W2*($B13/SUM($B13,$B6))</f>
        <v/>
      </c>
      <c r="X60" s="144">
        <f>'SoESCaOMCbIC-capital'!X2*($B13/SUM($B13,$B6))</f>
        <v/>
      </c>
      <c r="Y60" s="144">
        <f>'SoESCaOMCbIC-capital'!Y2*($B13/SUM($B13,$B6))</f>
        <v/>
      </c>
      <c r="Z60" s="144">
        <f>'SoESCaOMCbIC-capital'!Z2*($B13/SUM($B13,$B6))</f>
        <v/>
      </c>
      <c r="AA60" s="144">
        <f>'SoESCaOMCbIC-capital'!AA2*($B13/SUM($B13,$B6))</f>
        <v/>
      </c>
      <c r="AB60" s="144">
        <f>'SoESCaOMCbIC-capital'!AB2*($B13/SUM($B13,$B6))</f>
        <v/>
      </c>
      <c r="AC60" s="144">
        <f>'SoESCaOMCbIC-capital'!AC2*($B13/SUM($B13,$B6))</f>
        <v/>
      </c>
      <c r="AD60" s="144">
        <f>'SoESCaOMCbIC-capital'!AD2*($B13/SUM($B13,$B6))</f>
        <v/>
      </c>
      <c r="AE60" s="144">
        <f>'SoESCaOMCbIC-capital'!AE2*($B13/SUM($B13,$B6))</f>
        <v/>
      </c>
      <c r="AF60" s="144">
        <f>'SoESCaOMCbIC-capital'!AF2*($B13/SUM($B13,$B6))</f>
        <v/>
      </c>
      <c r="AG60" s="144">
        <f>'SoESCaOMCbIC-capital'!AG2*($B13/SUM($B13,$B6))</f>
        <v/>
      </c>
      <c r="AH60" s="144">
        <f>'SoESCaOMCbIC-capital'!AH2*($B13/SUM($B13,$B6))</f>
        <v/>
      </c>
      <c r="AI60" s="144">
        <f>'SoESCaOMCbIC-capital'!AI2*($B13/SUM($B13,$B6))</f>
        <v/>
      </c>
      <c r="AJ60" s="144">
        <f>'SoESCaOMCbIC-capital'!AJ2*($B13/SUM($B13,$B6))</f>
        <v/>
      </c>
      <c r="AK60" s="144">
        <f>'SoESCaOMCbIC-capital'!AK2*($B13/SUM($B13,$B6))</f>
        <v/>
      </c>
      <c r="AL60" s="144">
        <f>'SoESCaOMCbIC-capital'!AL2*($B13/SUM($B13,$B6))</f>
        <v/>
      </c>
      <c r="AM60" s="144">
        <f>'SoESCaOMCbIC-capital'!AM2*($B13/SUM($B13,$B6))</f>
        <v/>
      </c>
      <c r="AN60" s="144">
        <f>'SoESCaOMCbIC-capital'!AN2*($B13/SUM($B13,$B6))</f>
        <v/>
      </c>
      <c r="AO60" s="144">
        <f>'SoESCaOMCbIC-capital'!AO2*($B13/SUM($B13,$B6))</f>
        <v/>
      </c>
      <c r="AP60" s="144">
        <f>'SoESCaOMCbIC-capital'!AP2*($B13/SUM($B13,$B6))</f>
        <v/>
      </c>
      <c r="AQ60" s="144">
        <f>'SoESCaOMCbIC-capital'!AQ2*($B13/SUM($B13,$B6))</f>
        <v/>
      </c>
    </row>
    <row r="61">
      <c r="A61" t="inlineStr">
        <is>
          <t>natural gas combined cycle</t>
        </is>
      </c>
      <c r="B61" s="144">
        <f>'SoESCaOMCbIC-capital'!B4*($B14/SUM($B14,$B7))</f>
        <v/>
      </c>
      <c r="C61" s="144">
        <f>'SoESCaOMCbIC-capital'!C4*($B14/SUM($B14,$B7))</f>
        <v/>
      </c>
      <c r="D61" s="144">
        <f>'SoESCaOMCbIC-capital'!D4*($B14/SUM($B14,$B7))</f>
        <v/>
      </c>
      <c r="E61" s="144">
        <f>'SoESCaOMCbIC-capital'!E4*($B14/SUM($B14,$B7))</f>
        <v/>
      </c>
      <c r="F61" s="144">
        <f>'SoESCaOMCbIC-capital'!F4*($B14/SUM($B14,$B7))</f>
        <v/>
      </c>
      <c r="G61" s="144">
        <f>'SoESCaOMCbIC-capital'!G4*($B14/SUM($B14,$B7))</f>
        <v/>
      </c>
      <c r="H61" s="144">
        <f>'SoESCaOMCbIC-capital'!H4*($B14/SUM($B14,$B7))</f>
        <v/>
      </c>
      <c r="I61" s="144">
        <f>'SoESCaOMCbIC-capital'!I4*($B14/SUM($B14,$B7))</f>
        <v/>
      </c>
      <c r="J61" s="144">
        <f>'SoESCaOMCbIC-capital'!J4*($B14/SUM($B14,$B7))</f>
        <v/>
      </c>
      <c r="K61" s="144">
        <f>'SoESCaOMCbIC-capital'!K4*($B14/SUM($B14,$B7))</f>
        <v/>
      </c>
      <c r="L61" s="144">
        <f>'SoESCaOMCbIC-capital'!L4*($B14/SUM($B14,$B7))</f>
        <v/>
      </c>
      <c r="M61" s="144">
        <f>'SoESCaOMCbIC-capital'!M4*($B14/SUM($B14,$B7))</f>
        <v/>
      </c>
      <c r="N61" s="144">
        <f>'SoESCaOMCbIC-capital'!N4*($B14/SUM($B14,$B7))</f>
        <v/>
      </c>
      <c r="O61" s="144">
        <f>'SoESCaOMCbIC-capital'!O4*($B14/SUM($B14,$B7))</f>
        <v/>
      </c>
      <c r="P61" s="144">
        <f>'SoESCaOMCbIC-capital'!P4*($B14/SUM($B14,$B7))</f>
        <v/>
      </c>
      <c r="Q61" s="144">
        <f>'SoESCaOMCbIC-capital'!Q4*($B14/SUM($B14,$B7))</f>
        <v/>
      </c>
      <c r="R61" s="144">
        <f>'SoESCaOMCbIC-capital'!R4*($B14/SUM($B14,$B7))</f>
        <v/>
      </c>
      <c r="S61" s="144">
        <f>'SoESCaOMCbIC-capital'!S4*($B14/SUM($B14,$B7))</f>
        <v/>
      </c>
      <c r="T61" s="144">
        <f>'SoESCaOMCbIC-capital'!T4*($B14/SUM($B14,$B7))</f>
        <v/>
      </c>
      <c r="U61" s="144">
        <f>'SoESCaOMCbIC-capital'!U4*($B14/SUM($B14,$B7))</f>
        <v/>
      </c>
      <c r="V61" s="144">
        <f>'SoESCaOMCbIC-capital'!V4*($B14/SUM($B14,$B7))</f>
        <v/>
      </c>
      <c r="W61" s="144">
        <f>'SoESCaOMCbIC-capital'!W4*($B14/SUM($B14,$B7))</f>
        <v/>
      </c>
      <c r="X61" s="144">
        <f>'SoESCaOMCbIC-capital'!X4*($B14/SUM($B14,$B7))</f>
        <v/>
      </c>
      <c r="Y61" s="144">
        <f>'SoESCaOMCbIC-capital'!Y4*($B14/SUM($B14,$B7))</f>
        <v/>
      </c>
      <c r="Z61" s="144">
        <f>'SoESCaOMCbIC-capital'!Z4*($B14/SUM($B14,$B7))</f>
        <v/>
      </c>
      <c r="AA61" s="144">
        <f>'SoESCaOMCbIC-capital'!AA4*($B14/SUM($B14,$B7))</f>
        <v/>
      </c>
      <c r="AB61" s="144">
        <f>'SoESCaOMCbIC-capital'!AB4*($B14/SUM($B14,$B7))</f>
        <v/>
      </c>
      <c r="AC61" s="144">
        <f>'SoESCaOMCbIC-capital'!AC4*($B14/SUM($B14,$B7))</f>
        <v/>
      </c>
      <c r="AD61" s="144">
        <f>'SoESCaOMCbIC-capital'!AD4*($B14/SUM($B14,$B7))</f>
        <v/>
      </c>
      <c r="AE61" s="144">
        <f>'SoESCaOMCbIC-capital'!AE4*($B14/SUM($B14,$B7))</f>
        <v/>
      </c>
      <c r="AF61" s="144">
        <f>'SoESCaOMCbIC-capital'!AF4*($B14/SUM($B14,$B7))</f>
        <v/>
      </c>
      <c r="AG61" s="144">
        <f>'SoESCaOMCbIC-capital'!AG4*($B14/SUM($B14,$B7))</f>
        <v/>
      </c>
      <c r="AH61" s="144">
        <f>'SoESCaOMCbIC-capital'!AH4*($B14/SUM($B14,$B7))</f>
        <v/>
      </c>
      <c r="AI61" s="144">
        <f>'SoESCaOMCbIC-capital'!AI4*($B14/SUM($B14,$B7))</f>
        <v/>
      </c>
      <c r="AJ61" s="144">
        <f>'SoESCaOMCbIC-capital'!AJ4*($B14/SUM($B14,$B7))</f>
        <v/>
      </c>
      <c r="AK61" s="144">
        <f>'SoESCaOMCbIC-capital'!AK4*($B14/SUM($B14,$B7))</f>
        <v/>
      </c>
      <c r="AL61" s="144">
        <f>'SoESCaOMCbIC-capital'!AL4*($B14/SUM($B14,$B7))</f>
        <v/>
      </c>
      <c r="AM61" s="144">
        <f>'SoESCaOMCbIC-capital'!AM4*($B14/SUM($B14,$B7))</f>
        <v/>
      </c>
      <c r="AN61" s="144">
        <f>'SoESCaOMCbIC-capital'!AN4*($B14/SUM($B14,$B7))</f>
        <v/>
      </c>
      <c r="AO61" s="144">
        <f>'SoESCaOMCbIC-capital'!AO4*($B14/SUM($B14,$B7))</f>
        <v/>
      </c>
      <c r="AP61" s="144">
        <f>'SoESCaOMCbIC-capital'!AP4*($B14/SUM($B14,$B7))</f>
        <v/>
      </c>
      <c r="AQ61" s="144">
        <f>'SoESCaOMCbIC-capital'!AQ4*($B14/SUM($B14,$B7))</f>
        <v/>
      </c>
    </row>
    <row r="62">
      <c r="A62" t="inlineStr">
        <is>
          <t>biomass</t>
        </is>
      </c>
      <c r="B62" s="144">
        <f>'SoESCaOMCbIC-capital'!B10*$B15/SUM($B15,$B8)</f>
        <v/>
      </c>
      <c r="C62" s="144">
        <f>'SoESCaOMCbIC-capital'!C10*$B15/SUM($B15,$B8)</f>
        <v/>
      </c>
      <c r="D62" s="144">
        <f>'SoESCaOMCbIC-capital'!D10*$B15/SUM($B15,$B8)</f>
        <v/>
      </c>
      <c r="E62" s="144">
        <f>'SoESCaOMCbIC-capital'!E10*$B15/SUM($B15,$B8)</f>
        <v/>
      </c>
      <c r="F62" s="144">
        <f>'SoESCaOMCbIC-capital'!F10*$B15/SUM($B15,$B8)</f>
        <v/>
      </c>
      <c r="G62" s="144">
        <f>'SoESCaOMCbIC-capital'!G10*$B15/SUM($B15,$B8)</f>
        <v/>
      </c>
      <c r="H62" s="144">
        <f>'SoESCaOMCbIC-capital'!H10*$B15/SUM($B15,$B8)</f>
        <v/>
      </c>
      <c r="I62" s="144">
        <f>'SoESCaOMCbIC-capital'!I10*$B15/SUM($B15,$B8)</f>
        <v/>
      </c>
      <c r="J62" s="144">
        <f>'SoESCaOMCbIC-capital'!J10*$B15/SUM($B15,$B8)</f>
        <v/>
      </c>
      <c r="K62" s="144">
        <f>'SoESCaOMCbIC-capital'!K10*$B15/SUM($B15,$B8)</f>
        <v/>
      </c>
      <c r="L62" s="144">
        <f>'SoESCaOMCbIC-capital'!L10*$B15/SUM($B15,$B8)</f>
        <v/>
      </c>
      <c r="M62" s="144">
        <f>'SoESCaOMCbIC-capital'!M10*$B15/SUM($B15,$B8)</f>
        <v/>
      </c>
      <c r="N62" s="144">
        <f>'SoESCaOMCbIC-capital'!N10*$B15/SUM($B15,$B8)</f>
        <v/>
      </c>
      <c r="O62" s="144">
        <f>'SoESCaOMCbIC-capital'!O10*$B15/SUM($B15,$B8)</f>
        <v/>
      </c>
      <c r="P62" s="144">
        <f>'SoESCaOMCbIC-capital'!P10*$B15/SUM($B15,$B8)</f>
        <v/>
      </c>
      <c r="Q62" s="144">
        <f>'SoESCaOMCbIC-capital'!Q10*$B15/SUM($B15,$B8)</f>
        <v/>
      </c>
      <c r="R62" s="144">
        <f>'SoESCaOMCbIC-capital'!R10*$B15/SUM($B15,$B8)</f>
        <v/>
      </c>
      <c r="S62" s="144">
        <f>'SoESCaOMCbIC-capital'!S10*$B15/SUM($B15,$B8)</f>
        <v/>
      </c>
      <c r="T62" s="144">
        <f>'SoESCaOMCbIC-capital'!T10*$B15/SUM($B15,$B8)</f>
        <v/>
      </c>
      <c r="U62" s="144">
        <f>'SoESCaOMCbIC-capital'!U10*$B15/SUM($B15,$B8)</f>
        <v/>
      </c>
      <c r="V62" s="144">
        <f>'SoESCaOMCbIC-capital'!V10*$B15/SUM($B15,$B8)</f>
        <v/>
      </c>
      <c r="W62" s="144">
        <f>'SoESCaOMCbIC-capital'!W10*$B15/SUM($B15,$B8)</f>
        <v/>
      </c>
      <c r="X62" s="144">
        <f>'SoESCaOMCbIC-capital'!X10*$B15/SUM($B15,$B8)</f>
        <v/>
      </c>
      <c r="Y62" s="144">
        <f>'SoESCaOMCbIC-capital'!Y10*$B15/SUM($B15,$B8)</f>
        <v/>
      </c>
      <c r="Z62" s="144">
        <f>'SoESCaOMCbIC-capital'!Z10*$B15/SUM($B15,$B8)</f>
        <v/>
      </c>
      <c r="AA62" s="144">
        <f>'SoESCaOMCbIC-capital'!AA10*$B15/SUM($B15,$B8)</f>
        <v/>
      </c>
      <c r="AB62" s="144">
        <f>'SoESCaOMCbIC-capital'!AB10*$B15/SUM($B15,$B8)</f>
        <v/>
      </c>
      <c r="AC62" s="144">
        <f>'SoESCaOMCbIC-capital'!AC10*$B15/SUM($B15,$B8)</f>
        <v/>
      </c>
      <c r="AD62" s="144">
        <f>'SoESCaOMCbIC-capital'!AD10*$B15/SUM($B15,$B8)</f>
        <v/>
      </c>
      <c r="AE62" s="144">
        <f>'SoESCaOMCbIC-capital'!AE10*$B15/SUM($B15,$B8)</f>
        <v/>
      </c>
      <c r="AF62" s="144">
        <f>'SoESCaOMCbIC-capital'!AF10*$B15/SUM($B15,$B8)</f>
        <v/>
      </c>
      <c r="AG62" s="144">
        <f>'SoESCaOMCbIC-capital'!AG10*$B15/SUM($B15,$B8)</f>
        <v/>
      </c>
      <c r="AH62" s="144">
        <f>'SoESCaOMCbIC-capital'!AH10*$B15/SUM($B15,$B8)</f>
        <v/>
      </c>
      <c r="AI62" s="144">
        <f>'SoESCaOMCbIC-capital'!AI10*$B15/SUM($B15,$B8)</f>
        <v/>
      </c>
      <c r="AJ62" s="144">
        <f>'SoESCaOMCbIC-capital'!AJ10*$B15/SUM($B15,$B8)</f>
        <v/>
      </c>
      <c r="AK62" s="144">
        <f>'SoESCaOMCbIC-capital'!AK10*$B15/SUM($B15,$B8)</f>
        <v/>
      </c>
      <c r="AL62" s="144">
        <f>'SoESCaOMCbIC-capital'!AL10*$B15/SUM($B15,$B8)</f>
        <v/>
      </c>
      <c r="AM62" s="144">
        <f>'SoESCaOMCbIC-capital'!AM10*$B15/SUM($B15,$B8)</f>
        <v/>
      </c>
      <c r="AN62" s="144">
        <f>'SoESCaOMCbIC-capital'!AN10*$B15/SUM($B15,$B8)</f>
        <v/>
      </c>
      <c r="AO62" s="144">
        <f>'SoESCaOMCbIC-capital'!AO10*$B15/SUM($B15,$B8)</f>
        <v/>
      </c>
      <c r="AP62" s="144">
        <f>'SoESCaOMCbIC-capital'!AP10*$B15/SUM($B15,$B8)</f>
        <v/>
      </c>
      <c r="AQ62" s="144">
        <f>'SoESCaOMCbIC-capital'!AQ10*$B15/SUM($B15,$B8)</f>
        <v/>
      </c>
    </row>
    <row r="63">
      <c r="A63" t="inlineStr">
        <is>
          <t>lignite</t>
        </is>
      </c>
      <c r="B63" s="144">
        <f>'SoESCaOMCbIC-capital'!B14*($B16/SUM($B16,$B9))</f>
        <v/>
      </c>
      <c r="C63" s="144">
        <f>'SoESCaOMCbIC-capital'!C14*($B16/SUM($B16,$B9))</f>
        <v/>
      </c>
      <c r="D63" s="144">
        <f>'SoESCaOMCbIC-capital'!D14*($B16/SUM($B16,$B9))</f>
        <v/>
      </c>
      <c r="E63" s="144">
        <f>'SoESCaOMCbIC-capital'!E14*($B16/SUM($B16,$B9))</f>
        <v/>
      </c>
      <c r="F63" s="144">
        <f>'SoESCaOMCbIC-capital'!F14*($B16/SUM($B16,$B9))</f>
        <v/>
      </c>
      <c r="G63" s="144">
        <f>'SoESCaOMCbIC-capital'!G14*($B16/SUM($B16,$B9))</f>
        <v/>
      </c>
      <c r="H63" s="144">
        <f>'SoESCaOMCbIC-capital'!H14*($B16/SUM($B16,$B9))</f>
        <v/>
      </c>
      <c r="I63" s="144">
        <f>'SoESCaOMCbIC-capital'!I14*($B16/SUM($B16,$B9))</f>
        <v/>
      </c>
      <c r="J63" s="144">
        <f>'SoESCaOMCbIC-capital'!J14*($B16/SUM($B16,$B9))</f>
        <v/>
      </c>
      <c r="K63" s="144">
        <f>'SoESCaOMCbIC-capital'!K14*($B16/SUM($B16,$B9))</f>
        <v/>
      </c>
      <c r="L63" s="144">
        <f>'SoESCaOMCbIC-capital'!L14*($B16/SUM($B16,$B9))</f>
        <v/>
      </c>
      <c r="M63" s="144">
        <f>'SoESCaOMCbIC-capital'!M14*($B16/SUM($B16,$B9))</f>
        <v/>
      </c>
      <c r="N63" s="144">
        <f>'SoESCaOMCbIC-capital'!N14*($B16/SUM($B16,$B9))</f>
        <v/>
      </c>
      <c r="O63" s="144">
        <f>'SoESCaOMCbIC-capital'!O14*($B16/SUM($B16,$B9))</f>
        <v/>
      </c>
      <c r="P63" s="144">
        <f>'SoESCaOMCbIC-capital'!P14*($B16/SUM($B16,$B9))</f>
        <v/>
      </c>
      <c r="Q63" s="144">
        <f>'SoESCaOMCbIC-capital'!Q14*($B16/SUM($B16,$B9))</f>
        <v/>
      </c>
      <c r="R63" s="144">
        <f>'SoESCaOMCbIC-capital'!R14*($B16/SUM($B16,$B9))</f>
        <v/>
      </c>
      <c r="S63" s="144">
        <f>'SoESCaOMCbIC-capital'!S14*($B16/SUM($B16,$B9))</f>
        <v/>
      </c>
      <c r="T63" s="144">
        <f>'SoESCaOMCbIC-capital'!T14*($B16/SUM($B16,$B9))</f>
        <v/>
      </c>
      <c r="U63" s="144">
        <f>'SoESCaOMCbIC-capital'!U14*($B16/SUM($B16,$B9))</f>
        <v/>
      </c>
      <c r="V63" s="144">
        <f>'SoESCaOMCbIC-capital'!V14*($B16/SUM($B16,$B9))</f>
        <v/>
      </c>
      <c r="W63" s="144">
        <f>'SoESCaOMCbIC-capital'!W14*($B16/SUM($B16,$B9))</f>
        <v/>
      </c>
      <c r="X63" s="144">
        <f>'SoESCaOMCbIC-capital'!X14*($B16/SUM($B16,$B9))</f>
        <v/>
      </c>
      <c r="Y63" s="144">
        <f>'SoESCaOMCbIC-capital'!Y14*($B16/SUM($B16,$B9))</f>
        <v/>
      </c>
      <c r="Z63" s="144">
        <f>'SoESCaOMCbIC-capital'!Z14*($B16/SUM($B16,$B9))</f>
        <v/>
      </c>
      <c r="AA63" s="144">
        <f>'SoESCaOMCbIC-capital'!AA14*($B16/SUM($B16,$B9))</f>
        <v/>
      </c>
      <c r="AB63" s="144">
        <f>'SoESCaOMCbIC-capital'!AB14*($B16/SUM($B16,$B9))</f>
        <v/>
      </c>
      <c r="AC63" s="144">
        <f>'SoESCaOMCbIC-capital'!AC14*($B16/SUM($B16,$B9))</f>
        <v/>
      </c>
      <c r="AD63" s="144">
        <f>'SoESCaOMCbIC-capital'!AD14*($B16/SUM($B16,$B9))</f>
        <v/>
      </c>
      <c r="AE63" s="144">
        <f>'SoESCaOMCbIC-capital'!AE14*($B16/SUM($B16,$B9))</f>
        <v/>
      </c>
      <c r="AF63" s="144">
        <f>'SoESCaOMCbIC-capital'!AF14*($B16/SUM($B16,$B9))</f>
        <v/>
      </c>
      <c r="AG63" s="144">
        <f>'SoESCaOMCbIC-capital'!AG14*($B16/SUM($B16,$B9))</f>
        <v/>
      </c>
      <c r="AH63" s="144">
        <f>'SoESCaOMCbIC-capital'!AH14*($B16/SUM($B16,$B9))</f>
        <v/>
      </c>
      <c r="AI63" s="144">
        <f>'SoESCaOMCbIC-capital'!AI14*($B16/SUM($B16,$B9))</f>
        <v/>
      </c>
      <c r="AJ63" s="144">
        <f>'SoESCaOMCbIC-capital'!AJ14*($B16/SUM($B16,$B9))</f>
        <v/>
      </c>
      <c r="AK63" s="144">
        <f>'SoESCaOMCbIC-capital'!AK14*($B16/SUM($B16,$B9))</f>
        <v/>
      </c>
      <c r="AL63" s="144">
        <f>'SoESCaOMCbIC-capital'!AL14*($B16/SUM($B16,$B9))</f>
        <v/>
      </c>
      <c r="AM63" s="144">
        <f>'SoESCaOMCbIC-capital'!AM14*($B16/SUM($B16,$B9))</f>
        <v/>
      </c>
      <c r="AN63" s="144">
        <f>'SoESCaOMCbIC-capital'!AN14*($B16/SUM($B16,$B9))</f>
        <v/>
      </c>
      <c r="AO63" s="144">
        <f>'SoESCaOMCbIC-capital'!AO14*($B16/SUM($B16,$B9))</f>
        <v/>
      </c>
      <c r="AP63" s="144">
        <f>'SoESCaOMCbIC-capital'!AP14*($B16/SUM($B16,$B9))</f>
        <v/>
      </c>
      <c r="AQ63" s="144">
        <f>'SoESCaOMCbIC-capital'!AQ14*($B16/SUM($B16,$B9))</f>
        <v/>
      </c>
    </row>
    <row r="64">
      <c r="B64" s="145" t="n"/>
    </row>
    <row r="65">
      <c r="A65" t="inlineStr">
        <is>
          <t>CAPEX breakdown for CCS Components</t>
        </is>
      </c>
    </row>
    <row r="66">
      <c r="A66" t="inlineStr">
        <is>
          <t>*assumes same portion of cost for construction as non-CCS components</t>
        </is>
      </c>
    </row>
    <row r="67">
      <c r="A67" s="126" t="n"/>
      <c r="B67" s="110" t="inlineStr">
        <is>
          <t>ISIC 01T03</t>
        </is>
      </c>
      <c r="C67" s="110" t="inlineStr">
        <is>
          <t>ISIC 05</t>
        </is>
      </c>
      <c r="D67" s="110" t="inlineStr">
        <is>
          <t>ISIC 06</t>
        </is>
      </c>
      <c r="E67" s="110" t="inlineStr">
        <is>
          <t>ISIC 07T08</t>
        </is>
      </c>
      <c r="F67" s="110" t="inlineStr">
        <is>
          <t>ISIC 09</t>
        </is>
      </c>
      <c r="G67" s="110" t="inlineStr">
        <is>
          <t>ISIC 10T12</t>
        </is>
      </c>
      <c r="H67" s="110" t="inlineStr">
        <is>
          <t>ISIC 13T15</t>
        </is>
      </c>
      <c r="I67" s="110" t="inlineStr">
        <is>
          <t>ISIC 16</t>
        </is>
      </c>
      <c r="J67" s="110" t="inlineStr">
        <is>
          <t>ISIC 17T18</t>
        </is>
      </c>
      <c r="K67" s="110" t="inlineStr">
        <is>
          <t>ISIC 19</t>
        </is>
      </c>
      <c r="L67" s="110" t="inlineStr">
        <is>
          <t>ISIC 20</t>
        </is>
      </c>
      <c r="M67" s="110" t="inlineStr">
        <is>
          <t>ISIC 21</t>
        </is>
      </c>
      <c r="N67" s="110" t="inlineStr">
        <is>
          <t>ISIC 22</t>
        </is>
      </c>
      <c r="O67" s="110" t="inlineStr">
        <is>
          <t>ISIC 231</t>
        </is>
      </c>
      <c r="P67" s="110" t="inlineStr">
        <is>
          <t>ISIC 239</t>
        </is>
      </c>
      <c r="Q67" s="110" t="inlineStr">
        <is>
          <t>ISIC 241</t>
        </is>
      </c>
      <c r="R67" s="110" t="inlineStr">
        <is>
          <t>ISIC 242</t>
        </is>
      </c>
      <c r="S67" s="110" t="inlineStr">
        <is>
          <t>ISIC 25</t>
        </is>
      </c>
      <c r="T67" s="110" t="inlineStr">
        <is>
          <t>ISIC 26</t>
        </is>
      </c>
      <c r="U67" s="110" t="inlineStr">
        <is>
          <t>ISIC 27</t>
        </is>
      </c>
      <c r="V67" s="110" t="inlineStr">
        <is>
          <t>ISIC 28</t>
        </is>
      </c>
      <c r="W67" s="110" t="inlineStr">
        <is>
          <t>ISIC 29</t>
        </is>
      </c>
      <c r="X67" s="110" t="inlineStr">
        <is>
          <t>ISIC 30</t>
        </is>
      </c>
      <c r="Y67" s="110" t="inlineStr">
        <is>
          <t>ISIC 31T33</t>
        </is>
      </c>
      <c r="Z67" s="110" t="inlineStr">
        <is>
          <t>ISIC 351</t>
        </is>
      </c>
      <c r="AA67" s="110" t="inlineStr">
        <is>
          <t>ISIC 352T353</t>
        </is>
      </c>
      <c r="AB67" s="110" t="inlineStr">
        <is>
          <t>ISIC 36T39</t>
        </is>
      </c>
      <c r="AC67" s="110" t="inlineStr">
        <is>
          <t>ISIC 41T43</t>
        </is>
      </c>
      <c r="AD67" s="110" t="inlineStr">
        <is>
          <t>ISIC 45T47</t>
        </is>
      </c>
      <c r="AE67" s="110" t="inlineStr">
        <is>
          <t>ISIC 49T53</t>
        </is>
      </c>
      <c r="AF67" s="110" t="inlineStr">
        <is>
          <t>ISIC 55T56</t>
        </is>
      </c>
      <c r="AG67" s="110" t="inlineStr">
        <is>
          <t>ISIC 58T60</t>
        </is>
      </c>
      <c r="AH67" s="110" t="inlineStr">
        <is>
          <t>ISIC 61</t>
        </is>
      </c>
      <c r="AI67" s="110" t="inlineStr">
        <is>
          <t>ISIC 62T63</t>
        </is>
      </c>
      <c r="AJ67" s="110" t="inlineStr">
        <is>
          <t>ISIC 64T66</t>
        </is>
      </c>
      <c r="AK67" s="110" t="inlineStr">
        <is>
          <t>ISIC 68</t>
        </is>
      </c>
      <c r="AL67" s="110" t="inlineStr">
        <is>
          <t>ISIC 69T82</t>
        </is>
      </c>
      <c r="AM67" s="110" t="inlineStr">
        <is>
          <t>ISIC 84</t>
        </is>
      </c>
      <c r="AN67" s="110" t="inlineStr">
        <is>
          <t>ISIC 85</t>
        </is>
      </c>
      <c r="AO67" s="110" t="inlineStr">
        <is>
          <t>ISIC 86T88</t>
        </is>
      </c>
      <c r="AP67" s="110" t="inlineStr">
        <is>
          <t>ISIC 90T96</t>
        </is>
      </c>
      <c r="AQ67" s="110" t="inlineStr">
        <is>
          <t>ISIC 97T98</t>
        </is>
      </c>
    </row>
    <row r="68">
      <c r="A68" t="inlineStr">
        <is>
          <t>hard coal</t>
        </is>
      </c>
      <c r="B68" s="144" t="n"/>
      <c r="C68" s="144" t="n"/>
      <c r="D68" s="144" t="n"/>
      <c r="E68" s="144" t="n"/>
      <c r="F68" s="144" t="n"/>
      <c r="G68" s="144" t="n"/>
      <c r="H68" s="144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>
        <f>$B6/SUM($B6,$B13)-AC68</f>
        <v/>
      </c>
      <c r="W68" s="144" t="n"/>
      <c r="X68" s="144" t="n"/>
      <c r="Y68" s="144" t="n"/>
      <c r="Z68" s="144" t="n"/>
      <c r="AA68" s="144" t="n"/>
      <c r="AB68" s="144" t="n"/>
      <c r="AC68" s="144">
        <f>$B6/SUM($B6,$B13)*'SoESCaOMCbIC-capital'!AC2</f>
        <v/>
      </c>
      <c r="AD68" s="144" t="n"/>
      <c r="AE68" s="144" t="n"/>
      <c r="AF68" s="144" t="n"/>
      <c r="AG68" s="144" t="n"/>
      <c r="AH68" s="144" t="n"/>
      <c r="AI68" s="144" t="n"/>
      <c r="AJ68" s="144" t="n"/>
      <c r="AK68" s="144" t="n"/>
      <c r="AL68" s="144" t="n"/>
      <c r="AM68" s="144" t="n"/>
      <c r="AN68" s="144" t="n"/>
      <c r="AO68" s="144" t="n"/>
      <c r="AP68" s="144" t="n"/>
      <c r="AQ68" s="144" t="n"/>
    </row>
    <row r="69">
      <c r="A69" t="inlineStr">
        <is>
          <t>natural gas combined cycle</t>
        </is>
      </c>
      <c r="B69" s="144" t="n"/>
      <c r="C69" s="144" t="n"/>
      <c r="D69" s="144" t="n"/>
      <c r="E69" s="144" t="n"/>
      <c r="F69" s="144" t="n"/>
      <c r="G69" s="144" t="n"/>
      <c r="H69" s="144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>
        <f>$B7/SUM($B7,$B14)-AC69</f>
        <v/>
      </c>
      <c r="W69" s="144" t="n"/>
      <c r="X69" s="144" t="n"/>
      <c r="Y69" s="144" t="n"/>
      <c r="Z69" s="144" t="n"/>
      <c r="AA69" s="144" t="n"/>
      <c r="AB69" s="144" t="n"/>
      <c r="AC69" s="144">
        <f>$B7/SUM($B7,$B14)*'SoESCaOMCbIC-capital'!AC4</f>
        <v/>
      </c>
      <c r="AD69" s="144" t="n"/>
      <c r="AE69" s="144" t="n"/>
      <c r="AF69" s="144" t="n"/>
      <c r="AG69" s="144" t="n"/>
      <c r="AH69" s="144" t="n"/>
      <c r="AI69" s="144" t="n"/>
      <c r="AJ69" s="144" t="n"/>
      <c r="AK69" s="144" t="n"/>
      <c r="AL69" s="144" t="n"/>
      <c r="AM69" s="144" t="n"/>
      <c r="AN69" s="144" t="n"/>
      <c r="AO69" s="144" t="n"/>
      <c r="AP69" s="144" t="n"/>
      <c r="AQ69" s="144" t="n"/>
    </row>
    <row r="70">
      <c r="A70" t="inlineStr">
        <is>
          <t>biomass</t>
        </is>
      </c>
      <c r="B70" s="144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>
        <f>$B8/SUM($B8,$B15)-AC70</f>
        <v/>
      </c>
      <c r="W70" s="144" t="n"/>
      <c r="X70" s="144" t="n"/>
      <c r="Y70" s="144" t="n"/>
      <c r="Z70" s="144" t="n"/>
      <c r="AA70" s="144" t="n"/>
      <c r="AB70" s="144" t="n"/>
      <c r="AC70" s="144">
        <f>$B8/SUM($B8,$B15)*'SoESCaOMCbIC-capital'!AC10</f>
        <v/>
      </c>
      <c r="AD70" s="144" t="n"/>
      <c r="AE70" s="144" t="n"/>
      <c r="AF70" s="144" t="n"/>
      <c r="AG70" s="144" t="n"/>
      <c r="AH70" s="144" t="n"/>
      <c r="AI70" s="144" t="n"/>
      <c r="AJ70" s="144" t="n"/>
      <c r="AK70" s="144" t="n"/>
      <c r="AL70" s="144" t="n"/>
      <c r="AM70" s="144" t="n"/>
      <c r="AN70" s="144" t="n"/>
      <c r="AO70" s="144" t="n"/>
      <c r="AP70" s="144" t="n"/>
      <c r="AQ70" s="144" t="n"/>
    </row>
    <row r="71">
      <c r="A71" t="inlineStr">
        <is>
          <t>lignite</t>
        </is>
      </c>
      <c r="B71" s="144" t="n"/>
      <c r="C71" s="144" t="n"/>
      <c r="D71" s="144" t="n"/>
      <c r="E71" s="144" t="n"/>
      <c r="F71" s="144" t="n"/>
      <c r="G71" s="144" t="n"/>
      <c r="H71" s="144" t="n"/>
      <c r="I71" s="144" t="n"/>
      <c r="J71" s="144" t="n"/>
      <c r="K71" s="144" t="n"/>
      <c r="L71" s="144" t="n"/>
      <c r="M71" s="144" t="n"/>
      <c r="N71" s="144" t="n"/>
      <c r="O71" s="144" t="n"/>
      <c r="P71" s="144" t="n"/>
      <c r="Q71" s="144" t="n"/>
      <c r="R71" s="144" t="n"/>
      <c r="S71" s="144" t="n"/>
      <c r="T71" s="144" t="n"/>
      <c r="U71" s="144" t="n"/>
      <c r="V71" s="144">
        <f>$B9/SUM($B9,$B16)-AC71</f>
        <v/>
      </c>
      <c r="W71" s="144" t="n"/>
      <c r="X71" s="144" t="n"/>
      <c r="Y71" s="144" t="n"/>
      <c r="Z71" s="144" t="n"/>
      <c r="AA71" s="144" t="n"/>
      <c r="AB71" s="144" t="n"/>
      <c r="AC71" s="144">
        <f>$B9/SUM($B9,$B16)*'SoESCaOMCbIC-capital'!AC14</f>
        <v/>
      </c>
      <c r="AD71" s="144" t="n"/>
      <c r="AE71" s="144" t="n"/>
      <c r="AF71" s="144" t="n"/>
      <c r="AG71" s="144" t="n"/>
      <c r="AH71" s="144" t="n"/>
      <c r="AI71" s="144" t="n"/>
      <c r="AJ71" s="144" t="n"/>
      <c r="AK71" s="144" t="n"/>
      <c r="AL71" s="144" t="n"/>
      <c r="AM71" s="144" t="n"/>
      <c r="AN71" s="144" t="n"/>
      <c r="AO71" s="144" t="n"/>
      <c r="AP71" s="144" t="n"/>
      <c r="AQ71" s="144" t="n"/>
    </row>
    <row r="72"/>
    <row r="73">
      <c r="A73" t="inlineStr">
        <is>
          <t>Fixed O&amp;M breakdown for non-CCS Components</t>
        </is>
      </c>
    </row>
    <row r="74">
      <c r="A74" s="126" t="n"/>
      <c r="B74" s="110" t="inlineStr">
        <is>
          <t>ISIC 01T03</t>
        </is>
      </c>
      <c r="C74" s="110" t="inlineStr">
        <is>
          <t>ISIC 05</t>
        </is>
      </c>
      <c r="D74" s="110" t="inlineStr">
        <is>
          <t>ISIC 06</t>
        </is>
      </c>
      <c r="E74" s="110" t="inlineStr">
        <is>
          <t>ISIC 07T08</t>
        </is>
      </c>
      <c r="F74" s="110" t="inlineStr">
        <is>
          <t>ISIC 09</t>
        </is>
      </c>
      <c r="G74" s="110" t="inlineStr">
        <is>
          <t>ISIC 10T12</t>
        </is>
      </c>
      <c r="H74" s="110" t="inlineStr">
        <is>
          <t>ISIC 13T15</t>
        </is>
      </c>
      <c r="I74" s="110" t="inlineStr">
        <is>
          <t>ISIC 16</t>
        </is>
      </c>
      <c r="J74" s="110" t="inlineStr">
        <is>
          <t>ISIC 17T18</t>
        </is>
      </c>
      <c r="K74" s="110" t="inlineStr">
        <is>
          <t>ISIC 19</t>
        </is>
      </c>
      <c r="L74" s="110" t="inlineStr">
        <is>
          <t>ISIC 20</t>
        </is>
      </c>
      <c r="M74" s="110" t="inlineStr">
        <is>
          <t>ISIC 21</t>
        </is>
      </c>
      <c r="N74" s="110" t="inlineStr">
        <is>
          <t>ISIC 22</t>
        </is>
      </c>
      <c r="O74" s="110" t="inlineStr">
        <is>
          <t>ISIC 231</t>
        </is>
      </c>
      <c r="P74" s="110" t="inlineStr">
        <is>
          <t>ISIC 239</t>
        </is>
      </c>
      <c r="Q74" s="110" t="inlineStr">
        <is>
          <t>ISIC 241</t>
        </is>
      </c>
      <c r="R74" s="110" t="inlineStr">
        <is>
          <t>ISIC 242</t>
        </is>
      </c>
      <c r="S74" s="110" t="inlineStr">
        <is>
          <t>ISIC 25</t>
        </is>
      </c>
      <c r="T74" s="110" t="inlineStr">
        <is>
          <t>ISIC 26</t>
        </is>
      </c>
      <c r="U74" s="110" t="inlineStr">
        <is>
          <t>ISIC 27</t>
        </is>
      </c>
      <c r="V74" s="110" t="inlineStr">
        <is>
          <t>ISIC 28</t>
        </is>
      </c>
      <c r="W74" s="110" t="inlineStr">
        <is>
          <t>ISIC 29</t>
        </is>
      </c>
      <c r="X74" s="110" t="inlineStr">
        <is>
          <t>ISIC 30</t>
        </is>
      </c>
      <c r="Y74" s="110" t="inlineStr">
        <is>
          <t>ISIC 31T33</t>
        </is>
      </c>
      <c r="Z74" s="110" t="inlineStr">
        <is>
          <t>ISIC 351</t>
        </is>
      </c>
      <c r="AA74" s="110" t="inlineStr">
        <is>
          <t>ISIC 352T353</t>
        </is>
      </c>
      <c r="AB74" s="110" t="inlineStr">
        <is>
          <t>ISIC 36T39</t>
        </is>
      </c>
      <c r="AC74" s="110" t="inlineStr">
        <is>
          <t>ISIC 41T43</t>
        </is>
      </c>
      <c r="AD74" s="110" t="inlineStr">
        <is>
          <t>ISIC 45T47</t>
        </is>
      </c>
      <c r="AE74" s="110" t="inlineStr">
        <is>
          <t>ISIC 49T53</t>
        </is>
      </c>
      <c r="AF74" s="110" t="inlineStr">
        <is>
          <t>ISIC 55T56</t>
        </is>
      </c>
      <c r="AG74" s="110" t="inlineStr">
        <is>
          <t>ISIC 58T60</t>
        </is>
      </c>
      <c r="AH74" s="110" t="inlineStr">
        <is>
          <t>ISIC 61</t>
        </is>
      </c>
      <c r="AI74" s="110" t="inlineStr">
        <is>
          <t>ISIC 62T63</t>
        </is>
      </c>
      <c r="AJ74" s="110" t="inlineStr">
        <is>
          <t>ISIC 64T66</t>
        </is>
      </c>
      <c r="AK74" s="110" t="inlineStr">
        <is>
          <t>ISIC 68</t>
        </is>
      </c>
      <c r="AL74" s="110" t="inlineStr">
        <is>
          <t>ISIC 69T82</t>
        </is>
      </c>
      <c r="AM74" s="110" t="inlineStr">
        <is>
          <t>ISIC 84</t>
        </is>
      </c>
      <c r="AN74" s="110" t="inlineStr">
        <is>
          <t>ISIC 85</t>
        </is>
      </c>
      <c r="AO74" s="110" t="inlineStr">
        <is>
          <t>ISIC 86T88</t>
        </is>
      </c>
      <c r="AP74" s="110" t="inlineStr">
        <is>
          <t>ISIC 90T96</t>
        </is>
      </c>
      <c r="AQ74" s="110" t="inlineStr">
        <is>
          <t>ISIC 97T98</t>
        </is>
      </c>
    </row>
    <row r="75">
      <c r="A75" t="inlineStr">
        <is>
          <t>hard coal</t>
        </is>
      </c>
      <c r="B75" s="144">
        <f>'SoESCaOMCbIC-fixedOM'!B2*($B27/SUM($B27,$B20))</f>
        <v/>
      </c>
      <c r="C75" s="144">
        <f>'SoESCaOMCbIC-fixedOM'!C2*($B27/SUM($B27,$B20))</f>
        <v/>
      </c>
      <c r="D75" s="144">
        <f>'SoESCaOMCbIC-fixedOM'!D2*($B27/SUM($B27,$B20))</f>
        <v/>
      </c>
      <c r="E75" s="144">
        <f>'SoESCaOMCbIC-fixedOM'!E2*($B27/SUM($B27,$B20))</f>
        <v/>
      </c>
      <c r="F75" s="144">
        <f>'SoESCaOMCbIC-fixedOM'!F2*($B27/SUM($B27,$B20))</f>
        <v/>
      </c>
      <c r="G75" s="144">
        <f>'SoESCaOMCbIC-fixedOM'!G2*($B27/SUM($B27,$B20))</f>
        <v/>
      </c>
      <c r="H75" s="144">
        <f>'SoESCaOMCbIC-fixedOM'!H2*($B27/SUM($B27,$B20))</f>
        <v/>
      </c>
      <c r="I75" s="144">
        <f>'SoESCaOMCbIC-fixedOM'!I2*($B27/SUM($B27,$B20))</f>
        <v/>
      </c>
      <c r="J75" s="144">
        <f>'SoESCaOMCbIC-fixedOM'!J2*($B27/SUM($B27,$B20))</f>
        <v/>
      </c>
      <c r="K75" s="144">
        <f>'SoESCaOMCbIC-fixedOM'!K2*($B27/SUM($B27,$B20))</f>
        <v/>
      </c>
      <c r="L75" s="144">
        <f>'SoESCaOMCbIC-fixedOM'!L2*($B27/SUM($B27,$B20))</f>
        <v/>
      </c>
      <c r="M75" s="144">
        <f>'SoESCaOMCbIC-fixedOM'!M2*($B27/SUM($B27,$B20))</f>
        <v/>
      </c>
      <c r="N75" s="144">
        <f>'SoESCaOMCbIC-fixedOM'!N2*($B27/SUM($B27,$B20))</f>
        <v/>
      </c>
      <c r="O75" s="144">
        <f>'SoESCaOMCbIC-fixedOM'!O2*($B27/SUM($B27,$B20))</f>
        <v/>
      </c>
      <c r="P75" s="144">
        <f>'SoESCaOMCbIC-fixedOM'!P2*($B27/SUM($B27,$B20))</f>
        <v/>
      </c>
      <c r="Q75" s="144">
        <f>'SoESCaOMCbIC-fixedOM'!Q2*($B27/SUM($B27,$B20))</f>
        <v/>
      </c>
      <c r="R75" s="144">
        <f>'SoESCaOMCbIC-fixedOM'!R2*($B27/SUM($B27,$B20))</f>
        <v/>
      </c>
      <c r="S75" s="144">
        <f>'SoESCaOMCbIC-fixedOM'!S2*($B27/SUM($B27,$B20))</f>
        <v/>
      </c>
      <c r="T75" s="144">
        <f>'SoESCaOMCbIC-fixedOM'!T2*($B27/SUM($B27,$B20))</f>
        <v/>
      </c>
      <c r="U75" s="144">
        <f>'SoESCaOMCbIC-fixedOM'!U2*($B27/SUM($B27,$B20))</f>
        <v/>
      </c>
      <c r="V75" s="144">
        <f>'SoESCaOMCbIC-fixedOM'!V2*($B27/SUM($B27,$B20))</f>
        <v/>
      </c>
      <c r="W75" s="144">
        <f>'SoESCaOMCbIC-fixedOM'!W2*($B27/SUM($B27,$B20))</f>
        <v/>
      </c>
      <c r="X75" s="144">
        <f>'SoESCaOMCbIC-fixedOM'!X2*($B27/SUM($B27,$B20))</f>
        <v/>
      </c>
      <c r="Y75" s="144">
        <f>'SoESCaOMCbIC-fixedOM'!Y2*($B27/SUM($B27,$B20))</f>
        <v/>
      </c>
      <c r="Z75" s="144">
        <f>'SoESCaOMCbIC-fixedOM'!Z2*($B27/SUM($B27,$B20))</f>
        <v/>
      </c>
      <c r="AA75" s="144">
        <f>'SoESCaOMCbIC-fixedOM'!AA2*($B27/SUM($B27,$B20))</f>
        <v/>
      </c>
      <c r="AB75" s="144">
        <f>'SoESCaOMCbIC-fixedOM'!AB2*($B27/SUM($B27,$B20))</f>
        <v/>
      </c>
      <c r="AC75" s="144">
        <f>'SoESCaOMCbIC-fixedOM'!AC2*($B27/SUM($B27,$B20))</f>
        <v/>
      </c>
      <c r="AD75" s="144">
        <f>'SoESCaOMCbIC-fixedOM'!AD2*($B27/SUM($B27,$B20))</f>
        <v/>
      </c>
      <c r="AE75" s="144">
        <f>'SoESCaOMCbIC-fixedOM'!AE2*($B27/SUM($B27,$B20))</f>
        <v/>
      </c>
      <c r="AF75" s="144">
        <f>'SoESCaOMCbIC-fixedOM'!AF2*($B27/SUM($B27,$B20))</f>
        <v/>
      </c>
      <c r="AG75" s="144">
        <f>'SoESCaOMCbIC-fixedOM'!AG2*($B27/SUM($B27,$B20))</f>
        <v/>
      </c>
      <c r="AH75" s="144">
        <f>'SoESCaOMCbIC-fixedOM'!AH2*($B27/SUM($B27,$B20))</f>
        <v/>
      </c>
      <c r="AI75" s="144">
        <f>'SoESCaOMCbIC-fixedOM'!AI2*($B27/SUM($B27,$B20))</f>
        <v/>
      </c>
      <c r="AJ75" s="144">
        <f>'SoESCaOMCbIC-fixedOM'!AJ2*($B27/SUM($B27,$B20))</f>
        <v/>
      </c>
      <c r="AK75" s="144">
        <f>'SoESCaOMCbIC-fixedOM'!AK2*($B27/SUM($B27,$B20))</f>
        <v/>
      </c>
      <c r="AL75" s="144">
        <f>'SoESCaOMCbIC-fixedOM'!AL2*($B27/SUM($B27,$B20))</f>
        <v/>
      </c>
      <c r="AM75" s="144">
        <f>'SoESCaOMCbIC-fixedOM'!AM2*($B27/SUM($B27,$B20))</f>
        <v/>
      </c>
      <c r="AN75" s="144">
        <f>'SoESCaOMCbIC-fixedOM'!AN2*($B27/SUM($B27,$B20))</f>
        <v/>
      </c>
      <c r="AO75" s="144">
        <f>'SoESCaOMCbIC-fixedOM'!AO2*($B27/SUM($B27,$B20))</f>
        <v/>
      </c>
      <c r="AP75" s="144">
        <f>'SoESCaOMCbIC-fixedOM'!AP2*($B27/SUM($B27,$B20))</f>
        <v/>
      </c>
      <c r="AQ75" s="144">
        <f>'SoESCaOMCbIC-fixedOM'!AQ2*($B27/SUM($B27,$B20))</f>
        <v/>
      </c>
    </row>
    <row r="76">
      <c r="A76" t="inlineStr">
        <is>
          <t>natural gas combined cycle</t>
        </is>
      </c>
      <c r="B76" s="144">
        <f>'SoESCaOMCbIC-fixedOM'!B4*($B28/SUM($B28,$B21))</f>
        <v/>
      </c>
      <c r="C76" s="144">
        <f>'SoESCaOMCbIC-fixedOM'!C4*($B28/SUM($B28,$B21))</f>
        <v/>
      </c>
      <c r="D76" s="144">
        <f>'SoESCaOMCbIC-fixedOM'!D4*($B28/SUM($B28,$B21))</f>
        <v/>
      </c>
      <c r="E76" s="144">
        <f>'SoESCaOMCbIC-fixedOM'!E4*($B28/SUM($B28,$B21))</f>
        <v/>
      </c>
      <c r="F76" s="144">
        <f>'SoESCaOMCbIC-fixedOM'!F4*($B28/SUM($B28,$B21))</f>
        <v/>
      </c>
      <c r="G76" s="144">
        <f>'SoESCaOMCbIC-fixedOM'!G4*($B28/SUM($B28,$B21))</f>
        <v/>
      </c>
      <c r="H76" s="144">
        <f>'SoESCaOMCbIC-fixedOM'!H4*($B28/SUM($B28,$B21))</f>
        <v/>
      </c>
      <c r="I76" s="144">
        <f>'SoESCaOMCbIC-fixedOM'!I4*($B28/SUM($B28,$B21))</f>
        <v/>
      </c>
      <c r="J76" s="144">
        <f>'SoESCaOMCbIC-fixedOM'!J4*($B28/SUM($B28,$B21))</f>
        <v/>
      </c>
      <c r="K76" s="144">
        <f>'SoESCaOMCbIC-fixedOM'!K4*($B28/SUM($B28,$B21))</f>
        <v/>
      </c>
      <c r="L76" s="144">
        <f>'SoESCaOMCbIC-fixedOM'!L4*($B28/SUM($B28,$B21))</f>
        <v/>
      </c>
      <c r="M76" s="144">
        <f>'SoESCaOMCbIC-fixedOM'!M4*($B28/SUM($B28,$B21))</f>
        <v/>
      </c>
      <c r="N76" s="144">
        <f>'SoESCaOMCbIC-fixedOM'!N4*($B28/SUM($B28,$B21))</f>
        <v/>
      </c>
      <c r="O76" s="144">
        <f>'SoESCaOMCbIC-fixedOM'!O4*($B28/SUM($B28,$B21))</f>
        <v/>
      </c>
      <c r="P76" s="144">
        <f>'SoESCaOMCbIC-fixedOM'!P4*($B28/SUM($B28,$B21))</f>
        <v/>
      </c>
      <c r="Q76" s="144">
        <f>'SoESCaOMCbIC-fixedOM'!Q4*($B28/SUM($B28,$B21))</f>
        <v/>
      </c>
      <c r="R76" s="144">
        <f>'SoESCaOMCbIC-fixedOM'!R4*($B28/SUM($B28,$B21))</f>
        <v/>
      </c>
      <c r="S76" s="144">
        <f>'SoESCaOMCbIC-fixedOM'!S4*($B28/SUM($B28,$B21))</f>
        <v/>
      </c>
      <c r="T76" s="144">
        <f>'SoESCaOMCbIC-fixedOM'!T4*($B28/SUM($B28,$B21))</f>
        <v/>
      </c>
      <c r="U76" s="144">
        <f>'SoESCaOMCbIC-fixedOM'!U4*($B28/SUM($B28,$B21))</f>
        <v/>
      </c>
      <c r="V76" s="144">
        <f>'SoESCaOMCbIC-fixedOM'!V4*($B28/SUM($B28,$B21))</f>
        <v/>
      </c>
      <c r="W76" s="144">
        <f>'SoESCaOMCbIC-fixedOM'!W4*($B28/SUM($B28,$B21))</f>
        <v/>
      </c>
      <c r="X76" s="144">
        <f>'SoESCaOMCbIC-fixedOM'!X4*($B28/SUM($B28,$B21))</f>
        <v/>
      </c>
      <c r="Y76" s="144">
        <f>'SoESCaOMCbIC-fixedOM'!Y4*($B28/SUM($B28,$B21))</f>
        <v/>
      </c>
      <c r="Z76" s="144">
        <f>'SoESCaOMCbIC-fixedOM'!Z4*($B28/SUM($B28,$B21))</f>
        <v/>
      </c>
      <c r="AA76" s="144">
        <f>'SoESCaOMCbIC-fixedOM'!AA4*($B28/SUM($B28,$B21))</f>
        <v/>
      </c>
      <c r="AB76" s="144">
        <f>'SoESCaOMCbIC-fixedOM'!AB4*($B28/SUM($B28,$B21))</f>
        <v/>
      </c>
      <c r="AC76" s="144">
        <f>'SoESCaOMCbIC-fixedOM'!AC4*($B28/SUM($B28,$B21))</f>
        <v/>
      </c>
      <c r="AD76" s="144">
        <f>'SoESCaOMCbIC-fixedOM'!AD4*($B28/SUM($B28,$B21))</f>
        <v/>
      </c>
      <c r="AE76" s="144">
        <f>'SoESCaOMCbIC-fixedOM'!AE4*($B28/SUM($B28,$B21))</f>
        <v/>
      </c>
      <c r="AF76" s="144">
        <f>'SoESCaOMCbIC-fixedOM'!AF4*($B28/SUM($B28,$B21))</f>
        <v/>
      </c>
      <c r="AG76" s="144">
        <f>'SoESCaOMCbIC-fixedOM'!AG4*($B28/SUM($B28,$B21))</f>
        <v/>
      </c>
      <c r="AH76" s="144">
        <f>'SoESCaOMCbIC-fixedOM'!AH4*($B28/SUM($B28,$B21))</f>
        <v/>
      </c>
      <c r="AI76" s="144">
        <f>'SoESCaOMCbIC-fixedOM'!AI4*($B28/SUM($B28,$B21))</f>
        <v/>
      </c>
      <c r="AJ76" s="144">
        <f>'SoESCaOMCbIC-fixedOM'!AJ4*($B28/SUM($B28,$B21))</f>
        <v/>
      </c>
      <c r="AK76" s="144">
        <f>'SoESCaOMCbIC-fixedOM'!AK4*($B28/SUM($B28,$B21))</f>
        <v/>
      </c>
      <c r="AL76" s="144">
        <f>'SoESCaOMCbIC-fixedOM'!AL4*($B28/SUM($B28,$B21))</f>
        <v/>
      </c>
      <c r="AM76" s="144">
        <f>'SoESCaOMCbIC-fixedOM'!AM4*($B28/SUM($B28,$B21))</f>
        <v/>
      </c>
      <c r="AN76" s="144">
        <f>'SoESCaOMCbIC-fixedOM'!AN4*($B28/SUM($B28,$B21))</f>
        <v/>
      </c>
      <c r="AO76" s="144">
        <f>'SoESCaOMCbIC-fixedOM'!AO4*($B28/SUM($B28,$B21))</f>
        <v/>
      </c>
      <c r="AP76" s="144">
        <f>'SoESCaOMCbIC-fixedOM'!AP4*($B28/SUM($B28,$B21))</f>
        <v/>
      </c>
      <c r="AQ76" s="144">
        <f>'SoESCaOMCbIC-fixedOM'!AQ4*($B28/SUM($B28,$B21))</f>
        <v/>
      </c>
    </row>
    <row r="77">
      <c r="A77" t="inlineStr">
        <is>
          <t>biomass</t>
        </is>
      </c>
      <c r="B77" s="144">
        <f>'SoESCaOMCbIC-fixedOM'!B10*($B29/SUM($B29,$B22))</f>
        <v/>
      </c>
      <c r="C77" s="144">
        <f>'SoESCaOMCbIC-fixedOM'!C10*($B29/SUM($B29,$B22))</f>
        <v/>
      </c>
      <c r="D77" s="144">
        <f>'SoESCaOMCbIC-fixedOM'!D10*($B29/SUM($B29,$B22))</f>
        <v/>
      </c>
      <c r="E77" s="144">
        <f>'SoESCaOMCbIC-fixedOM'!E10*($B29/SUM($B29,$B22))</f>
        <v/>
      </c>
      <c r="F77" s="144">
        <f>'SoESCaOMCbIC-fixedOM'!F10*($B29/SUM($B29,$B22))</f>
        <v/>
      </c>
      <c r="G77" s="144">
        <f>'SoESCaOMCbIC-fixedOM'!G10*($B29/SUM($B29,$B22))</f>
        <v/>
      </c>
      <c r="H77" s="144">
        <f>'SoESCaOMCbIC-fixedOM'!H10*($B29/SUM($B29,$B22))</f>
        <v/>
      </c>
      <c r="I77" s="144">
        <f>'SoESCaOMCbIC-fixedOM'!I10*($B29/SUM($B29,$B22))</f>
        <v/>
      </c>
      <c r="J77" s="144">
        <f>'SoESCaOMCbIC-fixedOM'!J10*($B29/SUM($B29,$B22))</f>
        <v/>
      </c>
      <c r="K77" s="144">
        <f>'SoESCaOMCbIC-fixedOM'!K10*($B29/SUM($B29,$B22))</f>
        <v/>
      </c>
      <c r="L77" s="144">
        <f>'SoESCaOMCbIC-fixedOM'!L10*($B29/SUM($B29,$B22))</f>
        <v/>
      </c>
      <c r="M77" s="144">
        <f>'SoESCaOMCbIC-fixedOM'!M10*($B29/SUM($B29,$B22))</f>
        <v/>
      </c>
      <c r="N77" s="144">
        <f>'SoESCaOMCbIC-fixedOM'!N10*($B29/SUM($B29,$B22))</f>
        <v/>
      </c>
      <c r="O77" s="144">
        <f>'SoESCaOMCbIC-fixedOM'!O10*($B29/SUM($B29,$B22))</f>
        <v/>
      </c>
      <c r="P77" s="144">
        <f>'SoESCaOMCbIC-fixedOM'!P10*($B29/SUM($B29,$B22))</f>
        <v/>
      </c>
      <c r="Q77" s="144">
        <f>'SoESCaOMCbIC-fixedOM'!Q10*($B29/SUM($B29,$B22))</f>
        <v/>
      </c>
      <c r="R77" s="144">
        <f>'SoESCaOMCbIC-fixedOM'!R10*($B29/SUM($B29,$B22))</f>
        <v/>
      </c>
      <c r="S77" s="144">
        <f>'SoESCaOMCbIC-fixedOM'!S10*($B29/SUM($B29,$B22))</f>
        <v/>
      </c>
      <c r="T77" s="144">
        <f>'SoESCaOMCbIC-fixedOM'!T10*($B29/SUM($B29,$B22))</f>
        <v/>
      </c>
      <c r="U77" s="144">
        <f>'SoESCaOMCbIC-fixedOM'!U10*($B29/SUM($B29,$B22))</f>
        <v/>
      </c>
      <c r="V77" s="144">
        <f>'SoESCaOMCbIC-fixedOM'!V10*($B29/SUM($B29,$B22))</f>
        <v/>
      </c>
      <c r="W77" s="144">
        <f>'SoESCaOMCbIC-fixedOM'!W10*($B29/SUM($B29,$B22))</f>
        <v/>
      </c>
      <c r="X77" s="144">
        <f>'SoESCaOMCbIC-fixedOM'!X10*($B29/SUM($B29,$B22))</f>
        <v/>
      </c>
      <c r="Y77" s="144">
        <f>'SoESCaOMCbIC-fixedOM'!Y10*($B29/SUM($B29,$B22))</f>
        <v/>
      </c>
      <c r="Z77" s="144">
        <f>'SoESCaOMCbIC-fixedOM'!Z10*($B29/SUM($B29,$B22))</f>
        <v/>
      </c>
      <c r="AA77" s="144">
        <f>'SoESCaOMCbIC-fixedOM'!AA10*($B29/SUM($B29,$B22))</f>
        <v/>
      </c>
      <c r="AB77" s="144">
        <f>'SoESCaOMCbIC-fixedOM'!AB10*($B29/SUM($B29,$B22))</f>
        <v/>
      </c>
      <c r="AC77" s="144">
        <f>'SoESCaOMCbIC-fixedOM'!AC10*($B29/SUM($B29,$B22))</f>
        <v/>
      </c>
      <c r="AD77" s="144">
        <f>'SoESCaOMCbIC-fixedOM'!AD10*($B29/SUM($B29,$B22))</f>
        <v/>
      </c>
      <c r="AE77" s="144">
        <f>'SoESCaOMCbIC-fixedOM'!AE10*($B29/SUM($B29,$B22))</f>
        <v/>
      </c>
      <c r="AF77" s="144">
        <f>'SoESCaOMCbIC-fixedOM'!AF10*($B29/SUM($B29,$B22))</f>
        <v/>
      </c>
      <c r="AG77" s="144">
        <f>'SoESCaOMCbIC-fixedOM'!AG10*($B29/SUM($B29,$B22))</f>
        <v/>
      </c>
      <c r="AH77" s="144">
        <f>'SoESCaOMCbIC-fixedOM'!AH10*($B29/SUM($B29,$B22))</f>
        <v/>
      </c>
      <c r="AI77" s="144">
        <f>'SoESCaOMCbIC-fixedOM'!AI10*($B29/SUM($B29,$B22))</f>
        <v/>
      </c>
      <c r="AJ77" s="144">
        <f>'SoESCaOMCbIC-fixedOM'!AJ10*($B29/SUM($B29,$B22))</f>
        <v/>
      </c>
      <c r="AK77" s="144">
        <f>'SoESCaOMCbIC-fixedOM'!AK10*($B29/SUM($B29,$B22))</f>
        <v/>
      </c>
      <c r="AL77" s="144">
        <f>'SoESCaOMCbIC-fixedOM'!AL10*($B29/SUM($B29,$B22))</f>
        <v/>
      </c>
      <c r="AM77" s="144">
        <f>'SoESCaOMCbIC-fixedOM'!AM10*($B29/SUM($B29,$B22))</f>
        <v/>
      </c>
      <c r="AN77" s="144">
        <f>'SoESCaOMCbIC-fixedOM'!AN10*($B29/SUM($B29,$B22))</f>
        <v/>
      </c>
      <c r="AO77" s="144">
        <f>'SoESCaOMCbIC-fixedOM'!AO10*($B29/SUM($B29,$B22))</f>
        <v/>
      </c>
      <c r="AP77" s="144">
        <f>'SoESCaOMCbIC-fixedOM'!AP10*($B29/SUM($B29,$B22))</f>
        <v/>
      </c>
      <c r="AQ77" s="144">
        <f>'SoESCaOMCbIC-fixedOM'!AQ10*($B29/SUM($B29,$B22))</f>
        <v/>
      </c>
    </row>
    <row r="78">
      <c r="A78" t="inlineStr">
        <is>
          <t>lignite</t>
        </is>
      </c>
      <c r="B78" s="144">
        <f>'SoESCaOMCbIC-fixedOM'!B14*($B30/SUM($B30,$B23))</f>
        <v/>
      </c>
      <c r="C78" s="144">
        <f>'SoESCaOMCbIC-fixedOM'!C14*($B30/SUM($B30,$B23))</f>
        <v/>
      </c>
      <c r="D78" s="144">
        <f>'SoESCaOMCbIC-fixedOM'!D14*($B30/SUM($B30,$B23))</f>
        <v/>
      </c>
      <c r="E78" s="144">
        <f>'SoESCaOMCbIC-fixedOM'!E14*($B30/SUM($B30,$B23))</f>
        <v/>
      </c>
      <c r="F78" s="144">
        <f>'SoESCaOMCbIC-fixedOM'!F14*($B30/SUM($B30,$B23))</f>
        <v/>
      </c>
      <c r="G78" s="144">
        <f>'SoESCaOMCbIC-fixedOM'!G14*($B30/SUM($B30,$B23))</f>
        <v/>
      </c>
      <c r="H78" s="144">
        <f>'SoESCaOMCbIC-fixedOM'!H14*($B30/SUM($B30,$B23))</f>
        <v/>
      </c>
      <c r="I78" s="144">
        <f>'SoESCaOMCbIC-fixedOM'!I14*($B30/SUM($B30,$B23))</f>
        <v/>
      </c>
      <c r="J78" s="144">
        <f>'SoESCaOMCbIC-fixedOM'!J14*($B30/SUM($B30,$B23))</f>
        <v/>
      </c>
      <c r="K78" s="144">
        <f>'SoESCaOMCbIC-fixedOM'!K14*($B30/SUM($B30,$B23))</f>
        <v/>
      </c>
      <c r="L78" s="144">
        <f>'SoESCaOMCbIC-fixedOM'!L14*($B30/SUM($B30,$B23))</f>
        <v/>
      </c>
      <c r="M78" s="144">
        <f>'SoESCaOMCbIC-fixedOM'!M14*($B30/SUM($B30,$B23))</f>
        <v/>
      </c>
      <c r="N78" s="144">
        <f>'SoESCaOMCbIC-fixedOM'!N14*($B30/SUM($B30,$B23))</f>
        <v/>
      </c>
      <c r="O78" s="144">
        <f>'SoESCaOMCbIC-fixedOM'!O14*($B30/SUM($B30,$B23))</f>
        <v/>
      </c>
      <c r="P78" s="144">
        <f>'SoESCaOMCbIC-fixedOM'!P14*($B30/SUM($B30,$B23))</f>
        <v/>
      </c>
      <c r="Q78" s="144">
        <f>'SoESCaOMCbIC-fixedOM'!Q14*($B30/SUM($B30,$B23))</f>
        <v/>
      </c>
      <c r="R78" s="144">
        <f>'SoESCaOMCbIC-fixedOM'!R14*($B30/SUM($B30,$B23))</f>
        <v/>
      </c>
      <c r="S78" s="144">
        <f>'SoESCaOMCbIC-fixedOM'!S14*($B30/SUM($B30,$B23))</f>
        <v/>
      </c>
      <c r="T78" s="144">
        <f>'SoESCaOMCbIC-fixedOM'!T14*($B30/SUM($B30,$B23))</f>
        <v/>
      </c>
      <c r="U78" s="144">
        <f>'SoESCaOMCbIC-fixedOM'!U14*($B30/SUM($B30,$B23))</f>
        <v/>
      </c>
      <c r="V78" s="144">
        <f>'SoESCaOMCbIC-fixedOM'!V14*($B30/SUM($B30,$B23))</f>
        <v/>
      </c>
      <c r="W78" s="144">
        <f>'SoESCaOMCbIC-fixedOM'!W14*($B30/SUM($B30,$B23))</f>
        <v/>
      </c>
      <c r="X78" s="144">
        <f>'SoESCaOMCbIC-fixedOM'!X14*($B30/SUM($B30,$B23))</f>
        <v/>
      </c>
      <c r="Y78" s="144">
        <f>'SoESCaOMCbIC-fixedOM'!Y14*($B30/SUM($B30,$B23))</f>
        <v/>
      </c>
      <c r="Z78" s="144">
        <f>'SoESCaOMCbIC-fixedOM'!Z14*($B30/SUM($B30,$B23))</f>
        <v/>
      </c>
      <c r="AA78" s="144">
        <f>'SoESCaOMCbIC-fixedOM'!AA14*($B30/SUM($B30,$B23))</f>
        <v/>
      </c>
      <c r="AB78" s="144">
        <f>'SoESCaOMCbIC-fixedOM'!AB14*($B30/SUM($B30,$B23))</f>
        <v/>
      </c>
      <c r="AC78" s="144">
        <f>'SoESCaOMCbIC-fixedOM'!AC14*($B30/SUM($B30,$B23))</f>
        <v/>
      </c>
      <c r="AD78" s="144">
        <f>'SoESCaOMCbIC-fixedOM'!AD14*($B30/SUM($B30,$B23))</f>
        <v/>
      </c>
      <c r="AE78" s="144">
        <f>'SoESCaOMCbIC-fixedOM'!AE14*($B30/SUM($B30,$B23))</f>
        <v/>
      </c>
      <c r="AF78" s="144">
        <f>'SoESCaOMCbIC-fixedOM'!AF14*($B30/SUM($B30,$B23))</f>
        <v/>
      </c>
      <c r="AG78" s="144">
        <f>'SoESCaOMCbIC-fixedOM'!AG14*($B30/SUM($B30,$B23))</f>
        <v/>
      </c>
      <c r="AH78" s="144">
        <f>'SoESCaOMCbIC-fixedOM'!AH14*($B30/SUM($B30,$B23))</f>
        <v/>
      </c>
      <c r="AI78" s="144">
        <f>'SoESCaOMCbIC-fixedOM'!AI14*($B30/SUM($B30,$B23))</f>
        <v/>
      </c>
      <c r="AJ78" s="144">
        <f>'SoESCaOMCbIC-fixedOM'!AJ14*($B30/SUM($B30,$B23))</f>
        <v/>
      </c>
      <c r="AK78" s="144">
        <f>'SoESCaOMCbIC-fixedOM'!AK14*($B30/SUM($B30,$B23))</f>
        <v/>
      </c>
      <c r="AL78" s="144">
        <f>'SoESCaOMCbIC-fixedOM'!AL14*($B30/SUM($B30,$B23))</f>
        <v/>
      </c>
      <c r="AM78" s="144">
        <f>'SoESCaOMCbIC-fixedOM'!AM14*($B30/SUM($B30,$B23))</f>
        <v/>
      </c>
      <c r="AN78" s="144">
        <f>'SoESCaOMCbIC-fixedOM'!AN14*($B30/SUM($B30,$B23))</f>
        <v/>
      </c>
      <c r="AO78" s="144">
        <f>'SoESCaOMCbIC-fixedOM'!AO14*($B30/SUM($B30,$B23))</f>
        <v/>
      </c>
      <c r="AP78" s="144">
        <f>'SoESCaOMCbIC-fixedOM'!AP14*($B30/SUM($B30,$B23))</f>
        <v/>
      </c>
      <c r="AQ78" s="144">
        <f>'SoESCaOMCbIC-fixedOM'!AQ14*($B30/SUM($B30,$B23))</f>
        <v/>
      </c>
    </row>
    <row r="79">
      <c r="B79" s="145" t="n"/>
      <c r="C79" s="145" t="n"/>
      <c r="D79" s="145" t="n"/>
      <c r="E79" s="145" t="n"/>
      <c r="F79" s="145" t="n"/>
      <c r="G79" s="145" t="n"/>
      <c r="H79" s="145" t="n"/>
      <c r="I79" s="145" t="n"/>
      <c r="J79" s="145" t="n"/>
      <c r="K79" s="145" t="n"/>
      <c r="L79" s="145" t="n"/>
      <c r="M79" s="145" t="n"/>
      <c r="N79" s="145" t="n"/>
      <c r="O79" s="145" t="n"/>
      <c r="P79" s="145" t="n"/>
      <c r="Q79" s="145" t="n"/>
      <c r="R79" s="145" t="n"/>
      <c r="S79" s="145" t="n"/>
      <c r="T79" s="145" t="n"/>
      <c r="U79" s="145" t="n"/>
      <c r="V79" s="145" t="n"/>
      <c r="W79" s="145" t="n"/>
      <c r="X79" s="145" t="n"/>
      <c r="Y79" s="145" t="n"/>
      <c r="Z79" s="145" t="n"/>
      <c r="AA79" s="145" t="n"/>
      <c r="AB79" s="145" t="n"/>
      <c r="AC79" s="145" t="n"/>
      <c r="AD79" s="145" t="n"/>
      <c r="AE79" s="145" t="n"/>
      <c r="AF79" s="145" t="n"/>
      <c r="AG79" s="145" t="n"/>
      <c r="AH79" s="145" t="n"/>
      <c r="AI79" s="145" t="n"/>
      <c r="AJ79" s="145" t="n"/>
      <c r="AK79" s="145" t="n"/>
      <c r="AL79" s="145" t="n"/>
      <c r="AM79" s="145" t="n"/>
      <c r="AN79" s="145" t="n"/>
      <c r="AO79" s="145" t="n"/>
      <c r="AP79" s="145" t="n"/>
      <c r="AQ79" s="145" t="n"/>
    </row>
    <row r="80">
      <c r="A80" t="inlineStr">
        <is>
          <t>Fixed O&amp;M breakdown for CCS Components</t>
        </is>
      </c>
    </row>
    <row r="81">
      <c r="A81" t="inlineStr">
        <is>
          <t>*assumes same portion of cost for construction as non-CCS components</t>
        </is>
      </c>
    </row>
    <row r="82">
      <c r="A82" s="126" t="n"/>
      <c r="B82" s="110" t="inlineStr">
        <is>
          <t>ISIC 01T03</t>
        </is>
      </c>
      <c r="C82" s="110" t="inlineStr">
        <is>
          <t>ISIC 05</t>
        </is>
      </c>
      <c r="D82" s="110" t="inlineStr">
        <is>
          <t>ISIC 06</t>
        </is>
      </c>
      <c r="E82" s="110" t="inlineStr">
        <is>
          <t>ISIC 07T08</t>
        </is>
      </c>
      <c r="F82" s="110" t="inlineStr">
        <is>
          <t>ISIC 09</t>
        </is>
      </c>
      <c r="G82" s="110" t="inlineStr">
        <is>
          <t>ISIC 10T12</t>
        </is>
      </c>
      <c r="H82" s="110" t="inlineStr">
        <is>
          <t>ISIC 13T15</t>
        </is>
      </c>
      <c r="I82" s="110" t="inlineStr">
        <is>
          <t>ISIC 16</t>
        </is>
      </c>
      <c r="J82" s="110" t="inlineStr">
        <is>
          <t>ISIC 17T18</t>
        </is>
      </c>
      <c r="K82" s="110" t="inlineStr">
        <is>
          <t>ISIC 19</t>
        </is>
      </c>
      <c r="L82" s="110" t="inlineStr">
        <is>
          <t>ISIC 20</t>
        </is>
      </c>
      <c r="M82" s="110" t="inlineStr">
        <is>
          <t>ISIC 21</t>
        </is>
      </c>
      <c r="N82" s="110" t="inlineStr">
        <is>
          <t>ISIC 22</t>
        </is>
      </c>
      <c r="O82" s="110" t="inlineStr">
        <is>
          <t>ISIC 231</t>
        </is>
      </c>
      <c r="P82" s="110" t="inlineStr">
        <is>
          <t>ISIC 239</t>
        </is>
      </c>
      <c r="Q82" s="110" t="inlineStr">
        <is>
          <t>ISIC 241</t>
        </is>
      </c>
      <c r="R82" s="110" t="inlineStr">
        <is>
          <t>ISIC 242</t>
        </is>
      </c>
      <c r="S82" s="110" t="inlineStr">
        <is>
          <t>ISIC 25</t>
        </is>
      </c>
      <c r="T82" s="110" t="inlineStr">
        <is>
          <t>ISIC 26</t>
        </is>
      </c>
      <c r="U82" s="110" t="inlineStr">
        <is>
          <t>ISIC 27</t>
        </is>
      </c>
      <c r="V82" s="110" t="inlineStr">
        <is>
          <t>ISIC 28</t>
        </is>
      </c>
      <c r="W82" s="110" t="inlineStr">
        <is>
          <t>ISIC 29</t>
        </is>
      </c>
      <c r="X82" s="110" t="inlineStr">
        <is>
          <t>ISIC 30</t>
        </is>
      </c>
      <c r="Y82" s="110" t="inlineStr">
        <is>
          <t>ISIC 31T33</t>
        </is>
      </c>
      <c r="Z82" s="110" t="inlineStr">
        <is>
          <t>ISIC 351</t>
        </is>
      </c>
      <c r="AA82" s="110" t="inlineStr">
        <is>
          <t>ISIC 352T353</t>
        </is>
      </c>
      <c r="AB82" s="110" t="inlineStr">
        <is>
          <t>ISIC 36T39</t>
        </is>
      </c>
      <c r="AC82" s="110" t="inlineStr">
        <is>
          <t>ISIC 41T43</t>
        </is>
      </c>
      <c r="AD82" s="110" t="inlineStr">
        <is>
          <t>ISIC 45T47</t>
        </is>
      </c>
      <c r="AE82" s="110" t="inlineStr">
        <is>
          <t>ISIC 49T53</t>
        </is>
      </c>
      <c r="AF82" s="110" t="inlineStr">
        <is>
          <t>ISIC 55T56</t>
        </is>
      </c>
      <c r="AG82" s="110" t="inlineStr">
        <is>
          <t>ISIC 58T60</t>
        </is>
      </c>
      <c r="AH82" s="110" t="inlineStr">
        <is>
          <t>ISIC 61</t>
        </is>
      </c>
      <c r="AI82" s="110" t="inlineStr">
        <is>
          <t>ISIC 62T63</t>
        </is>
      </c>
      <c r="AJ82" s="110" t="inlineStr">
        <is>
          <t>ISIC 64T66</t>
        </is>
      </c>
      <c r="AK82" s="110" t="inlineStr">
        <is>
          <t>ISIC 68</t>
        </is>
      </c>
      <c r="AL82" s="110" t="inlineStr">
        <is>
          <t>ISIC 69T82</t>
        </is>
      </c>
      <c r="AM82" s="110" t="inlineStr">
        <is>
          <t>ISIC 84</t>
        </is>
      </c>
      <c r="AN82" s="110" t="inlineStr">
        <is>
          <t>ISIC 85</t>
        </is>
      </c>
      <c r="AO82" s="110" t="inlineStr">
        <is>
          <t>ISIC 86T88</t>
        </is>
      </c>
      <c r="AP82" s="110" t="inlineStr">
        <is>
          <t>ISIC 90T96</t>
        </is>
      </c>
      <c r="AQ82" s="110" t="inlineStr">
        <is>
          <t>ISIC 97T98</t>
        </is>
      </c>
    </row>
    <row r="83">
      <c r="A83" t="inlineStr">
        <is>
          <t>hard coal</t>
        </is>
      </c>
      <c r="B83" s="144" t="n"/>
      <c r="C83" s="144" t="n"/>
      <c r="D83" s="144" t="n"/>
      <c r="E83" s="144" t="n"/>
      <c r="F83" s="144" t="n"/>
      <c r="G83" s="144" t="n"/>
      <c r="H83" s="144" t="n"/>
      <c r="I83" s="144" t="n"/>
      <c r="J83" s="144" t="n"/>
      <c r="K83" s="144" t="n"/>
      <c r="L83" s="144" t="n"/>
      <c r="M83" s="144" t="n"/>
      <c r="N83" s="144" t="n"/>
      <c r="O83" s="144" t="n"/>
      <c r="P83" s="144" t="n"/>
      <c r="Q83" s="144" t="n"/>
      <c r="R83" s="144" t="n"/>
      <c r="S83" s="144" t="n"/>
      <c r="T83" s="144" t="n"/>
      <c r="U83" s="144" t="n"/>
      <c r="V83" s="144" t="n"/>
      <c r="W83" s="144" t="n"/>
      <c r="X83" s="144" t="n"/>
      <c r="Y83" s="144" t="n"/>
      <c r="Z83" s="144">
        <f>B20/SUM(B27,B20)</f>
        <v/>
      </c>
      <c r="AA83" s="144" t="n"/>
      <c r="AB83" s="144" t="n"/>
      <c r="AC83" s="144" t="n"/>
      <c r="AD83" s="144" t="n"/>
      <c r="AE83" s="144" t="n"/>
      <c r="AF83" s="144" t="n"/>
      <c r="AG83" s="144" t="n"/>
      <c r="AH83" s="144" t="n"/>
      <c r="AI83" s="144" t="n"/>
      <c r="AJ83" s="144" t="n"/>
      <c r="AK83" s="144" t="n"/>
      <c r="AL83" s="144" t="n"/>
      <c r="AM83" s="144" t="n"/>
      <c r="AN83" s="144" t="n"/>
      <c r="AO83" s="144" t="n"/>
      <c r="AP83" s="144" t="n"/>
      <c r="AQ83" s="144" t="n"/>
    </row>
    <row r="84">
      <c r="A84" t="inlineStr">
        <is>
          <t>natural gas combined cycle</t>
        </is>
      </c>
      <c r="B84" s="144" t="n"/>
      <c r="C84" s="144" t="n"/>
      <c r="D84" s="144" t="n"/>
      <c r="E84" s="144" t="n"/>
      <c r="F84" s="144" t="n"/>
      <c r="G84" s="144" t="n"/>
      <c r="H84" s="144" t="n"/>
      <c r="I84" s="144" t="n"/>
      <c r="J84" s="144" t="n"/>
      <c r="K84" s="144" t="n"/>
      <c r="L84" s="144" t="n"/>
      <c r="M84" s="144" t="n"/>
      <c r="N84" s="144" t="n"/>
      <c r="O84" s="144" t="n"/>
      <c r="P84" s="144" t="n"/>
      <c r="Q84" s="144" t="n"/>
      <c r="R84" s="144" t="n"/>
      <c r="S84" s="144" t="n"/>
      <c r="T84" s="144" t="n"/>
      <c r="U84" s="144" t="n"/>
      <c r="V84" s="144" t="n"/>
      <c r="W84" s="144" t="n"/>
      <c r="X84" s="144" t="n"/>
      <c r="Y84" s="144" t="n"/>
      <c r="Z84" s="144">
        <f>B21/SUM(B28,B21)</f>
        <v/>
      </c>
      <c r="AA84" s="144" t="n"/>
      <c r="AB84" s="144" t="n"/>
      <c r="AC84" s="144" t="n"/>
      <c r="AD84" s="144" t="n"/>
      <c r="AE84" s="144" t="n"/>
      <c r="AF84" s="144" t="n"/>
      <c r="AG84" s="144" t="n"/>
      <c r="AH84" s="144" t="n"/>
      <c r="AI84" s="144" t="n"/>
      <c r="AJ84" s="144" t="n"/>
      <c r="AK84" s="144" t="n"/>
      <c r="AL84" s="144" t="n"/>
      <c r="AM84" s="144" t="n"/>
      <c r="AN84" s="144" t="n"/>
      <c r="AO84" s="144" t="n"/>
      <c r="AP84" s="144" t="n"/>
      <c r="AQ84" s="144" t="n"/>
    </row>
    <row r="85">
      <c r="A85" t="inlineStr">
        <is>
          <t>biomass</t>
        </is>
      </c>
      <c r="B85" s="144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144" t="n"/>
      <c r="P85" s="144" t="n"/>
      <c r="Q85" s="144" t="n"/>
      <c r="R85" s="144" t="n"/>
      <c r="S85" s="144" t="n"/>
      <c r="T85" s="144" t="n"/>
      <c r="U85" s="144" t="n"/>
      <c r="V85" s="144" t="n"/>
      <c r="W85" s="144" t="n"/>
      <c r="X85" s="144" t="n"/>
      <c r="Y85" s="144" t="n"/>
      <c r="Z85" s="144">
        <f>B22/SUM(B29,B22)</f>
        <v/>
      </c>
      <c r="AA85" s="144" t="n"/>
      <c r="AB85" s="144" t="n"/>
      <c r="AC85" s="144" t="n"/>
      <c r="AD85" s="144" t="n"/>
      <c r="AE85" s="144" t="n"/>
      <c r="AF85" s="144" t="n"/>
      <c r="AG85" s="144" t="n"/>
      <c r="AH85" s="144" t="n"/>
      <c r="AI85" s="144" t="n"/>
      <c r="AJ85" s="144" t="n"/>
      <c r="AK85" s="144" t="n"/>
      <c r="AL85" s="144" t="n"/>
      <c r="AM85" s="144" t="n"/>
      <c r="AN85" s="144" t="n"/>
      <c r="AO85" s="144" t="n"/>
      <c r="AP85" s="144" t="n"/>
      <c r="AQ85" s="144" t="n"/>
    </row>
    <row r="86">
      <c r="A86" t="inlineStr">
        <is>
          <t>lignite</t>
        </is>
      </c>
      <c r="B86" s="144" t="n"/>
      <c r="C86" s="144" t="n"/>
      <c r="D86" s="144" t="n"/>
      <c r="E86" s="144" t="n"/>
      <c r="F86" s="144" t="n"/>
      <c r="G86" s="144" t="n"/>
      <c r="H86" s="144" t="n"/>
      <c r="I86" s="144" t="n"/>
      <c r="J86" s="144" t="n"/>
      <c r="K86" s="144" t="n"/>
      <c r="L86" s="144" t="n"/>
      <c r="M86" s="144" t="n"/>
      <c r="N86" s="144" t="n"/>
      <c r="O86" s="144" t="n"/>
      <c r="P86" s="144" t="n"/>
      <c r="Q86" s="144" t="n"/>
      <c r="R86" s="144" t="n"/>
      <c r="S86" s="144" t="n"/>
      <c r="T86" s="144" t="n"/>
      <c r="U86" s="144" t="n"/>
      <c r="V86" s="144" t="n"/>
      <c r="W86" s="144" t="n"/>
      <c r="X86" s="144" t="n"/>
      <c r="Y86" s="144" t="n"/>
      <c r="Z86" s="144">
        <f>B23/SUM(B30,B23)</f>
        <v/>
      </c>
      <c r="AA86" s="144" t="n"/>
      <c r="AB86" s="144" t="n"/>
      <c r="AC86" s="144" t="n"/>
      <c r="AD86" s="144" t="n"/>
      <c r="AE86" s="144" t="n"/>
      <c r="AF86" s="144" t="n"/>
      <c r="AG86" s="144" t="n"/>
      <c r="AH86" s="144" t="n"/>
      <c r="AI86" s="144" t="n"/>
      <c r="AJ86" s="144" t="n"/>
      <c r="AK86" s="144" t="n"/>
      <c r="AL86" s="144" t="n"/>
      <c r="AM86" s="144" t="n"/>
      <c r="AN86" s="144" t="n"/>
      <c r="AO86" s="144" t="n"/>
      <c r="AP86" s="144" t="n"/>
      <c r="AQ86" s="144" t="n"/>
    </row>
    <row r="87"/>
    <row r="88">
      <c r="A88" t="inlineStr">
        <is>
          <t>Variable O&amp;M breakdown for non-CCS Components</t>
        </is>
      </c>
    </row>
    <row r="89">
      <c r="A89" s="126" t="n"/>
      <c r="B89" s="110" t="inlineStr">
        <is>
          <t>ISIC 01T03</t>
        </is>
      </c>
      <c r="C89" s="110" t="inlineStr">
        <is>
          <t>ISIC 05</t>
        </is>
      </c>
      <c r="D89" s="110" t="inlineStr">
        <is>
          <t>ISIC 06</t>
        </is>
      </c>
      <c r="E89" s="110" t="inlineStr">
        <is>
          <t>ISIC 07T08</t>
        </is>
      </c>
      <c r="F89" s="110" t="inlineStr">
        <is>
          <t>ISIC 09</t>
        </is>
      </c>
      <c r="G89" s="110" t="inlineStr">
        <is>
          <t>ISIC 10T12</t>
        </is>
      </c>
      <c r="H89" s="110" t="inlineStr">
        <is>
          <t>ISIC 13T15</t>
        </is>
      </c>
      <c r="I89" s="110" t="inlineStr">
        <is>
          <t>ISIC 16</t>
        </is>
      </c>
      <c r="J89" s="110" t="inlineStr">
        <is>
          <t>ISIC 17T18</t>
        </is>
      </c>
      <c r="K89" s="110" t="inlineStr">
        <is>
          <t>ISIC 19</t>
        </is>
      </c>
      <c r="L89" s="110" t="inlineStr">
        <is>
          <t>ISIC 20</t>
        </is>
      </c>
      <c r="M89" s="110" t="inlineStr">
        <is>
          <t>ISIC 21</t>
        </is>
      </c>
      <c r="N89" s="110" t="inlineStr">
        <is>
          <t>ISIC 22</t>
        </is>
      </c>
      <c r="O89" s="110" t="inlineStr">
        <is>
          <t>ISIC 231</t>
        </is>
      </c>
      <c r="P89" s="110" t="inlineStr">
        <is>
          <t>ISIC 239</t>
        </is>
      </c>
      <c r="Q89" s="110" t="inlineStr">
        <is>
          <t>ISIC 241</t>
        </is>
      </c>
      <c r="R89" s="110" t="inlineStr">
        <is>
          <t>ISIC 242</t>
        </is>
      </c>
      <c r="S89" s="110" t="inlineStr">
        <is>
          <t>ISIC 25</t>
        </is>
      </c>
      <c r="T89" s="110" t="inlineStr">
        <is>
          <t>ISIC 26</t>
        </is>
      </c>
      <c r="U89" s="110" t="inlineStr">
        <is>
          <t>ISIC 27</t>
        </is>
      </c>
      <c r="V89" s="110" t="inlineStr">
        <is>
          <t>ISIC 28</t>
        </is>
      </c>
      <c r="W89" s="110" t="inlineStr">
        <is>
          <t>ISIC 29</t>
        </is>
      </c>
      <c r="X89" s="110" t="inlineStr">
        <is>
          <t>ISIC 30</t>
        </is>
      </c>
      <c r="Y89" s="110" t="inlineStr">
        <is>
          <t>ISIC 31T33</t>
        </is>
      </c>
      <c r="Z89" s="110" t="inlineStr">
        <is>
          <t>ISIC 351</t>
        </is>
      </c>
      <c r="AA89" s="110" t="inlineStr">
        <is>
          <t>ISIC 352T353</t>
        </is>
      </c>
      <c r="AB89" s="110" t="inlineStr">
        <is>
          <t>ISIC 36T39</t>
        </is>
      </c>
      <c r="AC89" s="110" t="inlineStr">
        <is>
          <t>ISIC 41T43</t>
        </is>
      </c>
      <c r="AD89" s="110" t="inlineStr">
        <is>
          <t>ISIC 45T47</t>
        </is>
      </c>
      <c r="AE89" s="110" t="inlineStr">
        <is>
          <t>ISIC 49T53</t>
        </is>
      </c>
      <c r="AF89" s="110" t="inlineStr">
        <is>
          <t>ISIC 55T56</t>
        </is>
      </c>
      <c r="AG89" s="110" t="inlineStr">
        <is>
          <t>ISIC 58T60</t>
        </is>
      </c>
      <c r="AH89" s="110" t="inlineStr">
        <is>
          <t>ISIC 61</t>
        </is>
      </c>
      <c r="AI89" s="110" t="inlineStr">
        <is>
          <t>ISIC 62T63</t>
        </is>
      </c>
      <c r="AJ89" s="110" t="inlineStr">
        <is>
          <t>ISIC 64T66</t>
        </is>
      </c>
      <c r="AK89" s="110" t="inlineStr">
        <is>
          <t>ISIC 68</t>
        </is>
      </c>
      <c r="AL89" s="110" t="inlineStr">
        <is>
          <t>ISIC 69T82</t>
        </is>
      </c>
      <c r="AM89" s="110" t="inlineStr">
        <is>
          <t>ISIC 84</t>
        </is>
      </c>
      <c r="AN89" s="110" t="inlineStr">
        <is>
          <t>ISIC 85</t>
        </is>
      </c>
      <c r="AO89" s="110" t="inlineStr">
        <is>
          <t>ISIC 86T88</t>
        </is>
      </c>
      <c r="AP89" s="110" t="inlineStr">
        <is>
          <t>ISIC 90T96</t>
        </is>
      </c>
      <c r="AQ89" s="110" t="inlineStr">
        <is>
          <t>ISIC 97T98</t>
        </is>
      </c>
    </row>
    <row r="90">
      <c r="A90" t="inlineStr">
        <is>
          <t>hard coal</t>
        </is>
      </c>
      <c r="B90" s="144">
        <f>'SoESCaOMCbIC-variableOM'!B2*($B41/SUM($B41,$B34))</f>
        <v/>
      </c>
      <c r="C90" s="144">
        <f>'SoESCaOMCbIC-variableOM'!C2*($B41/SUM($B41,$B34))</f>
        <v/>
      </c>
      <c r="D90" s="144">
        <f>'SoESCaOMCbIC-variableOM'!D2*($B41/SUM($B41,$B34))</f>
        <v/>
      </c>
      <c r="E90" s="144">
        <f>'SoESCaOMCbIC-variableOM'!E2*($B41/SUM($B41,$B34))</f>
        <v/>
      </c>
      <c r="F90" s="144">
        <f>'SoESCaOMCbIC-variableOM'!F2*($B41/SUM($B41,$B34))</f>
        <v/>
      </c>
      <c r="G90" s="144">
        <f>'SoESCaOMCbIC-variableOM'!G2*($B41/SUM($B41,$B34))</f>
        <v/>
      </c>
      <c r="H90" s="144">
        <f>'SoESCaOMCbIC-variableOM'!H2*($B41/SUM($B41,$B34))</f>
        <v/>
      </c>
      <c r="I90" s="144">
        <f>'SoESCaOMCbIC-variableOM'!I2*($B41/SUM($B41,$B34))</f>
        <v/>
      </c>
      <c r="J90" s="144">
        <f>'SoESCaOMCbIC-variableOM'!J2*($B41/SUM($B41,$B34))</f>
        <v/>
      </c>
      <c r="K90" s="144">
        <f>'SoESCaOMCbIC-variableOM'!K2*($B41/SUM($B41,$B34))</f>
        <v/>
      </c>
      <c r="L90" s="144">
        <f>'SoESCaOMCbIC-variableOM'!L2*($B41/SUM($B41,$B34))</f>
        <v/>
      </c>
      <c r="M90" s="144">
        <f>'SoESCaOMCbIC-variableOM'!M2*($B41/SUM($B41,$B34))</f>
        <v/>
      </c>
      <c r="N90" s="144">
        <f>'SoESCaOMCbIC-variableOM'!N2*($B41/SUM($B41,$B34))</f>
        <v/>
      </c>
      <c r="O90" s="144">
        <f>'SoESCaOMCbIC-variableOM'!O2*($B41/SUM($B41,$B34))</f>
        <v/>
      </c>
      <c r="P90" s="144">
        <f>'SoESCaOMCbIC-variableOM'!P2*($B41/SUM($B41,$B34))</f>
        <v/>
      </c>
      <c r="Q90" s="144">
        <f>'SoESCaOMCbIC-variableOM'!Q2*($B41/SUM($B41,$B34))</f>
        <v/>
      </c>
      <c r="R90" s="144">
        <f>'SoESCaOMCbIC-variableOM'!R2*($B41/SUM($B41,$B34))</f>
        <v/>
      </c>
      <c r="S90" s="144">
        <f>'SoESCaOMCbIC-variableOM'!S2*($B41/SUM($B41,$B34))</f>
        <v/>
      </c>
      <c r="T90" s="144">
        <f>'SoESCaOMCbIC-variableOM'!T2*($B41/SUM($B41,$B34))</f>
        <v/>
      </c>
      <c r="U90" s="144">
        <f>'SoESCaOMCbIC-variableOM'!U2*($B41/SUM($B41,$B34))</f>
        <v/>
      </c>
      <c r="V90" s="144">
        <f>'SoESCaOMCbIC-variableOM'!V2*($B41/SUM($B41,$B34))</f>
        <v/>
      </c>
      <c r="W90" s="144">
        <f>'SoESCaOMCbIC-variableOM'!W2*($B41/SUM($B41,$B34))</f>
        <v/>
      </c>
      <c r="X90" s="144">
        <f>'SoESCaOMCbIC-variableOM'!X2*($B41/SUM($B41,$B34))</f>
        <v/>
      </c>
      <c r="Y90" s="144">
        <f>'SoESCaOMCbIC-variableOM'!Y2*($B41/SUM($B41,$B34))</f>
        <v/>
      </c>
      <c r="Z90" s="144">
        <f>'SoESCaOMCbIC-variableOM'!Z2*($B41/SUM($B41,$B34))</f>
        <v/>
      </c>
      <c r="AA90" s="144">
        <f>'SoESCaOMCbIC-variableOM'!AA2*($B41/SUM($B41,$B34))</f>
        <v/>
      </c>
      <c r="AB90" s="144">
        <f>'SoESCaOMCbIC-variableOM'!AB2*($B41/SUM($B41,$B34))</f>
        <v/>
      </c>
      <c r="AC90" s="144">
        <f>'SoESCaOMCbIC-variableOM'!AC2*($B41/SUM($B41,$B34))</f>
        <v/>
      </c>
      <c r="AD90" s="144">
        <f>'SoESCaOMCbIC-variableOM'!AD2*($B41/SUM($B41,$B34))</f>
        <v/>
      </c>
      <c r="AE90" s="144">
        <f>'SoESCaOMCbIC-variableOM'!AE2*($B41/SUM($B41,$B34))</f>
        <v/>
      </c>
      <c r="AF90" s="144">
        <f>'SoESCaOMCbIC-variableOM'!AF2*($B41/SUM($B41,$B34))</f>
        <v/>
      </c>
      <c r="AG90" s="144">
        <f>'SoESCaOMCbIC-variableOM'!AG2*($B41/SUM($B41,$B34))</f>
        <v/>
      </c>
      <c r="AH90" s="144">
        <f>'SoESCaOMCbIC-variableOM'!AH2*($B41/SUM($B41,$B34))</f>
        <v/>
      </c>
      <c r="AI90" s="144">
        <f>'SoESCaOMCbIC-variableOM'!AI2*($B41/SUM($B41,$B34))</f>
        <v/>
      </c>
      <c r="AJ90" s="144">
        <f>'SoESCaOMCbIC-variableOM'!AJ2*($B41/SUM($B41,$B34))</f>
        <v/>
      </c>
      <c r="AK90" s="144">
        <f>'SoESCaOMCbIC-variableOM'!AK2*($B41/SUM($B41,$B34))</f>
        <v/>
      </c>
      <c r="AL90" s="144">
        <f>'SoESCaOMCbIC-variableOM'!AL2*($B41/SUM($B41,$B34))</f>
        <v/>
      </c>
      <c r="AM90" s="144">
        <f>'SoESCaOMCbIC-variableOM'!AM2*($B41/SUM($B41,$B34))</f>
        <v/>
      </c>
      <c r="AN90" s="144">
        <f>'SoESCaOMCbIC-variableOM'!AN2*($B41/SUM($B41,$B34))</f>
        <v/>
      </c>
      <c r="AO90" s="144">
        <f>'SoESCaOMCbIC-variableOM'!AO2*($B41/SUM($B41,$B34))</f>
        <v/>
      </c>
      <c r="AP90" s="144">
        <f>'SoESCaOMCbIC-variableOM'!AP2*($B41/SUM($B41,$B34))</f>
        <v/>
      </c>
      <c r="AQ90" s="144">
        <f>'SoESCaOMCbIC-variableOM'!AQ2*($B41/SUM($B41,$B34))</f>
        <v/>
      </c>
    </row>
    <row r="91">
      <c r="A91" t="inlineStr">
        <is>
          <t>natural gas combined cycle</t>
        </is>
      </c>
      <c r="B91" s="144">
        <f>'SoESCaOMCbIC-variableOM'!B4*($B42/SUM($B42,$B35))</f>
        <v/>
      </c>
      <c r="C91" s="144">
        <f>'SoESCaOMCbIC-variableOM'!C4*($B42/SUM($B42,$B35))</f>
        <v/>
      </c>
      <c r="D91" s="144">
        <f>'SoESCaOMCbIC-variableOM'!D4*($B42/SUM($B42,$B35))</f>
        <v/>
      </c>
      <c r="E91" s="144">
        <f>'SoESCaOMCbIC-variableOM'!E4*($B42/SUM($B42,$B35))</f>
        <v/>
      </c>
      <c r="F91" s="144">
        <f>'SoESCaOMCbIC-variableOM'!F4*($B42/SUM($B42,$B35))</f>
        <v/>
      </c>
      <c r="G91" s="144">
        <f>'SoESCaOMCbIC-variableOM'!G4*($B42/SUM($B42,$B35))</f>
        <v/>
      </c>
      <c r="H91" s="144">
        <f>'SoESCaOMCbIC-variableOM'!H4*($B42/SUM($B42,$B35))</f>
        <v/>
      </c>
      <c r="I91" s="144">
        <f>'SoESCaOMCbIC-variableOM'!I4*($B42/SUM($B42,$B35))</f>
        <v/>
      </c>
      <c r="J91" s="144">
        <f>'SoESCaOMCbIC-variableOM'!J4*($B42/SUM($B42,$B35))</f>
        <v/>
      </c>
      <c r="K91" s="144">
        <f>'SoESCaOMCbIC-variableOM'!K4*($B42/SUM($B42,$B35))</f>
        <v/>
      </c>
      <c r="L91" s="144">
        <f>'SoESCaOMCbIC-variableOM'!L4*($B42/SUM($B42,$B35))</f>
        <v/>
      </c>
      <c r="M91" s="144">
        <f>'SoESCaOMCbIC-variableOM'!M4*($B42/SUM($B42,$B35))</f>
        <v/>
      </c>
      <c r="N91" s="144">
        <f>'SoESCaOMCbIC-variableOM'!N4*($B42/SUM($B42,$B35))</f>
        <v/>
      </c>
      <c r="O91" s="144">
        <f>'SoESCaOMCbIC-variableOM'!O4*($B42/SUM($B42,$B35))</f>
        <v/>
      </c>
      <c r="P91" s="144">
        <f>'SoESCaOMCbIC-variableOM'!P4*($B42/SUM($B42,$B35))</f>
        <v/>
      </c>
      <c r="Q91" s="144">
        <f>'SoESCaOMCbIC-variableOM'!Q4*($B42/SUM($B42,$B35))</f>
        <v/>
      </c>
      <c r="R91" s="144">
        <f>'SoESCaOMCbIC-variableOM'!R4*($B42/SUM($B42,$B35))</f>
        <v/>
      </c>
      <c r="S91" s="144">
        <f>'SoESCaOMCbIC-variableOM'!S4*($B42/SUM($B42,$B35))</f>
        <v/>
      </c>
      <c r="T91" s="144">
        <f>'SoESCaOMCbIC-variableOM'!T4*($B42/SUM($B42,$B35))</f>
        <v/>
      </c>
      <c r="U91" s="144">
        <f>'SoESCaOMCbIC-variableOM'!U4*($B42/SUM($B42,$B35))</f>
        <v/>
      </c>
      <c r="V91" s="144">
        <f>'SoESCaOMCbIC-variableOM'!V4*($B42/SUM($B42,$B35))</f>
        <v/>
      </c>
      <c r="W91" s="144">
        <f>'SoESCaOMCbIC-variableOM'!W4*($B42/SUM($B42,$B35))</f>
        <v/>
      </c>
      <c r="X91" s="144">
        <f>'SoESCaOMCbIC-variableOM'!X4*($B42/SUM($B42,$B35))</f>
        <v/>
      </c>
      <c r="Y91" s="144">
        <f>'SoESCaOMCbIC-variableOM'!Y4*($B42/SUM($B42,$B35))</f>
        <v/>
      </c>
      <c r="Z91" s="144">
        <f>'SoESCaOMCbIC-variableOM'!Z4*($B42/SUM($B42,$B35))</f>
        <v/>
      </c>
      <c r="AA91" s="144">
        <f>'SoESCaOMCbIC-variableOM'!AA4*($B42/SUM($B42,$B35))</f>
        <v/>
      </c>
      <c r="AB91" s="144">
        <f>'SoESCaOMCbIC-variableOM'!AB4*($B42/SUM($B42,$B35))</f>
        <v/>
      </c>
      <c r="AC91" s="144">
        <f>'SoESCaOMCbIC-variableOM'!AC4*($B42/SUM($B42,$B35))</f>
        <v/>
      </c>
      <c r="AD91" s="144">
        <f>'SoESCaOMCbIC-variableOM'!AD4*($B42/SUM($B42,$B35))</f>
        <v/>
      </c>
      <c r="AE91" s="144">
        <f>'SoESCaOMCbIC-variableOM'!AE4*($B42/SUM($B42,$B35))</f>
        <v/>
      </c>
      <c r="AF91" s="144">
        <f>'SoESCaOMCbIC-variableOM'!AF4*($B42/SUM($B42,$B35))</f>
        <v/>
      </c>
      <c r="AG91" s="144">
        <f>'SoESCaOMCbIC-variableOM'!AG4*($B42/SUM($B42,$B35))</f>
        <v/>
      </c>
      <c r="AH91" s="144">
        <f>'SoESCaOMCbIC-variableOM'!AH4*($B42/SUM($B42,$B35))</f>
        <v/>
      </c>
      <c r="AI91" s="144">
        <f>'SoESCaOMCbIC-variableOM'!AI4*($B42/SUM($B42,$B35))</f>
        <v/>
      </c>
      <c r="AJ91" s="144">
        <f>'SoESCaOMCbIC-variableOM'!AJ4*($B42/SUM($B42,$B35))</f>
        <v/>
      </c>
      <c r="AK91" s="144">
        <f>'SoESCaOMCbIC-variableOM'!AK4*($B42/SUM($B42,$B35))</f>
        <v/>
      </c>
      <c r="AL91" s="144">
        <f>'SoESCaOMCbIC-variableOM'!AL4*($B42/SUM($B42,$B35))</f>
        <v/>
      </c>
      <c r="AM91" s="144">
        <f>'SoESCaOMCbIC-variableOM'!AM4*($B42/SUM($B42,$B35))</f>
        <v/>
      </c>
      <c r="AN91" s="144">
        <f>'SoESCaOMCbIC-variableOM'!AN4*($B42/SUM($B42,$B35))</f>
        <v/>
      </c>
      <c r="AO91" s="144">
        <f>'SoESCaOMCbIC-variableOM'!AO4*($B42/SUM($B42,$B35))</f>
        <v/>
      </c>
      <c r="AP91" s="144">
        <f>'SoESCaOMCbIC-variableOM'!AP4*($B42/SUM($B42,$B35))</f>
        <v/>
      </c>
      <c r="AQ91" s="144">
        <f>'SoESCaOMCbIC-variableOM'!AQ4*($B42/SUM($B42,$B35))</f>
        <v/>
      </c>
    </row>
    <row r="92">
      <c r="A92" t="inlineStr">
        <is>
          <t>biomass</t>
        </is>
      </c>
      <c r="B92" s="144">
        <f>'SoESCaOMCbIC-variableOM'!B10*($B43/SUM($B43,$B36))</f>
        <v/>
      </c>
      <c r="C92" s="144">
        <f>'SoESCaOMCbIC-variableOM'!C10*($B43/SUM($B43,$B36))</f>
        <v/>
      </c>
      <c r="D92" s="144">
        <f>'SoESCaOMCbIC-variableOM'!D10*($B43/SUM($B43,$B36))</f>
        <v/>
      </c>
      <c r="E92" s="144">
        <f>'SoESCaOMCbIC-variableOM'!E10*($B43/SUM($B43,$B36))</f>
        <v/>
      </c>
      <c r="F92" s="144">
        <f>'SoESCaOMCbIC-variableOM'!F10*($B43/SUM($B43,$B36))</f>
        <v/>
      </c>
      <c r="G92" s="144">
        <f>'SoESCaOMCbIC-variableOM'!G10*($B43/SUM($B43,$B36))</f>
        <v/>
      </c>
      <c r="H92" s="144">
        <f>'SoESCaOMCbIC-variableOM'!H10*($B43/SUM($B43,$B36))</f>
        <v/>
      </c>
      <c r="I92" s="144">
        <f>'SoESCaOMCbIC-variableOM'!I10*($B43/SUM($B43,$B36))</f>
        <v/>
      </c>
      <c r="J92" s="144">
        <f>'SoESCaOMCbIC-variableOM'!J10*($B43/SUM($B43,$B36))</f>
        <v/>
      </c>
      <c r="K92" s="144">
        <f>'SoESCaOMCbIC-variableOM'!K10*($B43/SUM($B43,$B36))</f>
        <v/>
      </c>
      <c r="L92" s="144">
        <f>'SoESCaOMCbIC-variableOM'!L10*($B43/SUM($B43,$B36))</f>
        <v/>
      </c>
      <c r="M92" s="144">
        <f>'SoESCaOMCbIC-variableOM'!M10*($B43/SUM($B43,$B36))</f>
        <v/>
      </c>
      <c r="N92" s="144">
        <f>'SoESCaOMCbIC-variableOM'!N10*($B43/SUM($B43,$B36))</f>
        <v/>
      </c>
      <c r="O92" s="144">
        <f>'SoESCaOMCbIC-variableOM'!O10*($B43/SUM($B43,$B36))</f>
        <v/>
      </c>
      <c r="P92" s="144">
        <f>'SoESCaOMCbIC-variableOM'!P10*($B43/SUM($B43,$B36))</f>
        <v/>
      </c>
      <c r="Q92" s="144">
        <f>'SoESCaOMCbIC-variableOM'!Q10*($B43/SUM($B43,$B36))</f>
        <v/>
      </c>
      <c r="R92" s="144">
        <f>'SoESCaOMCbIC-variableOM'!R10*($B43/SUM($B43,$B36))</f>
        <v/>
      </c>
      <c r="S92" s="144">
        <f>'SoESCaOMCbIC-variableOM'!S10*($B43/SUM($B43,$B36))</f>
        <v/>
      </c>
      <c r="T92" s="144">
        <f>'SoESCaOMCbIC-variableOM'!T10*($B43/SUM($B43,$B36))</f>
        <v/>
      </c>
      <c r="U92" s="144">
        <f>'SoESCaOMCbIC-variableOM'!U10*($B43/SUM($B43,$B36))</f>
        <v/>
      </c>
      <c r="V92" s="144">
        <f>'SoESCaOMCbIC-variableOM'!V10*($B43/SUM($B43,$B36))</f>
        <v/>
      </c>
      <c r="W92" s="144">
        <f>'SoESCaOMCbIC-variableOM'!W10*($B43/SUM($B43,$B36))</f>
        <v/>
      </c>
      <c r="X92" s="144">
        <f>'SoESCaOMCbIC-variableOM'!X10*($B43/SUM($B43,$B36))</f>
        <v/>
      </c>
      <c r="Y92" s="144">
        <f>'SoESCaOMCbIC-variableOM'!Y10*($B43/SUM($B43,$B36))</f>
        <v/>
      </c>
      <c r="Z92" s="144">
        <f>'SoESCaOMCbIC-variableOM'!Z10*($B43/SUM($B43,$B36))</f>
        <v/>
      </c>
      <c r="AA92" s="144">
        <f>'SoESCaOMCbIC-variableOM'!AA10*($B43/SUM($B43,$B36))</f>
        <v/>
      </c>
      <c r="AB92" s="144">
        <f>'SoESCaOMCbIC-variableOM'!AB10*($B43/SUM($B43,$B36))</f>
        <v/>
      </c>
      <c r="AC92" s="144">
        <f>'SoESCaOMCbIC-variableOM'!AC10*($B43/SUM($B43,$B36))</f>
        <v/>
      </c>
      <c r="AD92" s="144">
        <f>'SoESCaOMCbIC-variableOM'!AD10*($B43/SUM($B43,$B36))</f>
        <v/>
      </c>
      <c r="AE92" s="144">
        <f>'SoESCaOMCbIC-variableOM'!AE10*($B43/SUM($B43,$B36))</f>
        <v/>
      </c>
      <c r="AF92" s="144">
        <f>'SoESCaOMCbIC-variableOM'!AF10*($B43/SUM($B43,$B36))</f>
        <v/>
      </c>
      <c r="AG92" s="144">
        <f>'SoESCaOMCbIC-variableOM'!AG10*($B43/SUM($B43,$B36))</f>
        <v/>
      </c>
      <c r="AH92" s="144">
        <f>'SoESCaOMCbIC-variableOM'!AH10*($B43/SUM($B43,$B36))</f>
        <v/>
      </c>
      <c r="AI92" s="144">
        <f>'SoESCaOMCbIC-variableOM'!AI10*($B43/SUM($B43,$B36))</f>
        <v/>
      </c>
      <c r="AJ92" s="144">
        <f>'SoESCaOMCbIC-variableOM'!AJ10*($B43/SUM($B43,$B36))</f>
        <v/>
      </c>
      <c r="AK92" s="144">
        <f>'SoESCaOMCbIC-variableOM'!AK10*($B43/SUM($B43,$B36))</f>
        <v/>
      </c>
      <c r="AL92" s="144">
        <f>'SoESCaOMCbIC-variableOM'!AL10*($B43/SUM($B43,$B36))</f>
        <v/>
      </c>
      <c r="AM92" s="144">
        <f>'SoESCaOMCbIC-variableOM'!AM10*($B43/SUM($B43,$B36))</f>
        <v/>
      </c>
      <c r="AN92" s="144">
        <f>'SoESCaOMCbIC-variableOM'!AN10*($B43/SUM($B43,$B36))</f>
        <v/>
      </c>
      <c r="AO92" s="144">
        <f>'SoESCaOMCbIC-variableOM'!AO10*($B43/SUM($B43,$B36))</f>
        <v/>
      </c>
      <c r="AP92" s="144">
        <f>'SoESCaOMCbIC-variableOM'!AP10*($B43/SUM($B43,$B36))</f>
        <v/>
      </c>
      <c r="AQ92" s="144">
        <f>'SoESCaOMCbIC-variableOM'!AQ10*($B43/SUM($B43,$B36))</f>
        <v/>
      </c>
    </row>
    <row r="93">
      <c r="A93" t="inlineStr">
        <is>
          <t>lignite</t>
        </is>
      </c>
      <c r="B93" s="144">
        <f>'SoESCaOMCbIC-variableOM'!B14*($B44/SUM($B44,$B37))</f>
        <v/>
      </c>
      <c r="C93" s="144">
        <f>'SoESCaOMCbIC-variableOM'!C14*($B44/SUM($B44,$B37))</f>
        <v/>
      </c>
      <c r="D93" s="144">
        <f>'SoESCaOMCbIC-variableOM'!D14*($B44/SUM($B44,$B37))</f>
        <v/>
      </c>
      <c r="E93" s="144">
        <f>'SoESCaOMCbIC-variableOM'!E14*($B44/SUM($B44,$B37))</f>
        <v/>
      </c>
      <c r="F93" s="144">
        <f>'SoESCaOMCbIC-variableOM'!F14*($B44/SUM($B44,$B37))</f>
        <v/>
      </c>
      <c r="G93" s="144">
        <f>'SoESCaOMCbIC-variableOM'!G14*($B44/SUM($B44,$B37))</f>
        <v/>
      </c>
      <c r="H93" s="144">
        <f>'SoESCaOMCbIC-variableOM'!H14*($B44/SUM($B44,$B37))</f>
        <v/>
      </c>
      <c r="I93" s="144">
        <f>'SoESCaOMCbIC-variableOM'!I14*($B44/SUM($B44,$B37))</f>
        <v/>
      </c>
      <c r="J93" s="144">
        <f>'SoESCaOMCbIC-variableOM'!J14*($B44/SUM($B44,$B37))</f>
        <v/>
      </c>
      <c r="K93" s="144">
        <f>'SoESCaOMCbIC-variableOM'!K14*($B44/SUM($B44,$B37))</f>
        <v/>
      </c>
      <c r="L93" s="144">
        <f>'SoESCaOMCbIC-variableOM'!L14*($B44/SUM($B44,$B37))</f>
        <v/>
      </c>
      <c r="M93" s="144">
        <f>'SoESCaOMCbIC-variableOM'!M14*($B44/SUM($B44,$B37))</f>
        <v/>
      </c>
      <c r="N93" s="144">
        <f>'SoESCaOMCbIC-variableOM'!N14*($B44/SUM($B44,$B37))</f>
        <v/>
      </c>
      <c r="O93" s="144">
        <f>'SoESCaOMCbIC-variableOM'!O14*($B44/SUM($B44,$B37))</f>
        <v/>
      </c>
      <c r="P93" s="144">
        <f>'SoESCaOMCbIC-variableOM'!P14*($B44/SUM($B44,$B37))</f>
        <v/>
      </c>
      <c r="Q93" s="144">
        <f>'SoESCaOMCbIC-variableOM'!Q14*($B44/SUM($B44,$B37))</f>
        <v/>
      </c>
      <c r="R93" s="144">
        <f>'SoESCaOMCbIC-variableOM'!R14*($B44/SUM($B44,$B37))</f>
        <v/>
      </c>
      <c r="S93" s="144">
        <f>'SoESCaOMCbIC-variableOM'!S14*($B44/SUM($B44,$B37))</f>
        <v/>
      </c>
      <c r="T93" s="144">
        <f>'SoESCaOMCbIC-variableOM'!T14*($B44/SUM($B44,$B37))</f>
        <v/>
      </c>
      <c r="U93" s="144">
        <f>'SoESCaOMCbIC-variableOM'!U14*($B44/SUM($B44,$B37))</f>
        <v/>
      </c>
      <c r="V93" s="144">
        <f>'SoESCaOMCbIC-variableOM'!V14*($B44/SUM($B44,$B37))</f>
        <v/>
      </c>
      <c r="W93" s="144">
        <f>'SoESCaOMCbIC-variableOM'!W14*($B44/SUM($B44,$B37))</f>
        <v/>
      </c>
      <c r="X93" s="144">
        <f>'SoESCaOMCbIC-variableOM'!X14*($B44/SUM($B44,$B37))</f>
        <v/>
      </c>
      <c r="Y93" s="144">
        <f>'SoESCaOMCbIC-variableOM'!Y14*($B44/SUM($B44,$B37))</f>
        <v/>
      </c>
      <c r="Z93" s="144">
        <f>'SoESCaOMCbIC-variableOM'!Z14*($B44/SUM($B44,$B37))</f>
        <v/>
      </c>
      <c r="AA93" s="144">
        <f>'SoESCaOMCbIC-variableOM'!AA14*($B44/SUM($B44,$B37))</f>
        <v/>
      </c>
      <c r="AB93" s="144">
        <f>'SoESCaOMCbIC-variableOM'!AB14*($B44/SUM($B44,$B37))</f>
        <v/>
      </c>
      <c r="AC93" s="144">
        <f>'SoESCaOMCbIC-variableOM'!AC14*($B44/SUM($B44,$B37))</f>
        <v/>
      </c>
      <c r="AD93" s="144">
        <f>'SoESCaOMCbIC-variableOM'!AD14*($B44/SUM($B44,$B37))</f>
        <v/>
      </c>
      <c r="AE93" s="144">
        <f>'SoESCaOMCbIC-variableOM'!AE14*($B44/SUM($B44,$B37))</f>
        <v/>
      </c>
      <c r="AF93" s="144">
        <f>'SoESCaOMCbIC-variableOM'!AF14*($B44/SUM($B44,$B37))</f>
        <v/>
      </c>
      <c r="AG93" s="144">
        <f>'SoESCaOMCbIC-variableOM'!AG14*($B44/SUM($B44,$B37))</f>
        <v/>
      </c>
      <c r="AH93" s="144">
        <f>'SoESCaOMCbIC-variableOM'!AH14*($B44/SUM($B44,$B37))</f>
        <v/>
      </c>
      <c r="AI93" s="144">
        <f>'SoESCaOMCbIC-variableOM'!AI14*($B44/SUM($B44,$B37))</f>
        <v/>
      </c>
      <c r="AJ93" s="144">
        <f>'SoESCaOMCbIC-variableOM'!AJ14*($B44/SUM($B44,$B37))</f>
        <v/>
      </c>
      <c r="AK93" s="144">
        <f>'SoESCaOMCbIC-variableOM'!AK14*($B44/SUM($B44,$B37))</f>
        <v/>
      </c>
      <c r="AL93" s="144">
        <f>'SoESCaOMCbIC-variableOM'!AL14*($B44/SUM($B44,$B37))</f>
        <v/>
      </c>
      <c r="AM93" s="144">
        <f>'SoESCaOMCbIC-variableOM'!AM14*($B44/SUM($B44,$B37))</f>
        <v/>
      </c>
      <c r="AN93" s="144">
        <f>'SoESCaOMCbIC-variableOM'!AN14*($B44/SUM($B44,$B37))</f>
        <v/>
      </c>
      <c r="AO93" s="144">
        <f>'SoESCaOMCbIC-variableOM'!AO14*($B44/SUM($B44,$B37))</f>
        <v/>
      </c>
      <c r="AP93" s="144">
        <f>'SoESCaOMCbIC-variableOM'!AP14*($B44/SUM($B44,$B37))</f>
        <v/>
      </c>
      <c r="AQ93" s="144">
        <f>'SoESCaOMCbIC-variableOM'!AQ14*($B44/SUM($B44,$B37))</f>
        <v/>
      </c>
    </row>
    <row r="94">
      <c r="B94" s="145" t="n"/>
    </row>
    <row r="95">
      <c r="A95" t="inlineStr">
        <is>
          <t>Variable O&amp;M breakdown for CCS Components</t>
        </is>
      </c>
    </row>
    <row r="96">
      <c r="A96" t="inlineStr">
        <is>
          <t>*assumes same portion of cost for construction as non-CCS components</t>
        </is>
      </c>
    </row>
    <row r="97">
      <c r="A97" s="126" t="n"/>
      <c r="B97" s="110" t="inlineStr">
        <is>
          <t>ISIC 01T03</t>
        </is>
      </c>
      <c r="C97" s="110" t="inlineStr">
        <is>
          <t>ISIC 05</t>
        </is>
      </c>
      <c r="D97" s="110" t="inlineStr">
        <is>
          <t>ISIC 06</t>
        </is>
      </c>
      <c r="E97" s="110" t="inlineStr">
        <is>
          <t>ISIC 07T08</t>
        </is>
      </c>
      <c r="F97" s="110" t="inlineStr">
        <is>
          <t>ISIC 09</t>
        </is>
      </c>
      <c r="G97" s="110" t="inlineStr">
        <is>
          <t>ISIC 10T12</t>
        </is>
      </c>
      <c r="H97" s="110" t="inlineStr">
        <is>
          <t>ISIC 13T15</t>
        </is>
      </c>
      <c r="I97" s="110" t="inlineStr">
        <is>
          <t>ISIC 16</t>
        </is>
      </c>
      <c r="J97" s="110" t="inlineStr">
        <is>
          <t>ISIC 17T18</t>
        </is>
      </c>
      <c r="K97" s="110" t="inlineStr">
        <is>
          <t>ISIC 19</t>
        </is>
      </c>
      <c r="L97" s="110" t="inlineStr">
        <is>
          <t>ISIC 20</t>
        </is>
      </c>
      <c r="M97" s="110" t="inlineStr">
        <is>
          <t>ISIC 21</t>
        </is>
      </c>
      <c r="N97" s="110" t="inlineStr">
        <is>
          <t>ISIC 22</t>
        </is>
      </c>
      <c r="O97" s="110" t="inlineStr">
        <is>
          <t>ISIC 231</t>
        </is>
      </c>
      <c r="P97" s="110" t="inlineStr">
        <is>
          <t>ISIC 239</t>
        </is>
      </c>
      <c r="Q97" s="110" t="inlineStr">
        <is>
          <t>ISIC 241</t>
        </is>
      </c>
      <c r="R97" s="110" t="inlineStr">
        <is>
          <t>ISIC 242</t>
        </is>
      </c>
      <c r="S97" s="110" t="inlineStr">
        <is>
          <t>ISIC 25</t>
        </is>
      </c>
      <c r="T97" s="110" t="inlineStr">
        <is>
          <t>ISIC 26</t>
        </is>
      </c>
      <c r="U97" s="110" t="inlineStr">
        <is>
          <t>ISIC 27</t>
        </is>
      </c>
      <c r="V97" s="110" t="inlineStr">
        <is>
          <t>ISIC 28</t>
        </is>
      </c>
      <c r="W97" s="110" t="inlineStr">
        <is>
          <t>ISIC 29</t>
        </is>
      </c>
      <c r="X97" s="110" t="inlineStr">
        <is>
          <t>ISIC 30</t>
        </is>
      </c>
      <c r="Y97" s="110" t="inlineStr">
        <is>
          <t>ISIC 31T33</t>
        </is>
      </c>
      <c r="Z97" s="110" t="inlineStr">
        <is>
          <t>ISIC 351</t>
        </is>
      </c>
      <c r="AA97" s="110" t="inlineStr">
        <is>
          <t>ISIC 352T353</t>
        </is>
      </c>
      <c r="AB97" s="110" t="inlineStr">
        <is>
          <t>ISIC 36T39</t>
        </is>
      </c>
      <c r="AC97" s="110" t="inlineStr">
        <is>
          <t>ISIC 41T43</t>
        </is>
      </c>
      <c r="AD97" s="110" t="inlineStr">
        <is>
          <t>ISIC 45T47</t>
        </is>
      </c>
      <c r="AE97" s="110" t="inlineStr">
        <is>
          <t>ISIC 49T53</t>
        </is>
      </c>
      <c r="AF97" s="110" t="inlineStr">
        <is>
          <t>ISIC 55T56</t>
        </is>
      </c>
      <c r="AG97" s="110" t="inlineStr">
        <is>
          <t>ISIC 58T60</t>
        </is>
      </c>
      <c r="AH97" s="110" t="inlineStr">
        <is>
          <t>ISIC 61</t>
        </is>
      </c>
      <c r="AI97" s="110" t="inlineStr">
        <is>
          <t>ISIC 62T63</t>
        </is>
      </c>
      <c r="AJ97" s="110" t="inlineStr">
        <is>
          <t>ISIC 64T66</t>
        </is>
      </c>
      <c r="AK97" s="110" t="inlineStr">
        <is>
          <t>ISIC 68</t>
        </is>
      </c>
      <c r="AL97" s="110" t="inlineStr">
        <is>
          <t>ISIC 69T82</t>
        </is>
      </c>
      <c r="AM97" s="110" t="inlineStr">
        <is>
          <t>ISIC 84</t>
        </is>
      </c>
      <c r="AN97" s="110" t="inlineStr">
        <is>
          <t>ISIC 85</t>
        </is>
      </c>
      <c r="AO97" s="110" t="inlineStr">
        <is>
          <t>ISIC 86T88</t>
        </is>
      </c>
      <c r="AP97" s="110" t="inlineStr">
        <is>
          <t>ISIC 90T96</t>
        </is>
      </c>
      <c r="AQ97" s="110" t="inlineStr">
        <is>
          <t>ISIC 97T98</t>
        </is>
      </c>
    </row>
    <row r="98">
      <c r="A98" t="inlineStr">
        <is>
          <t>hard coal</t>
        </is>
      </c>
      <c r="B98" s="144" t="n"/>
      <c r="C98" s="144" t="n"/>
      <c r="D98" s="144" t="n"/>
      <c r="E98" s="144" t="n"/>
      <c r="F98" s="144" t="n"/>
      <c r="G98" s="144" t="n"/>
      <c r="H98" s="144" t="n"/>
      <c r="I98" s="144" t="n"/>
      <c r="J98" s="144" t="n"/>
      <c r="K98" s="144" t="n"/>
      <c r="L98" s="144">
        <f>B34/SUM(B34,B41)</f>
        <v/>
      </c>
      <c r="M98" s="144" t="n"/>
      <c r="N98" s="144" t="n"/>
      <c r="O98" s="144" t="n"/>
      <c r="P98" s="144" t="n"/>
      <c r="Q98" s="144" t="n"/>
      <c r="R98" s="144" t="n"/>
      <c r="S98" s="144" t="n"/>
      <c r="T98" s="144" t="n"/>
      <c r="U98" s="144" t="n"/>
      <c r="V98" s="144" t="n"/>
      <c r="W98" s="144" t="n"/>
      <c r="X98" s="144" t="n"/>
      <c r="Y98" s="144" t="n"/>
      <c r="Z98" s="144" t="n"/>
      <c r="AA98" s="144" t="n"/>
      <c r="AB98" s="144" t="n"/>
      <c r="AC98" s="144" t="n"/>
      <c r="AD98" s="144" t="n"/>
      <c r="AE98" s="144" t="n"/>
      <c r="AF98" s="144" t="n"/>
      <c r="AG98" s="144" t="n"/>
      <c r="AH98" s="144" t="n"/>
      <c r="AI98" s="144" t="n"/>
      <c r="AJ98" s="144" t="n"/>
      <c r="AK98" s="144" t="n"/>
      <c r="AL98" s="144" t="n"/>
      <c r="AM98" s="144" t="n"/>
      <c r="AN98" s="144" t="n"/>
      <c r="AO98" s="144" t="n"/>
      <c r="AP98" s="144" t="n"/>
      <c r="AQ98" s="144" t="n"/>
    </row>
    <row r="99">
      <c r="A99" t="inlineStr">
        <is>
          <t>natural gas combined cycle</t>
        </is>
      </c>
      <c r="B99" s="144" t="n"/>
      <c r="C99" s="144" t="n"/>
      <c r="D99" s="144" t="n"/>
      <c r="E99" s="144" t="n"/>
      <c r="F99" s="144" t="n"/>
      <c r="G99" s="144" t="n"/>
      <c r="H99" s="144" t="n"/>
      <c r="I99" s="144" t="n"/>
      <c r="J99" s="144" t="n"/>
      <c r="K99" s="144" t="n"/>
      <c r="L99" s="144">
        <f>B35/SUM(B35,B42)</f>
        <v/>
      </c>
      <c r="M99" s="144" t="n"/>
      <c r="N99" s="144" t="n"/>
      <c r="O99" s="144" t="n"/>
      <c r="P99" s="144" t="n"/>
      <c r="Q99" s="144" t="n"/>
      <c r="R99" s="144" t="n"/>
      <c r="S99" s="144" t="n"/>
      <c r="T99" s="144" t="n"/>
      <c r="U99" s="144" t="n"/>
      <c r="V99" s="144" t="n"/>
      <c r="W99" s="144" t="n"/>
      <c r="X99" s="144" t="n"/>
      <c r="Y99" s="144" t="n"/>
      <c r="Z99" s="144" t="n"/>
      <c r="AA99" s="144" t="n"/>
      <c r="AB99" s="144" t="n"/>
      <c r="AC99" s="144" t="n"/>
      <c r="AD99" s="144" t="n"/>
      <c r="AE99" s="144" t="n"/>
      <c r="AF99" s="144" t="n"/>
      <c r="AG99" s="144" t="n"/>
      <c r="AH99" s="144" t="n"/>
      <c r="AI99" s="144" t="n"/>
      <c r="AJ99" s="144" t="n"/>
      <c r="AK99" s="144" t="n"/>
      <c r="AL99" s="144" t="n"/>
      <c r="AM99" s="144" t="n"/>
      <c r="AN99" s="144" t="n"/>
      <c r="AO99" s="144" t="n"/>
      <c r="AP99" s="144" t="n"/>
      <c r="AQ99" s="144" t="n"/>
    </row>
    <row r="100">
      <c r="A100" t="inlineStr">
        <is>
          <t>biomass</t>
        </is>
      </c>
      <c r="B100" s="144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>
        <f>B36/SUM(B36,B43)</f>
        <v/>
      </c>
      <c r="M100" s="144" t="n"/>
      <c r="N100" s="144" t="n"/>
      <c r="O100" s="144" t="n"/>
      <c r="P100" s="144" t="n"/>
      <c r="Q100" s="144" t="n"/>
      <c r="R100" s="144" t="n"/>
      <c r="S100" s="144" t="n"/>
      <c r="T100" s="144" t="n"/>
      <c r="U100" s="144" t="n"/>
      <c r="V100" s="144" t="n"/>
      <c r="W100" s="144" t="n"/>
      <c r="X100" s="144" t="n"/>
      <c r="Y100" s="144" t="n"/>
      <c r="Z100" s="144" t="n"/>
      <c r="AA100" s="144" t="n"/>
      <c r="AB100" s="144" t="n"/>
      <c r="AC100" s="144" t="n"/>
      <c r="AD100" s="144" t="n"/>
      <c r="AE100" s="144" t="n"/>
      <c r="AF100" s="144" t="n"/>
      <c r="AG100" s="144" t="n"/>
      <c r="AH100" s="144" t="n"/>
      <c r="AI100" s="144" t="n"/>
      <c r="AJ100" s="144" t="n"/>
      <c r="AK100" s="144" t="n"/>
      <c r="AL100" s="144" t="n"/>
      <c r="AM100" s="144" t="n"/>
      <c r="AN100" s="144" t="n"/>
      <c r="AO100" s="144" t="n"/>
      <c r="AP100" s="144" t="n"/>
      <c r="AQ100" s="144" t="n"/>
    </row>
    <row r="101">
      <c r="A101" t="inlineStr">
        <is>
          <t>lignite</t>
        </is>
      </c>
      <c r="B101" s="144" t="n"/>
      <c r="C101" s="144" t="n"/>
      <c r="D101" s="144" t="n"/>
      <c r="E101" s="144" t="n"/>
      <c r="F101" s="144" t="n"/>
      <c r="G101" s="144" t="n"/>
      <c r="H101" s="144" t="n"/>
      <c r="I101" s="144" t="n"/>
      <c r="J101" s="144" t="n"/>
      <c r="K101" s="144" t="n"/>
      <c r="L101" s="144">
        <f>B37/SUM(B37,B44)</f>
        <v/>
      </c>
      <c r="M101" s="144" t="n"/>
      <c r="N101" s="144" t="n"/>
      <c r="O101" s="144" t="n"/>
      <c r="P101" s="144" t="n"/>
      <c r="Q101" s="144" t="n"/>
      <c r="R101" s="144" t="n"/>
      <c r="S101" s="144" t="n"/>
      <c r="T101" s="144" t="n"/>
      <c r="U101" s="144" t="n"/>
      <c r="V101" s="144" t="n"/>
      <c r="W101" s="144" t="n"/>
      <c r="X101" s="144" t="n"/>
      <c r="Y101" s="144" t="n"/>
      <c r="Z101" s="144" t="n"/>
      <c r="AA101" s="144" t="n"/>
      <c r="AB101" s="144" t="n"/>
      <c r="AC101" s="144" t="n"/>
      <c r="AD101" s="144" t="n"/>
      <c r="AE101" s="144" t="n"/>
      <c r="AF101" s="144" t="n"/>
      <c r="AG101" s="144" t="n"/>
      <c r="AH101" s="144" t="n"/>
      <c r="AI101" s="144" t="n"/>
      <c r="AJ101" s="144" t="n"/>
      <c r="AK101" s="144" t="n"/>
      <c r="AL101" s="144" t="n"/>
      <c r="AM101" s="144" t="n"/>
      <c r="AN101" s="144" t="n"/>
      <c r="AO101" s="144" t="n"/>
      <c r="AP101" s="144" t="n"/>
      <c r="AQ101" s="14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AS25"/>
  <sheetViews>
    <sheetView topLeftCell="P1" workbookViewId="0">
      <selection activeCell="B25" sqref="B25:AQ25"/>
    </sheetView>
  </sheetViews>
  <sheetFormatPr baseColWidth="8" defaultRowHeight="14.5"/>
  <cols>
    <col width="26.54296875" customWidth="1" min="1" max="1"/>
    <col width="10.54296875" bestFit="1" customWidth="1" min="2" max="2"/>
    <col width="9.7265625" bestFit="1" customWidth="1" min="3" max="3"/>
    <col width="9.7265625" customWidth="1" min="4" max="4"/>
    <col width="9.7265625" bestFit="1" customWidth="1" min="5" max="5"/>
    <col width="6.7265625" bestFit="1" customWidth="1" min="6" max="6"/>
    <col width="9.7265625" bestFit="1" customWidth="1" min="7" max="8"/>
    <col width="6.7265625" bestFit="1" customWidth="1" min="9" max="9"/>
    <col width="9.7265625" bestFit="1" customWidth="1" min="10" max="10"/>
    <col width="6.7265625" bestFit="1" customWidth="1" min="11" max="11"/>
    <col width="9.7265625" bestFit="1" customWidth="1" min="12" max="12"/>
    <col width="9.7265625" customWidth="1" min="13" max="13"/>
    <col width="7.7265625" customWidth="1" min="14" max="24"/>
    <col width="9.7265625" bestFit="1" customWidth="1" min="25" max="26"/>
    <col width="9.7265625" customWidth="1" min="27" max="28"/>
    <col width="9.7265625" bestFit="1" customWidth="1" min="29" max="33"/>
    <col width="6.7265625" bestFit="1" customWidth="1" min="34" max="34"/>
    <col width="9.7265625" bestFit="1" customWidth="1" min="35" max="36"/>
    <col width="6.7265625" bestFit="1" customWidth="1" min="37" max="37"/>
    <col width="9.7265625" bestFit="1" customWidth="1" min="38" max="38"/>
    <col width="6.7265625" bestFit="1" customWidth="1" min="39" max="40"/>
    <col width="9.7265625" bestFit="1" customWidth="1" min="41" max="43"/>
  </cols>
  <sheetData>
    <row r="1">
      <c r="A1" s="126" t="inlineStr">
        <is>
          <t>Unit: dimensionless (share of costs)</t>
        </is>
      </c>
      <c r="B1" s="110" t="inlineStr">
        <is>
          <t>ISIC 01T03</t>
        </is>
      </c>
      <c r="C1" s="110" t="inlineStr">
        <is>
          <t>ISIC 05</t>
        </is>
      </c>
      <c r="D1" s="110" t="inlineStr">
        <is>
          <t>ISIC 06</t>
        </is>
      </c>
      <c r="E1" s="110" t="inlineStr">
        <is>
          <t>ISIC 07T08</t>
        </is>
      </c>
      <c r="F1" s="110" t="inlineStr">
        <is>
          <t>ISIC 09</t>
        </is>
      </c>
      <c r="G1" s="110" t="inlineStr">
        <is>
          <t>ISIC 10T12</t>
        </is>
      </c>
      <c r="H1" s="110" t="inlineStr">
        <is>
          <t>ISIC 13T15</t>
        </is>
      </c>
      <c r="I1" s="110" t="inlineStr">
        <is>
          <t>ISIC 16</t>
        </is>
      </c>
      <c r="J1" s="110" t="inlineStr">
        <is>
          <t>ISIC 17T18</t>
        </is>
      </c>
      <c r="K1" s="110" t="inlineStr">
        <is>
          <t>ISIC 19</t>
        </is>
      </c>
      <c r="L1" s="110" t="inlineStr">
        <is>
          <t>ISIC 20</t>
        </is>
      </c>
      <c r="M1" s="110" t="inlineStr">
        <is>
          <t>ISIC 21</t>
        </is>
      </c>
      <c r="N1" s="110" t="inlineStr">
        <is>
          <t>ISIC 22</t>
        </is>
      </c>
      <c r="O1" s="110" t="inlineStr">
        <is>
          <t>ISIC 231</t>
        </is>
      </c>
      <c r="P1" s="110" t="inlineStr">
        <is>
          <t>ISIC 239</t>
        </is>
      </c>
      <c r="Q1" s="110" t="inlineStr">
        <is>
          <t>ISIC 241</t>
        </is>
      </c>
      <c r="R1" s="110" t="inlineStr">
        <is>
          <t>ISIC 242</t>
        </is>
      </c>
      <c r="S1" s="110" t="inlineStr">
        <is>
          <t>ISIC 25</t>
        </is>
      </c>
      <c r="T1" s="110" t="inlineStr">
        <is>
          <t>ISIC 26</t>
        </is>
      </c>
      <c r="U1" s="110" t="inlineStr">
        <is>
          <t>ISIC 27</t>
        </is>
      </c>
      <c r="V1" s="110" t="inlineStr">
        <is>
          <t>ISIC 28</t>
        </is>
      </c>
      <c r="W1" s="110" t="inlineStr">
        <is>
          <t>ISIC 29</t>
        </is>
      </c>
      <c r="X1" s="110" t="inlineStr">
        <is>
          <t>ISIC 30</t>
        </is>
      </c>
      <c r="Y1" s="110" t="inlineStr">
        <is>
          <t>ISIC 31T33</t>
        </is>
      </c>
      <c r="Z1" s="110" t="inlineStr">
        <is>
          <t>ISIC 351</t>
        </is>
      </c>
      <c r="AA1" s="110" t="inlineStr">
        <is>
          <t>ISIC 352T353</t>
        </is>
      </c>
      <c r="AB1" s="110" t="inlineStr">
        <is>
          <t>ISIC 36T39</t>
        </is>
      </c>
      <c r="AC1" s="110" t="inlineStr">
        <is>
          <t>ISIC 41T43</t>
        </is>
      </c>
      <c r="AD1" s="110" t="inlineStr">
        <is>
          <t>ISIC 45T47</t>
        </is>
      </c>
      <c r="AE1" s="110" t="inlineStr">
        <is>
          <t>ISIC 49T53</t>
        </is>
      </c>
      <c r="AF1" s="110" t="inlineStr">
        <is>
          <t>ISIC 55T56</t>
        </is>
      </c>
      <c r="AG1" s="110" t="inlineStr">
        <is>
          <t>ISIC 58T60</t>
        </is>
      </c>
      <c r="AH1" s="110" t="inlineStr">
        <is>
          <t>ISIC 61</t>
        </is>
      </c>
      <c r="AI1" s="110" t="inlineStr">
        <is>
          <t>ISIC 62T63</t>
        </is>
      </c>
      <c r="AJ1" s="110" t="inlineStr">
        <is>
          <t>ISIC 64T66</t>
        </is>
      </c>
      <c r="AK1" s="110" t="inlineStr">
        <is>
          <t>ISIC 68</t>
        </is>
      </c>
      <c r="AL1" s="110" t="inlineStr">
        <is>
          <t>ISIC 69T82</t>
        </is>
      </c>
      <c r="AM1" s="110" t="inlineStr">
        <is>
          <t>ISIC 84</t>
        </is>
      </c>
      <c r="AN1" s="110" t="inlineStr">
        <is>
          <t>ISIC 85</t>
        </is>
      </c>
      <c r="AO1" s="110" t="inlineStr">
        <is>
          <t>ISIC 86T88</t>
        </is>
      </c>
      <c r="AP1" s="110" t="inlineStr">
        <is>
          <t>ISIC 90T96</t>
        </is>
      </c>
      <c r="AQ1" s="110" t="inlineStr">
        <is>
          <t>ISIC 97T98</t>
        </is>
      </c>
    </row>
    <row r="2">
      <c r="A2" t="inlineStr">
        <is>
          <t>hard coal</t>
        </is>
      </c>
      <c r="B2" s="77">
        <f>SUMIF('Cost Breakdowns'!$D$79:$D$96,'SoESCaOMCbIC-capital'!B$1,'Cost Breakdowns'!$B$79:$B$96)</f>
        <v/>
      </c>
      <c r="C2" s="77">
        <f>SUMIF('Cost Breakdowns'!$D$79:$D$96,'SoESCaOMCbIC-capital'!C$1,'Cost Breakdowns'!$B$79:$B$96)</f>
        <v/>
      </c>
      <c r="D2" s="77">
        <f>SUMIF('Cost Breakdowns'!$D$79:$D$96,'SoESCaOMCbIC-capital'!D$1,'Cost Breakdowns'!$B$79:$B$96)</f>
        <v/>
      </c>
      <c r="E2" s="77">
        <f>SUMIF('Cost Breakdowns'!$D$79:$D$96,'SoESCaOMCbIC-capital'!E$1,'Cost Breakdowns'!$B$79:$B$96)</f>
        <v/>
      </c>
      <c r="F2" s="77">
        <f>SUMIF('Cost Breakdowns'!$D$79:$D$96,'SoESCaOMCbIC-capital'!F$1,'Cost Breakdowns'!$B$79:$B$96)</f>
        <v/>
      </c>
      <c r="G2" s="77">
        <f>SUMIF('Cost Breakdowns'!$D$79:$D$96,'SoESCaOMCbIC-capital'!G$1,'Cost Breakdowns'!$B$79:$B$96)</f>
        <v/>
      </c>
      <c r="H2" s="77">
        <f>SUMIF('Cost Breakdowns'!$D$79:$D$96,'SoESCaOMCbIC-capital'!H$1,'Cost Breakdowns'!$B$79:$B$96)</f>
        <v/>
      </c>
      <c r="I2" s="77">
        <f>SUMIF('Cost Breakdowns'!$D$79:$D$96,'SoESCaOMCbIC-capital'!I$1,'Cost Breakdowns'!$B$79:$B$96)</f>
        <v/>
      </c>
      <c r="J2" s="77">
        <f>SUMIF('Cost Breakdowns'!$D$79:$D$96,'SoESCaOMCbIC-capital'!J$1,'Cost Breakdowns'!$B$79:$B$96)</f>
        <v/>
      </c>
      <c r="K2" s="77">
        <f>SUMIF('Cost Breakdowns'!$D$79:$D$96,'SoESCaOMCbIC-capital'!K$1,'Cost Breakdowns'!$B$79:$B$96)</f>
        <v/>
      </c>
      <c r="L2" s="77">
        <f>SUMIF('Cost Breakdowns'!$D$79:$D$96,'SoESCaOMCbIC-capital'!L$1,'Cost Breakdowns'!$B$79:$B$96)</f>
        <v/>
      </c>
      <c r="M2" s="77">
        <f>SUMIF('Cost Breakdowns'!$D$79:$D$96,'SoESCaOMCbIC-capital'!M$1,'Cost Breakdowns'!$B$79:$B$96)</f>
        <v/>
      </c>
      <c r="N2" s="77">
        <f>SUMIF('Cost Breakdowns'!$D$79:$D$96,'SoESCaOMCbIC-capital'!N$1,'Cost Breakdowns'!$B$79:$B$96)</f>
        <v/>
      </c>
      <c r="O2" s="77">
        <f>SUMIF('Cost Breakdowns'!$D$79:$D$96,'SoESCaOMCbIC-capital'!O$1,'Cost Breakdowns'!$B$79:$B$96)</f>
        <v/>
      </c>
      <c r="P2" s="77">
        <f>SUMIF('Cost Breakdowns'!$D$79:$D$96,'SoESCaOMCbIC-capital'!P$1,'Cost Breakdowns'!$B$79:$B$96)</f>
        <v/>
      </c>
      <c r="Q2" s="77">
        <f>SUMIF('Cost Breakdowns'!$D$79:$D$96,'SoESCaOMCbIC-capital'!Q$1,'Cost Breakdowns'!$B$79:$B$96)</f>
        <v/>
      </c>
      <c r="R2" s="77">
        <f>SUMIF('Cost Breakdowns'!$D$79:$D$96,'SoESCaOMCbIC-capital'!R$1,'Cost Breakdowns'!$B$79:$B$96)</f>
        <v/>
      </c>
      <c r="S2" s="77">
        <f>SUMIF('Cost Breakdowns'!$D$79:$D$96,'SoESCaOMCbIC-capital'!S$1,'Cost Breakdowns'!$B$79:$B$96)</f>
        <v/>
      </c>
      <c r="T2" s="77">
        <f>SUMIF('Cost Breakdowns'!$D$79:$D$96,'SoESCaOMCbIC-capital'!T$1,'Cost Breakdowns'!$B$79:$B$96)</f>
        <v/>
      </c>
      <c r="U2" s="77">
        <f>SUMIF('Cost Breakdowns'!$D$79:$D$96,'SoESCaOMCbIC-capital'!U$1,'Cost Breakdowns'!$B$79:$B$96)</f>
        <v/>
      </c>
      <c r="V2" s="77">
        <f>SUMIF('Cost Breakdowns'!$D$79:$D$96,'SoESCaOMCbIC-capital'!V$1,'Cost Breakdowns'!$B$79:$B$96)</f>
        <v/>
      </c>
      <c r="W2" s="77">
        <f>SUMIF('Cost Breakdowns'!$D$79:$D$96,'SoESCaOMCbIC-capital'!W$1,'Cost Breakdowns'!$B$79:$B$96)</f>
        <v/>
      </c>
      <c r="X2" s="77">
        <f>SUMIF('Cost Breakdowns'!$D$79:$D$96,'SoESCaOMCbIC-capital'!X$1,'Cost Breakdowns'!$B$79:$B$96)</f>
        <v/>
      </c>
      <c r="Y2" s="77">
        <f>SUMIF('Cost Breakdowns'!$D$79:$D$96,'SoESCaOMCbIC-capital'!Y$1,'Cost Breakdowns'!$B$79:$B$96)</f>
        <v/>
      </c>
      <c r="Z2" s="77">
        <f>SUMIF('Cost Breakdowns'!$D$79:$D$96,'SoESCaOMCbIC-capital'!Z$1,'Cost Breakdowns'!$B$79:$B$96)</f>
        <v/>
      </c>
      <c r="AA2" s="77">
        <f>SUMIF('Cost Breakdowns'!$D$79:$D$96,'SoESCaOMCbIC-capital'!AA$1,'Cost Breakdowns'!$B$79:$B$96)</f>
        <v/>
      </c>
      <c r="AB2" s="77">
        <f>SUMIF('Cost Breakdowns'!$D$79:$D$96,'SoESCaOMCbIC-capital'!AB$1,'Cost Breakdowns'!$B$79:$B$96)</f>
        <v/>
      </c>
      <c r="AC2" s="77">
        <f>SUMIF('Cost Breakdowns'!$D$79:$D$96,'SoESCaOMCbIC-capital'!AC$1,'Cost Breakdowns'!$B$79:$B$96)</f>
        <v/>
      </c>
      <c r="AD2" s="77">
        <f>SUMIF('Cost Breakdowns'!$D$79:$D$96,'SoESCaOMCbIC-capital'!AD$1,'Cost Breakdowns'!$B$79:$B$96)</f>
        <v/>
      </c>
      <c r="AE2" s="77">
        <f>SUMIF('Cost Breakdowns'!$D$79:$D$96,'SoESCaOMCbIC-capital'!AE$1,'Cost Breakdowns'!$B$79:$B$96)</f>
        <v/>
      </c>
      <c r="AF2" s="77">
        <f>SUMIF('Cost Breakdowns'!$D$79:$D$96,'SoESCaOMCbIC-capital'!AF$1,'Cost Breakdowns'!$B$79:$B$96)</f>
        <v/>
      </c>
      <c r="AG2" s="77">
        <f>SUMIF('Cost Breakdowns'!$D$79:$D$96,'SoESCaOMCbIC-capital'!AG$1,'Cost Breakdowns'!$B$79:$B$96)</f>
        <v/>
      </c>
      <c r="AH2" s="77">
        <f>SUMIF('Cost Breakdowns'!$D$79:$D$96,'SoESCaOMCbIC-capital'!AH$1,'Cost Breakdowns'!$B$79:$B$96)</f>
        <v/>
      </c>
      <c r="AI2" s="77">
        <f>SUMIF('Cost Breakdowns'!$D$79:$D$96,'SoESCaOMCbIC-capital'!AI$1,'Cost Breakdowns'!$B$79:$B$96)</f>
        <v/>
      </c>
      <c r="AJ2" s="77">
        <f>SUMIF('Cost Breakdowns'!$D$79:$D$96,'SoESCaOMCbIC-capital'!AJ$1,'Cost Breakdowns'!$B$79:$B$96)</f>
        <v/>
      </c>
      <c r="AK2" s="77">
        <f>SUMIF('Cost Breakdowns'!$D$79:$D$96,'SoESCaOMCbIC-capital'!AK$1,'Cost Breakdowns'!$B$79:$B$96)</f>
        <v/>
      </c>
      <c r="AL2" s="77">
        <f>SUMIF('Cost Breakdowns'!$D$79:$D$96,'SoESCaOMCbIC-capital'!AL$1,'Cost Breakdowns'!$B$79:$B$96)</f>
        <v/>
      </c>
      <c r="AM2" s="77">
        <f>SUMIF('Cost Breakdowns'!$D$79:$D$96,'SoESCaOMCbIC-capital'!AM$1,'Cost Breakdowns'!$B$79:$B$96)</f>
        <v/>
      </c>
      <c r="AN2" s="77">
        <f>SUMIF('Cost Breakdowns'!$D$79:$D$96,'SoESCaOMCbIC-capital'!AN$1,'Cost Breakdowns'!$B$79:$B$96)</f>
        <v/>
      </c>
      <c r="AO2" s="77">
        <f>SUMIF('Cost Breakdowns'!$D$79:$D$96,'SoESCaOMCbIC-capital'!AO$1,'Cost Breakdowns'!$B$79:$B$96)</f>
        <v/>
      </c>
      <c r="AP2" s="77">
        <f>SUMIF('Cost Breakdowns'!$D$79:$D$96,'SoESCaOMCbIC-capital'!AP$1,'Cost Breakdowns'!$B$79:$B$96)</f>
        <v/>
      </c>
      <c r="AQ2" s="77">
        <f>SUMIF('Cost Breakdowns'!$D$79:$D$96,'SoESCaOMCbIC-capital'!AQ$1,'Cost Breakdowns'!$B$79:$B$96)</f>
        <v/>
      </c>
    </row>
    <row r="3">
      <c r="A3" t="inlineStr">
        <is>
          <t>natural gas steam turbine</t>
        </is>
      </c>
      <c r="B3" s="77">
        <f>SUMIF('Cost Breakdowns'!$D$114:$D$131,'SoESCaOMCbIC-capital'!B$1,'Cost Breakdowns'!$B$114:$B$131)</f>
        <v/>
      </c>
      <c r="C3" s="77">
        <f>SUMIF('Cost Breakdowns'!$D$114:$D$131,'SoESCaOMCbIC-capital'!C$1,'Cost Breakdowns'!$B$114:$B$131)</f>
        <v/>
      </c>
      <c r="D3" s="77">
        <f>SUMIF('Cost Breakdowns'!$D$114:$D$131,'SoESCaOMCbIC-capital'!D$1,'Cost Breakdowns'!$B$114:$B$131)</f>
        <v/>
      </c>
      <c r="E3" s="77">
        <f>SUMIF('Cost Breakdowns'!$D$114:$D$131,'SoESCaOMCbIC-capital'!E$1,'Cost Breakdowns'!$B$114:$B$131)</f>
        <v/>
      </c>
      <c r="F3" s="77">
        <f>SUMIF('Cost Breakdowns'!$D$114:$D$131,'SoESCaOMCbIC-capital'!F$1,'Cost Breakdowns'!$B$114:$B$131)</f>
        <v/>
      </c>
      <c r="G3" s="77">
        <f>SUMIF('Cost Breakdowns'!$D$114:$D$131,'SoESCaOMCbIC-capital'!G$1,'Cost Breakdowns'!$B$114:$B$131)</f>
        <v/>
      </c>
      <c r="H3" s="77">
        <f>SUMIF('Cost Breakdowns'!$D$114:$D$131,'SoESCaOMCbIC-capital'!H$1,'Cost Breakdowns'!$B$114:$B$131)</f>
        <v/>
      </c>
      <c r="I3" s="77">
        <f>SUMIF('Cost Breakdowns'!$D$114:$D$131,'SoESCaOMCbIC-capital'!I$1,'Cost Breakdowns'!$B$114:$B$131)</f>
        <v/>
      </c>
      <c r="J3" s="77">
        <f>SUMIF('Cost Breakdowns'!$D$114:$D$131,'SoESCaOMCbIC-capital'!J$1,'Cost Breakdowns'!$B$114:$B$131)</f>
        <v/>
      </c>
      <c r="K3" s="77">
        <f>SUMIF('Cost Breakdowns'!$D$114:$D$131,'SoESCaOMCbIC-capital'!K$1,'Cost Breakdowns'!$B$114:$B$131)</f>
        <v/>
      </c>
      <c r="L3" s="77">
        <f>SUMIF('Cost Breakdowns'!$D$114:$D$131,'SoESCaOMCbIC-capital'!L$1,'Cost Breakdowns'!$B$114:$B$131)</f>
        <v/>
      </c>
      <c r="M3" s="77">
        <f>SUMIF('Cost Breakdowns'!$D$114:$D$131,'SoESCaOMCbIC-capital'!M$1,'Cost Breakdowns'!$B$114:$B$131)</f>
        <v/>
      </c>
      <c r="N3" s="77">
        <f>SUMIF('Cost Breakdowns'!$D$114:$D$131,'SoESCaOMCbIC-capital'!N$1,'Cost Breakdowns'!$B$114:$B$131)</f>
        <v/>
      </c>
      <c r="O3" s="77">
        <f>SUMIF('Cost Breakdowns'!$D$114:$D$131,'SoESCaOMCbIC-capital'!O$1,'Cost Breakdowns'!$B$114:$B$131)</f>
        <v/>
      </c>
      <c r="P3" s="77">
        <f>SUMIF('Cost Breakdowns'!$D$114:$D$131,'SoESCaOMCbIC-capital'!P$1,'Cost Breakdowns'!$B$114:$B$131)</f>
        <v/>
      </c>
      <c r="Q3" s="77">
        <f>SUMIF('Cost Breakdowns'!$D$114:$D$131,'SoESCaOMCbIC-capital'!Q$1,'Cost Breakdowns'!$B$114:$B$131)</f>
        <v/>
      </c>
      <c r="R3" s="77">
        <f>SUMIF('Cost Breakdowns'!$D$114:$D$131,'SoESCaOMCbIC-capital'!R$1,'Cost Breakdowns'!$B$114:$B$131)</f>
        <v/>
      </c>
      <c r="S3" s="77">
        <f>SUMIF('Cost Breakdowns'!$D$114:$D$131,'SoESCaOMCbIC-capital'!S$1,'Cost Breakdowns'!$B$114:$B$131)</f>
        <v/>
      </c>
      <c r="T3" s="77">
        <f>SUMIF('Cost Breakdowns'!$D$114:$D$131,'SoESCaOMCbIC-capital'!T$1,'Cost Breakdowns'!$B$114:$B$131)</f>
        <v/>
      </c>
      <c r="U3" s="77">
        <f>SUMIF('Cost Breakdowns'!$D$114:$D$131,'SoESCaOMCbIC-capital'!U$1,'Cost Breakdowns'!$B$114:$B$131)</f>
        <v/>
      </c>
      <c r="V3" s="77">
        <f>SUMIF('Cost Breakdowns'!$D$114:$D$131,'SoESCaOMCbIC-capital'!V$1,'Cost Breakdowns'!$B$114:$B$131)</f>
        <v/>
      </c>
      <c r="W3" s="77">
        <f>SUMIF('Cost Breakdowns'!$D$114:$D$131,'SoESCaOMCbIC-capital'!W$1,'Cost Breakdowns'!$B$114:$B$131)</f>
        <v/>
      </c>
      <c r="X3" s="77">
        <f>SUMIF('Cost Breakdowns'!$D$114:$D$131,'SoESCaOMCbIC-capital'!X$1,'Cost Breakdowns'!$B$114:$B$131)</f>
        <v/>
      </c>
      <c r="Y3" s="77">
        <f>SUMIF('Cost Breakdowns'!$D$114:$D$131,'SoESCaOMCbIC-capital'!Y$1,'Cost Breakdowns'!$B$114:$B$131)</f>
        <v/>
      </c>
      <c r="Z3" s="77">
        <f>SUMIF('Cost Breakdowns'!$D$114:$D$131,'SoESCaOMCbIC-capital'!Z$1,'Cost Breakdowns'!$B$114:$B$131)</f>
        <v/>
      </c>
      <c r="AA3" s="77">
        <f>SUMIF('Cost Breakdowns'!$D$114:$D$131,'SoESCaOMCbIC-capital'!AA$1,'Cost Breakdowns'!$B$114:$B$131)</f>
        <v/>
      </c>
      <c r="AB3" s="77">
        <f>SUMIF('Cost Breakdowns'!$D$114:$D$131,'SoESCaOMCbIC-capital'!AB$1,'Cost Breakdowns'!$B$114:$B$131)</f>
        <v/>
      </c>
      <c r="AC3" s="77">
        <f>SUMIF('Cost Breakdowns'!$D$114:$D$131,'SoESCaOMCbIC-capital'!AC$1,'Cost Breakdowns'!$B$114:$B$131)</f>
        <v/>
      </c>
      <c r="AD3" s="77">
        <f>SUMIF('Cost Breakdowns'!$D$114:$D$131,'SoESCaOMCbIC-capital'!AD$1,'Cost Breakdowns'!$B$114:$B$131)</f>
        <v/>
      </c>
      <c r="AE3" s="77">
        <f>SUMIF('Cost Breakdowns'!$D$114:$D$131,'SoESCaOMCbIC-capital'!AE$1,'Cost Breakdowns'!$B$114:$B$131)</f>
        <v/>
      </c>
      <c r="AF3" s="77">
        <f>SUMIF('Cost Breakdowns'!$D$114:$D$131,'SoESCaOMCbIC-capital'!AF$1,'Cost Breakdowns'!$B$114:$B$131)</f>
        <v/>
      </c>
      <c r="AG3" s="77">
        <f>SUMIF('Cost Breakdowns'!$D$114:$D$131,'SoESCaOMCbIC-capital'!AG$1,'Cost Breakdowns'!$B$114:$B$131)</f>
        <v/>
      </c>
      <c r="AH3" s="77">
        <f>SUMIF('Cost Breakdowns'!$D$114:$D$131,'SoESCaOMCbIC-capital'!AH$1,'Cost Breakdowns'!$B$114:$B$131)</f>
        <v/>
      </c>
      <c r="AI3" s="77">
        <f>SUMIF('Cost Breakdowns'!$D$114:$D$131,'SoESCaOMCbIC-capital'!AI$1,'Cost Breakdowns'!$B$114:$B$131)</f>
        <v/>
      </c>
      <c r="AJ3" s="77">
        <f>SUMIF('Cost Breakdowns'!$D$114:$D$131,'SoESCaOMCbIC-capital'!AJ$1,'Cost Breakdowns'!$B$114:$B$131)</f>
        <v/>
      </c>
      <c r="AK3" s="77">
        <f>SUMIF('Cost Breakdowns'!$D$114:$D$131,'SoESCaOMCbIC-capital'!AK$1,'Cost Breakdowns'!$B$114:$B$131)</f>
        <v/>
      </c>
      <c r="AL3" s="77">
        <f>SUMIF('Cost Breakdowns'!$D$114:$D$131,'SoESCaOMCbIC-capital'!AL$1,'Cost Breakdowns'!$B$114:$B$131)</f>
        <v/>
      </c>
      <c r="AM3" s="77">
        <f>SUMIF('Cost Breakdowns'!$D$114:$D$131,'SoESCaOMCbIC-capital'!AM$1,'Cost Breakdowns'!$B$114:$B$131)</f>
        <v/>
      </c>
      <c r="AN3" s="77">
        <f>SUMIF('Cost Breakdowns'!$D$114:$D$131,'SoESCaOMCbIC-capital'!AN$1,'Cost Breakdowns'!$B$114:$B$131)</f>
        <v/>
      </c>
      <c r="AO3" s="77">
        <f>SUMIF('Cost Breakdowns'!$D$114:$D$131,'SoESCaOMCbIC-capital'!AO$1,'Cost Breakdowns'!$B$114:$B$131)</f>
        <v/>
      </c>
      <c r="AP3" s="77">
        <f>SUMIF('Cost Breakdowns'!$D$114:$D$131,'SoESCaOMCbIC-capital'!AP$1,'Cost Breakdowns'!$B$114:$B$131)</f>
        <v/>
      </c>
      <c r="AQ3" s="77">
        <f>SUMIF('Cost Breakdowns'!$D$114:$D$131,'SoESCaOMCbIC-capital'!AQ$1,'Cost Breakdowns'!$B$114:$B$131)</f>
        <v/>
      </c>
    </row>
    <row r="4">
      <c r="A4" t="inlineStr">
        <is>
          <t>natural gas combined cycle</t>
        </is>
      </c>
      <c r="B4" s="100">
        <f>B$3</f>
        <v/>
      </c>
      <c r="C4" s="100">
        <f>C$3</f>
        <v/>
      </c>
      <c r="D4" s="100">
        <f>D$3</f>
        <v/>
      </c>
      <c r="E4" s="100">
        <f>E$3</f>
        <v/>
      </c>
      <c r="F4" s="100">
        <f>F$3</f>
        <v/>
      </c>
      <c r="G4" s="100">
        <f>G$3</f>
        <v/>
      </c>
      <c r="H4" s="100">
        <f>H$3</f>
        <v/>
      </c>
      <c r="I4" s="100">
        <f>I$3</f>
        <v/>
      </c>
      <c r="J4" s="100">
        <f>J$3</f>
        <v/>
      </c>
      <c r="K4" s="100">
        <f>K$3</f>
        <v/>
      </c>
      <c r="L4" s="100">
        <f>L$3</f>
        <v/>
      </c>
      <c r="M4" s="100">
        <f>M$3</f>
        <v/>
      </c>
      <c r="N4" s="100">
        <f>N$3</f>
        <v/>
      </c>
      <c r="O4" s="100">
        <f>O$3</f>
        <v/>
      </c>
      <c r="P4" s="100">
        <f>P$3</f>
        <v/>
      </c>
      <c r="Q4" s="100">
        <f>Q$3</f>
        <v/>
      </c>
      <c r="R4" s="100">
        <f>R$3</f>
        <v/>
      </c>
      <c r="S4" s="100">
        <f>S$3</f>
        <v/>
      </c>
      <c r="T4" s="100">
        <f>T$3</f>
        <v/>
      </c>
      <c r="U4" s="100">
        <f>U$3</f>
        <v/>
      </c>
      <c r="V4" s="100">
        <f>V$3</f>
        <v/>
      </c>
      <c r="W4" s="100">
        <f>W$3</f>
        <v/>
      </c>
      <c r="X4" s="100">
        <f>X$3</f>
        <v/>
      </c>
      <c r="Y4" s="100">
        <f>Y$3</f>
        <v/>
      </c>
      <c r="Z4" s="100">
        <f>Z$3</f>
        <v/>
      </c>
      <c r="AA4" s="100">
        <f>AA$3</f>
        <v/>
      </c>
      <c r="AB4" s="100">
        <f>AB$3</f>
        <v/>
      </c>
      <c r="AC4" s="100">
        <f>AC$3</f>
        <v/>
      </c>
      <c r="AD4" s="100">
        <f>AD$3</f>
        <v/>
      </c>
      <c r="AE4" s="100">
        <f>AE$3</f>
        <v/>
      </c>
      <c r="AF4" s="100">
        <f>AF$3</f>
        <v/>
      </c>
      <c r="AG4" s="100">
        <f>AG$3</f>
        <v/>
      </c>
      <c r="AH4" s="100">
        <f>AH$3</f>
        <v/>
      </c>
      <c r="AI4" s="100">
        <f>AI$3</f>
        <v/>
      </c>
      <c r="AJ4" s="100">
        <f>AJ$3</f>
        <v/>
      </c>
      <c r="AK4" s="100">
        <f>AK$3</f>
        <v/>
      </c>
      <c r="AL4" s="100">
        <f>AL$3</f>
        <v/>
      </c>
      <c r="AM4" s="100">
        <f>AM$3</f>
        <v/>
      </c>
      <c r="AN4" s="100">
        <f>AN$3</f>
        <v/>
      </c>
      <c r="AO4" s="100">
        <f>AO$3</f>
        <v/>
      </c>
      <c r="AP4" s="100">
        <f>AP$3</f>
        <v/>
      </c>
      <c r="AQ4" s="100">
        <f>AQ$3</f>
        <v/>
      </c>
    </row>
    <row r="5">
      <c r="A5" t="inlineStr">
        <is>
          <t>nuclear</t>
        </is>
      </c>
      <c r="B5" s="77">
        <f>SUMIF('Cost Breakdowns'!$D$149:$D$157,'SoESCaOMCbIC-capital'!B$1,'Cost Breakdowns'!$B$149:$B$157)</f>
        <v/>
      </c>
      <c r="C5" s="77">
        <f>SUMIF('Cost Breakdowns'!$D$149:$D$157,'SoESCaOMCbIC-capital'!C$1,'Cost Breakdowns'!$B$149:$B$157)</f>
        <v/>
      </c>
      <c r="D5" s="77">
        <f>SUMIF('Cost Breakdowns'!$D$149:$D$157,'SoESCaOMCbIC-capital'!D$1,'Cost Breakdowns'!$B$149:$B$157)</f>
        <v/>
      </c>
      <c r="E5" s="77">
        <f>SUMIF('Cost Breakdowns'!$D$149:$D$157,'SoESCaOMCbIC-capital'!E$1,'Cost Breakdowns'!$B$149:$B$157)</f>
        <v/>
      </c>
      <c r="F5" s="77">
        <f>SUMIF('Cost Breakdowns'!$D$149:$D$157,'SoESCaOMCbIC-capital'!F$1,'Cost Breakdowns'!$B$149:$B$157)</f>
        <v/>
      </c>
      <c r="G5" s="77">
        <f>SUMIF('Cost Breakdowns'!$D$149:$D$157,'SoESCaOMCbIC-capital'!G$1,'Cost Breakdowns'!$B$149:$B$157)</f>
        <v/>
      </c>
      <c r="H5" s="77">
        <f>SUMIF('Cost Breakdowns'!$D$149:$D$157,'SoESCaOMCbIC-capital'!H$1,'Cost Breakdowns'!$B$149:$B$157)</f>
        <v/>
      </c>
      <c r="I5" s="77">
        <f>SUMIF('Cost Breakdowns'!$D$149:$D$157,'SoESCaOMCbIC-capital'!I$1,'Cost Breakdowns'!$B$149:$B$157)</f>
        <v/>
      </c>
      <c r="J5" s="77">
        <f>SUMIF('Cost Breakdowns'!$D$149:$D$157,'SoESCaOMCbIC-capital'!J$1,'Cost Breakdowns'!$B$149:$B$157)</f>
        <v/>
      </c>
      <c r="K5" s="77">
        <f>SUMIF('Cost Breakdowns'!$D$149:$D$157,'SoESCaOMCbIC-capital'!K$1,'Cost Breakdowns'!$B$149:$B$157)</f>
        <v/>
      </c>
      <c r="L5" s="77">
        <f>SUMIF('Cost Breakdowns'!$D$149:$D$157,'SoESCaOMCbIC-capital'!L$1,'Cost Breakdowns'!$B$149:$B$157)</f>
        <v/>
      </c>
      <c r="M5" s="77">
        <f>SUMIF('Cost Breakdowns'!$D$149:$D$157,'SoESCaOMCbIC-capital'!M$1,'Cost Breakdowns'!$B$149:$B$157)</f>
        <v/>
      </c>
      <c r="N5" s="77">
        <f>SUMIF('Cost Breakdowns'!$D$149:$D$157,'SoESCaOMCbIC-capital'!N$1,'Cost Breakdowns'!$B$149:$B$157)</f>
        <v/>
      </c>
      <c r="O5" s="77">
        <f>SUMIF('Cost Breakdowns'!$D$149:$D$157,'SoESCaOMCbIC-capital'!O$1,'Cost Breakdowns'!$B$149:$B$157)</f>
        <v/>
      </c>
      <c r="P5" s="77">
        <f>SUMIF('Cost Breakdowns'!$D$149:$D$157,'SoESCaOMCbIC-capital'!P$1,'Cost Breakdowns'!$B$149:$B$157)</f>
        <v/>
      </c>
      <c r="Q5" s="77">
        <f>SUMIF('Cost Breakdowns'!$D$149:$D$157,'SoESCaOMCbIC-capital'!Q$1,'Cost Breakdowns'!$B$149:$B$157)</f>
        <v/>
      </c>
      <c r="R5" s="77">
        <f>SUMIF('Cost Breakdowns'!$D$149:$D$157,'SoESCaOMCbIC-capital'!R$1,'Cost Breakdowns'!$B$149:$B$157)</f>
        <v/>
      </c>
      <c r="S5" s="77">
        <f>SUMIF('Cost Breakdowns'!$D$149:$D$157,'SoESCaOMCbIC-capital'!S$1,'Cost Breakdowns'!$B$149:$B$157)</f>
        <v/>
      </c>
      <c r="T5" s="77">
        <f>SUMIF('Cost Breakdowns'!$D$149:$D$157,'SoESCaOMCbIC-capital'!T$1,'Cost Breakdowns'!$B$149:$B$157)</f>
        <v/>
      </c>
      <c r="U5" s="77">
        <f>SUMIF('Cost Breakdowns'!$D$149:$D$157,'SoESCaOMCbIC-capital'!U$1,'Cost Breakdowns'!$B$149:$B$157)</f>
        <v/>
      </c>
      <c r="V5" s="77">
        <f>SUMIF('Cost Breakdowns'!$D$149:$D$157,'SoESCaOMCbIC-capital'!V$1,'Cost Breakdowns'!$B$149:$B$157)</f>
        <v/>
      </c>
      <c r="W5" s="77">
        <f>SUMIF('Cost Breakdowns'!$D$149:$D$157,'SoESCaOMCbIC-capital'!W$1,'Cost Breakdowns'!$B$149:$B$157)</f>
        <v/>
      </c>
      <c r="X5" s="77">
        <f>SUMIF('Cost Breakdowns'!$D$149:$D$157,'SoESCaOMCbIC-capital'!X$1,'Cost Breakdowns'!$B$149:$B$157)</f>
        <v/>
      </c>
      <c r="Y5" s="77">
        <f>SUMIF('Cost Breakdowns'!$D$149:$D$157,'SoESCaOMCbIC-capital'!Y$1,'Cost Breakdowns'!$B$149:$B$157)</f>
        <v/>
      </c>
      <c r="Z5" s="77">
        <f>SUMIF('Cost Breakdowns'!$D$149:$D$157,'SoESCaOMCbIC-capital'!Z$1,'Cost Breakdowns'!$B$149:$B$157)</f>
        <v/>
      </c>
      <c r="AA5" s="77">
        <f>SUMIF('Cost Breakdowns'!$D$149:$D$157,'SoESCaOMCbIC-capital'!AA$1,'Cost Breakdowns'!$B$149:$B$157)</f>
        <v/>
      </c>
      <c r="AB5" s="77">
        <f>SUMIF('Cost Breakdowns'!$D$149:$D$157,'SoESCaOMCbIC-capital'!AB$1,'Cost Breakdowns'!$B$149:$B$157)</f>
        <v/>
      </c>
      <c r="AC5" s="77">
        <f>SUMIF('Cost Breakdowns'!$D$149:$D$157,'SoESCaOMCbIC-capital'!AC$1,'Cost Breakdowns'!$B$149:$B$157)</f>
        <v/>
      </c>
      <c r="AD5" s="77">
        <f>SUMIF('Cost Breakdowns'!$D$149:$D$157,'SoESCaOMCbIC-capital'!AD$1,'Cost Breakdowns'!$B$149:$B$157)</f>
        <v/>
      </c>
      <c r="AE5" s="77">
        <f>SUMIF('Cost Breakdowns'!$D$149:$D$157,'SoESCaOMCbIC-capital'!AE$1,'Cost Breakdowns'!$B$149:$B$157)</f>
        <v/>
      </c>
      <c r="AF5" s="77">
        <f>SUMIF('Cost Breakdowns'!$D$149:$D$157,'SoESCaOMCbIC-capital'!AF$1,'Cost Breakdowns'!$B$149:$B$157)</f>
        <v/>
      </c>
      <c r="AG5" s="77">
        <f>SUMIF('Cost Breakdowns'!$D$149:$D$157,'SoESCaOMCbIC-capital'!AG$1,'Cost Breakdowns'!$B$149:$B$157)</f>
        <v/>
      </c>
      <c r="AH5" s="77">
        <f>SUMIF('Cost Breakdowns'!$D$149:$D$157,'SoESCaOMCbIC-capital'!AH$1,'Cost Breakdowns'!$B$149:$B$157)</f>
        <v/>
      </c>
      <c r="AI5" s="77">
        <f>SUMIF('Cost Breakdowns'!$D$149:$D$157,'SoESCaOMCbIC-capital'!AI$1,'Cost Breakdowns'!$B$149:$B$157)</f>
        <v/>
      </c>
      <c r="AJ5" s="77">
        <f>SUMIF('Cost Breakdowns'!$D$149:$D$157,'SoESCaOMCbIC-capital'!AJ$1,'Cost Breakdowns'!$B$149:$B$157)</f>
        <v/>
      </c>
      <c r="AK5" s="77">
        <f>SUMIF('Cost Breakdowns'!$D$149:$D$157,'SoESCaOMCbIC-capital'!AK$1,'Cost Breakdowns'!$B$149:$B$157)</f>
        <v/>
      </c>
      <c r="AL5" s="77">
        <f>SUMIF('Cost Breakdowns'!$D$149:$D$157,'SoESCaOMCbIC-capital'!AL$1,'Cost Breakdowns'!$B$149:$B$157)</f>
        <v/>
      </c>
      <c r="AM5" s="77">
        <f>SUMIF('Cost Breakdowns'!$D$149:$D$157,'SoESCaOMCbIC-capital'!AM$1,'Cost Breakdowns'!$B$149:$B$157)</f>
        <v/>
      </c>
      <c r="AN5" s="77">
        <f>SUMIF('Cost Breakdowns'!$D$149:$D$157,'SoESCaOMCbIC-capital'!AN$1,'Cost Breakdowns'!$B$149:$B$157)</f>
        <v/>
      </c>
      <c r="AO5" s="77">
        <f>SUMIF('Cost Breakdowns'!$D$149:$D$157,'SoESCaOMCbIC-capital'!AO$1,'Cost Breakdowns'!$B$149:$B$157)</f>
        <v/>
      </c>
      <c r="AP5" s="77">
        <f>SUMIF('Cost Breakdowns'!$D$149:$D$157,'SoESCaOMCbIC-capital'!AP$1,'Cost Breakdowns'!$B$149:$B$157)</f>
        <v/>
      </c>
      <c r="AQ5" s="77">
        <f>SUMIF('Cost Breakdowns'!$D$149:$D$157,'SoESCaOMCbIC-capital'!AQ$1,'Cost Breakdowns'!$B$149:$B$157)</f>
        <v/>
      </c>
    </row>
    <row r="6">
      <c r="A6" t="inlineStr">
        <is>
          <t>hydro</t>
        </is>
      </c>
      <c r="B6" s="77">
        <f>SUMIF('Cost Breakdowns'!$D$168:$D$198,'SoESCaOMCbIC-capital'!B$1,'Cost Breakdowns'!$B$168:$B$198)</f>
        <v/>
      </c>
      <c r="C6" s="77">
        <f>SUMIF('Cost Breakdowns'!$D$168:$D$198,'SoESCaOMCbIC-capital'!C$1,'Cost Breakdowns'!$B$168:$B$198)</f>
        <v/>
      </c>
      <c r="D6" s="77">
        <f>SUMIF('Cost Breakdowns'!$D$168:$D$198,'SoESCaOMCbIC-capital'!D$1,'Cost Breakdowns'!$B$168:$B$198)</f>
        <v/>
      </c>
      <c r="E6" s="77">
        <f>SUMIF('Cost Breakdowns'!$D$168:$D$198,'SoESCaOMCbIC-capital'!E$1,'Cost Breakdowns'!$B$168:$B$198)</f>
        <v/>
      </c>
      <c r="F6" s="77">
        <f>SUMIF('Cost Breakdowns'!$D$168:$D$198,'SoESCaOMCbIC-capital'!F$1,'Cost Breakdowns'!$B$168:$B$198)</f>
        <v/>
      </c>
      <c r="G6" s="77">
        <f>SUMIF('Cost Breakdowns'!$D$168:$D$198,'SoESCaOMCbIC-capital'!G$1,'Cost Breakdowns'!$B$168:$B$198)</f>
        <v/>
      </c>
      <c r="H6" s="77">
        <f>SUMIF('Cost Breakdowns'!$D$168:$D$198,'SoESCaOMCbIC-capital'!H$1,'Cost Breakdowns'!$B$168:$B$198)</f>
        <v/>
      </c>
      <c r="I6" s="77">
        <f>SUMIF('Cost Breakdowns'!$D$168:$D$198,'SoESCaOMCbIC-capital'!I$1,'Cost Breakdowns'!$B$168:$B$198)</f>
        <v/>
      </c>
      <c r="J6" s="77">
        <f>SUMIF('Cost Breakdowns'!$D$168:$D$198,'SoESCaOMCbIC-capital'!J$1,'Cost Breakdowns'!$B$168:$B$198)</f>
        <v/>
      </c>
      <c r="K6" s="77">
        <f>SUMIF('Cost Breakdowns'!$D$168:$D$198,'SoESCaOMCbIC-capital'!K$1,'Cost Breakdowns'!$B$168:$B$198)</f>
        <v/>
      </c>
      <c r="L6" s="77">
        <f>SUMIF('Cost Breakdowns'!$D$168:$D$198,'SoESCaOMCbIC-capital'!L$1,'Cost Breakdowns'!$B$168:$B$198)</f>
        <v/>
      </c>
      <c r="M6" s="77">
        <f>SUMIF('Cost Breakdowns'!$D$168:$D$198,'SoESCaOMCbIC-capital'!M$1,'Cost Breakdowns'!$B$168:$B$198)</f>
        <v/>
      </c>
      <c r="N6" s="77">
        <f>SUMIF('Cost Breakdowns'!$D$168:$D$198,'SoESCaOMCbIC-capital'!N$1,'Cost Breakdowns'!$B$168:$B$198)</f>
        <v/>
      </c>
      <c r="O6" s="77">
        <f>SUMIF('Cost Breakdowns'!$D$168:$D$198,'SoESCaOMCbIC-capital'!O$1,'Cost Breakdowns'!$B$168:$B$198)</f>
        <v/>
      </c>
      <c r="P6" s="77">
        <f>SUMIF('Cost Breakdowns'!$D$168:$D$198,'SoESCaOMCbIC-capital'!P$1,'Cost Breakdowns'!$B$168:$B$198)</f>
        <v/>
      </c>
      <c r="Q6" s="77">
        <f>SUMIF('Cost Breakdowns'!$D$168:$D$198,'SoESCaOMCbIC-capital'!Q$1,'Cost Breakdowns'!$B$168:$B$198)</f>
        <v/>
      </c>
      <c r="R6" s="77">
        <f>SUMIF('Cost Breakdowns'!$D$168:$D$198,'SoESCaOMCbIC-capital'!R$1,'Cost Breakdowns'!$B$168:$B$198)</f>
        <v/>
      </c>
      <c r="S6" s="77">
        <f>SUMIF('Cost Breakdowns'!$D$168:$D$198,'SoESCaOMCbIC-capital'!S$1,'Cost Breakdowns'!$B$168:$B$198)</f>
        <v/>
      </c>
      <c r="T6" s="77">
        <f>SUMIF('Cost Breakdowns'!$D$168:$D$198,'SoESCaOMCbIC-capital'!T$1,'Cost Breakdowns'!$B$168:$B$198)</f>
        <v/>
      </c>
      <c r="U6" s="77">
        <f>SUMIF('Cost Breakdowns'!$D$168:$D$198,'SoESCaOMCbIC-capital'!U$1,'Cost Breakdowns'!$B$168:$B$198)</f>
        <v/>
      </c>
      <c r="V6" s="77">
        <f>SUMIF('Cost Breakdowns'!$D$168:$D$198,'SoESCaOMCbIC-capital'!V$1,'Cost Breakdowns'!$B$168:$B$198)</f>
        <v/>
      </c>
      <c r="W6" s="77">
        <f>SUMIF('Cost Breakdowns'!$D$168:$D$198,'SoESCaOMCbIC-capital'!W$1,'Cost Breakdowns'!$B$168:$B$198)</f>
        <v/>
      </c>
      <c r="X6" s="77">
        <f>SUMIF('Cost Breakdowns'!$D$168:$D$198,'SoESCaOMCbIC-capital'!X$1,'Cost Breakdowns'!$B$168:$B$198)</f>
        <v/>
      </c>
      <c r="Y6" s="77">
        <f>SUMIF('Cost Breakdowns'!$D$168:$D$198,'SoESCaOMCbIC-capital'!Y$1,'Cost Breakdowns'!$B$168:$B$198)</f>
        <v/>
      </c>
      <c r="Z6" s="77">
        <f>SUMIF('Cost Breakdowns'!$D$168:$D$198,'SoESCaOMCbIC-capital'!Z$1,'Cost Breakdowns'!$B$168:$B$198)</f>
        <v/>
      </c>
      <c r="AA6" s="77">
        <f>SUMIF('Cost Breakdowns'!$D$168:$D$198,'SoESCaOMCbIC-capital'!AA$1,'Cost Breakdowns'!$B$168:$B$198)</f>
        <v/>
      </c>
      <c r="AB6" s="77">
        <f>SUMIF('Cost Breakdowns'!$D$168:$D$198,'SoESCaOMCbIC-capital'!AB$1,'Cost Breakdowns'!$B$168:$B$198)</f>
        <v/>
      </c>
      <c r="AC6" s="77">
        <f>SUMIF('Cost Breakdowns'!$D$168:$D$198,'SoESCaOMCbIC-capital'!AC$1,'Cost Breakdowns'!$B$168:$B$198)</f>
        <v/>
      </c>
      <c r="AD6" s="77">
        <f>SUMIF('Cost Breakdowns'!$D$168:$D$198,'SoESCaOMCbIC-capital'!AD$1,'Cost Breakdowns'!$B$168:$B$198)</f>
        <v/>
      </c>
      <c r="AE6" s="77">
        <f>SUMIF('Cost Breakdowns'!$D$168:$D$198,'SoESCaOMCbIC-capital'!AE$1,'Cost Breakdowns'!$B$168:$B$198)</f>
        <v/>
      </c>
      <c r="AF6" s="77">
        <f>SUMIF('Cost Breakdowns'!$D$168:$D$198,'SoESCaOMCbIC-capital'!AF$1,'Cost Breakdowns'!$B$168:$B$198)</f>
        <v/>
      </c>
      <c r="AG6" s="77">
        <f>SUMIF('Cost Breakdowns'!$D$168:$D$198,'SoESCaOMCbIC-capital'!AG$1,'Cost Breakdowns'!$B$168:$B$198)</f>
        <v/>
      </c>
      <c r="AH6" s="77">
        <f>SUMIF('Cost Breakdowns'!$D$168:$D$198,'SoESCaOMCbIC-capital'!AH$1,'Cost Breakdowns'!$B$168:$B$198)</f>
        <v/>
      </c>
      <c r="AI6" s="77">
        <f>SUMIF('Cost Breakdowns'!$D$168:$D$198,'SoESCaOMCbIC-capital'!AI$1,'Cost Breakdowns'!$B$168:$B$198)</f>
        <v/>
      </c>
      <c r="AJ6" s="77">
        <f>SUMIF('Cost Breakdowns'!$D$168:$D$198,'SoESCaOMCbIC-capital'!AJ$1,'Cost Breakdowns'!$B$168:$B$198)</f>
        <v/>
      </c>
      <c r="AK6" s="77">
        <f>SUMIF('Cost Breakdowns'!$D$168:$D$198,'SoESCaOMCbIC-capital'!AK$1,'Cost Breakdowns'!$B$168:$B$198)</f>
        <v/>
      </c>
      <c r="AL6" s="77">
        <f>SUMIF('Cost Breakdowns'!$D$168:$D$198,'SoESCaOMCbIC-capital'!AL$1,'Cost Breakdowns'!$B$168:$B$198)</f>
        <v/>
      </c>
      <c r="AM6" s="77">
        <f>SUMIF('Cost Breakdowns'!$D$168:$D$198,'SoESCaOMCbIC-capital'!AM$1,'Cost Breakdowns'!$B$168:$B$198)</f>
        <v/>
      </c>
      <c r="AN6" s="77">
        <f>SUMIF('Cost Breakdowns'!$D$168:$D$198,'SoESCaOMCbIC-capital'!AN$1,'Cost Breakdowns'!$B$168:$B$198)</f>
        <v/>
      </c>
      <c r="AO6" s="77">
        <f>SUMIF('Cost Breakdowns'!$D$168:$D$198,'SoESCaOMCbIC-capital'!AO$1,'Cost Breakdowns'!$B$168:$B$198)</f>
        <v/>
      </c>
      <c r="AP6" s="77">
        <f>SUMIF('Cost Breakdowns'!$D$168:$D$198,'SoESCaOMCbIC-capital'!AP$1,'Cost Breakdowns'!$B$168:$B$198)</f>
        <v/>
      </c>
      <c r="AQ6" s="77">
        <f>SUMIF('Cost Breakdowns'!$D$168:$D$198,'SoESCaOMCbIC-capital'!AQ$1,'Cost Breakdowns'!$B$168:$B$198)</f>
        <v/>
      </c>
    </row>
    <row r="7">
      <c r="A7" t="inlineStr">
        <is>
          <t>wind</t>
        </is>
      </c>
      <c r="B7" s="77">
        <f>SUMIF('Cost Breakdowns'!$D$22:$D$52,'SoESCaOMCbIC-capital'!B$1,'Cost Breakdowns'!$B$22:$B$52)</f>
        <v/>
      </c>
      <c r="C7" s="77">
        <f>SUMIF('Cost Breakdowns'!$D$22:$D$52,'SoESCaOMCbIC-capital'!C$1,'Cost Breakdowns'!$B$22:$B$52)</f>
        <v/>
      </c>
      <c r="D7" s="77">
        <f>SUMIF('Cost Breakdowns'!$D$22:$D$52,'SoESCaOMCbIC-capital'!D$1,'Cost Breakdowns'!$B$22:$B$52)</f>
        <v/>
      </c>
      <c r="E7" s="77">
        <f>SUMIF('Cost Breakdowns'!$D$22:$D$52,'SoESCaOMCbIC-capital'!E$1,'Cost Breakdowns'!$B$22:$B$52)</f>
        <v/>
      </c>
      <c r="F7" s="77">
        <f>SUMIF('Cost Breakdowns'!$D$22:$D$52,'SoESCaOMCbIC-capital'!F$1,'Cost Breakdowns'!$B$22:$B$52)</f>
        <v/>
      </c>
      <c r="G7" s="77">
        <f>SUMIF('Cost Breakdowns'!$D$22:$D$52,'SoESCaOMCbIC-capital'!G$1,'Cost Breakdowns'!$B$22:$B$52)</f>
        <v/>
      </c>
      <c r="H7" s="77">
        <f>SUMIF('Cost Breakdowns'!$D$22:$D$52,'SoESCaOMCbIC-capital'!H$1,'Cost Breakdowns'!$B$22:$B$52)</f>
        <v/>
      </c>
      <c r="I7" s="77">
        <f>SUMIF('Cost Breakdowns'!$D$22:$D$52,'SoESCaOMCbIC-capital'!I$1,'Cost Breakdowns'!$B$22:$B$52)</f>
        <v/>
      </c>
      <c r="J7" s="77">
        <f>SUMIF('Cost Breakdowns'!$D$22:$D$52,'SoESCaOMCbIC-capital'!J$1,'Cost Breakdowns'!$B$22:$B$52)</f>
        <v/>
      </c>
      <c r="K7" s="77">
        <f>SUMIF('Cost Breakdowns'!$D$22:$D$52,'SoESCaOMCbIC-capital'!K$1,'Cost Breakdowns'!$B$22:$B$52)</f>
        <v/>
      </c>
      <c r="L7" s="77">
        <f>SUMIF('Cost Breakdowns'!$D$22:$D$52,'SoESCaOMCbIC-capital'!L$1,'Cost Breakdowns'!$B$22:$B$52)</f>
        <v/>
      </c>
      <c r="M7" s="77">
        <f>SUMIF('Cost Breakdowns'!$D$22:$D$52,'SoESCaOMCbIC-capital'!M$1,'Cost Breakdowns'!$B$22:$B$52)</f>
        <v/>
      </c>
      <c r="N7" s="77">
        <f>SUMIF('Cost Breakdowns'!$D$22:$D$52,'SoESCaOMCbIC-capital'!N$1,'Cost Breakdowns'!$B$22:$B$52)</f>
        <v/>
      </c>
      <c r="O7" s="77">
        <f>SUMIF('Cost Breakdowns'!$D$22:$D$52,'SoESCaOMCbIC-capital'!O$1,'Cost Breakdowns'!$B$22:$B$52)</f>
        <v/>
      </c>
      <c r="P7" s="77">
        <f>SUMIF('Cost Breakdowns'!$D$22:$D$52,'SoESCaOMCbIC-capital'!P$1,'Cost Breakdowns'!$B$22:$B$52)</f>
        <v/>
      </c>
      <c r="Q7" s="77">
        <f>SUMIF('Cost Breakdowns'!$D$22:$D$52,'SoESCaOMCbIC-capital'!Q$1,'Cost Breakdowns'!$B$22:$B$52)</f>
        <v/>
      </c>
      <c r="R7" s="77">
        <f>SUMIF('Cost Breakdowns'!$D$22:$D$52,'SoESCaOMCbIC-capital'!R$1,'Cost Breakdowns'!$B$22:$B$52)</f>
        <v/>
      </c>
      <c r="S7" s="77">
        <f>SUMIF('Cost Breakdowns'!$D$22:$D$52,'SoESCaOMCbIC-capital'!S$1,'Cost Breakdowns'!$B$22:$B$52)</f>
        <v/>
      </c>
      <c r="T7" s="77">
        <f>SUMIF('Cost Breakdowns'!$D$22:$D$52,'SoESCaOMCbIC-capital'!T$1,'Cost Breakdowns'!$B$22:$B$52)</f>
        <v/>
      </c>
      <c r="U7" s="77">
        <f>SUMIF('Cost Breakdowns'!$D$22:$D$52,'SoESCaOMCbIC-capital'!U$1,'Cost Breakdowns'!$B$22:$B$52)</f>
        <v/>
      </c>
      <c r="V7" s="77">
        <f>SUMIF('Cost Breakdowns'!$D$22:$D$52,'SoESCaOMCbIC-capital'!V$1,'Cost Breakdowns'!$B$22:$B$52)</f>
        <v/>
      </c>
      <c r="W7" s="77">
        <f>SUMIF('Cost Breakdowns'!$D$22:$D$52,'SoESCaOMCbIC-capital'!W$1,'Cost Breakdowns'!$B$22:$B$52)</f>
        <v/>
      </c>
      <c r="X7" s="77">
        <f>SUMIF('Cost Breakdowns'!$D$22:$D$52,'SoESCaOMCbIC-capital'!X$1,'Cost Breakdowns'!$B$22:$B$52)</f>
        <v/>
      </c>
      <c r="Y7" s="77">
        <f>SUMIF('Cost Breakdowns'!$D$22:$D$52,'SoESCaOMCbIC-capital'!Y$1,'Cost Breakdowns'!$B$22:$B$52)</f>
        <v/>
      </c>
      <c r="Z7" s="77">
        <f>SUMIF('Cost Breakdowns'!$D$22:$D$52,'SoESCaOMCbIC-capital'!Z$1,'Cost Breakdowns'!$B$22:$B$52)</f>
        <v/>
      </c>
      <c r="AA7" s="77">
        <f>SUMIF('Cost Breakdowns'!$D$22:$D$52,'SoESCaOMCbIC-capital'!AA$1,'Cost Breakdowns'!$B$22:$B$52)</f>
        <v/>
      </c>
      <c r="AB7" s="77">
        <f>SUMIF('Cost Breakdowns'!$D$22:$D$52,'SoESCaOMCbIC-capital'!AB$1,'Cost Breakdowns'!$B$22:$B$52)</f>
        <v/>
      </c>
      <c r="AC7" s="77">
        <f>SUMIF('Cost Breakdowns'!$D$22:$D$52,'SoESCaOMCbIC-capital'!AC$1,'Cost Breakdowns'!$B$22:$B$52)</f>
        <v/>
      </c>
      <c r="AD7" s="77">
        <f>SUMIF('Cost Breakdowns'!$D$22:$D$52,'SoESCaOMCbIC-capital'!AD$1,'Cost Breakdowns'!$B$22:$B$52)</f>
        <v/>
      </c>
      <c r="AE7" s="77">
        <f>SUMIF('Cost Breakdowns'!$D$22:$D$52,'SoESCaOMCbIC-capital'!AE$1,'Cost Breakdowns'!$B$22:$B$52)</f>
        <v/>
      </c>
      <c r="AF7" s="77">
        <f>SUMIF('Cost Breakdowns'!$D$22:$D$52,'SoESCaOMCbIC-capital'!AF$1,'Cost Breakdowns'!$B$22:$B$52)</f>
        <v/>
      </c>
      <c r="AG7" s="77">
        <f>SUMIF('Cost Breakdowns'!$D$22:$D$52,'SoESCaOMCbIC-capital'!AG$1,'Cost Breakdowns'!$B$22:$B$52)</f>
        <v/>
      </c>
      <c r="AH7" s="77">
        <f>SUMIF('Cost Breakdowns'!$D$22:$D$52,'SoESCaOMCbIC-capital'!AH$1,'Cost Breakdowns'!$B$22:$B$52)</f>
        <v/>
      </c>
      <c r="AI7" s="77">
        <f>SUMIF('Cost Breakdowns'!$D$22:$D$52,'SoESCaOMCbIC-capital'!AI$1,'Cost Breakdowns'!$B$22:$B$52)</f>
        <v/>
      </c>
      <c r="AJ7" s="77">
        <f>SUMIF('Cost Breakdowns'!$D$22:$D$52,'SoESCaOMCbIC-capital'!AJ$1,'Cost Breakdowns'!$B$22:$B$52)</f>
        <v/>
      </c>
      <c r="AK7" s="77">
        <f>SUMIF('Cost Breakdowns'!$D$22:$D$52,'SoESCaOMCbIC-capital'!AK$1,'Cost Breakdowns'!$B$22:$B$52)</f>
        <v/>
      </c>
      <c r="AL7" s="77">
        <f>SUMIF('Cost Breakdowns'!$D$22:$D$52,'SoESCaOMCbIC-capital'!AL$1,'Cost Breakdowns'!$B$22:$B$52)</f>
        <v/>
      </c>
      <c r="AM7" s="77">
        <f>SUMIF('Cost Breakdowns'!$D$22:$D$52,'SoESCaOMCbIC-capital'!AM$1,'Cost Breakdowns'!$B$22:$B$52)</f>
        <v/>
      </c>
      <c r="AN7" s="77">
        <f>SUMIF('Cost Breakdowns'!$D$22:$D$52,'SoESCaOMCbIC-capital'!AN$1,'Cost Breakdowns'!$B$22:$B$52)</f>
        <v/>
      </c>
      <c r="AO7" s="77">
        <f>SUMIF('Cost Breakdowns'!$D$22:$D$52,'SoESCaOMCbIC-capital'!AO$1,'Cost Breakdowns'!$B$22:$B$52)</f>
        <v/>
      </c>
      <c r="AP7" s="77">
        <f>SUMIF('Cost Breakdowns'!$D$22:$D$52,'SoESCaOMCbIC-capital'!AP$1,'Cost Breakdowns'!$B$22:$B$52)</f>
        <v/>
      </c>
      <c r="AQ7" s="77">
        <f>SUMIF('Cost Breakdowns'!$D$22:$D$52,'SoESCaOMCbIC-capital'!AQ$1,'Cost Breakdowns'!$B$22:$B$52)</f>
        <v/>
      </c>
    </row>
    <row r="8">
      <c r="A8" t="inlineStr">
        <is>
          <t>solar PV</t>
        </is>
      </c>
      <c r="B8" s="77">
        <f>SUMIF('Cost Breakdowns'!$D$4:$D$13,'SoESCaOMCbIC-capital'!B$1,'Cost Breakdowns'!$B$4:$B$13)</f>
        <v/>
      </c>
      <c r="C8" s="77">
        <f>SUMIF('Cost Breakdowns'!$D$4:$D$13,'SoESCaOMCbIC-capital'!C$1,'Cost Breakdowns'!$B$4:$B$13)</f>
        <v/>
      </c>
      <c r="D8" s="77">
        <f>SUMIF('Cost Breakdowns'!$D$4:$D$13,'SoESCaOMCbIC-capital'!D$1,'Cost Breakdowns'!$B$4:$B$13)</f>
        <v/>
      </c>
      <c r="E8" s="77">
        <f>SUMIF('Cost Breakdowns'!$D$4:$D$13,'SoESCaOMCbIC-capital'!E$1,'Cost Breakdowns'!$B$4:$B$13)</f>
        <v/>
      </c>
      <c r="F8" s="77">
        <f>SUMIF('Cost Breakdowns'!$D$4:$D$13,'SoESCaOMCbIC-capital'!F$1,'Cost Breakdowns'!$B$4:$B$13)</f>
        <v/>
      </c>
      <c r="G8" s="77">
        <f>SUMIF('Cost Breakdowns'!$D$4:$D$13,'SoESCaOMCbIC-capital'!G$1,'Cost Breakdowns'!$B$4:$B$13)</f>
        <v/>
      </c>
      <c r="H8" s="77">
        <f>SUMIF('Cost Breakdowns'!$D$4:$D$13,'SoESCaOMCbIC-capital'!H$1,'Cost Breakdowns'!$B$4:$B$13)</f>
        <v/>
      </c>
      <c r="I8" s="77">
        <f>SUMIF('Cost Breakdowns'!$D$4:$D$13,'SoESCaOMCbIC-capital'!I$1,'Cost Breakdowns'!$B$4:$B$13)</f>
        <v/>
      </c>
      <c r="J8" s="77">
        <f>SUMIF('Cost Breakdowns'!$D$4:$D$13,'SoESCaOMCbIC-capital'!J$1,'Cost Breakdowns'!$B$4:$B$13)</f>
        <v/>
      </c>
      <c r="K8" s="77">
        <f>SUMIF('Cost Breakdowns'!$D$4:$D$13,'SoESCaOMCbIC-capital'!K$1,'Cost Breakdowns'!$B$4:$B$13)</f>
        <v/>
      </c>
      <c r="L8" s="77">
        <f>SUMIF('Cost Breakdowns'!$D$4:$D$13,'SoESCaOMCbIC-capital'!L$1,'Cost Breakdowns'!$B$4:$B$13)</f>
        <v/>
      </c>
      <c r="M8" s="77">
        <f>SUMIF('Cost Breakdowns'!$D$4:$D$13,'SoESCaOMCbIC-capital'!M$1,'Cost Breakdowns'!$B$4:$B$13)</f>
        <v/>
      </c>
      <c r="N8" s="77">
        <f>SUMIF('Cost Breakdowns'!$D$4:$D$13,'SoESCaOMCbIC-capital'!N$1,'Cost Breakdowns'!$B$4:$B$13)</f>
        <v/>
      </c>
      <c r="O8" s="77">
        <f>SUMIF('Cost Breakdowns'!$D$4:$D$13,'SoESCaOMCbIC-capital'!O$1,'Cost Breakdowns'!$B$4:$B$13)</f>
        <v/>
      </c>
      <c r="P8" s="77">
        <f>SUMIF('Cost Breakdowns'!$D$4:$D$13,'SoESCaOMCbIC-capital'!P$1,'Cost Breakdowns'!$B$4:$B$13)</f>
        <v/>
      </c>
      <c r="Q8" s="77">
        <f>SUMIF('Cost Breakdowns'!$D$4:$D$13,'SoESCaOMCbIC-capital'!Q$1,'Cost Breakdowns'!$B$4:$B$13)</f>
        <v/>
      </c>
      <c r="R8" s="77">
        <f>SUMIF('Cost Breakdowns'!$D$4:$D$13,'SoESCaOMCbIC-capital'!R$1,'Cost Breakdowns'!$B$4:$B$13)</f>
        <v/>
      </c>
      <c r="S8" s="77">
        <f>SUMIF('Cost Breakdowns'!$D$4:$D$13,'SoESCaOMCbIC-capital'!S$1,'Cost Breakdowns'!$B$4:$B$13)</f>
        <v/>
      </c>
      <c r="T8" s="77">
        <f>SUMIF('Cost Breakdowns'!$D$4:$D$13,'SoESCaOMCbIC-capital'!T$1,'Cost Breakdowns'!$B$4:$B$13)</f>
        <v/>
      </c>
      <c r="U8" s="77">
        <f>SUMIF('Cost Breakdowns'!$D$4:$D$13,'SoESCaOMCbIC-capital'!U$1,'Cost Breakdowns'!$B$4:$B$13)</f>
        <v/>
      </c>
      <c r="V8" s="77">
        <f>SUMIF('Cost Breakdowns'!$D$4:$D$13,'SoESCaOMCbIC-capital'!V$1,'Cost Breakdowns'!$B$4:$B$13)</f>
        <v/>
      </c>
      <c r="W8" s="77">
        <f>SUMIF('Cost Breakdowns'!$D$4:$D$13,'SoESCaOMCbIC-capital'!W$1,'Cost Breakdowns'!$B$4:$B$13)</f>
        <v/>
      </c>
      <c r="X8" s="77">
        <f>SUMIF('Cost Breakdowns'!$D$4:$D$13,'SoESCaOMCbIC-capital'!X$1,'Cost Breakdowns'!$B$4:$B$13)</f>
        <v/>
      </c>
      <c r="Y8" s="77">
        <f>SUMIF('Cost Breakdowns'!$D$4:$D$13,'SoESCaOMCbIC-capital'!Y$1,'Cost Breakdowns'!$B$4:$B$13)</f>
        <v/>
      </c>
      <c r="Z8" s="77">
        <f>SUMIF('Cost Breakdowns'!$D$4:$D$13,'SoESCaOMCbIC-capital'!Z$1,'Cost Breakdowns'!$B$4:$B$13)</f>
        <v/>
      </c>
      <c r="AA8" s="77">
        <f>SUMIF('Cost Breakdowns'!$D$4:$D$13,'SoESCaOMCbIC-capital'!AA$1,'Cost Breakdowns'!$B$4:$B$13)</f>
        <v/>
      </c>
      <c r="AB8" s="77">
        <f>SUMIF('Cost Breakdowns'!$D$4:$D$13,'SoESCaOMCbIC-capital'!AB$1,'Cost Breakdowns'!$B$4:$B$13)</f>
        <v/>
      </c>
      <c r="AC8" s="77">
        <f>SUMIF('Cost Breakdowns'!$D$4:$D$13,'SoESCaOMCbIC-capital'!AC$1,'Cost Breakdowns'!$B$4:$B$13)</f>
        <v/>
      </c>
      <c r="AD8" s="77">
        <f>SUMIF('Cost Breakdowns'!$D$4:$D$13,'SoESCaOMCbIC-capital'!AD$1,'Cost Breakdowns'!$B$4:$B$13)</f>
        <v/>
      </c>
      <c r="AE8" s="77">
        <f>SUMIF('Cost Breakdowns'!$D$4:$D$13,'SoESCaOMCbIC-capital'!AE$1,'Cost Breakdowns'!$B$4:$B$13)</f>
        <v/>
      </c>
      <c r="AF8" s="77">
        <f>SUMIF('Cost Breakdowns'!$D$4:$D$13,'SoESCaOMCbIC-capital'!AF$1,'Cost Breakdowns'!$B$4:$B$13)</f>
        <v/>
      </c>
      <c r="AG8" s="77">
        <f>SUMIF('Cost Breakdowns'!$D$4:$D$13,'SoESCaOMCbIC-capital'!AG$1,'Cost Breakdowns'!$B$4:$B$13)</f>
        <v/>
      </c>
      <c r="AH8" s="77">
        <f>SUMIF('Cost Breakdowns'!$D$4:$D$13,'SoESCaOMCbIC-capital'!AH$1,'Cost Breakdowns'!$B$4:$B$13)</f>
        <v/>
      </c>
      <c r="AI8" s="77">
        <f>SUMIF('Cost Breakdowns'!$D$4:$D$13,'SoESCaOMCbIC-capital'!AI$1,'Cost Breakdowns'!$B$4:$B$13)</f>
        <v/>
      </c>
      <c r="AJ8" s="77">
        <f>SUMIF('Cost Breakdowns'!$D$4:$D$13,'SoESCaOMCbIC-capital'!AJ$1,'Cost Breakdowns'!$B$4:$B$13)</f>
        <v/>
      </c>
      <c r="AK8" s="77">
        <f>SUMIF('Cost Breakdowns'!$D$4:$D$13,'SoESCaOMCbIC-capital'!AK$1,'Cost Breakdowns'!$B$4:$B$13)</f>
        <v/>
      </c>
      <c r="AL8" s="77">
        <f>SUMIF('Cost Breakdowns'!$D$4:$D$13,'SoESCaOMCbIC-capital'!AL$1,'Cost Breakdowns'!$B$4:$B$13)</f>
        <v/>
      </c>
      <c r="AM8" s="77">
        <f>SUMIF('Cost Breakdowns'!$D$4:$D$13,'SoESCaOMCbIC-capital'!AM$1,'Cost Breakdowns'!$B$4:$B$13)</f>
        <v/>
      </c>
      <c r="AN8" s="77">
        <f>SUMIF('Cost Breakdowns'!$D$4:$D$13,'SoESCaOMCbIC-capital'!AN$1,'Cost Breakdowns'!$B$4:$B$13)</f>
        <v/>
      </c>
      <c r="AO8" s="77">
        <f>SUMIF('Cost Breakdowns'!$D$4:$D$13,'SoESCaOMCbIC-capital'!AO$1,'Cost Breakdowns'!$B$4:$B$13)</f>
        <v/>
      </c>
      <c r="AP8" s="77">
        <f>SUMIF('Cost Breakdowns'!$D$4:$D$13,'SoESCaOMCbIC-capital'!AP$1,'Cost Breakdowns'!$B$4:$B$13)</f>
        <v/>
      </c>
      <c r="AQ8" s="77">
        <f>SUMIF('Cost Breakdowns'!$D$4:$D$13,'SoESCaOMCbIC-capital'!AQ$1,'Cost Breakdowns'!$B$4:$B$13)</f>
        <v/>
      </c>
    </row>
    <row r="9">
      <c r="A9" t="inlineStr">
        <is>
          <t>solar thermal</t>
        </is>
      </c>
      <c r="B9" s="77">
        <f>SUMIF('Cost Breakdowns'!$D$239:$D$267,'SoESCaOMCbIC-capital'!B$1,'Cost Breakdowns'!$B$239:$B$267)</f>
        <v/>
      </c>
      <c r="C9" s="77">
        <f>SUMIF('Cost Breakdowns'!$D$239:$D$267,'SoESCaOMCbIC-capital'!C$1,'Cost Breakdowns'!$B$239:$B$267)</f>
        <v/>
      </c>
      <c r="D9" s="77">
        <f>SUMIF('Cost Breakdowns'!$D$239:$D$267,'SoESCaOMCbIC-capital'!D$1,'Cost Breakdowns'!$B$239:$B$267)</f>
        <v/>
      </c>
      <c r="E9" s="77">
        <f>SUMIF('Cost Breakdowns'!$D$239:$D$267,'SoESCaOMCbIC-capital'!E$1,'Cost Breakdowns'!$B$239:$B$267)</f>
        <v/>
      </c>
      <c r="F9" s="77">
        <f>SUMIF('Cost Breakdowns'!$D$239:$D$267,'SoESCaOMCbIC-capital'!F$1,'Cost Breakdowns'!$B$239:$B$267)</f>
        <v/>
      </c>
      <c r="G9" s="77">
        <f>SUMIF('Cost Breakdowns'!$D$239:$D$267,'SoESCaOMCbIC-capital'!G$1,'Cost Breakdowns'!$B$239:$B$267)</f>
        <v/>
      </c>
      <c r="H9" s="77">
        <f>SUMIF('Cost Breakdowns'!$D$239:$D$267,'SoESCaOMCbIC-capital'!H$1,'Cost Breakdowns'!$B$239:$B$267)</f>
        <v/>
      </c>
      <c r="I9" s="77">
        <f>SUMIF('Cost Breakdowns'!$D$239:$D$267,'SoESCaOMCbIC-capital'!I$1,'Cost Breakdowns'!$B$239:$B$267)</f>
        <v/>
      </c>
      <c r="J9" s="77">
        <f>SUMIF('Cost Breakdowns'!$D$239:$D$267,'SoESCaOMCbIC-capital'!J$1,'Cost Breakdowns'!$B$239:$B$267)</f>
        <v/>
      </c>
      <c r="K9" s="77">
        <f>SUMIF('Cost Breakdowns'!$D$239:$D$267,'SoESCaOMCbIC-capital'!K$1,'Cost Breakdowns'!$B$239:$B$267)</f>
        <v/>
      </c>
      <c r="L9" s="77">
        <f>SUMIF('Cost Breakdowns'!$D$239:$D$267,'SoESCaOMCbIC-capital'!L$1,'Cost Breakdowns'!$B$239:$B$267)</f>
        <v/>
      </c>
      <c r="M9" s="77">
        <f>SUMIF('Cost Breakdowns'!$D$239:$D$267,'SoESCaOMCbIC-capital'!M$1,'Cost Breakdowns'!$B$239:$B$267)</f>
        <v/>
      </c>
      <c r="N9" s="77">
        <f>SUMIF('Cost Breakdowns'!$D$239:$D$267,'SoESCaOMCbIC-capital'!N$1,'Cost Breakdowns'!$B$239:$B$267)</f>
        <v/>
      </c>
      <c r="O9" s="77">
        <f>SUMIF('Cost Breakdowns'!$D$239:$D$267,'SoESCaOMCbIC-capital'!O$1,'Cost Breakdowns'!$B$239:$B$267)</f>
        <v/>
      </c>
      <c r="P9" s="77">
        <f>SUMIF('Cost Breakdowns'!$D$239:$D$267,'SoESCaOMCbIC-capital'!P$1,'Cost Breakdowns'!$B$239:$B$267)</f>
        <v/>
      </c>
      <c r="Q9" s="77">
        <f>SUMIF('Cost Breakdowns'!$D$239:$D$267,'SoESCaOMCbIC-capital'!Q$1,'Cost Breakdowns'!$B$239:$B$267)</f>
        <v/>
      </c>
      <c r="R9" s="77">
        <f>SUMIF('Cost Breakdowns'!$D$239:$D$267,'SoESCaOMCbIC-capital'!R$1,'Cost Breakdowns'!$B$239:$B$267)</f>
        <v/>
      </c>
      <c r="S9" s="77">
        <f>SUMIF('Cost Breakdowns'!$D$239:$D$267,'SoESCaOMCbIC-capital'!S$1,'Cost Breakdowns'!$B$239:$B$267)</f>
        <v/>
      </c>
      <c r="T9" s="77">
        <f>SUMIF('Cost Breakdowns'!$D$239:$D$267,'SoESCaOMCbIC-capital'!T$1,'Cost Breakdowns'!$B$239:$B$267)</f>
        <v/>
      </c>
      <c r="U9" s="77">
        <f>SUMIF('Cost Breakdowns'!$D$239:$D$267,'SoESCaOMCbIC-capital'!U$1,'Cost Breakdowns'!$B$239:$B$267)</f>
        <v/>
      </c>
      <c r="V9" s="77">
        <f>SUMIF('Cost Breakdowns'!$D$239:$D$267,'SoESCaOMCbIC-capital'!V$1,'Cost Breakdowns'!$B$239:$B$267)</f>
        <v/>
      </c>
      <c r="W9" s="77">
        <f>SUMIF('Cost Breakdowns'!$D$239:$D$267,'SoESCaOMCbIC-capital'!W$1,'Cost Breakdowns'!$B$239:$B$267)</f>
        <v/>
      </c>
      <c r="X9" s="77">
        <f>SUMIF('Cost Breakdowns'!$D$239:$D$267,'SoESCaOMCbIC-capital'!X$1,'Cost Breakdowns'!$B$239:$B$267)</f>
        <v/>
      </c>
      <c r="Y9" s="77">
        <f>SUMIF('Cost Breakdowns'!$D$239:$D$267,'SoESCaOMCbIC-capital'!Y$1,'Cost Breakdowns'!$B$239:$B$267)</f>
        <v/>
      </c>
      <c r="Z9" s="77">
        <f>SUMIF('Cost Breakdowns'!$D$239:$D$267,'SoESCaOMCbIC-capital'!Z$1,'Cost Breakdowns'!$B$239:$B$267)</f>
        <v/>
      </c>
      <c r="AA9" s="77">
        <f>SUMIF('Cost Breakdowns'!$D$239:$D$267,'SoESCaOMCbIC-capital'!AA$1,'Cost Breakdowns'!$B$239:$B$267)</f>
        <v/>
      </c>
      <c r="AB9" s="77">
        <f>SUMIF('Cost Breakdowns'!$D$239:$D$267,'SoESCaOMCbIC-capital'!AB$1,'Cost Breakdowns'!$B$239:$B$267)</f>
        <v/>
      </c>
      <c r="AC9" s="77">
        <f>SUMIF('Cost Breakdowns'!$D$239:$D$267,'SoESCaOMCbIC-capital'!AC$1,'Cost Breakdowns'!$B$239:$B$267)</f>
        <v/>
      </c>
      <c r="AD9" s="77">
        <f>SUMIF('Cost Breakdowns'!$D$239:$D$267,'SoESCaOMCbIC-capital'!AD$1,'Cost Breakdowns'!$B$239:$B$267)</f>
        <v/>
      </c>
      <c r="AE9" s="77">
        <f>SUMIF('Cost Breakdowns'!$D$239:$D$267,'SoESCaOMCbIC-capital'!AE$1,'Cost Breakdowns'!$B$239:$B$267)</f>
        <v/>
      </c>
      <c r="AF9" s="77">
        <f>SUMIF('Cost Breakdowns'!$D$239:$D$267,'SoESCaOMCbIC-capital'!AF$1,'Cost Breakdowns'!$B$239:$B$267)</f>
        <v/>
      </c>
      <c r="AG9" s="77">
        <f>SUMIF('Cost Breakdowns'!$D$239:$D$267,'SoESCaOMCbIC-capital'!AG$1,'Cost Breakdowns'!$B$239:$B$267)</f>
        <v/>
      </c>
      <c r="AH9" s="77">
        <f>SUMIF('Cost Breakdowns'!$D$239:$D$267,'SoESCaOMCbIC-capital'!AH$1,'Cost Breakdowns'!$B$239:$B$267)</f>
        <v/>
      </c>
      <c r="AI9" s="77">
        <f>SUMIF('Cost Breakdowns'!$D$239:$D$267,'SoESCaOMCbIC-capital'!AI$1,'Cost Breakdowns'!$B$239:$B$267)</f>
        <v/>
      </c>
      <c r="AJ9" s="77">
        <f>SUMIF('Cost Breakdowns'!$D$239:$D$267,'SoESCaOMCbIC-capital'!AJ$1,'Cost Breakdowns'!$B$239:$B$267)</f>
        <v/>
      </c>
      <c r="AK9" s="77">
        <f>SUMIF('Cost Breakdowns'!$D$239:$D$267,'SoESCaOMCbIC-capital'!AK$1,'Cost Breakdowns'!$B$239:$B$267)</f>
        <v/>
      </c>
      <c r="AL9" s="77">
        <f>SUMIF('Cost Breakdowns'!$D$239:$D$267,'SoESCaOMCbIC-capital'!AL$1,'Cost Breakdowns'!$B$239:$B$267)</f>
        <v/>
      </c>
      <c r="AM9" s="77">
        <f>SUMIF('Cost Breakdowns'!$D$239:$D$267,'SoESCaOMCbIC-capital'!AM$1,'Cost Breakdowns'!$B$239:$B$267)</f>
        <v/>
      </c>
      <c r="AN9" s="77">
        <f>SUMIF('Cost Breakdowns'!$D$239:$D$267,'SoESCaOMCbIC-capital'!AN$1,'Cost Breakdowns'!$B$239:$B$267)</f>
        <v/>
      </c>
      <c r="AO9" s="77">
        <f>SUMIF('Cost Breakdowns'!$D$239:$D$267,'SoESCaOMCbIC-capital'!AO$1,'Cost Breakdowns'!$B$239:$B$267)</f>
        <v/>
      </c>
      <c r="AP9" s="77">
        <f>SUMIF('Cost Breakdowns'!$D$239:$D$267,'SoESCaOMCbIC-capital'!AP$1,'Cost Breakdowns'!$B$239:$B$267)</f>
        <v/>
      </c>
      <c r="AQ9" s="77">
        <f>SUMIF('Cost Breakdowns'!$D$239:$D$267,'SoESCaOMCbIC-capital'!AQ$1,'Cost Breakdowns'!$B$239:$B$267)</f>
        <v/>
      </c>
    </row>
    <row r="10">
      <c r="A10" t="inlineStr">
        <is>
          <t>biomass</t>
        </is>
      </c>
      <c r="B10" s="77">
        <f>SUMIF('Cost Breakdowns'!$D$222:$D$227,'SoESCaOMCbIC-capital'!B$1,'Cost Breakdowns'!$B$222:$B$227)</f>
        <v/>
      </c>
      <c r="C10" s="77">
        <f>SUMIF('Cost Breakdowns'!$D$222:$D$227,'SoESCaOMCbIC-capital'!C$1,'Cost Breakdowns'!$B$222:$B$227)</f>
        <v/>
      </c>
      <c r="D10" s="77">
        <f>SUMIF('Cost Breakdowns'!$D$222:$D$227,'SoESCaOMCbIC-capital'!D$1,'Cost Breakdowns'!$B$222:$B$227)</f>
        <v/>
      </c>
      <c r="E10" s="77">
        <f>SUMIF('Cost Breakdowns'!$D$222:$D$227,'SoESCaOMCbIC-capital'!E$1,'Cost Breakdowns'!$B$222:$B$227)</f>
        <v/>
      </c>
      <c r="F10" s="77">
        <f>SUMIF('Cost Breakdowns'!$D$222:$D$227,'SoESCaOMCbIC-capital'!F$1,'Cost Breakdowns'!$B$222:$B$227)</f>
        <v/>
      </c>
      <c r="G10" s="77">
        <f>SUMIF('Cost Breakdowns'!$D$222:$D$227,'SoESCaOMCbIC-capital'!G$1,'Cost Breakdowns'!$B$222:$B$227)</f>
        <v/>
      </c>
      <c r="H10" s="77">
        <f>SUMIF('Cost Breakdowns'!$D$222:$D$227,'SoESCaOMCbIC-capital'!H$1,'Cost Breakdowns'!$B$222:$B$227)</f>
        <v/>
      </c>
      <c r="I10" s="77">
        <f>SUMIF('Cost Breakdowns'!$D$222:$D$227,'SoESCaOMCbIC-capital'!I$1,'Cost Breakdowns'!$B$222:$B$227)</f>
        <v/>
      </c>
      <c r="J10" s="77">
        <f>SUMIF('Cost Breakdowns'!$D$222:$D$227,'SoESCaOMCbIC-capital'!J$1,'Cost Breakdowns'!$B$222:$B$227)</f>
        <v/>
      </c>
      <c r="K10" s="77">
        <f>SUMIF('Cost Breakdowns'!$D$222:$D$227,'SoESCaOMCbIC-capital'!K$1,'Cost Breakdowns'!$B$222:$B$227)</f>
        <v/>
      </c>
      <c r="L10" s="77">
        <f>SUMIF('Cost Breakdowns'!$D$222:$D$227,'SoESCaOMCbIC-capital'!L$1,'Cost Breakdowns'!$B$222:$B$227)</f>
        <v/>
      </c>
      <c r="M10" s="77">
        <f>SUMIF('Cost Breakdowns'!$D$222:$D$227,'SoESCaOMCbIC-capital'!M$1,'Cost Breakdowns'!$B$222:$B$227)</f>
        <v/>
      </c>
      <c r="N10" s="77">
        <f>SUMIF('Cost Breakdowns'!$D$222:$D$227,'SoESCaOMCbIC-capital'!N$1,'Cost Breakdowns'!$B$222:$B$227)</f>
        <v/>
      </c>
      <c r="O10" s="77">
        <f>SUMIF('Cost Breakdowns'!$D$222:$D$227,'SoESCaOMCbIC-capital'!O$1,'Cost Breakdowns'!$B$222:$B$227)</f>
        <v/>
      </c>
      <c r="P10" s="77">
        <f>SUMIF('Cost Breakdowns'!$D$222:$D$227,'SoESCaOMCbIC-capital'!P$1,'Cost Breakdowns'!$B$222:$B$227)</f>
        <v/>
      </c>
      <c r="Q10" s="77">
        <f>SUMIF('Cost Breakdowns'!$D$222:$D$227,'SoESCaOMCbIC-capital'!Q$1,'Cost Breakdowns'!$B$222:$B$227)</f>
        <v/>
      </c>
      <c r="R10" s="77">
        <f>SUMIF('Cost Breakdowns'!$D$222:$D$227,'SoESCaOMCbIC-capital'!R$1,'Cost Breakdowns'!$B$222:$B$227)</f>
        <v/>
      </c>
      <c r="S10" s="77">
        <f>SUMIF('Cost Breakdowns'!$D$222:$D$227,'SoESCaOMCbIC-capital'!S$1,'Cost Breakdowns'!$B$222:$B$227)</f>
        <v/>
      </c>
      <c r="T10" s="77">
        <f>SUMIF('Cost Breakdowns'!$D$222:$D$227,'SoESCaOMCbIC-capital'!T$1,'Cost Breakdowns'!$B$222:$B$227)</f>
        <v/>
      </c>
      <c r="U10" s="77">
        <f>SUMIF('Cost Breakdowns'!$D$222:$D$227,'SoESCaOMCbIC-capital'!U$1,'Cost Breakdowns'!$B$222:$B$227)</f>
        <v/>
      </c>
      <c r="V10" s="77">
        <f>SUMIF('Cost Breakdowns'!$D$222:$D$227,'SoESCaOMCbIC-capital'!V$1,'Cost Breakdowns'!$B$222:$B$227)</f>
        <v/>
      </c>
      <c r="W10" s="77">
        <f>SUMIF('Cost Breakdowns'!$D$222:$D$227,'SoESCaOMCbIC-capital'!W$1,'Cost Breakdowns'!$B$222:$B$227)</f>
        <v/>
      </c>
      <c r="X10" s="77">
        <f>SUMIF('Cost Breakdowns'!$D$222:$D$227,'SoESCaOMCbIC-capital'!X$1,'Cost Breakdowns'!$B$222:$B$227)</f>
        <v/>
      </c>
      <c r="Y10" s="77">
        <f>SUMIF('Cost Breakdowns'!$D$222:$D$227,'SoESCaOMCbIC-capital'!Y$1,'Cost Breakdowns'!$B$222:$B$227)</f>
        <v/>
      </c>
      <c r="Z10" s="77">
        <f>SUMIF('Cost Breakdowns'!$D$222:$D$227,'SoESCaOMCbIC-capital'!Z$1,'Cost Breakdowns'!$B$222:$B$227)</f>
        <v/>
      </c>
      <c r="AA10" s="77">
        <f>SUMIF('Cost Breakdowns'!$D$222:$D$227,'SoESCaOMCbIC-capital'!AA$1,'Cost Breakdowns'!$B$222:$B$227)</f>
        <v/>
      </c>
      <c r="AB10" s="77">
        <f>SUMIF('Cost Breakdowns'!$D$222:$D$227,'SoESCaOMCbIC-capital'!AB$1,'Cost Breakdowns'!$B$222:$B$227)</f>
        <v/>
      </c>
      <c r="AC10" s="77">
        <f>SUMIF('Cost Breakdowns'!$D$222:$D$227,'SoESCaOMCbIC-capital'!AC$1,'Cost Breakdowns'!$B$222:$B$227)</f>
        <v/>
      </c>
      <c r="AD10" s="77">
        <f>SUMIF('Cost Breakdowns'!$D$222:$D$227,'SoESCaOMCbIC-capital'!AD$1,'Cost Breakdowns'!$B$222:$B$227)</f>
        <v/>
      </c>
      <c r="AE10" s="77">
        <f>SUMIF('Cost Breakdowns'!$D$222:$D$227,'SoESCaOMCbIC-capital'!AE$1,'Cost Breakdowns'!$B$222:$B$227)</f>
        <v/>
      </c>
      <c r="AF10" s="77">
        <f>SUMIF('Cost Breakdowns'!$D$222:$D$227,'SoESCaOMCbIC-capital'!AF$1,'Cost Breakdowns'!$B$222:$B$227)</f>
        <v/>
      </c>
      <c r="AG10" s="77">
        <f>SUMIF('Cost Breakdowns'!$D$222:$D$227,'SoESCaOMCbIC-capital'!AG$1,'Cost Breakdowns'!$B$222:$B$227)</f>
        <v/>
      </c>
      <c r="AH10" s="77">
        <f>SUMIF('Cost Breakdowns'!$D$222:$D$227,'SoESCaOMCbIC-capital'!AH$1,'Cost Breakdowns'!$B$222:$B$227)</f>
        <v/>
      </c>
      <c r="AI10" s="77">
        <f>SUMIF('Cost Breakdowns'!$D$222:$D$227,'SoESCaOMCbIC-capital'!AI$1,'Cost Breakdowns'!$B$222:$B$227)</f>
        <v/>
      </c>
      <c r="AJ10" s="77">
        <f>SUMIF('Cost Breakdowns'!$D$222:$D$227,'SoESCaOMCbIC-capital'!AJ$1,'Cost Breakdowns'!$B$222:$B$227)</f>
        <v/>
      </c>
      <c r="AK10" s="77">
        <f>SUMIF('Cost Breakdowns'!$D$222:$D$227,'SoESCaOMCbIC-capital'!AK$1,'Cost Breakdowns'!$B$222:$B$227)</f>
        <v/>
      </c>
      <c r="AL10" s="77">
        <f>SUMIF('Cost Breakdowns'!$D$222:$D$227,'SoESCaOMCbIC-capital'!AL$1,'Cost Breakdowns'!$B$222:$B$227)</f>
        <v/>
      </c>
      <c r="AM10" s="77">
        <f>SUMIF('Cost Breakdowns'!$D$222:$D$227,'SoESCaOMCbIC-capital'!AM$1,'Cost Breakdowns'!$B$222:$B$227)</f>
        <v/>
      </c>
      <c r="AN10" s="77">
        <f>SUMIF('Cost Breakdowns'!$D$222:$D$227,'SoESCaOMCbIC-capital'!AN$1,'Cost Breakdowns'!$B$222:$B$227)</f>
        <v/>
      </c>
      <c r="AO10" s="77">
        <f>SUMIF('Cost Breakdowns'!$D$222:$D$227,'SoESCaOMCbIC-capital'!AO$1,'Cost Breakdowns'!$B$222:$B$227)</f>
        <v/>
      </c>
      <c r="AP10" s="77">
        <f>SUMIF('Cost Breakdowns'!$D$222:$D$227,'SoESCaOMCbIC-capital'!AP$1,'Cost Breakdowns'!$B$222:$B$227)</f>
        <v/>
      </c>
      <c r="AQ10" s="77">
        <f>SUMIF('Cost Breakdowns'!$D$222:$D$227,'SoESCaOMCbIC-capital'!AQ$1,'Cost Breakdowns'!$B$222:$B$227)</f>
        <v/>
      </c>
    </row>
    <row r="11">
      <c r="A11" t="inlineStr">
        <is>
          <t>geothermal</t>
        </is>
      </c>
      <c r="B11" s="77">
        <f>SUMIF('Cost Breakdowns'!$D$293:$D$306,'SoESCaOMCbIC-capital'!B$1,'Cost Breakdowns'!$B$293:$B$306)</f>
        <v/>
      </c>
      <c r="C11" s="77">
        <f>SUMIF('Cost Breakdowns'!$D$293:$D$306,'SoESCaOMCbIC-capital'!C$1,'Cost Breakdowns'!$B$293:$B$306)</f>
        <v/>
      </c>
      <c r="D11" s="77">
        <f>SUMIF('Cost Breakdowns'!$D$293:$D$306,'SoESCaOMCbIC-capital'!D$1,'Cost Breakdowns'!$B$293:$B$306)</f>
        <v/>
      </c>
      <c r="E11" s="77">
        <f>SUMIF('Cost Breakdowns'!$D$293:$D$306,'SoESCaOMCbIC-capital'!E$1,'Cost Breakdowns'!$B$293:$B$306)</f>
        <v/>
      </c>
      <c r="F11" s="77">
        <f>SUMIF('Cost Breakdowns'!$D$293:$D$306,'SoESCaOMCbIC-capital'!F$1,'Cost Breakdowns'!$B$293:$B$306)</f>
        <v/>
      </c>
      <c r="G11" s="77">
        <f>SUMIF('Cost Breakdowns'!$D$293:$D$306,'SoESCaOMCbIC-capital'!G$1,'Cost Breakdowns'!$B$293:$B$306)</f>
        <v/>
      </c>
      <c r="H11" s="77">
        <f>SUMIF('Cost Breakdowns'!$D$293:$D$306,'SoESCaOMCbIC-capital'!H$1,'Cost Breakdowns'!$B$293:$B$306)</f>
        <v/>
      </c>
      <c r="I11" s="77">
        <f>SUMIF('Cost Breakdowns'!$D$293:$D$306,'SoESCaOMCbIC-capital'!I$1,'Cost Breakdowns'!$B$293:$B$306)</f>
        <v/>
      </c>
      <c r="J11" s="77">
        <f>SUMIF('Cost Breakdowns'!$D$293:$D$306,'SoESCaOMCbIC-capital'!J$1,'Cost Breakdowns'!$B$293:$B$306)</f>
        <v/>
      </c>
      <c r="K11" s="77">
        <f>SUMIF('Cost Breakdowns'!$D$293:$D$306,'SoESCaOMCbIC-capital'!K$1,'Cost Breakdowns'!$B$293:$B$306)</f>
        <v/>
      </c>
      <c r="L11" s="77">
        <f>SUMIF('Cost Breakdowns'!$D$293:$D$306,'SoESCaOMCbIC-capital'!L$1,'Cost Breakdowns'!$B$293:$B$306)</f>
        <v/>
      </c>
      <c r="M11" s="77">
        <f>SUMIF('Cost Breakdowns'!$D$293:$D$306,'SoESCaOMCbIC-capital'!M$1,'Cost Breakdowns'!$B$293:$B$306)</f>
        <v/>
      </c>
      <c r="N11" s="77">
        <f>SUMIF('Cost Breakdowns'!$D$293:$D$306,'SoESCaOMCbIC-capital'!N$1,'Cost Breakdowns'!$B$293:$B$306)</f>
        <v/>
      </c>
      <c r="O11" s="77">
        <f>SUMIF('Cost Breakdowns'!$D$293:$D$306,'SoESCaOMCbIC-capital'!O$1,'Cost Breakdowns'!$B$293:$B$306)</f>
        <v/>
      </c>
      <c r="P11" s="77">
        <f>SUMIF('Cost Breakdowns'!$D$293:$D$306,'SoESCaOMCbIC-capital'!P$1,'Cost Breakdowns'!$B$293:$B$306)</f>
        <v/>
      </c>
      <c r="Q11" s="77">
        <f>SUMIF('Cost Breakdowns'!$D$293:$D$306,'SoESCaOMCbIC-capital'!Q$1,'Cost Breakdowns'!$B$293:$B$306)</f>
        <v/>
      </c>
      <c r="R11" s="77">
        <f>SUMIF('Cost Breakdowns'!$D$293:$D$306,'SoESCaOMCbIC-capital'!R$1,'Cost Breakdowns'!$B$293:$B$306)</f>
        <v/>
      </c>
      <c r="S11" s="77">
        <f>SUMIF('Cost Breakdowns'!$D$293:$D$306,'SoESCaOMCbIC-capital'!S$1,'Cost Breakdowns'!$B$293:$B$306)</f>
        <v/>
      </c>
      <c r="T11" s="77">
        <f>SUMIF('Cost Breakdowns'!$D$293:$D$306,'SoESCaOMCbIC-capital'!T$1,'Cost Breakdowns'!$B$293:$B$306)</f>
        <v/>
      </c>
      <c r="U11" s="77">
        <f>SUMIF('Cost Breakdowns'!$D$293:$D$306,'SoESCaOMCbIC-capital'!U$1,'Cost Breakdowns'!$B$293:$B$306)</f>
        <v/>
      </c>
      <c r="V11" s="77">
        <f>SUMIF('Cost Breakdowns'!$D$293:$D$306,'SoESCaOMCbIC-capital'!V$1,'Cost Breakdowns'!$B$293:$B$306)</f>
        <v/>
      </c>
      <c r="W11" s="77">
        <f>SUMIF('Cost Breakdowns'!$D$293:$D$306,'SoESCaOMCbIC-capital'!W$1,'Cost Breakdowns'!$B$293:$B$306)</f>
        <v/>
      </c>
      <c r="X11" s="77">
        <f>SUMIF('Cost Breakdowns'!$D$293:$D$306,'SoESCaOMCbIC-capital'!X$1,'Cost Breakdowns'!$B$293:$B$306)</f>
        <v/>
      </c>
      <c r="Y11" s="77">
        <f>SUMIF('Cost Breakdowns'!$D$293:$D$306,'SoESCaOMCbIC-capital'!Y$1,'Cost Breakdowns'!$B$293:$B$306)</f>
        <v/>
      </c>
      <c r="Z11" s="77">
        <f>SUMIF('Cost Breakdowns'!$D$293:$D$306,'SoESCaOMCbIC-capital'!Z$1,'Cost Breakdowns'!$B$293:$B$306)</f>
        <v/>
      </c>
      <c r="AA11" s="77">
        <f>SUMIF('Cost Breakdowns'!$D$293:$D$306,'SoESCaOMCbIC-capital'!AA$1,'Cost Breakdowns'!$B$293:$B$306)</f>
        <v/>
      </c>
      <c r="AB11" s="77">
        <f>SUMIF('Cost Breakdowns'!$D$293:$D$306,'SoESCaOMCbIC-capital'!AB$1,'Cost Breakdowns'!$B$293:$B$306)</f>
        <v/>
      </c>
      <c r="AC11" s="77">
        <f>SUMIF('Cost Breakdowns'!$D$293:$D$306,'SoESCaOMCbIC-capital'!AC$1,'Cost Breakdowns'!$B$293:$B$306)</f>
        <v/>
      </c>
      <c r="AD11" s="77">
        <f>SUMIF('Cost Breakdowns'!$D$293:$D$306,'SoESCaOMCbIC-capital'!AD$1,'Cost Breakdowns'!$B$293:$B$306)</f>
        <v/>
      </c>
      <c r="AE11" s="77">
        <f>SUMIF('Cost Breakdowns'!$D$293:$D$306,'SoESCaOMCbIC-capital'!AE$1,'Cost Breakdowns'!$B$293:$B$306)</f>
        <v/>
      </c>
      <c r="AF11" s="77">
        <f>SUMIF('Cost Breakdowns'!$D$293:$D$306,'SoESCaOMCbIC-capital'!AF$1,'Cost Breakdowns'!$B$293:$B$306)</f>
        <v/>
      </c>
      <c r="AG11" s="77">
        <f>SUMIF('Cost Breakdowns'!$D$293:$D$306,'SoESCaOMCbIC-capital'!AG$1,'Cost Breakdowns'!$B$293:$B$306)</f>
        <v/>
      </c>
      <c r="AH11" s="77">
        <f>SUMIF('Cost Breakdowns'!$D$293:$D$306,'SoESCaOMCbIC-capital'!AH$1,'Cost Breakdowns'!$B$293:$B$306)</f>
        <v/>
      </c>
      <c r="AI11" s="77">
        <f>SUMIF('Cost Breakdowns'!$D$293:$D$306,'SoESCaOMCbIC-capital'!AI$1,'Cost Breakdowns'!$B$293:$B$306)</f>
        <v/>
      </c>
      <c r="AJ11" s="77">
        <f>SUMIF('Cost Breakdowns'!$D$293:$D$306,'SoESCaOMCbIC-capital'!AJ$1,'Cost Breakdowns'!$B$293:$B$306)</f>
        <v/>
      </c>
      <c r="AK11" s="77">
        <f>SUMIF('Cost Breakdowns'!$D$293:$D$306,'SoESCaOMCbIC-capital'!AK$1,'Cost Breakdowns'!$B$293:$B$306)</f>
        <v/>
      </c>
      <c r="AL11" s="77">
        <f>SUMIF('Cost Breakdowns'!$D$293:$D$306,'SoESCaOMCbIC-capital'!AL$1,'Cost Breakdowns'!$B$293:$B$306)</f>
        <v/>
      </c>
      <c r="AM11" s="77">
        <f>SUMIF('Cost Breakdowns'!$D$293:$D$306,'SoESCaOMCbIC-capital'!AM$1,'Cost Breakdowns'!$B$293:$B$306)</f>
        <v/>
      </c>
      <c r="AN11" s="77">
        <f>SUMIF('Cost Breakdowns'!$D$293:$D$306,'SoESCaOMCbIC-capital'!AN$1,'Cost Breakdowns'!$B$293:$B$306)</f>
        <v/>
      </c>
      <c r="AO11" s="77">
        <f>SUMIF('Cost Breakdowns'!$D$293:$D$306,'SoESCaOMCbIC-capital'!AO$1,'Cost Breakdowns'!$B$293:$B$306)</f>
        <v/>
      </c>
      <c r="AP11" s="77">
        <f>SUMIF('Cost Breakdowns'!$D$293:$D$306,'SoESCaOMCbIC-capital'!AP$1,'Cost Breakdowns'!$B$293:$B$306)</f>
        <v/>
      </c>
      <c r="AQ11" s="77">
        <f>SUMIF('Cost Breakdowns'!$D$293:$D$306,'SoESCaOMCbIC-capital'!AQ$1,'Cost Breakdowns'!$B$293:$B$306)</f>
        <v/>
      </c>
    </row>
    <row r="12">
      <c r="A12" t="inlineStr">
        <is>
          <t>petroleum</t>
        </is>
      </c>
      <c r="B12" s="100">
        <f>B$3</f>
        <v/>
      </c>
      <c r="C12" s="100">
        <f>C$3</f>
        <v/>
      </c>
      <c r="D12" s="100">
        <f>D$3</f>
        <v/>
      </c>
      <c r="E12" s="100">
        <f>E$3</f>
        <v/>
      </c>
      <c r="F12" s="100">
        <f>F$3</f>
        <v/>
      </c>
      <c r="G12" s="100">
        <f>G$3</f>
        <v/>
      </c>
      <c r="H12" s="100">
        <f>H$3</f>
        <v/>
      </c>
      <c r="I12" s="100">
        <f>I$3</f>
        <v/>
      </c>
      <c r="J12" s="100">
        <f>J$3</f>
        <v/>
      </c>
      <c r="K12" s="100">
        <f>K$3</f>
        <v/>
      </c>
      <c r="L12" s="100">
        <f>L$3</f>
        <v/>
      </c>
      <c r="M12" s="100">
        <f>M$3</f>
        <v/>
      </c>
      <c r="N12" s="100">
        <f>N$3</f>
        <v/>
      </c>
      <c r="O12" s="100">
        <f>O$3</f>
        <v/>
      </c>
      <c r="P12" s="100">
        <f>P$3</f>
        <v/>
      </c>
      <c r="Q12" s="100">
        <f>Q$3</f>
        <v/>
      </c>
      <c r="R12" s="100">
        <f>R$3</f>
        <v/>
      </c>
      <c r="S12" s="100">
        <f>S$3</f>
        <v/>
      </c>
      <c r="T12" s="100">
        <f>T$3</f>
        <v/>
      </c>
      <c r="U12" s="100">
        <f>U$3</f>
        <v/>
      </c>
      <c r="V12" s="100">
        <f>V$3</f>
        <v/>
      </c>
      <c r="W12" s="100">
        <f>W$3</f>
        <v/>
      </c>
      <c r="X12" s="100">
        <f>X$3</f>
        <v/>
      </c>
      <c r="Y12" s="100">
        <f>Y$3</f>
        <v/>
      </c>
      <c r="Z12" s="100">
        <f>Z$3</f>
        <v/>
      </c>
      <c r="AA12" s="100">
        <f>AA$3</f>
        <v/>
      </c>
      <c r="AB12" s="100">
        <f>AB$3</f>
        <v/>
      </c>
      <c r="AC12" s="100">
        <f>AC$3</f>
        <v/>
      </c>
      <c r="AD12" s="100">
        <f>AD$3</f>
        <v/>
      </c>
      <c r="AE12" s="100">
        <f>AE$3</f>
        <v/>
      </c>
      <c r="AF12" s="100">
        <f>AF$3</f>
        <v/>
      </c>
      <c r="AG12" s="100">
        <f>AG$3</f>
        <v/>
      </c>
      <c r="AH12" s="100">
        <f>AH$3</f>
        <v/>
      </c>
      <c r="AI12" s="100">
        <f>AI$3</f>
        <v/>
      </c>
      <c r="AJ12" s="100">
        <f>AJ$3</f>
        <v/>
      </c>
      <c r="AK12" s="100">
        <f>AK$3</f>
        <v/>
      </c>
      <c r="AL12" s="100">
        <f>AL$3</f>
        <v/>
      </c>
      <c r="AM12" s="100">
        <f>AM$3</f>
        <v/>
      </c>
      <c r="AN12" s="100">
        <f>AN$3</f>
        <v/>
      </c>
      <c r="AO12" s="100">
        <f>AO$3</f>
        <v/>
      </c>
      <c r="AP12" s="100">
        <f>AP$3</f>
        <v/>
      </c>
      <c r="AQ12" s="100">
        <f>AQ$3</f>
        <v/>
      </c>
    </row>
    <row r="13">
      <c r="A13" t="inlineStr">
        <is>
          <t>natural gas peaker</t>
        </is>
      </c>
      <c r="B13" s="100">
        <f>B$3</f>
        <v/>
      </c>
      <c r="C13" s="100">
        <f>C$3</f>
        <v/>
      </c>
      <c r="D13" s="100">
        <f>D$3</f>
        <v/>
      </c>
      <c r="E13" s="100">
        <f>E$3</f>
        <v/>
      </c>
      <c r="F13" s="100">
        <f>F$3</f>
        <v/>
      </c>
      <c r="G13" s="100">
        <f>G$3</f>
        <v/>
      </c>
      <c r="H13" s="100">
        <f>H$3</f>
        <v/>
      </c>
      <c r="I13" s="100">
        <f>I$3</f>
        <v/>
      </c>
      <c r="J13" s="100">
        <f>J$3</f>
        <v/>
      </c>
      <c r="K13" s="100">
        <f>K$3</f>
        <v/>
      </c>
      <c r="L13" s="100">
        <f>L$3</f>
        <v/>
      </c>
      <c r="M13" s="100">
        <f>M$3</f>
        <v/>
      </c>
      <c r="N13" s="100">
        <f>N$3</f>
        <v/>
      </c>
      <c r="O13" s="100">
        <f>O$3</f>
        <v/>
      </c>
      <c r="P13" s="100">
        <f>P$3</f>
        <v/>
      </c>
      <c r="Q13" s="100">
        <f>Q$3</f>
        <v/>
      </c>
      <c r="R13" s="100">
        <f>R$3</f>
        <v/>
      </c>
      <c r="S13" s="100">
        <f>S$3</f>
        <v/>
      </c>
      <c r="T13" s="100">
        <f>T$3</f>
        <v/>
      </c>
      <c r="U13" s="100">
        <f>U$3</f>
        <v/>
      </c>
      <c r="V13" s="100">
        <f>V$3</f>
        <v/>
      </c>
      <c r="W13" s="100">
        <f>W$3</f>
        <v/>
      </c>
      <c r="X13" s="100">
        <f>X$3</f>
        <v/>
      </c>
      <c r="Y13" s="100">
        <f>Y$3</f>
        <v/>
      </c>
      <c r="Z13" s="100">
        <f>Z$3</f>
        <v/>
      </c>
      <c r="AA13" s="100">
        <f>AA$3</f>
        <v/>
      </c>
      <c r="AB13" s="100">
        <f>AB$3</f>
        <v/>
      </c>
      <c r="AC13" s="100">
        <f>AC$3</f>
        <v/>
      </c>
      <c r="AD13" s="100">
        <f>AD$3</f>
        <v/>
      </c>
      <c r="AE13" s="100">
        <f>AE$3</f>
        <v/>
      </c>
      <c r="AF13" s="100">
        <f>AF$3</f>
        <v/>
      </c>
      <c r="AG13" s="100">
        <f>AG$3</f>
        <v/>
      </c>
      <c r="AH13" s="100">
        <f>AH$3</f>
        <v/>
      </c>
      <c r="AI13" s="100">
        <f>AI$3</f>
        <v/>
      </c>
      <c r="AJ13" s="100">
        <f>AJ$3</f>
        <v/>
      </c>
      <c r="AK13" s="100">
        <f>AK$3</f>
        <v/>
      </c>
      <c r="AL13" s="100">
        <f>AL$3</f>
        <v/>
      </c>
      <c r="AM13" s="100">
        <f>AM$3</f>
        <v/>
      </c>
      <c r="AN13" s="100">
        <f>AN$3</f>
        <v/>
      </c>
      <c r="AO13" s="100">
        <f>AO$3</f>
        <v/>
      </c>
      <c r="AP13" s="100">
        <f>AP$3</f>
        <v/>
      </c>
      <c r="AQ13" s="100">
        <f>AQ$3</f>
        <v/>
      </c>
    </row>
    <row r="14">
      <c r="A14" t="inlineStr">
        <is>
          <t>lignite</t>
        </is>
      </c>
      <c r="B14" s="77">
        <f>SUMIF('Cost Breakdowns'!$D$79:$D$96,'SoESCaOMCbIC-capital'!B$1,'Cost Breakdowns'!$B$79:$B$96)</f>
        <v/>
      </c>
      <c r="C14" s="77">
        <f>SUMIF('Cost Breakdowns'!$D$79:$D$96,'SoESCaOMCbIC-capital'!C$1,'Cost Breakdowns'!$B$79:$B$96)</f>
        <v/>
      </c>
      <c r="D14" s="77">
        <f>SUMIF('Cost Breakdowns'!$D$79:$D$96,'SoESCaOMCbIC-capital'!D$1,'Cost Breakdowns'!$B$79:$B$96)</f>
        <v/>
      </c>
      <c r="E14" s="77">
        <f>SUMIF('Cost Breakdowns'!$D$79:$D$96,'SoESCaOMCbIC-capital'!E$1,'Cost Breakdowns'!$B$79:$B$96)</f>
        <v/>
      </c>
      <c r="F14" s="77">
        <f>SUMIF('Cost Breakdowns'!$D$79:$D$96,'SoESCaOMCbIC-capital'!F$1,'Cost Breakdowns'!$B$79:$B$96)</f>
        <v/>
      </c>
      <c r="G14" s="77">
        <f>SUMIF('Cost Breakdowns'!$D$79:$D$96,'SoESCaOMCbIC-capital'!G$1,'Cost Breakdowns'!$B$79:$B$96)</f>
        <v/>
      </c>
      <c r="H14" s="77">
        <f>SUMIF('Cost Breakdowns'!$D$79:$D$96,'SoESCaOMCbIC-capital'!H$1,'Cost Breakdowns'!$B$79:$B$96)</f>
        <v/>
      </c>
      <c r="I14" s="77">
        <f>SUMIF('Cost Breakdowns'!$D$79:$D$96,'SoESCaOMCbIC-capital'!I$1,'Cost Breakdowns'!$B$79:$B$96)</f>
        <v/>
      </c>
      <c r="J14" s="77">
        <f>SUMIF('Cost Breakdowns'!$D$79:$D$96,'SoESCaOMCbIC-capital'!J$1,'Cost Breakdowns'!$B$79:$B$96)</f>
        <v/>
      </c>
      <c r="K14" s="77">
        <f>SUMIF('Cost Breakdowns'!$D$79:$D$96,'SoESCaOMCbIC-capital'!K$1,'Cost Breakdowns'!$B$79:$B$96)</f>
        <v/>
      </c>
      <c r="L14" s="77">
        <f>SUMIF('Cost Breakdowns'!$D$79:$D$96,'SoESCaOMCbIC-capital'!L$1,'Cost Breakdowns'!$B$79:$B$96)</f>
        <v/>
      </c>
      <c r="M14" s="77">
        <f>SUMIF('Cost Breakdowns'!$D$79:$D$96,'SoESCaOMCbIC-capital'!M$1,'Cost Breakdowns'!$B$79:$B$96)</f>
        <v/>
      </c>
      <c r="N14" s="77">
        <f>SUMIF('Cost Breakdowns'!$D$79:$D$96,'SoESCaOMCbIC-capital'!N$1,'Cost Breakdowns'!$B$79:$B$96)</f>
        <v/>
      </c>
      <c r="O14" s="77">
        <f>SUMIF('Cost Breakdowns'!$D$79:$D$96,'SoESCaOMCbIC-capital'!O$1,'Cost Breakdowns'!$B$79:$B$96)</f>
        <v/>
      </c>
      <c r="P14" s="77">
        <f>SUMIF('Cost Breakdowns'!$D$79:$D$96,'SoESCaOMCbIC-capital'!P$1,'Cost Breakdowns'!$B$79:$B$96)</f>
        <v/>
      </c>
      <c r="Q14" s="77">
        <f>SUMIF('Cost Breakdowns'!$D$79:$D$96,'SoESCaOMCbIC-capital'!Q$1,'Cost Breakdowns'!$B$79:$B$96)</f>
        <v/>
      </c>
      <c r="R14" s="77">
        <f>SUMIF('Cost Breakdowns'!$D$79:$D$96,'SoESCaOMCbIC-capital'!R$1,'Cost Breakdowns'!$B$79:$B$96)</f>
        <v/>
      </c>
      <c r="S14" s="77">
        <f>SUMIF('Cost Breakdowns'!$D$79:$D$96,'SoESCaOMCbIC-capital'!S$1,'Cost Breakdowns'!$B$79:$B$96)</f>
        <v/>
      </c>
      <c r="T14" s="77">
        <f>SUMIF('Cost Breakdowns'!$D$79:$D$96,'SoESCaOMCbIC-capital'!T$1,'Cost Breakdowns'!$B$79:$B$96)</f>
        <v/>
      </c>
      <c r="U14" s="77">
        <f>SUMIF('Cost Breakdowns'!$D$79:$D$96,'SoESCaOMCbIC-capital'!U$1,'Cost Breakdowns'!$B$79:$B$96)</f>
        <v/>
      </c>
      <c r="V14" s="77">
        <f>SUMIF('Cost Breakdowns'!$D$79:$D$96,'SoESCaOMCbIC-capital'!V$1,'Cost Breakdowns'!$B$79:$B$96)</f>
        <v/>
      </c>
      <c r="W14" s="77">
        <f>SUMIF('Cost Breakdowns'!$D$79:$D$96,'SoESCaOMCbIC-capital'!W$1,'Cost Breakdowns'!$B$79:$B$96)</f>
        <v/>
      </c>
      <c r="X14" s="77">
        <f>SUMIF('Cost Breakdowns'!$D$79:$D$96,'SoESCaOMCbIC-capital'!X$1,'Cost Breakdowns'!$B$79:$B$96)</f>
        <v/>
      </c>
      <c r="Y14" s="77">
        <f>SUMIF('Cost Breakdowns'!$D$79:$D$96,'SoESCaOMCbIC-capital'!Y$1,'Cost Breakdowns'!$B$79:$B$96)</f>
        <v/>
      </c>
      <c r="Z14" s="77">
        <f>SUMIF('Cost Breakdowns'!$D$79:$D$96,'SoESCaOMCbIC-capital'!Z$1,'Cost Breakdowns'!$B$79:$B$96)</f>
        <v/>
      </c>
      <c r="AA14" s="77">
        <f>SUMIF('Cost Breakdowns'!$D$79:$D$96,'SoESCaOMCbIC-capital'!AA$1,'Cost Breakdowns'!$B$79:$B$96)</f>
        <v/>
      </c>
      <c r="AB14" s="77">
        <f>SUMIF('Cost Breakdowns'!$D$79:$D$96,'SoESCaOMCbIC-capital'!AB$1,'Cost Breakdowns'!$B$79:$B$96)</f>
        <v/>
      </c>
      <c r="AC14" s="77">
        <f>SUMIF('Cost Breakdowns'!$D$79:$D$96,'SoESCaOMCbIC-capital'!AC$1,'Cost Breakdowns'!$B$79:$B$96)</f>
        <v/>
      </c>
      <c r="AD14" s="77">
        <f>SUMIF('Cost Breakdowns'!$D$79:$D$96,'SoESCaOMCbIC-capital'!AD$1,'Cost Breakdowns'!$B$79:$B$96)</f>
        <v/>
      </c>
      <c r="AE14" s="77">
        <f>SUMIF('Cost Breakdowns'!$D$79:$D$96,'SoESCaOMCbIC-capital'!AE$1,'Cost Breakdowns'!$B$79:$B$96)</f>
        <v/>
      </c>
      <c r="AF14" s="77">
        <f>SUMIF('Cost Breakdowns'!$D$79:$D$96,'SoESCaOMCbIC-capital'!AF$1,'Cost Breakdowns'!$B$79:$B$96)</f>
        <v/>
      </c>
      <c r="AG14" s="77">
        <f>SUMIF('Cost Breakdowns'!$D$79:$D$96,'SoESCaOMCbIC-capital'!AG$1,'Cost Breakdowns'!$B$79:$B$96)</f>
        <v/>
      </c>
      <c r="AH14" s="77">
        <f>SUMIF('Cost Breakdowns'!$D$79:$D$96,'SoESCaOMCbIC-capital'!AH$1,'Cost Breakdowns'!$B$79:$B$96)</f>
        <v/>
      </c>
      <c r="AI14" s="77">
        <f>SUMIF('Cost Breakdowns'!$D$79:$D$96,'SoESCaOMCbIC-capital'!AI$1,'Cost Breakdowns'!$B$79:$B$96)</f>
        <v/>
      </c>
      <c r="AJ14" s="77">
        <f>SUMIF('Cost Breakdowns'!$D$79:$D$96,'SoESCaOMCbIC-capital'!AJ$1,'Cost Breakdowns'!$B$79:$B$96)</f>
        <v/>
      </c>
      <c r="AK14" s="77">
        <f>SUMIF('Cost Breakdowns'!$D$79:$D$96,'SoESCaOMCbIC-capital'!AK$1,'Cost Breakdowns'!$B$79:$B$96)</f>
        <v/>
      </c>
      <c r="AL14" s="77">
        <f>SUMIF('Cost Breakdowns'!$D$79:$D$96,'SoESCaOMCbIC-capital'!AL$1,'Cost Breakdowns'!$B$79:$B$96)</f>
        <v/>
      </c>
      <c r="AM14" s="77">
        <f>SUMIF('Cost Breakdowns'!$D$79:$D$96,'SoESCaOMCbIC-capital'!AM$1,'Cost Breakdowns'!$B$79:$B$96)</f>
        <v/>
      </c>
      <c r="AN14" s="77">
        <f>SUMIF('Cost Breakdowns'!$D$79:$D$96,'SoESCaOMCbIC-capital'!AN$1,'Cost Breakdowns'!$B$79:$B$96)</f>
        <v/>
      </c>
      <c r="AO14" s="77">
        <f>SUMIF('Cost Breakdowns'!$D$79:$D$96,'SoESCaOMCbIC-capital'!AO$1,'Cost Breakdowns'!$B$79:$B$96)</f>
        <v/>
      </c>
      <c r="AP14" s="77">
        <f>SUMIF('Cost Breakdowns'!$D$79:$D$96,'SoESCaOMCbIC-capital'!AP$1,'Cost Breakdowns'!$B$79:$B$96)</f>
        <v/>
      </c>
      <c r="AQ14" s="77">
        <f>SUMIF('Cost Breakdowns'!$D$79:$D$96,'SoESCaOMCbIC-capital'!AQ$1,'Cost Breakdowns'!$B$79:$B$96)</f>
        <v/>
      </c>
    </row>
    <row r="15">
      <c r="A15" t="inlineStr">
        <is>
          <t>offshore wind</t>
        </is>
      </c>
      <c r="B15" s="77">
        <f>SUMIF('Cost Breakdowns'!$D$319:$D$363,'SoESCaOMCbIC-capital'!B$1,'Cost Breakdowns'!$B$319:$B$363)</f>
        <v/>
      </c>
      <c r="C15" s="77">
        <f>SUMIF('Cost Breakdowns'!$D$319:$D$363,'SoESCaOMCbIC-capital'!C$1,'Cost Breakdowns'!$B$319:$B$363)</f>
        <v/>
      </c>
      <c r="D15" s="77">
        <f>SUMIF('Cost Breakdowns'!$D$319:$D$363,'SoESCaOMCbIC-capital'!D$1,'Cost Breakdowns'!$B$319:$B$363)</f>
        <v/>
      </c>
      <c r="E15" s="77">
        <f>SUMIF('Cost Breakdowns'!$D$319:$D$363,'SoESCaOMCbIC-capital'!E$1,'Cost Breakdowns'!$B$319:$B$363)</f>
        <v/>
      </c>
      <c r="F15" s="77">
        <f>SUMIF('Cost Breakdowns'!$D$319:$D$363,'SoESCaOMCbIC-capital'!F$1,'Cost Breakdowns'!$B$319:$B$363)</f>
        <v/>
      </c>
      <c r="G15" s="77">
        <f>SUMIF('Cost Breakdowns'!$D$319:$D$363,'SoESCaOMCbIC-capital'!G$1,'Cost Breakdowns'!$B$319:$B$363)</f>
        <v/>
      </c>
      <c r="H15" s="77">
        <f>SUMIF('Cost Breakdowns'!$D$319:$D$363,'SoESCaOMCbIC-capital'!H$1,'Cost Breakdowns'!$B$319:$B$363)</f>
        <v/>
      </c>
      <c r="I15" s="77">
        <f>SUMIF('Cost Breakdowns'!$D$319:$D$363,'SoESCaOMCbIC-capital'!I$1,'Cost Breakdowns'!$B$319:$B$363)</f>
        <v/>
      </c>
      <c r="J15" s="77">
        <f>SUMIF('Cost Breakdowns'!$D$319:$D$363,'SoESCaOMCbIC-capital'!J$1,'Cost Breakdowns'!$B$319:$B$363)</f>
        <v/>
      </c>
      <c r="K15" s="77">
        <f>SUMIF('Cost Breakdowns'!$D$319:$D$363,'SoESCaOMCbIC-capital'!K$1,'Cost Breakdowns'!$B$319:$B$363)</f>
        <v/>
      </c>
      <c r="L15" s="77">
        <f>SUMIF('Cost Breakdowns'!$D$319:$D$363,'SoESCaOMCbIC-capital'!L$1,'Cost Breakdowns'!$B$319:$B$363)</f>
        <v/>
      </c>
      <c r="M15" s="77">
        <f>SUMIF('Cost Breakdowns'!$D$319:$D$363,'SoESCaOMCbIC-capital'!M$1,'Cost Breakdowns'!$B$319:$B$363)</f>
        <v/>
      </c>
      <c r="N15" s="77">
        <f>SUMIF('Cost Breakdowns'!$D$319:$D$363,'SoESCaOMCbIC-capital'!N$1,'Cost Breakdowns'!$B$319:$B$363)</f>
        <v/>
      </c>
      <c r="O15" s="77">
        <f>SUMIF('Cost Breakdowns'!$D$319:$D$363,'SoESCaOMCbIC-capital'!O$1,'Cost Breakdowns'!$B$319:$B$363)</f>
        <v/>
      </c>
      <c r="P15" s="77">
        <f>SUMIF('Cost Breakdowns'!$D$319:$D$363,'SoESCaOMCbIC-capital'!P$1,'Cost Breakdowns'!$B$319:$B$363)</f>
        <v/>
      </c>
      <c r="Q15" s="77">
        <f>SUMIF('Cost Breakdowns'!$D$319:$D$363,'SoESCaOMCbIC-capital'!Q$1,'Cost Breakdowns'!$B$319:$B$363)</f>
        <v/>
      </c>
      <c r="R15" s="77">
        <f>SUMIF('Cost Breakdowns'!$D$319:$D$363,'SoESCaOMCbIC-capital'!R$1,'Cost Breakdowns'!$B$319:$B$363)</f>
        <v/>
      </c>
      <c r="S15" s="77">
        <f>SUMIF('Cost Breakdowns'!$D$319:$D$363,'SoESCaOMCbIC-capital'!S$1,'Cost Breakdowns'!$B$319:$B$363)</f>
        <v/>
      </c>
      <c r="T15" s="77">
        <f>SUMIF('Cost Breakdowns'!$D$319:$D$363,'SoESCaOMCbIC-capital'!T$1,'Cost Breakdowns'!$B$319:$B$363)</f>
        <v/>
      </c>
      <c r="U15" s="77">
        <f>SUMIF('Cost Breakdowns'!$D$319:$D$363,'SoESCaOMCbIC-capital'!U$1,'Cost Breakdowns'!$B$319:$B$363)</f>
        <v/>
      </c>
      <c r="V15" s="77">
        <f>SUMIF('Cost Breakdowns'!$D$319:$D$363,'SoESCaOMCbIC-capital'!V$1,'Cost Breakdowns'!$B$319:$B$363)</f>
        <v/>
      </c>
      <c r="W15" s="77">
        <f>SUMIF('Cost Breakdowns'!$D$319:$D$363,'SoESCaOMCbIC-capital'!W$1,'Cost Breakdowns'!$B$319:$B$363)</f>
        <v/>
      </c>
      <c r="X15" s="77">
        <f>SUMIF('Cost Breakdowns'!$D$319:$D$363,'SoESCaOMCbIC-capital'!X$1,'Cost Breakdowns'!$B$319:$B$363)</f>
        <v/>
      </c>
      <c r="Y15" s="77">
        <f>SUMIF('Cost Breakdowns'!$D$319:$D$363,'SoESCaOMCbIC-capital'!Y$1,'Cost Breakdowns'!$B$319:$B$363)</f>
        <v/>
      </c>
      <c r="Z15" s="77">
        <f>SUMIF('Cost Breakdowns'!$D$319:$D$363,'SoESCaOMCbIC-capital'!Z$1,'Cost Breakdowns'!$B$319:$B$363)</f>
        <v/>
      </c>
      <c r="AA15" s="77">
        <f>SUMIF('Cost Breakdowns'!$D$319:$D$363,'SoESCaOMCbIC-capital'!AA$1,'Cost Breakdowns'!$B$319:$B$363)</f>
        <v/>
      </c>
      <c r="AB15" s="77">
        <f>SUMIF('Cost Breakdowns'!$D$319:$D$363,'SoESCaOMCbIC-capital'!AB$1,'Cost Breakdowns'!$B$319:$B$363)</f>
        <v/>
      </c>
      <c r="AC15" s="77">
        <f>SUMIF('Cost Breakdowns'!$D$319:$D$363,'SoESCaOMCbIC-capital'!AC$1,'Cost Breakdowns'!$B$319:$B$363)</f>
        <v/>
      </c>
      <c r="AD15" s="77">
        <f>SUMIF('Cost Breakdowns'!$D$319:$D$363,'SoESCaOMCbIC-capital'!AD$1,'Cost Breakdowns'!$B$319:$B$363)</f>
        <v/>
      </c>
      <c r="AE15" s="77">
        <f>SUMIF('Cost Breakdowns'!$D$319:$D$363,'SoESCaOMCbIC-capital'!AE$1,'Cost Breakdowns'!$B$319:$B$363)</f>
        <v/>
      </c>
      <c r="AF15" s="77">
        <f>SUMIF('Cost Breakdowns'!$D$319:$D$363,'SoESCaOMCbIC-capital'!AF$1,'Cost Breakdowns'!$B$319:$B$363)</f>
        <v/>
      </c>
      <c r="AG15" s="77">
        <f>SUMIF('Cost Breakdowns'!$D$319:$D$363,'SoESCaOMCbIC-capital'!AG$1,'Cost Breakdowns'!$B$319:$B$363)</f>
        <v/>
      </c>
      <c r="AH15" s="77">
        <f>SUMIF('Cost Breakdowns'!$D$319:$D$363,'SoESCaOMCbIC-capital'!AH$1,'Cost Breakdowns'!$B$319:$B$363)</f>
        <v/>
      </c>
      <c r="AI15" s="77">
        <f>SUMIF('Cost Breakdowns'!$D$319:$D$363,'SoESCaOMCbIC-capital'!AI$1,'Cost Breakdowns'!$B$319:$B$363)</f>
        <v/>
      </c>
      <c r="AJ15" s="77">
        <f>SUMIF('Cost Breakdowns'!$D$319:$D$363,'SoESCaOMCbIC-capital'!AJ$1,'Cost Breakdowns'!$B$319:$B$363)</f>
        <v/>
      </c>
      <c r="AK15" s="77">
        <f>SUMIF('Cost Breakdowns'!$D$319:$D$363,'SoESCaOMCbIC-capital'!AK$1,'Cost Breakdowns'!$B$319:$B$363)</f>
        <v/>
      </c>
      <c r="AL15" s="77">
        <f>SUMIF('Cost Breakdowns'!$D$319:$D$363,'SoESCaOMCbIC-capital'!AL$1,'Cost Breakdowns'!$B$319:$B$363)</f>
        <v/>
      </c>
      <c r="AM15" s="77">
        <f>SUMIF('Cost Breakdowns'!$D$319:$D$363,'SoESCaOMCbIC-capital'!AM$1,'Cost Breakdowns'!$B$319:$B$363)</f>
        <v/>
      </c>
      <c r="AN15" s="77">
        <f>SUMIF('Cost Breakdowns'!$D$319:$D$363,'SoESCaOMCbIC-capital'!AN$1,'Cost Breakdowns'!$B$319:$B$363)</f>
        <v/>
      </c>
      <c r="AO15" s="77">
        <f>SUMIF('Cost Breakdowns'!$D$319:$D$363,'SoESCaOMCbIC-capital'!AO$1,'Cost Breakdowns'!$B$319:$B$363)</f>
        <v/>
      </c>
      <c r="AP15" s="77">
        <f>SUMIF('Cost Breakdowns'!$D$319:$D$363,'SoESCaOMCbIC-capital'!AP$1,'Cost Breakdowns'!$B$319:$B$363)</f>
        <v/>
      </c>
      <c r="AQ15" s="77">
        <f>SUMIF('Cost Breakdowns'!$D$319:$D$363,'SoESCaOMCbIC-capital'!AQ$1,'Cost Breakdowns'!$B$319:$B$363)</f>
        <v/>
      </c>
    </row>
    <row r="16">
      <c r="A16" t="inlineStr">
        <is>
          <t>crude oil</t>
        </is>
      </c>
      <c r="B16" s="100">
        <f>B$3</f>
        <v/>
      </c>
      <c r="C16" s="100">
        <f>C$3</f>
        <v/>
      </c>
      <c r="D16" s="100">
        <f>D$3</f>
        <v/>
      </c>
      <c r="E16" s="100">
        <f>E$3</f>
        <v/>
      </c>
      <c r="F16" s="100">
        <f>F$3</f>
        <v/>
      </c>
      <c r="G16" s="100">
        <f>G$3</f>
        <v/>
      </c>
      <c r="H16" s="100">
        <f>H$3</f>
        <v/>
      </c>
      <c r="I16" s="100">
        <f>I$3</f>
        <v/>
      </c>
      <c r="J16" s="100">
        <f>J$3</f>
        <v/>
      </c>
      <c r="K16" s="100">
        <f>K$3</f>
        <v/>
      </c>
      <c r="L16" s="100">
        <f>L$3</f>
        <v/>
      </c>
      <c r="M16" s="100">
        <f>M$3</f>
        <v/>
      </c>
      <c r="N16" s="100">
        <f>N$3</f>
        <v/>
      </c>
      <c r="O16" s="100">
        <f>O$3</f>
        <v/>
      </c>
      <c r="P16" s="100">
        <f>P$3</f>
        <v/>
      </c>
      <c r="Q16" s="100">
        <f>Q$3</f>
        <v/>
      </c>
      <c r="R16" s="100">
        <f>R$3</f>
        <v/>
      </c>
      <c r="S16" s="100">
        <f>S$3</f>
        <v/>
      </c>
      <c r="T16" s="100">
        <f>T$3</f>
        <v/>
      </c>
      <c r="U16" s="100">
        <f>U$3</f>
        <v/>
      </c>
      <c r="V16" s="100">
        <f>V$3</f>
        <v/>
      </c>
      <c r="W16" s="100">
        <f>W$3</f>
        <v/>
      </c>
      <c r="X16" s="100">
        <f>X$3</f>
        <v/>
      </c>
      <c r="Y16" s="100">
        <f>Y$3</f>
        <v/>
      </c>
      <c r="Z16" s="100">
        <f>Z$3</f>
        <v/>
      </c>
      <c r="AA16" s="100">
        <f>AA$3</f>
        <v/>
      </c>
      <c r="AB16" s="100">
        <f>AB$3</f>
        <v/>
      </c>
      <c r="AC16" s="100">
        <f>AC$3</f>
        <v/>
      </c>
      <c r="AD16" s="100">
        <f>AD$3</f>
        <v/>
      </c>
      <c r="AE16" s="100">
        <f>AE$3</f>
        <v/>
      </c>
      <c r="AF16" s="100">
        <f>AF$3</f>
        <v/>
      </c>
      <c r="AG16" s="100">
        <f>AG$3</f>
        <v/>
      </c>
      <c r="AH16" s="100">
        <f>AH$3</f>
        <v/>
      </c>
      <c r="AI16" s="100">
        <f>AI$3</f>
        <v/>
      </c>
      <c r="AJ16" s="100">
        <f>AJ$3</f>
        <v/>
      </c>
      <c r="AK16" s="100">
        <f>AK$3</f>
        <v/>
      </c>
      <c r="AL16" s="100">
        <f>AL$3</f>
        <v/>
      </c>
      <c r="AM16" s="100">
        <f>AM$3</f>
        <v/>
      </c>
      <c r="AN16" s="100">
        <f>AN$3</f>
        <v/>
      </c>
      <c r="AO16" s="100">
        <f>AO$3</f>
        <v/>
      </c>
      <c r="AP16" s="100">
        <f>AP$3</f>
        <v/>
      </c>
      <c r="AQ16" s="100">
        <f>AQ$3</f>
        <v/>
      </c>
    </row>
    <row r="17">
      <c r="A17" t="inlineStr">
        <is>
          <t>heavy or residual fuel oil</t>
        </is>
      </c>
      <c r="B17" s="100">
        <f>B$3</f>
        <v/>
      </c>
      <c r="C17" s="100">
        <f>C$3</f>
        <v/>
      </c>
      <c r="D17" s="100">
        <f>D$3</f>
        <v/>
      </c>
      <c r="E17" s="100">
        <f>E$3</f>
        <v/>
      </c>
      <c r="F17" s="100">
        <f>F$3</f>
        <v/>
      </c>
      <c r="G17" s="100">
        <f>G$3</f>
        <v/>
      </c>
      <c r="H17" s="100">
        <f>H$3</f>
        <v/>
      </c>
      <c r="I17" s="100">
        <f>I$3</f>
        <v/>
      </c>
      <c r="J17" s="100">
        <f>J$3</f>
        <v/>
      </c>
      <c r="K17" s="100">
        <f>K$3</f>
        <v/>
      </c>
      <c r="L17" s="100">
        <f>L$3</f>
        <v/>
      </c>
      <c r="M17" s="100">
        <f>M$3</f>
        <v/>
      </c>
      <c r="N17" s="100">
        <f>N$3</f>
        <v/>
      </c>
      <c r="O17" s="100">
        <f>O$3</f>
        <v/>
      </c>
      <c r="P17" s="100">
        <f>P$3</f>
        <v/>
      </c>
      <c r="Q17" s="100">
        <f>Q$3</f>
        <v/>
      </c>
      <c r="R17" s="100">
        <f>R$3</f>
        <v/>
      </c>
      <c r="S17" s="100">
        <f>S$3</f>
        <v/>
      </c>
      <c r="T17" s="100">
        <f>T$3</f>
        <v/>
      </c>
      <c r="U17" s="100">
        <f>U$3</f>
        <v/>
      </c>
      <c r="V17" s="100">
        <f>V$3</f>
        <v/>
      </c>
      <c r="W17" s="100">
        <f>W$3</f>
        <v/>
      </c>
      <c r="X17" s="100">
        <f>X$3</f>
        <v/>
      </c>
      <c r="Y17" s="100">
        <f>Y$3</f>
        <v/>
      </c>
      <c r="Z17" s="100">
        <f>Z$3</f>
        <v/>
      </c>
      <c r="AA17" s="100">
        <f>AA$3</f>
        <v/>
      </c>
      <c r="AB17" s="100">
        <f>AB$3</f>
        <v/>
      </c>
      <c r="AC17" s="100">
        <f>AC$3</f>
        <v/>
      </c>
      <c r="AD17" s="100">
        <f>AD$3</f>
        <v/>
      </c>
      <c r="AE17" s="100">
        <f>AE$3</f>
        <v/>
      </c>
      <c r="AF17" s="100">
        <f>AF$3</f>
        <v/>
      </c>
      <c r="AG17" s="100">
        <f>AG$3</f>
        <v/>
      </c>
      <c r="AH17" s="100">
        <f>AH$3</f>
        <v/>
      </c>
      <c r="AI17" s="100">
        <f>AI$3</f>
        <v/>
      </c>
      <c r="AJ17" s="100">
        <f>AJ$3</f>
        <v/>
      </c>
      <c r="AK17" s="100">
        <f>AK$3</f>
        <v/>
      </c>
      <c r="AL17" s="100">
        <f>AL$3</f>
        <v/>
      </c>
      <c r="AM17" s="100">
        <f>AM$3</f>
        <v/>
      </c>
      <c r="AN17" s="100">
        <f>AN$3</f>
        <v/>
      </c>
      <c r="AO17" s="100">
        <f>AO$3</f>
        <v/>
      </c>
      <c r="AP17" s="100">
        <f>AP$3</f>
        <v/>
      </c>
      <c r="AQ17" s="100">
        <f>AQ$3</f>
        <v/>
      </c>
    </row>
    <row r="18">
      <c r="A18" t="inlineStr">
        <is>
          <t>municipal solid waste</t>
        </is>
      </c>
      <c r="B18" s="100">
        <f>B10</f>
        <v/>
      </c>
      <c r="C18" s="100">
        <f>C10</f>
        <v/>
      </c>
      <c r="D18" s="100">
        <f>D10</f>
        <v/>
      </c>
      <c r="E18" s="100">
        <f>E10</f>
        <v/>
      </c>
      <c r="F18" s="100">
        <f>F10</f>
        <v/>
      </c>
      <c r="G18" s="100">
        <f>G10</f>
        <v/>
      </c>
      <c r="H18" s="100">
        <f>H10</f>
        <v/>
      </c>
      <c r="I18" s="100">
        <f>I10</f>
        <v/>
      </c>
      <c r="J18" s="100">
        <f>J10</f>
        <v/>
      </c>
      <c r="K18" s="100">
        <f>K10</f>
        <v/>
      </c>
      <c r="L18" s="100">
        <f>L10</f>
        <v/>
      </c>
      <c r="M18" s="100">
        <f>M10</f>
        <v/>
      </c>
      <c r="N18" s="100">
        <f>N10</f>
        <v/>
      </c>
      <c r="O18" s="100">
        <f>O10</f>
        <v/>
      </c>
      <c r="P18" s="100">
        <f>P10</f>
        <v/>
      </c>
      <c r="Q18" s="100">
        <f>Q10</f>
        <v/>
      </c>
      <c r="R18" s="100">
        <f>R10</f>
        <v/>
      </c>
      <c r="S18" s="100">
        <f>S10</f>
        <v/>
      </c>
      <c r="T18" s="100">
        <f>T10</f>
        <v/>
      </c>
      <c r="U18" s="100">
        <f>U10</f>
        <v/>
      </c>
      <c r="V18" s="100">
        <f>V10</f>
        <v/>
      </c>
      <c r="W18" s="100">
        <f>W10</f>
        <v/>
      </c>
      <c r="X18" s="100">
        <f>X10</f>
        <v/>
      </c>
      <c r="Y18" s="100">
        <f>Y10</f>
        <v/>
      </c>
      <c r="Z18" s="100">
        <f>Z10</f>
        <v/>
      </c>
      <c r="AA18" s="100">
        <f>AA10</f>
        <v/>
      </c>
      <c r="AB18" s="100">
        <f>AB10</f>
        <v/>
      </c>
      <c r="AC18" s="100">
        <f>AC10</f>
        <v/>
      </c>
      <c r="AD18" s="100">
        <f>AD10</f>
        <v/>
      </c>
      <c r="AE18" s="100">
        <f>AE10</f>
        <v/>
      </c>
      <c r="AF18" s="100">
        <f>AF10</f>
        <v/>
      </c>
      <c r="AG18" s="100">
        <f>AG10</f>
        <v/>
      </c>
      <c r="AH18" s="100">
        <f>AH10</f>
        <v/>
      </c>
      <c r="AI18" s="100">
        <f>AI10</f>
        <v/>
      </c>
      <c r="AJ18" s="100">
        <f>AJ10</f>
        <v/>
      </c>
      <c r="AK18" s="100">
        <f>AK10</f>
        <v/>
      </c>
      <c r="AL18" s="100">
        <f>AL10</f>
        <v/>
      </c>
      <c r="AM18" s="100">
        <f>AM10</f>
        <v/>
      </c>
      <c r="AN18" s="100">
        <f>AN10</f>
        <v/>
      </c>
      <c r="AO18" s="100">
        <f>AO10</f>
        <v/>
      </c>
      <c r="AP18" s="100">
        <f>AP10</f>
        <v/>
      </c>
      <c r="AQ18" s="100">
        <f>AQ10</f>
        <v/>
      </c>
    </row>
    <row r="19">
      <c r="A19" t="inlineStr">
        <is>
          <t>hard coal w CCS</t>
        </is>
      </c>
      <c r="B19" s="77">
        <f>'CCS Costs'!B60+'CCS Costs'!B68</f>
        <v/>
      </c>
      <c r="C19" s="77">
        <f>'CCS Costs'!C60+'CCS Costs'!C68</f>
        <v/>
      </c>
      <c r="D19" s="77">
        <f>'CCS Costs'!D60+'CCS Costs'!D68</f>
        <v/>
      </c>
      <c r="E19" s="77">
        <f>'CCS Costs'!E60+'CCS Costs'!E68</f>
        <v/>
      </c>
      <c r="F19" s="77">
        <f>'CCS Costs'!F60+'CCS Costs'!F68</f>
        <v/>
      </c>
      <c r="G19" s="77">
        <f>'CCS Costs'!G60+'CCS Costs'!G68</f>
        <v/>
      </c>
      <c r="H19" s="77">
        <f>'CCS Costs'!H60+'CCS Costs'!H68</f>
        <v/>
      </c>
      <c r="I19" s="77">
        <f>'CCS Costs'!I60+'CCS Costs'!I68</f>
        <v/>
      </c>
      <c r="J19" s="77">
        <f>'CCS Costs'!J60+'CCS Costs'!J68</f>
        <v/>
      </c>
      <c r="K19" s="77">
        <f>'CCS Costs'!K60+'CCS Costs'!K68</f>
        <v/>
      </c>
      <c r="L19" s="77">
        <f>'CCS Costs'!L60+'CCS Costs'!L68</f>
        <v/>
      </c>
      <c r="M19" s="77">
        <f>'CCS Costs'!M60+'CCS Costs'!M68</f>
        <v/>
      </c>
      <c r="N19" s="77">
        <f>'CCS Costs'!N60+'CCS Costs'!N68</f>
        <v/>
      </c>
      <c r="O19" s="77">
        <f>'CCS Costs'!O60+'CCS Costs'!O68</f>
        <v/>
      </c>
      <c r="P19" s="77">
        <f>'CCS Costs'!P60+'CCS Costs'!P68</f>
        <v/>
      </c>
      <c r="Q19" s="77">
        <f>'CCS Costs'!Q60+'CCS Costs'!Q68</f>
        <v/>
      </c>
      <c r="R19" s="77">
        <f>'CCS Costs'!R60+'CCS Costs'!R68</f>
        <v/>
      </c>
      <c r="S19" s="77">
        <f>'CCS Costs'!S60+'CCS Costs'!S68</f>
        <v/>
      </c>
      <c r="T19" s="77">
        <f>'CCS Costs'!T60+'CCS Costs'!T68</f>
        <v/>
      </c>
      <c r="U19" s="77">
        <f>'CCS Costs'!U60+'CCS Costs'!U68</f>
        <v/>
      </c>
      <c r="V19" s="77">
        <f>'CCS Costs'!V60+'CCS Costs'!V68</f>
        <v/>
      </c>
      <c r="W19" s="77">
        <f>'CCS Costs'!W60+'CCS Costs'!W68</f>
        <v/>
      </c>
      <c r="X19" s="77">
        <f>'CCS Costs'!X60+'CCS Costs'!X68</f>
        <v/>
      </c>
      <c r="Y19" s="77">
        <f>'CCS Costs'!Y60+'CCS Costs'!Y68</f>
        <v/>
      </c>
      <c r="Z19" s="77">
        <f>'CCS Costs'!Z60+'CCS Costs'!Z68</f>
        <v/>
      </c>
      <c r="AA19" s="77">
        <f>'CCS Costs'!AA60+'CCS Costs'!AA68</f>
        <v/>
      </c>
      <c r="AB19" s="77">
        <f>'CCS Costs'!AB60+'CCS Costs'!AB68</f>
        <v/>
      </c>
      <c r="AC19" s="77">
        <f>'CCS Costs'!AC60+'CCS Costs'!AC68</f>
        <v/>
      </c>
      <c r="AD19" s="77">
        <f>'CCS Costs'!AD60+'CCS Costs'!AD68</f>
        <v/>
      </c>
      <c r="AE19" s="77">
        <f>'CCS Costs'!AE60+'CCS Costs'!AE68</f>
        <v/>
      </c>
      <c r="AF19" s="77">
        <f>'CCS Costs'!AF60+'CCS Costs'!AF68</f>
        <v/>
      </c>
      <c r="AG19" s="77">
        <f>'CCS Costs'!AG60+'CCS Costs'!AG68</f>
        <v/>
      </c>
      <c r="AH19" s="77">
        <f>'CCS Costs'!AH60+'CCS Costs'!AH68</f>
        <v/>
      </c>
      <c r="AI19" s="77">
        <f>'CCS Costs'!AI60+'CCS Costs'!AI68</f>
        <v/>
      </c>
      <c r="AJ19" s="77">
        <f>'CCS Costs'!AJ60+'CCS Costs'!AJ68</f>
        <v/>
      </c>
      <c r="AK19" s="77">
        <f>'CCS Costs'!AK60+'CCS Costs'!AK68</f>
        <v/>
      </c>
      <c r="AL19" s="77">
        <f>'CCS Costs'!AL60+'CCS Costs'!AL68</f>
        <v/>
      </c>
      <c r="AM19" s="77">
        <f>'CCS Costs'!AM60+'CCS Costs'!AM68</f>
        <v/>
      </c>
      <c r="AN19" s="77">
        <f>'CCS Costs'!AN60+'CCS Costs'!AN68</f>
        <v/>
      </c>
      <c r="AO19" s="77">
        <f>'CCS Costs'!AO60+'CCS Costs'!AO68</f>
        <v/>
      </c>
      <c r="AP19" s="77">
        <f>'CCS Costs'!AP60+'CCS Costs'!AP68</f>
        <v/>
      </c>
      <c r="AQ19" s="77">
        <f>'CCS Costs'!AQ60+'CCS Costs'!AQ68</f>
        <v/>
      </c>
      <c r="AS19" s="77" t="n"/>
    </row>
    <row r="20">
      <c r="A20" t="inlineStr">
        <is>
          <t>natural gas combined cycle w CCS</t>
        </is>
      </c>
      <c r="B20" s="77">
        <f>'CCS Costs'!B61+'CCS Costs'!B69</f>
        <v/>
      </c>
      <c r="C20" s="77">
        <f>'CCS Costs'!C61+'CCS Costs'!C69</f>
        <v/>
      </c>
      <c r="D20" s="77">
        <f>'CCS Costs'!D61+'CCS Costs'!D69</f>
        <v/>
      </c>
      <c r="E20" s="77">
        <f>'CCS Costs'!E61+'CCS Costs'!E69</f>
        <v/>
      </c>
      <c r="F20" s="77">
        <f>'CCS Costs'!F61+'CCS Costs'!F69</f>
        <v/>
      </c>
      <c r="G20" s="77">
        <f>'CCS Costs'!G61+'CCS Costs'!G69</f>
        <v/>
      </c>
      <c r="H20" s="77">
        <f>'CCS Costs'!H61+'CCS Costs'!H69</f>
        <v/>
      </c>
      <c r="I20" s="77">
        <f>'CCS Costs'!I61+'CCS Costs'!I69</f>
        <v/>
      </c>
      <c r="J20" s="77">
        <f>'CCS Costs'!J61+'CCS Costs'!J69</f>
        <v/>
      </c>
      <c r="K20" s="77">
        <f>'CCS Costs'!K61+'CCS Costs'!K69</f>
        <v/>
      </c>
      <c r="L20" s="77">
        <f>'CCS Costs'!L61+'CCS Costs'!L69</f>
        <v/>
      </c>
      <c r="M20" s="77">
        <f>'CCS Costs'!M61+'CCS Costs'!M69</f>
        <v/>
      </c>
      <c r="N20" s="77">
        <f>'CCS Costs'!N61+'CCS Costs'!N69</f>
        <v/>
      </c>
      <c r="O20" s="77">
        <f>'CCS Costs'!O61+'CCS Costs'!O69</f>
        <v/>
      </c>
      <c r="P20" s="77">
        <f>'CCS Costs'!P61+'CCS Costs'!P69</f>
        <v/>
      </c>
      <c r="Q20" s="77">
        <f>'CCS Costs'!Q61+'CCS Costs'!Q69</f>
        <v/>
      </c>
      <c r="R20" s="77">
        <f>'CCS Costs'!R61+'CCS Costs'!R69</f>
        <v/>
      </c>
      <c r="S20" s="77">
        <f>'CCS Costs'!S61+'CCS Costs'!S69</f>
        <v/>
      </c>
      <c r="T20" s="77">
        <f>'CCS Costs'!T61+'CCS Costs'!T69</f>
        <v/>
      </c>
      <c r="U20" s="77">
        <f>'CCS Costs'!U61+'CCS Costs'!U69</f>
        <v/>
      </c>
      <c r="V20" s="77">
        <f>'CCS Costs'!V61+'CCS Costs'!V69</f>
        <v/>
      </c>
      <c r="W20" s="77">
        <f>'CCS Costs'!W61+'CCS Costs'!W69</f>
        <v/>
      </c>
      <c r="X20" s="77">
        <f>'CCS Costs'!X61+'CCS Costs'!X69</f>
        <v/>
      </c>
      <c r="Y20" s="77">
        <f>'CCS Costs'!Y61+'CCS Costs'!Y69</f>
        <v/>
      </c>
      <c r="Z20" s="77">
        <f>'CCS Costs'!Z61+'CCS Costs'!Z69</f>
        <v/>
      </c>
      <c r="AA20" s="77">
        <f>'CCS Costs'!AA61+'CCS Costs'!AA69</f>
        <v/>
      </c>
      <c r="AB20" s="77">
        <f>'CCS Costs'!AB61+'CCS Costs'!AB69</f>
        <v/>
      </c>
      <c r="AC20" s="77">
        <f>'CCS Costs'!AC61+'CCS Costs'!AC69</f>
        <v/>
      </c>
      <c r="AD20" s="77">
        <f>'CCS Costs'!AD61+'CCS Costs'!AD69</f>
        <v/>
      </c>
      <c r="AE20" s="77">
        <f>'CCS Costs'!AE61+'CCS Costs'!AE69</f>
        <v/>
      </c>
      <c r="AF20" s="77">
        <f>'CCS Costs'!AF61+'CCS Costs'!AF69</f>
        <v/>
      </c>
      <c r="AG20" s="77">
        <f>'CCS Costs'!AG61+'CCS Costs'!AG69</f>
        <v/>
      </c>
      <c r="AH20" s="77">
        <f>'CCS Costs'!AH61+'CCS Costs'!AH69</f>
        <v/>
      </c>
      <c r="AI20" s="77">
        <f>'CCS Costs'!AI61+'CCS Costs'!AI69</f>
        <v/>
      </c>
      <c r="AJ20" s="77">
        <f>'CCS Costs'!AJ61+'CCS Costs'!AJ69</f>
        <v/>
      </c>
      <c r="AK20" s="77">
        <f>'CCS Costs'!AK61+'CCS Costs'!AK69</f>
        <v/>
      </c>
      <c r="AL20" s="77">
        <f>'CCS Costs'!AL61+'CCS Costs'!AL69</f>
        <v/>
      </c>
      <c r="AM20" s="77">
        <f>'CCS Costs'!AM61+'CCS Costs'!AM69</f>
        <v/>
      </c>
      <c r="AN20" s="77">
        <f>'CCS Costs'!AN61+'CCS Costs'!AN69</f>
        <v/>
      </c>
      <c r="AO20" s="77">
        <f>'CCS Costs'!AO61+'CCS Costs'!AO69</f>
        <v/>
      </c>
      <c r="AP20" s="77">
        <f>'CCS Costs'!AP61+'CCS Costs'!AP69</f>
        <v/>
      </c>
      <c r="AQ20" s="77">
        <f>'CCS Costs'!AQ61+'CCS Costs'!AQ69</f>
        <v/>
      </c>
      <c r="AS20" s="77" t="n"/>
    </row>
    <row r="21">
      <c r="A21" t="inlineStr">
        <is>
          <t>biomass w CCS</t>
        </is>
      </c>
      <c r="B21" s="77">
        <f>'CCS Costs'!B62+'CCS Costs'!B70</f>
        <v/>
      </c>
      <c r="C21" s="77">
        <f>'CCS Costs'!C62+'CCS Costs'!C70</f>
        <v/>
      </c>
      <c r="D21" s="77">
        <f>'CCS Costs'!D62+'CCS Costs'!D70</f>
        <v/>
      </c>
      <c r="E21" s="77">
        <f>'CCS Costs'!E62+'CCS Costs'!E70</f>
        <v/>
      </c>
      <c r="F21" s="77">
        <f>'CCS Costs'!F62+'CCS Costs'!F70</f>
        <v/>
      </c>
      <c r="G21" s="77">
        <f>'CCS Costs'!G62+'CCS Costs'!G70</f>
        <v/>
      </c>
      <c r="H21" s="77">
        <f>'CCS Costs'!H62+'CCS Costs'!H70</f>
        <v/>
      </c>
      <c r="I21" s="77">
        <f>'CCS Costs'!I62+'CCS Costs'!I70</f>
        <v/>
      </c>
      <c r="J21" s="77">
        <f>'CCS Costs'!J62+'CCS Costs'!J70</f>
        <v/>
      </c>
      <c r="K21" s="77">
        <f>'CCS Costs'!K62+'CCS Costs'!K70</f>
        <v/>
      </c>
      <c r="L21" s="77">
        <f>'CCS Costs'!L62+'CCS Costs'!L70</f>
        <v/>
      </c>
      <c r="M21" s="77">
        <f>'CCS Costs'!M62+'CCS Costs'!M70</f>
        <v/>
      </c>
      <c r="N21" s="77">
        <f>'CCS Costs'!N62+'CCS Costs'!N70</f>
        <v/>
      </c>
      <c r="O21" s="77">
        <f>'CCS Costs'!O62+'CCS Costs'!O70</f>
        <v/>
      </c>
      <c r="P21" s="77">
        <f>'CCS Costs'!P62+'CCS Costs'!P70</f>
        <v/>
      </c>
      <c r="Q21" s="77">
        <f>'CCS Costs'!Q62+'CCS Costs'!Q70</f>
        <v/>
      </c>
      <c r="R21" s="77">
        <f>'CCS Costs'!R62+'CCS Costs'!R70</f>
        <v/>
      </c>
      <c r="S21" s="77">
        <f>'CCS Costs'!S62+'CCS Costs'!S70</f>
        <v/>
      </c>
      <c r="T21" s="77">
        <f>'CCS Costs'!T62+'CCS Costs'!T70</f>
        <v/>
      </c>
      <c r="U21" s="77">
        <f>'CCS Costs'!U62+'CCS Costs'!U70</f>
        <v/>
      </c>
      <c r="V21" s="77">
        <f>'CCS Costs'!V62+'CCS Costs'!V70</f>
        <v/>
      </c>
      <c r="W21" s="77">
        <f>'CCS Costs'!W62+'CCS Costs'!W70</f>
        <v/>
      </c>
      <c r="X21" s="77">
        <f>'CCS Costs'!X62+'CCS Costs'!X70</f>
        <v/>
      </c>
      <c r="Y21" s="77">
        <f>'CCS Costs'!Y62+'CCS Costs'!Y70</f>
        <v/>
      </c>
      <c r="Z21" s="77">
        <f>'CCS Costs'!Z62+'CCS Costs'!Z70</f>
        <v/>
      </c>
      <c r="AA21" s="77">
        <f>'CCS Costs'!AA62+'CCS Costs'!AA70</f>
        <v/>
      </c>
      <c r="AB21" s="77">
        <f>'CCS Costs'!AB62+'CCS Costs'!AB70</f>
        <v/>
      </c>
      <c r="AC21" s="77">
        <f>'CCS Costs'!AC62+'CCS Costs'!AC70</f>
        <v/>
      </c>
      <c r="AD21" s="77">
        <f>'CCS Costs'!AD62+'CCS Costs'!AD70</f>
        <v/>
      </c>
      <c r="AE21" s="77">
        <f>'CCS Costs'!AE62+'CCS Costs'!AE70</f>
        <v/>
      </c>
      <c r="AF21" s="77">
        <f>'CCS Costs'!AF62+'CCS Costs'!AF70</f>
        <v/>
      </c>
      <c r="AG21" s="77">
        <f>'CCS Costs'!AG62+'CCS Costs'!AG70</f>
        <v/>
      </c>
      <c r="AH21" s="77">
        <f>'CCS Costs'!AH62+'CCS Costs'!AH70</f>
        <v/>
      </c>
      <c r="AI21" s="77">
        <f>'CCS Costs'!AI62+'CCS Costs'!AI70</f>
        <v/>
      </c>
      <c r="AJ21" s="77">
        <f>'CCS Costs'!AJ62+'CCS Costs'!AJ70</f>
        <v/>
      </c>
      <c r="AK21" s="77">
        <f>'CCS Costs'!AK62+'CCS Costs'!AK70</f>
        <v/>
      </c>
      <c r="AL21" s="77">
        <f>'CCS Costs'!AL62+'CCS Costs'!AL70</f>
        <v/>
      </c>
      <c r="AM21" s="77">
        <f>'CCS Costs'!AM62+'CCS Costs'!AM70</f>
        <v/>
      </c>
      <c r="AN21" s="77">
        <f>'CCS Costs'!AN62+'CCS Costs'!AN70</f>
        <v/>
      </c>
      <c r="AO21" s="77">
        <f>'CCS Costs'!AO62+'CCS Costs'!AO70</f>
        <v/>
      </c>
      <c r="AP21" s="77">
        <f>'CCS Costs'!AP62+'CCS Costs'!AP70</f>
        <v/>
      </c>
      <c r="AQ21" s="77">
        <f>'CCS Costs'!AQ62+'CCS Costs'!AQ70</f>
        <v/>
      </c>
      <c r="AS21" s="77" t="n"/>
    </row>
    <row r="22">
      <c r="A22" t="inlineStr">
        <is>
          <t>lignite w CCS</t>
        </is>
      </c>
      <c r="B22" s="77">
        <f>'CCS Costs'!B63+'CCS Costs'!B71</f>
        <v/>
      </c>
      <c r="C22" s="77">
        <f>'CCS Costs'!C63+'CCS Costs'!C71</f>
        <v/>
      </c>
      <c r="D22" s="77">
        <f>'CCS Costs'!D63+'CCS Costs'!D71</f>
        <v/>
      </c>
      <c r="E22" s="77">
        <f>'CCS Costs'!E63+'CCS Costs'!E71</f>
        <v/>
      </c>
      <c r="F22" s="77">
        <f>'CCS Costs'!F63+'CCS Costs'!F71</f>
        <v/>
      </c>
      <c r="G22" s="77">
        <f>'CCS Costs'!G63+'CCS Costs'!G71</f>
        <v/>
      </c>
      <c r="H22" s="77">
        <f>'CCS Costs'!H63+'CCS Costs'!H71</f>
        <v/>
      </c>
      <c r="I22" s="77">
        <f>'CCS Costs'!I63+'CCS Costs'!I71</f>
        <v/>
      </c>
      <c r="J22" s="77">
        <f>'CCS Costs'!J63+'CCS Costs'!J71</f>
        <v/>
      </c>
      <c r="K22" s="77">
        <f>'CCS Costs'!K63+'CCS Costs'!K71</f>
        <v/>
      </c>
      <c r="L22" s="77">
        <f>'CCS Costs'!L63+'CCS Costs'!L71</f>
        <v/>
      </c>
      <c r="M22" s="77">
        <f>'CCS Costs'!M63+'CCS Costs'!M71</f>
        <v/>
      </c>
      <c r="N22" s="77">
        <f>'CCS Costs'!N63+'CCS Costs'!N71</f>
        <v/>
      </c>
      <c r="O22" s="77">
        <f>'CCS Costs'!O63+'CCS Costs'!O71</f>
        <v/>
      </c>
      <c r="P22" s="77">
        <f>'CCS Costs'!P63+'CCS Costs'!P71</f>
        <v/>
      </c>
      <c r="Q22" s="77">
        <f>'CCS Costs'!Q63+'CCS Costs'!Q71</f>
        <v/>
      </c>
      <c r="R22" s="77">
        <f>'CCS Costs'!R63+'CCS Costs'!R71</f>
        <v/>
      </c>
      <c r="S22" s="77">
        <f>'CCS Costs'!S63+'CCS Costs'!S71</f>
        <v/>
      </c>
      <c r="T22" s="77">
        <f>'CCS Costs'!T63+'CCS Costs'!T71</f>
        <v/>
      </c>
      <c r="U22" s="77">
        <f>'CCS Costs'!U63+'CCS Costs'!U71</f>
        <v/>
      </c>
      <c r="V22" s="77">
        <f>'CCS Costs'!V63+'CCS Costs'!V71</f>
        <v/>
      </c>
      <c r="W22" s="77">
        <f>'CCS Costs'!W63+'CCS Costs'!W71</f>
        <v/>
      </c>
      <c r="X22" s="77">
        <f>'CCS Costs'!X63+'CCS Costs'!X71</f>
        <v/>
      </c>
      <c r="Y22" s="77">
        <f>'CCS Costs'!Y63+'CCS Costs'!Y71</f>
        <v/>
      </c>
      <c r="Z22" s="77">
        <f>'CCS Costs'!Z63+'CCS Costs'!Z71</f>
        <v/>
      </c>
      <c r="AA22" s="77">
        <f>'CCS Costs'!AA63+'CCS Costs'!AA71</f>
        <v/>
      </c>
      <c r="AB22" s="77">
        <f>'CCS Costs'!AB63+'CCS Costs'!AB71</f>
        <v/>
      </c>
      <c r="AC22" s="77">
        <f>'CCS Costs'!AC63+'CCS Costs'!AC71</f>
        <v/>
      </c>
      <c r="AD22" s="77">
        <f>'CCS Costs'!AD63+'CCS Costs'!AD71</f>
        <v/>
      </c>
      <c r="AE22" s="77">
        <f>'CCS Costs'!AE63+'CCS Costs'!AE71</f>
        <v/>
      </c>
      <c r="AF22" s="77">
        <f>'CCS Costs'!AF63+'CCS Costs'!AF71</f>
        <v/>
      </c>
      <c r="AG22" s="77">
        <f>'CCS Costs'!AG63+'CCS Costs'!AG71</f>
        <v/>
      </c>
      <c r="AH22" s="77">
        <f>'CCS Costs'!AH63+'CCS Costs'!AH71</f>
        <v/>
      </c>
      <c r="AI22" s="77">
        <f>'CCS Costs'!AI63+'CCS Costs'!AI71</f>
        <v/>
      </c>
      <c r="AJ22" s="77">
        <f>'CCS Costs'!AJ63+'CCS Costs'!AJ71</f>
        <v/>
      </c>
      <c r="AK22" s="77">
        <f>'CCS Costs'!AK63+'CCS Costs'!AK71</f>
        <v/>
      </c>
      <c r="AL22" s="77">
        <f>'CCS Costs'!AL63+'CCS Costs'!AL71</f>
        <v/>
      </c>
      <c r="AM22" s="77">
        <f>'CCS Costs'!AM63+'CCS Costs'!AM71</f>
        <v/>
      </c>
      <c r="AN22" s="77">
        <f>'CCS Costs'!AN63+'CCS Costs'!AN71</f>
        <v/>
      </c>
      <c r="AO22" s="77">
        <f>'CCS Costs'!AO63+'CCS Costs'!AO71</f>
        <v/>
      </c>
      <c r="AP22" s="77">
        <f>'CCS Costs'!AP63+'CCS Costs'!AP71</f>
        <v/>
      </c>
      <c r="AQ22" s="77">
        <f>'CCS Costs'!AQ63+'CCS Costs'!AQ71</f>
        <v/>
      </c>
      <c r="AS22" s="77" t="n"/>
    </row>
    <row r="23">
      <c r="A23" t="inlineStr">
        <is>
          <t>small modular reactor</t>
        </is>
      </c>
      <c r="B23" s="77">
        <f>B5</f>
        <v/>
      </c>
      <c r="C23" s="77">
        <f>C5</f>
        <v/>
      </c>
      <c r="D23" s="77">
        <f>D5</f>
        <v/>
      </c>
      <c r="E23" s="77">
        <f>E5</f>
        <v/>
      </c>
      <c r="F23" s="77">
        <f>F5</f>
        <v/>
      </c>
      <c r="G23" s="77">
        <f>G5</f>
        <v/>
      </c>
      <c r="H23" s="77">
        <f>H5</f>
        <v/>
      </c>
      <c r="I23" s="77">
        <f>I5</f>
        <v/>
      </c>
      <c r="J23" s="77">
        <f>J5</f>
        <v/>
      </c>
      <c r="K23" s="77">
        <f>K5</f>
        <v/>
      </c>
      <c r="L23" s="77">
        <f>L5</f>
        <v/>
      </c>
      <c r="M23" s="77">
        <f>M5</f>
        <v/>
      </c>
      <c r="N23" s="77">
        <f>N5</f>
        <v/>
      </c>
      <c r="O23" s="77">
        <f>O5</f>
        <v/>
      </c>
      <c r="P23" s="77">
        <f>P5</f>
        <v/>
      </c>
      <c r="Q23" s="77">
        <f>Q5</f>
        <v/>
      </c>
      <c r="R23" s="77">
        <f>R5</f>
        <v/>
      </c>
      <c r="S23" s="77">
        <f>S5</f>
        <v/>
      </c>
      <c r="T23" s="77">
        <f>T5</f>
        <v/>
      </c>
      <c r="U23" s="77">
        <f>U5</f>
        <v/>
      </c>
      <c r="V23" s="77">
        <f>V5</f>
        <v/>
      </c>
      <c r="W23" s="77">
        <f>W5</f>
        <v/>
      </c>
      <c r="X23" s="77">
        <f>X5</f>
        <v/>
      </c>
      <c r="Y23" s="77">
        <f>Y5</f>
        <v/>
      </c>
      <c r="Z23" s="77">
        <f>Z5</f>
        <v/>
      </c>
      <c r="AA23" s="77">
        <f>AA5</f>
        <v/>
      </c>
      <c r="AB23" s="77">
        <f>AB5</f>
        <v/>
      </c>
      <c r="AC23" s="77">
        <f>AC5</f>
        <v/>
      </c>
      <c r="AD23" s="77">
        <f>AD5</f>
        <v/>
      </c>
      <c r="AE23" s="77">
        <f>AE5</f>
        <v/>
      </c>
      <c r="AF23" s="77">
        <f>AF5</f>
        <v/>
      </c>
      <c r="AG23" s="77">
        <f>AG5</f>
        <v/>
      </c>
      <c r="AH23" s="77">
        <f>AH5</f>
        <v/>
      </c>
      <c r="AI23" s="77">
        <f>AI5</f>
        <v/>
      </c>
      <c r="AJ23" s="77">
        <f>AJ5</f>
        <v/>
      </c>
      <c r="AK23" s="77">
        <f>AK5</f>
        <v/>
      </c>
      <c r="AL23" s="77">
        <f>AL5</f>
        <v/>
      </c>
      <c r="AM23" s="77">
        <f>AM5</f>
        <v/>
      </c>
      <c r="AN23" s="77">
        <f>AN5</f>
        <v/>
      </c>
      <c r="AO23" s="77">
        <f>AO5</f>
        <v/>
      </c>
      <c r="AP23" s="77">
        <f>AP5</f>
        <v/>
      </c>
      <c r="AQ23" s="77">
        <f>AQ5</f>
        <v/>
      </c>
    </row>
    <row r="24">
      <c r="A24" s="130" t="inlineStr">
        <is>
          <t>hydrogen combustion turbine</t>
        </is>
      </c>
      <c r="B24" s="77">
        <f>B13</f>
        <v/>
      </c>
      <c r="C24" s="77">
        <f>C13</f>
        <v/>
      </c>
      <c r="D24" s="77">
        <f>D13</f>
        <v/>
      </c>
      <c r="E24" s="77">
        <f>E13</f>
        <v/>
      </c>
      <c r="F24" s="77">
        <f>F13</f>
        <v/>
      </c>
      <c r="G24" s="77">
        <f>G13</f>
        <v/>
      </c>
      <c r="H24" s="77">
        <f>H13</f>
        <v/>
      </c>
      <c r="I24" s="77">
        <f>I13</f>
        <v/>
      </c>
      <c r="J24" s="77">
        <f>J13</f>
        <v/>
      </c>
      <c r="K24" s="77">
        <f>K13</f>
        <v/>
      </c>
      <c r="L24" s="77">
        <f>L13</f>
        <v/>
      </c>
      <c r="M24" s="77">
        <f>M13</f>
        <v/>
      </c>
      <c r="N24" s="77">
        <f>N13</f>
        <v/>
      </c>
      <c r="O24" s="77">
        <f>O13</f>
        <v/>
      </c>
      <c r="P24" s="77">
        <f>P13</f>
        <v/>
      </c>
      <c r="Q24" s="77">
        <f>Q13</f>
        <v/>
      </c>
      <c r="R24" s="77">
        <f>R13</f>
        <v/>
      </c>
      <c r="S24" s="77">
        <f>S13</f>
        <v/>
      </c>
      <c r="T24" s="77">
        <f>T13</f>
        <v/>
      </c>
      <c r="U24" s="77">
        <f>U13</f>
        <v/>
      </c>
      <c r="V24" s="77">
        <f>V13</f>
        <v/>
      </c>
      <c r="W24" s="77">
        <f>W13</f>
        <v/>
      </c>
      <c r="X24" s="77">
        <f>X13</f>
        <v/>
      </c>
      <c r="Y24" s="77">
        <f>Y13</f>
        <v/>
      </c>
      <c r="Z24" s="77">
        <f>Z13</f>
        <v/>
      </c>
      <c r="AA24" s="77">
        <f>AA13</f>
        <v/>
      </c>
      <c r="AB24" s="77">
        <f>AB13</f>
        <v/>
      </c>
      <c r="AC24" s="77">
        <f>AC13</f>
        <v/>
      </c>
      <c r="AD24" s="77">
        <f>AD13</f>
        <v/>
      </c>
      <c r="AE24" s="77">
        <f>AE13</f>
        <v/>
      </c>
      <c r="AF24" s="77">
        <f>AF13</f>
        <v/>
      </c>
      <c r="AG24" s="77">
        <f>AG13</f>
        <v/>
      </c>
      <c r="AH24" s="77">
        <f>AH13</f>
        <v/>
      </c>
      <c r="AI24" s="77">
        <f>AI13</f>
        <v/>
      </c>
      <c r="AJ24" s="77">
        <f>AJ13</f>
        <v/>
      </c>
      <c r="AK24" s="77">
        <f>AK13</f>
        <v/>
      </c>
      <c r="AL24" s="77">
        <f>AL13</f>
        <v/>
      </c>
      <c r="AM24" s="77">
        <f>AM13</f>
        <v/>
      </c>
      <c r="AN24" s="77">
        <f>AN13</f>
        <v/>
      </c>
      <c r="AO24" s="77">
        <f>AO13</f>
        <v/>
      </c>
      <c r="AP24" s="77">
        <f>AP13</f>
        <v/>
      </c>
      <c r="AQ24" s="77">
        <f>AQ13</f>
        <v/>
      </c>
    </row>
    <row r="25">
      <c r="A25" s="130" t="inlineStr">
        <is>
          <t>hydrogen combined cycle</t>
        </is>
      </c>
      <c r="B25" s="77">
        <f>B4</f>
        <v/>
      </c>
      <c r="C25" s="77">
        <f>C4</f>
        <v/>
      </c>
      <c r="D25" s="77">
        <f>D4</f>
        <v/>
      </c>
      <c r="E25" s="77">
        <f>E4</f>
        <v/>
      </c>
      <c r="F25" s="77">
        <f>F4</f>
        <v/>
      </c>
      <c r="G25" s="77">
        <f>G4</f>
        <v/>
      </c>
      <c r="H25" s="77">
        <f>H4</f>
        <v/>
      </c>
      <c r="I25" s="77">
        <f>I4</f>
        <v/>
      </c>
      <c r="J25" s="77">
        <f>J4</f>
        <v/>
      </c>
      <c r="K25" s="77">
        <f>K4</f>
        <v/>
      </c>
      <c r="L25" s="77">
        <f>L4</f>
        <v/>
      </c>
      <c r="M25" s="77">
        <f>M4</f>
        <v/>
      </c>
      <c r="N25" s="77">
        <f>N4</f>
        <v/>
      </c>
      <c r="O25" s="77">
        <f>O4</f>
        <v/>
      </c>
      <c r="P25" s="77">
        <f>P4</f>
        <v/>
      </c>
      <c r="Q25" s="77">
        <f>Q4</f>
        <v/>
      </c>
      <c r="R25" s="77">
        <f>R4</f>
        <v/>
      </c>
      <c r="S25" s="77">
        <f>S4</f>
        <v/>
      </c>
      <c r="T25" s="77">
        <f>T4</f>
        <v/>
      </c>
      <c r="U25" s="77">
        <f>U4</f>
        <v/>
      </c>
      <c r="V25" s="77">
        <f>V4</f>
        <v/>
      </c>
      <c r="W25" s="77">
        <f>W4</f>
        <v/>
      </c>
      <c r="X25" s="77">
        <f>X4</f>
        <v/>
      </c>
      <c r="Y25" s="77">
        <f>Y4</f>
        <v/>
      </c>
      <c r="Z25" s="77">
        <f>Z4</f>
        <v/>
      </c>
      <c r="AA25" s="77">
        <f>AA4</f>
        <v/>
      </c>
      <c r="AB25" s="77">
        <f>AB4</f>
        <v/>
      </c>
      <c r="AC25" s="77">
        <f>AC4</f>
        <v/>
      </c>
      <c r="AD25" s="77">
        <f>AD4</f>
        <v/>
      </c>
      <c r="AE25" s="77">
        <f>AE4</f>
        <v/>
      </c>
      <c r="AF25" s="77">
        <f>AF4</f>
        <v/>
      </c>
      <c r="AG25" s="77">
        <f>AG4</f>
        <v/>
      </c>
      <c r="AH25" s="77">
        <f>AH4</f>
        <v/>
      </c>
      <c r="AI25" s="77">
        <f>AI4</f>
        <v/>
      </c>
      <c r="AJ25" s="77">
        <f>AJ4</f>
        <v/>
      </c>
      <c r="AK25" s="77">
        <f>AK4</f>
        <v/>
      </c>
      <c r="AL25" s="77">
        <f>AL4</f>
        <v/>
      </c>
      <c r="AM25" s="77">
        <f>AM4</f>
        <v/>
      </c>
      <c r="AN25" s="77">
        <f>AN4</f>
        <v/>
      </c>
      <c r="AO25" s="77">
        <f>AO4</f>
        <v/>
      </c>
      <c r="AP25" s="77">
        <f>AP4</f>
        <v/>
      </c>
      <c r="AQ25" s="77">
        <f>AQ4</f>
        <v/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Q25"/>
  <sheetViews>
    <sheetView topLeftCell="N1" workbookViewId="0">
      <selection activeCell="B25" sqref="B25:AQ25"/>
    </sheetView>
  </sheetViews>
  <sheetFormatPr baseColWidth="8" defaultRowHeight="14.5"/>
  <cols>
    <col width="27.453125" customWidth="1" min="1" max="1"/>
    <col width="10.54296875" bestFit="1" customWidth="1" min="2" max="2"/>
    <col width="9.7265625" bestFit="1" customWidth="1" min="3" max="3"/>
    <col width="9.7265625" customWidth="1" min="4" max="4"/>
    <col width="9.7265625" bestFit="1" customWidth="1" min="5" max="5"/>
    <col width="6.7265625" bestFit="1" customWidth="1" min="6" max="6"/>
    <col width="9.7265625" bestFit="1" customWidth="1" min="7" max="8"/>
    <col width="6.7265625" bestFit="1" customWidth="1" min="9" max="9"/>
    <col width="9.7265625" bestFit="1" customWidth="1" min="10" max="10"/>
    <col width="7.1796875" customWidth="1" min="11" max="11"/>
    <col width="9.7265625" bestFit="1" customWidth="1" min="12" max="12"/>
    <col width="8" customWidth="1" min="13" max="24"/>
    <col width="9.7265625" bestFit="1" customWidth="1" min="25" max="26"/>
    <col width="9.7265625" customWidth="1" min="27" max="28"/>
    <col width="9.7265625" bestFit="1" customWidth="1" min="29" max="33"/>
    <col width="6.7265625" bestFit="1" customWidth="1" min="34" max="34"/>
    <col width="9.7265625" bestFit="1" customWidth="1" min="35" max="36"/>
    <col width="6.7265625" bestFit="1" customWidth="1" min="37" max="37"/>
    <col width="9.7265625" bestFit="1" customWidth="1" min="38" max="38"/>
    <col width="7.1796875" customWidth="1" min="39" max="40"/>
    <col width="9.7265625" bestFit="1" customWidth="1" min="41" max="43"/>
  </cols>
  <sheetData>
    <row r="1">
      <c r="A1" s="127" t="inlineStr">
        <is>
          <t>Unit: dimensionless (share of costs)</t>
        </is>
      </c>
      <c r="B1" s="110" t="inlineStr">
        <is>
          <t>ISIC 01T03</t>
        </is>
      </c>
      <c r="C1" s="110" t="inlineStr">
        <is>
          <t>ISIC 05</t>
        </is>
      </c>
      <c r="D1" s="110" t="inlineStr">
        <is>
          <t>ISIC 06</t>
        </is>
      </c>
      <c r="E1" s="110" t="inlineStr">
        <is>
          <t>ISIC 07T08</t>
        </is>
      </c>
      <c r="F1" s="110" t="inlineStr">
        <is>
          <t>ISIC 09</t>
        </is>
      </c>
      <c r="G1" s="110" t="inlineStr">
        <is>
          <t>ISIC 10T12</t>
        </is>
      </c>
      <c r="H1" s="110" t="inlineStr">
        <is>
          <t>ISIC 13T15</t>
        </is>
      </c>
      <c r="I1" s="110" t="inlineStr">
        <is>
          <t>ISIC 16</t>
        </is>
      </c>
      <c r="J1" s="110" t="inlineStr">
        <is>
          <t>ISIC 17T18</t>
        </is>
      </c>
      <c r="K1" s="110" t="inlineStr">
        <is>
          <t>ISIC 19</t>
        </is>
      </c>
      <c r="L1" s="110" t="inlineStr">
        <is>
          <t>ISIC 20</t>
        </is>
      </c>
      <c r="M1" s="110" t="inlineStr">
        <is>
          <t>ISIC 21</t>
        </is>
      </c>
      <c r="N1" s="110" t="inlineStr">
        <is>
          <t>ISIC 22</t>
        </is>
      </c>
      <c r="O1" s="110" t="inlineStr">
        <is>
          <t>ISIC 231</t>
        </is>
      </c>
      <c r="P1" s="110" t="inlineStr">
        <is>
          <t>ISIC 239</t>
        </is>
      </c>
      <c r="Q1" s="110" t="inlineStr">
        <is>
          <t>ISIC 241</t>
        </is>
      </c>
      <c r="R1" s="110" t="inlineStr">
        <is>
          <t>ISIC 242</t>
        </is>
      </c>
      <c r="S1" s="110" t="inlineStr">
        <is>
          <t>ISIC 25</t>
        </is>
      </c>
      <c r="T1" s="110" t="inlineStr">
        <is>
          <t>ISIC 26</t>
        </is>
      </c>
      <c r="U1" s="110" t="inlineStr">
        <is>
          <t>ISIC 27</t>
        </is>
      </c>
      <c r="V1" s="110" t="inlineStr">
        <is>
          <t>ISIC 28</t>
        </is>
      </c>
      <c r="W1" s="110" t="inlineStr">
        <is>
          <t>ISIC 29</t>
        </is>
      </c>
      <c r="X1" s="110" t="inlineStr">
        <is>
          <t>ISIC 30</t>
        </is>
      </c>
      <c r="Y1" s="110" t="inlineStr">
        <is>
          <t>ISIC 31T33</t>
        </is>
      </c>
      <c r="Z1" s="110" t="inlineStr">
        <is>
          <t>ISIC 351</t>
        </is>
      </c>
      <c r="AA1" s="110" t="inlineStr">
        <is>
          <t>ISIC 352T353</t>
        </is>
      </c>
      <c r="AB1" s="110" t="inlineStr">
        <is>
          <t>ISIC 36T39</t>
        </is>
      </c>
      <c r="AC1" s="110" t="inlineStr">
        <is>
          <t>ISIC 41T43</t>
        </is>
      </c>
      <c r="AD1" s="110" t="inlineStr">
        <is>
          <t>ISIC 45T47</t>
        </is>
      </c>
      <c r="AE1" s="110" t="inlineStr">
        <is>
          <t>ISIC 49T53</t>
        </is>
      </c>
      <c r="AF1" s="110" t="inlineStr">
        <is>
          <t>ISIC 55T56</t>
        </is>
      </c>
      <c r="AG1" s="110" t="inlineStr">
        <is>
          <t>ISIC 58T60</t>
        </is>
      </c>
      <c r="AH1" s="110" t="inlineStr">
        <is>
          <t>ISIC 61</t>
        </is>
      </c>
      <c r="AI1" s="110" t="inlineStr">
        <is>
          <t>ISIC 62T63</t>
        </is>
      </c>
      <c r="AJ1" s="110" t="inlineStr">
        <is>
          <t>ISIC 64T66</t>
        </is>
      </c>
      <c r="AK1" s="110" t="inlineStr">
        <is>
          <t>ISIC 68</t>
        </is>
      </c>
      <c r="AL1" s="110" t="inlineStr">
        <is>
          <t>ISIC 69T82</t>
        </is>
      </c>
      <c r="AM1" s="110" t="inlineStr">
        <is>
          <t>ISIC 84</t>
        </is>
      </c>
      <c r="AN1" s="110" t="inlineStr">
        <is>
          <t>ISIC 85</t>
        </is>
      </c>
      <c r="AO1" s="110" t="inlineStr">
        <is>
          <t>ISIC 86T88</t>
        </is>
      </c>
      <c r="AP1" s="110" t="inlineStr">
        <is>
          <t>ISIC 90T96</t>
        </is>
      </c>
      <c r="AQ1" s="110" t="inlineStr">
        <is>
          <t>ISIC 97T98</t>
        </is>
      </c>
    </row>
    <row r="2">
      <c r="A2" t="inlineStr">
        <is>
          <t>hard coal</t>
        </is>
      </c>
      <c r="B2" s="77">
        <f>SUMIF('Cost Breakdowns'!$D$100:$D$102,'SoESCaOMCbIC-capital'!B$1,'Cost Breakdowns'!$B$100:$B$102)</f>
        <v/>
      </c>
      <c r="C2" s="77">
        <f>SUMIF('Cost Breakdowns'!$D$100:$D$102,'SoESCaOMCbIC-capital'!C$1,'Cost Breakdowns'!$B$100:$B$102)</f>
        <v/>
      </c>
      <c r="D2" s="77">
        <f>SUMIF('Cost Breakdowns'!$D$100:$D$102,'SoESCaOMCbIC-capital'!D$1,'Cost Breakdowns'!$B$100:$B$102)</f>
        <v/>
      </c>
      <c r="E2" s="77">
        <f>SUMIF('Cost Breakdowns'!$D$100:$D$102,'SoESCaOMCbIC-capital'!E$1,'Cost Breakdowns'!$B$100:$B$102)</f>
        <v/>
      </c>
      <c r="F2" s="77">
        <f>SUMIF('Cost Breakdowns'!$D$100:$D$102,'SoESCaOMCbIC-capital'!F$1,'Cost Breakdowns'!$B$100:$B$102)</f>
        <v/>
      </c>
      <c r="G2" s="77">
        <f>SUMIF('Cost Breakdowns'!$D$100:$D$102,'SoESCaOMCbIC-capital'!G$1,'Cost Breakdowns'!$B$100:$B$102)</f>
        <v/>
      </c>
      <c r="H2" s="77">
        <f>SUMIF('Cost Breakdowns'!$D$100:$D$102,'SoESCaOMCbIC-capital'!H$1,'Cost Breakdowns'!$B$100:$B$102)</f>
        <v/>
      </c>
      <c r="I2" s="77">
        <f>SUMIF('Cost Breakdowns'!$D$100:$D$102,'SoESCaOMCbIC-capital'!I$1,'Cost Breakdowns'!$B$100:$B$102)</f>
        <v/>
      </c>
      <c r="J2" s="77">
        <f>SUMIF('Cost Breakdowns'!$D$100:$D$102,'SoESCaOMCbIC-capital'!J$1,'Cost Breakdowns'!$B$100:$B$102)</f>
        <v/>
      </c>
      <c r="K2" s="77">
        <f>SUMIF('Cost Breakdowns'!$D$100:$D$102,'SoESCaOMCbIC-capital'!K$1,'Cost Breakdowns'!$B$100:$B$102)</f>
        <v/>
      </c>
      <c r="L2" s="77">
        <f>SUMIF('Cost Breakdowns'!$D$100:$D$102,'SoESCaOMCbIC-capital'!L$1,'Cost Breakdowns'!$B$100:$B$102)</f>
        <v/>
      </c>
      <c r="M2" s="77">
        <f>SUMIF('Cost Breakdowns'!$D$100:$D$102,'SoESCaOMCbIC-capital'!M$1,'Cost Breakdowns'!$B$100:$B$102)</f>
        <v/>
      </c>
      <c r="N2" s="77">
        <f>SUMIF('Cost Breakdowns'!$D$100:$D$102,'SoESCaOMCbIC-capital'!N$1,'Cost Breakdowns'!$B$100:$B$102)</f>
        <v/>
      </c>
      <c r="O2" s="77">
        <f>SUMIF('Cost Breakdowns'!$D$100:$D$102,'SoESCaOMCbIC-capital'!O$1,'Cost Breakdowns'!$B$100:$B$102)</f>
        <v/>
      </c>
      <c r="P2" s="77">
        <f>SUMIF('Cost Breakdowns'!$D$100:$D$102,'SoESCaOMCbIC-capital'!P$1,'Cost Breakdowns'!$B$100:$B$102)</f>
        <v/>
      </c>
      <c r="Q2" s="77">
        <f>SUMIF('Cost Breakdowns'!$D$100:$D$102,'SoESCaOMCbIC-capital'!Q$1,'Cost Breakdowns'!$B$100:$B$102)</f>
        <v/>
      </c>
      <c r="R2" s="77">
        <f>SUMIF('Cost Breakdowns'!$D$100:$D$102,'SoESCaOMCbIC-capital'!R$1,'Cost Breakdowns'!$B$100:$B$102)</f>
        <v/>
      </c>
      <c r="S2" s="77">
        <f>SUMIF('Cost Breakdowns'!$D$100:$D$102,'SoESCaOMCbIC-capital'!S$1,'Cost Breakdowns'!$B$100:$B$102)</f>
        <v/>
      </c>
      <c r="T2" s="77">
        <f>SUMIF('Cost Breakdowns'!$D$100:$D$102,'SoESCaOMCbIC-capital'!T$1,'Cost Breakdowns'!$B$100:$B$102)</f>
        <v/>
      </c>
      <c r="U2" s="77">
        <f>SUMIF('Cost Breakdowns'!$D$100:$D$102,'SoESCaOMCbIC-capital'!U$1,'Cost Breakdowns'!$B$100:$B$102)</f>
        <v/>
      </c>
      <c r="V2" s="77">
        <f>SUMIF('Cost Breakdowns'!$D$100:$D$102,'SoESCaOMCbIC-capital'!V$1,'Cost Breakdowns'!$B$100:$B$102)</f>
        <v/>
      </c>
      <c r="W2" s="77">
        <f>SUMIF('Cost Breakdowns'!$D$100:$D$102,'SoESCaOMCbIC-capital'!W$1,'Cost Breakdowns'!$B$100:$B$102)</f>
        <v/>
      </c>
      <c r="X2" s="77">
        <f>SUMIF('Cost Breakdowns'!$D$100:$D$102,'SoESCaOMCbIC-capital'!X$1,'Cost Breakdowns'!$B$100:$B$102)</f>
        <v/>
      </c>
      <c r="Y2" s="77">
        <f>SUMIF('Cost Breakdowns'!$D$100:$D$102,'SoESCaOMCbIC-capital'!Y$1,'Cost Breakdowns'!$B$100:$B$102)</f>
        <v/>
      </c>
      <c r="Z2" s="77">
        <f>SUMIF('Cost Breakdowns'!$D$100:$D$102,'SoESCaOMCbIC-capital'!Z$1,'Cost Breakdowns'!$B$100:$B$102)</f>
        <v/>
      </c>
      <c r="AA2" s="77">
        <f>SUMIF('Cost Breakdowns'!$D$100:$D$102,'SoESCaOMCbIC-capital'!AA$1,'Cost Breakdowns'!$B$100:$B$102)</f>
        <v/>
      </c>
      <c r="AB2" s="77">
        <f>SUMIF('Cost Breakdowns'!$D$100:$D$102,'SoESCaOMCbIC-capital'!AB$1,'Cost Breakdowns'!$B$100:$B$102)</f>
        <v/>
      </c>
      <c r="AC2" s="77">
        <f>SUMIF('Cost Breakdowns'!$D$100:$D$102,'SoESCaOMCbIC-capital'!AC$1,'Cost Breakdowns'!$B$100:$B$102)</f>
        <v/>
      </c>
      <c r="AD2" s="77">
        <f>SUMIF('Cost Breakdowns'!$D$100:$D$102,'SoESCaOMCbIC-capital'!AD$1,'Cost Breakdowns'!$B$100:$B$102)</f>
        <v/>
      </c>
      <c r="AE2" s="77">
        <f>SUMIF('Cost Breakdowns'!$D$100:$D$102,'SoESCaOMCbIC-capital'!AE$1,'Cost Breakdowns'!$B$100:$B$102)</f>
        <v/>
      </c>
      <c r="AF2" s="77">
        <f>SUMIF('Cost Breakdowns'!$D$100:$D$102,'SoESCaOMCbIC-capital'!AF$1,'Cost Breakdowns'!$B$100:$B$102)</f>
        <v/>
      </c>
      <c r="AG2" s="77">
        <f>SUMIF('Cost Breakdowns'!$D$100:$D$102,'SoESCaOMCbIC-capital'!AG$1,'Cost Breakdowns'!$B$100:$B$102)</f>
        <v/>
      </c>
      <c r="AH2" s="77">
        <f>SUMIF('Cost Breakdowns'!$D$100:$D$102,'SoESCaOMCbIC-capital'!AH$1,'Cost Breakdowns'!$B$100:$B$102)</f>
        <v/>
      </c>
      <c r="AI2" s="77">
        <f>SUMIF('Cost Breakdowns'!$D$100:$D$102,'SoESCaOMCbIC-capital'!AI$1,'Cost Breakdowns'!$B$100:$B$102)</f>
        <v/>
      </c>
      <c r="AJ2" s="77">
        <f>SUMIF('Cost Breakdowns'!$D$100:$D$102,'SoESCaOMCbIC-capital'!AJ$1,'Cost Breakdowns'!$B$100:$B$102)</f>
        <v/>
      </c>
      <c r="AK2" s="77">
        <f>SUMIF('Cost Breakdowns'!$D$100:$D$102,'SoESCaOMCbIC-capital'!AK$1,'Cost Breakdowns'!$B$100:$B$102)</f>
        <v/>
      </c>
      <c r="AL2" s="77">
        <f>SUMIF('Cost Breakdowns'!$D$100:$D$102,'SoESCaOMCbIC-capital'!AL$1,'Cost Breakdowns'!$B$100:$B$102)</f>
        <v/>
      </c>
      <c r="AM2" s="77">
        <f>SUMIF('Cost Breakdowns'!$D$100:$D$102,'SoESCaOMCbIC-capital'!AM$1,'Cost Breakdowns'!$B$100:$B$102)</f>
        <v/>
      </c>
      <c r="AN2" s="77">
        <f>SUMIF('Cost Breakdowns'!$D$100:$D$102,'SoESCaOMCbIC-capital'!AN$1,'Cost Breakdowns'!$B$100:$B$102)</f>
        <v/>
      </c>
      <c r="AO2" s="77">
        <f>SUMIF('Cost Breakdowns'!$D$100:$D$102,'SoESCaOMCbIC-capital'!AO$1,'Cost Breakdowns'!$B$100:$B$102)</f>
        <v/>
      </c>
      <c r="AP2" s="77">
        <f>SUMIF('Cost Breakdowns'!$D$100:$D$102,'SoESCaOMCbIC-capital'!AP$1,'Cost Breakdowns'!$B$100:$B$102)</f>
        <v/>
      </c>
      <c r="AQ2" s="77">
        <f>SUMIF('Cost Breakdowns'!$D$100:$D$102,'SoESCaOMCbIC-capital'!AQ$1,'Cost Breakdowns'!$B$100:$B$102)</f>
        <v/>
      </c>
    </row>
    <row r="3">
      <c r="A3" t="inlineStr">
        <is>
          <t>natural gas steam turbine</t>
        </is>
      </c>
      <c r="B3" s="77">
        <f>SUMIF('Cost Breakdowns'!$D$135:$D$137,'SoESCaOMCbIC-capital'!B$1,'Cost Breakdowns'!$B$135:$B$137)</f>
        <v/>
      </c>
      <c r="C3" s="77">
        <f>SUMIF('Cost Breakdowns'!$D$135:$D$137,'SoESCaOMCbIC-capital'!C$1,'Cost Breakdowns'!$B$135:$B$137)</f>
        <v/>
      </c>
      <c r="D3" s="77">
        <f>SUMIF('Cost Breakdowns'!$D$135:$D$137,'SoESCaOMCbIC-capital'!D$1,'Cost Breakdowns'!$B$135:$B$137)</f>
        <v/>
      </c>
      <c r="E3" s="77">
        <f>SUMIF('Cost Breakdowns'!$D$135:$D$137,'SoESCaOMCbIC-capital'!E$1,'Cost Breakdowns'!$B$135:$B$137)</f>
        <v/>
      </c>
      <c r="F3" s="77">
        <f>SUMIF('Cost Breakdowns'!$D$135:$D$137,'SoESCaOMCbIC-capital'!F$1,'Cost Breakdowns'!$B$135:$B$137)</f>
        <v/>
      </c>
      <c r="G3" s="77">
        <f>SUMIF('Cost Breakdowns'!$D$135:$D$137,'SoESCaOMCbIC-capital'!G$1,'Cost Breakdowns'!$B$135:$B$137)</f>
        <v/>
      </c>
      <c r="H3" s="77">
        <f>SUMIF('Cost Breakdowns'!$D$135:$D$137,'SoESCaOMCbIC-capital'!H$1,'Cost Breakdowns'!$B$135:$B$137)</f>
        <v/>
      </c>
      <c r="I3" s="77">
        <f>SUMIF('Cost Breakdowns'!$D$135:$D$137,'SoESCaOMCbIC-capital'!I$1,'Cost Breakdowns'!$B$135:$B$137)</f>
        <v/>
      </c>
      <c r="J3" s="77">
        <f>SUMIF('Cost Breakdowns'!$D$135:$D$137,'SoESCaOMCbIC-capital'!J$1,'Cost Breakdowns'!$B$135:$B$137)</f>
        <v/>
      </c>
      <c r="K3" s="77">
        <f>SUMIF('Cost Breakdowns'!$D$135:$D$137,'SoESCaOMCbIC-capital'!K$1,'Cost Breakdowns'!$B$135:$B$137)</f>
        <v/>
      </c>
      <c r="L3" s="77">
        <f>SUMIF('Cost Breakdowns'!$D$135:$D$137,'SoESCaOMCbIC-capital'!L$1,'Cost Breakdowns'!$B$135:$B$137)</f>
        <v/>
      </c>
      <c r="M3" s="77">
        <f>SUMIF('Cost Breakdowns'!$D$135:$D$137,'SoESCaOMCbIC-capital'!M$1,'Cost Breakdowns'!$B$135:$B$137)</f>
        <v/>
      </c>
      <c r="N3" s="77">
        <f>SUMIF('Cost Breakdowns'!$D$135:$D$137,'SoESCaOMCbIC-capital'!N$1,'Cost Breakdowns'!$B$135:$B$137)</f>
        <v/>
      </c>
      <c r="O3" s="77">
        <f>SUMIF('Cost Breakdowns'!$D$135:$D$137,'SoESCaOMCbIC-capital'!O$1,'Cost Breakdowns'!$B$135:$B$137)</f>
        <v/>
      </c>
      <c r="P3" s="77">
        <f>SUMIF('Cost Breakdowns'!$D$135:$D$137,'SoESCaOMCbIC-capital'!P$1,'Cost Breakdowns'!$B$135:$B$137)</f>
        <v/>
      </c>
      <c r="Q3" s="77">
        <f>SUMIF('Cost Breakdowns'!$D$135:$D$137,'SoESCaOMCbIC-capital'!Q$1,'Cost Breakdowns'!$B$135:$B$137)</f>
        <v/>
      </c>
      <c r="R3" s="77">
        <f>SUMIF('Cost Breakdowns'!$D$135:$D$137,'SoESCaOMCbIC-capital'!R$1,'Cost Breakdowns'!$B$135:$B$137)</f>
        <v/>
      </c>
      <c r="S3" s="77">
        <f>SUMIF('Cost Breakdowns'!$D$135:$D$137,'SoESCaOMCbIC-capital'!S$1,'Cost Breakdowns'!$B$135:$B$137)</f>
        <v/>
      </c>
      <c r="T3" s="77">
        <f>SUMIF('Cost Breakdowns'!$D$135:$D$137,'SoESCaOMCbIC-capital'!T$1,'Cost Breakdowns'!$B$135:$B$137)</f>
        <v/>
      </c>
      <c r="U3" s="77">
        <f>SUMIF('Cost Breakdowns'!$D$135:$D$137,'SoESCaOMCbIC-capital'!U$1,'Cost Breakdowns'!$B$135:$B$137)</f>
        <v/>
      </c>
      <c r="V3" s="77">
        <f>SUMIF('Cost Breakdowns'!$D$135:$D$137,'SoESCaOMCbIC-capital'!V$1,'Cost Breakdowns'!$B$135:$B$137)</f>
        <v/>
      </c>
      <c r="W3" s="77">
        <f>SUMIF('Cost Breakdowns'!$D$135:$D$137,'SoESCaOMCbIC-capital'!W$1,'Cost Breakdowns'!$B$135:$B$137)</f>
        <v/>
      </c>
      <c r="X3" s="77">
        <f>SUMIF('Cost Breakdowns'!$D$135:$D$137,'SoESCaOMCbIC-capital'!X$1,'Cost Breakdowns'!$B$135:$B$137)</f>
        <v/>
      </c>
      <c r="Y3" s="77">
        <f>SUMIF('Cost Breakdowns'!$D$135:$D$137,'SoESCaOMCbIC-capital'!Y$1,'Cost Breakdowns'!$B$135:$B$137)</f>
        <v/>
      </c>
      <c r="Z3" s="77">
        <f>SUMIF('Cost Breakdowns'!$D$135:$D$137,'SoESCaOMCbIC-capital'!Z$1,'Cost Breakdowns'!$B$135:$B$137)</f>
        <v/>
      </c>
      <c r="AA3" s="77">
        <f>SUMIF('Cost Breakdowns'!$D$135:$D$137,'SoESCaOMCbIC-capital'!AA$1,'Cost Breakdowns'!$B$135:$B$137)</f>
        <v/>
      </c>
      <c r="AB3" s="77">
        <f>SUMIF('Cost Breakdowns'!$D$135:$D$137,'SoESCaOMCbIC-capital'!AB$1,'Cost Breakdowns'!$B$135:$B$137)</f>
        <v/>
      </c>
      <c r="AC3" s="77">
        <f>SUMIF('Cost Breakdowns'!$D$135:$D$137,'SoESCaOMCbIC-capital'!AC$1,'Cost Breakdowns'!$B$135:$B$137)</f>
        <v/>
      </c>
      <c r="AD3" s="77">
        <f>SUMIF('Cost Breakdowns'!$D$135:$D$137,'SoESCaOMCbIC-capital'!AD$1,'Cost Breakdowns'!$B$135:$B$137)</f>
        <v/>
      </c>
      <c r="AE3" s="77">
        <f>SUMIF('Cost Breakdowns'!$D$135:$D$137,'SoESCaOMCbIC-capital'!AE$1,'Cost Breakdowns'!$B$135:$B$137)</f>
        <v/>
      </c>
      <c r="AF3" s="77">
        <f>SUMIF('Cost Breakdowns'!$D$135:$D$137,'SoESCaOMCbIC-capital'!AF$1,'Cost Breakdowns'!$B$135:$B$137)</f>
        <v/>
      </c>
      <c r="AG3" s="77">
        <f>SUMIF('Cost Breakdowns'!$D$135:$D$137,'SoESCaOMCbIC-capital'!AG$1,'Cost Breakdowns'!$B$135:$B$137)</f>
        <v/>
      </c>
      <c r="AH3" s="77">
        <f>SUMIF('Cost Breakdowns'!$D$135:$D$137,'SoESCaOMCbIC-capital'!AH$1,'Cost Breakdowns'!$B$135:$B$137)</f>
        <v/>
      </c>
      <c r="AI3" s="77">
        <f>SUMIF('Cost Breakdowns'!$D$135:$D$137,'SoESCaOMCbIC-capital'!AI$1,'Cost Breakdowns'!$B$135:$B$137)</f>
        <v/>
      </c>
      <c r="AJ3" s="77">
        <f>SUMIF('Cost Breakdowns'!$D$135:$D$137,'SoESCaOMCbIC-capital'!AJ$1,'Cost Breakdowns'!$B$135:$B$137)</f>
        <v/>
      </c>
      <c r="AK3" s="77">
        <f>SUMIF('Cost Breakdowns'!$D$135:$D$137,'SoESCaOMCbIC-capital'!AK$1,'Cost Breakdowns'!$B$135:$B$137)</f>
        <v/>
      </c>
      <c r="AL3" s="77">
        <f>SUMIF('Cost Breakdowns'!$D$135:$D$137,'SoESCaOMCbIC-capital'!AL$1,'Cost Breakdowns'!$B$135:$B$137)</f>
        <v/>
      </c>
      <c r="AM3" s="77">
        <f>SUMIF('Cost Breakdowns'!$D$135:$D$137,'SoESCaOMCbIC-capital'!AM$1,'Cost Breakdowns'!$B$135:$B$137)</f>
        <v/>
      </c>
      <c r="AN3" s="77">
        <f>SUMIF('Cost Breakdowns'!$D$135:$D$137,'SoESCaOMCbIC-capital'!AN$1,'Cost Breakdowns'!$B$135:$B$137)</f>
        <v/>
      </c>
      <c r="AO3" s="77">
        <f>SUMIF('Cost Breakdowns'!$D$135:$D$137,'SoESCaOMCbIC-capital'!AO$1,'Cost Breakdowns'!$B$135:$B$137)</f>
        <v/>
      </c>
      <c r="AP3" s="77">
        <f>SUMIF('Cost Breakdowns'!$D$135:$D$137,'SoESCaOMCbIC-capital'!AP$1,'Cost Breakdowns'!$B$135:$B$137)</f>
        <v/>
      </c>
      <c r="AQ3" s="77">
        <f>SUMIF('Cost Breakdowns'!$D$135:$D$137,'SoESCaOMCbIC-capital'!AQ$1,'Cost Breakdowns'!$B$135:$B$137)</f>
        <v/>
      </c>
    </row>
    <row r="4">
      <c r="A4" t="inlineStr">
        <is>
          <t>natural gas combined cycle</t>
        </is>
      </c>
      <c r="B4" s="100">
        <f>B$3</f>
        <v/>
      </c>
      <c r="C4" s="100">
        <f>C$3</f>
        <v/>
      </c>
      <c r="D4" s="100">
        <f>D$3</f>
        <v/>
      </c>
      <c r="E4" s="100">
        <f>E$3</f>
        <v/>
      </c>
      <c r="F4" s="100">
        <f>F$3</f>
        <v/>
      </c>
      <c r="G4" s="100">
        <f>G$3</f>
        <v/>
      </c>
      <c r="H4" s="100">
        <f>H$3</f>
        <v/>
      </c>
      <c r="I4" s="100">
        <f>I$3</f>
        <v/>
      </c>
      <c r="J4" s="100">
        <f>J$3</f>
        <v/>
      </c>
      <c r="K4" s="100">
        <f>K$3</f>
        <v/>
      </c>
      <c r="L4" s="100">
        <f>L$3</f>
        <v/>
      </c>
      <c r="M4" s="100">
        <f>M$3</f>
        <v/>
      </c>
      <c r="N4" s="100">
        <f>N$3</f>
        <v/>
      </c>
      <c r="O4" s="100">
        <f>O$3</f>
        <v/>
      </c>
      <c r="P4" s="100">
        <f>P$3</f>
        <v/>
      </c>
      <c r="Q4" s="100">
        <f>Q$3</f>
        <v/>
      </c>
      <c r="R4" s="100">
        <f>R$3</f>
        <v/>
      </c>
      <c r="S4" s="100">
        <f>S$3</f>
        <v/>
      </c>
      <c r="T4" s="100">
        <f>T$3</f>
        <v/>
      </c>
      <c r="U4" s="100">
        <f>U$3</f>
        <v/>
      </c>
      <c r="V4" s="100">
        <f>V$3</f>
        <v/>
      </c>
      <c r="W4" s="100">
        <f>W$3</f>
        <v/>
      </c>
      <c r="X4" s="100">
        <f>X$3</f>
        <v/>
      </c>
      <c r="Y4" s="100">
        <f>Y$3</f>
        <v/>
      </c>
      <c r="Z4" s="100">
        <f>Z$3</f>
        <v/>
      </c>
      <c r="AA4" s="100">
        <f>AA$3</f>
        <v/>
      </c>
      <c r="AB4" s="100">
        <f>AB$3</f>
        <v/>
      </c>
      <c r="AC4" s="100">
        <f>AC$3</f>
        <v/>
      </c>
      <c r="AD4" s="100">
        <f>AD$3</f>
        <v/>
      </c>
      <c r="AE4" s="100">
        <f>AE$3</f>
        <v/>
      </c>
      <c r="AF4" s="100">
        <f>AF$3</f>
        <v/>
      </c>
      <c r="AG4" s="100">
        <f>AG$3</f>
        <v/>
      </c>
      <c r="AH4" s="100">
        <f>AH$3</f>
        <v/>
      </c>
      <c r="AI4" s="100">
        <f>AI$3</f>
        <v/>
      </c>
      <c r="AJ4" s="100">
        <f>AJ$3</f>
        <v/>
      </c>
      <c r="AK4" s="100">
        <f>AK$3</f>
        <v/>
      </c>
      <c r="AL4" s="100">
        <f>AL$3</f>
        <v/>
      </c>
      <c r="AM4" s="100">
        <f>AM$3</f>
        <v/>
      </c>
      <c r="AN4" s="100">
        <f>AN$3</f>
        <v/>
      </c>
      <c r="AO4" s="100">
        <f>AO$3</f>
        <v/>
      </c>
      <c r="AP4" s="100">
        <f>AP$3</f>
        <v/>
      </c>
      <c r="AQ4" s="100">
        <f>AQ$3</f>
        <v/>
      </c>
    </row>
    <row r="5">
      <c r="A5" t="inlineStr">
        <is>
          <t>nuclear</t>
        </is>
      </c>
      <c r="B5" s="77">
        <f>SUMIF('Cost Breakdowns'!$D$160:$D$160,'SoESCaOMCbIC-capital'!B$1,'Cost Breakdowns'!$B$160:$B$160)</f>
        <v/>
      </c>
      <c r="C5" s="77">
        <f>SUMIF('Cost Breakdowns'!$D$160:$D$160,'SoESCaOMCbIC-capital'!C$1,'Cost Breakdowns'!$B$160:$B$160)</f>
        <v/>
      </c>
      <c r="D5" s="77">
        <f>SUMIF('Cost Breakdowns'!$D$160:$D$160,'SoESCaOMCbIC-capital'!D$1,'Cost Breakdowns'!$B$160:$B$160)</f>
        <v/>
      </c>
      <c r="E5" s="77">
        <f>SUMIF('Cost Breakdowns'!$D$160:$D$160,'SoESCaOMCbIC-capital'!E$1,'Cost Breakdowns'!$B$160:$B$160)</f>
        <v/>
      </c>
      <c r="F5" s="77">
        <f>SUMIF('Cost Breakdowns'!$D$160:$D$160,'SoESCaOMCbIC-capital'!F$1,'Cost Breakdowns'!$B$160:$B$160)</f>
        <v/>
      </c>
      <c r="G5" s="77">
        <f>SUMIF('Cost Breakdowns'!$D$160:$D$160,'SoESCaOMCbIC-capital'!G$1,'Cost Breakdowns'!$B$160:$B$160)</f>
        <v/>
      </c>
      <c r="H5" s="77">
        <f>SUMIF('Cost Breakdowns'!$D$160:$D$160,'SoESCaOMCbIC-capital'!H$1,'Cost Breakdowns'!$B$160:$B$160)</f>
        <v/>
      </c>
      <c r="I5" s="77">
        <f>SUMIF('Cost Breakdowns'!$D$160:$D$160,'SoESCaOMCbIC-capital'!I$1,'Cost Breakdowns'!$B$160:$B$160)</f>
        <v/>
      </c>
      <c r="J5" s="77">
        <f>SUMIF('Cost Breakdowns'!$D$160:$D$160,'SoESCaOMCbIC-capital'!J$1,'Cost Breakdowns'!$B$160:$B$160)</f>
        <v/>
      </c>
      <c r="K5" s="77">
        <f>SUMIF('Cost Breakdowns'!$D$160:$D$160,'SoESCaOMCbIC-capital'!K$1,'Cost Breakdowns'!$B$160:$B$160)</f>
        <v/>
      </c>
      <c r="L5" s="77">
        <f>SUMIF('Cost Breakdowns'!$D$160:$D$160,'SoESCaOMCbIC-capital'!L$1,'Cost Breakdowns'!$B$160:$B$160)</f>
        <v/>
      </c>
      <c r="M5" s="77">
        <f>SUMIF('Cost Breakdowns'!$D$160:$D$160,'SoESCaOMCbIC-capital'!M$1,'Cost Breakdowns'!$B$160:$B$160)</f>
        <v/>
      </c>
      <c r="N5" s="77">
        <f>SUMIF('Cost Breakdowns'!$D$160:$D$160,'SoESCaOMCbIC-capital'!N$1,'Cost Breakdowns'!$B$160:$B$160)</f>
        <v/>
      </c>
      <c r="O5" s="77">
        <f>SUMIF('Cost Breakdowns'!$D$160:$D$160,'SoESCaOMCbIC-capital'!O$1,'Cost Breakdowns'!$B$160:$B$160)</f>
        <v/>
      </c>
      <c r="P5" s="77">
        <f>SUMIF('Cost Breakdowns'!$D$160:$D$160,'SoESCaOMCbIC-capital'!P$1,'Cost Breakdowns'!$B$160:$B$160)</f>
        <v/>
      </c>
      <c r="Q5" s="77">
        <f>SUMIF('Cost Breakdowns'!$D$160:$D$160,'SoESCaOMCbIC-capital'!Q$1,'Cost Breakdowns'!$B$160:$B$160)</f>
        <v/>
      </c>
      <c r="R5" s="77">
        <f>SUMIF('Cost Breakdowns'!$D$160:$D$160,'SoESCaOMCbIC-capital'!R$1,'Cost Breakdowns'!$B$160:$B$160)</f>
        <v/>
      </c>
      <c r="S5" s="77">
        <f>SUMIF('Cost Breakdowns'!$D$160:$D$160,'SoESCaOMCbIC-capital'!S$1,'Cost Breakdowns'!$B$160:$B$160)</f>
        <v/>
      </c>
      <c r="T5" s="77">
        <f>SUMIF('Cost Breakdowns'!$D$160:$D$160,'SoESCaOMCbIC-capital'!T$1,'Cost Breakdowns'!$B$160:$B$160)</f>
        <v/>
      </c>
      <c r="U5" s="77">
        <f>SUMIF('Cost Breakdowns'!$D$160:$D$160,'SoESCaOMCbIC-capital'!U$1,'Cost Breakdowns'!$B$160:$B$160)</f>
        <v/>
      </c>
      <c r="V5" s="77">
        <f>SUMIF('Cost Breakdowns'!$D$160:$D$160,'SoESCaOMCbIC-capital'!V$1,'Cost Breakdowns'!$B$160:$B$160)</f>
        <v/>
      </c>
      <c r="W5" s="77">
        <f>SUMIF('Cost Breakdowns'!$D$160:$D$160,'SoESCaOMCbIC-capital'!W$1,'Cost Breakdowns'!$B$160:$B$160)</f>
        <v/>
      </c>
      <c r="X5" s="77">
        <f>SUMIF('Cost Breakdowns'!$D$160:$D$160,'SoESCaOMCbIC-capital'!X$1,'Cost Breakdowns'!$B$160:$B$160)</f>
        <v/>
      </c>
      <c r="Y5" s="77">
        <f>SUMIF('Cost Breakdowns'!$D$160:$D$160,'SoESCaOMCbIC-capital'!Y$1,'Cost Breakdowns'!$B$160:$B$160)</f>
        <v/>
      </c>
      <c r="Z5" s="77">
        <f>SUMIF('Cost Breakdowns'!$D$160:$D$160,'SoESCaOMCbIC-capital'!Z$1,'Cost Breakdowns'!$B$160:$B$160)</f>
        <v/>
      </c>
      <c r="AA5" s="77">
        <f>SUMIF('Cost Breakdowns'!$D$160:$D$160,'SoESCaOMCbIC-capital'!AA$1,'Cost Breakdowns'!$B$160:$B$160)</f>
        <v/>
      </c>
      <c r="AB5" s="77">
        <f>SUMIF('Cost Breakdowns'!$D$160:$D$160,'SoESCaOMCbIC-capital'!AB$1,'Cost Breakdowns'!$B$160:$B$160)</f>
        <v/>
      </c>
      <c r="AC5" s="77">
        <f>SUMIF('Cost Breakdowns'!$D$160:$D$160,'SoESCaOMCbIC-capital'!AC$1,'Cost Breakdowns'!$B$160:$B$160)</f>
        <v/>
      </c>
      <c r="AD5" s="77">
        <f>SUMIF('Cost Breakdowns'!$D$160:$D$160,'SoESCaOMCbIC-capital'!AD$1,'Cost Breakdowns'!$B$160:$B$160)</f>
        <v/>
      </c>
      <c r="AE5" s="77">
        <f>SUMIF('Cost Breakdowns'!$D$160:$D$160,'SoESCaOMCbIC-capital'!AE$1,'Cost Breakdowns'!$B$160:$B$160)</f>
        <v/>
      </c>
      <c r="AF5" s="77">
        <f>SUMIF('Cost Breakdowns'!$D$160:$D$160,'SoESCaOMCbIC-capital'!AF$1,'Cost Breakdowns'!$B$160:$B$160)</f>
        <v/>
      </c>
      <c r="AG5" s="77">
        <f>SUMIF('Cost Breakdowns'!$D$160:$D$160,'SoESCaOMCbIC-capital'!AG$1,'Cost Breakdowns'!$B$160:$B$160)</f>
        <v/>
      </c>
      <c r="AH5" s="77">
        <f>SUMIF('Cost Breakdowns'!$D$160:$D$160,'SoESCaOMCbIC-capital'!AH$1,'Cost Breakdowns'!$B$160:$B$160)</f>
        <v/>
      </c>
      <c r="AI5" s="77">
        <f>SUMIF('Cost Breakdowns'!$D$160:$D$160,'SoESCaOMCbIC-capital'!AI$1,'Cost Breakdowns'!$B$160:$B$160)</f>
        <v/>
      </c>
      <c r="AJ5" s="77">
        <f>SUMIF('Cost Breakdowns'!$D$160:$D$160,'SoESCaOMCbIC-capital'!AJ$1,'Cost Breakdowns'!$B$160:$B$160)</f>
        <v/>
      </c>
      <c r="AK5" s="77">
        <f>SUMIF('Cost Breakdowns'!$D$160:$D$160,'SoESCaOMCbIC-capital'!AK$1,'Cost Breakdowns'!$B$160:$B$160)</f>
        <v/>
      </c>
      <c r="AL5" s="77">
        <f>SUMIF('Cost Breakdowns'!$D$160:$D$160,'SoESCaOMCbIC-capital'!AL$1,'Cost Breakdowns'!$B$160:$B$160)</f>
        <v/>
      </c>
      <c r="AM5" s="77">
        <f>SUMIF('Cost Breakdowns'!$D$160:$D$160,'SoESCaOMCbIC-capital'!AM$1,'Cost Breakdowns'!$B$160:$B$160)</f>
        <v/>
      </c>
      <c r="AN5" s="77">
        <f>SUMIF('Cost Breakdowns'!$D$160:$D$160,'SoESCaOMCbIC-capital'!AN$1,'Cost Breakdowns'!$B$160:$B$160)</f>
        <v/>
      </c>
      <c r="AO5" s="77">
        <f>SUMIF('Cost Breakdowns'!$D$160:$D$160,'SoESCaOMCbIC-capital'!AO$1,'Cost Breakdowns'!$B$160:$B$160)</f>
        <v/>
      </c>
      <c r="AP5" s="77">
        <f>SUMIF('Cost Breakdowns'!$D$160:$D$160,'SoESCaOMCbIC-capital'!AP$1,'Cost Breakdowns'!$B$160:$B$160)</f>
        <v/>
      </c>
      <c r="AQ5" s="77">
        <f>SUMIF('Cost Breakdowns'!$D$160:$D$160,'SoESCaOMCbIC-capital'!AQ$1,'Cost Breakdowns'!$B$160:$B$160)</f>
        <v/>
      </c>
    </row>
    <row r="6">
      <c r="A6" t="inlineStr">
        <is>
          <t>hydro</t>
        </is>
      </c>
      <c r="B6" s="77">
        <f>SUMIF('Cost Breakdowns'!$D$204:$D$211,'SoESCaOMCbIC-capital'!B$1,'Cost Breakdowns'!$B$204:$B$211)</f>
        <v/>
      </c>
      <c r="C6" s="77">
        <f>SUMIF('Cost Breakdowns'!$D$204:$D$211,'SoESCaOMCbIC-capital'!C$1,'Cost Breakdowns'!$B$204:$B$211)</f>
        <v/>
      </c>
      <c r="D6" s="77">
        <f>SUMIF('Cost Breakdowns'!$D$204:$D$211,'SoESCaOMCbIC-capital'!D$1,'Cost Breakdowns'!$B$204:$B$211)</f>
        <v/>
      </c>
      <c r="E6" s="77">
        <f>SUMIF('Cost Breakdowns'!$D$204:$D$211,'SoESCaOMCbIC-capital'!E$1,'Cost Breakdowns'!$B$204:$B$211)</f>
        <v/>
      </c>
      <c r="F6" s="77">
        <f>SUMIF('Cost Breakdowns'!$D$204:$D$211,'SoESCaOMCbIC-capital'!F$1,'Cost Breakdowns'!$B$204:$B$211)</f>
        <v/>
      </c>
      <c r="G6" s="77">
        <f>SUMIF('Cost Breakdowns'!$D$204:$D$211,'SoESCaOMCbIC-capital'!G$1,'Cost Breakdowns'!$B$204:$B$211)</f>
        <v/>
      </c>
      <c r="H6" s="77">
        <f>SUMIF('Cost Breakdowns'!$D$204:$D$211,'SoESCaOMCbIC-capital'!H$1,'Cost Breakdowns'!$B$204:$B$211)</f>
        <v/>
      </c>
      <c r="I6" s="77">
        <f>SUMIF('Cost Breakdowns'!$D$204:$D$211,'SoESCaOMCbIC-capital'!I$1,'Cost Breakdowns'!$B$204:$B$211)</f>
        <v/>
      </c>
      <c r="J6" s="77">
        <f>SUMIF('Cost Breakdowns'!$D$204:$D$211,'SoESCaOMCbIC-capital'!J$1,'Cost Breakdowns'!$B$204:$B$211)</f>
        <v/>
      </c>
      <c r="K6" s="77">
        <f>SUMIF('Cost Breakdowns'!$D$204:$D$211,'SoESCaOMCbIC-capital'!K$1,'Cost Breakdowns'!$B$204:$B$211)</f>
        <v/>
      </c>
      <c r="L6" s="77">
        <f>SUMIF('Cost Breakdowns'!$D$204:$D$211,'SoESCaOMCbIC-capital'!L$1,'Cost Breakdowns'!$B$204:$B$211)</f>
        <v/>
      </c>
      <c r="M6" s="77">
        <f>SUMIF('Cost Breakdowns'!$D$204:$D$211,'SoESCaOMCbIC-capital'!M$1,'Cost Breakdowns'!$B$204:$B$211)</f>
        <v/>
      </c>
      <c r="N6" s="77">
        <f>SUMIF('Cost Breakdowns'!$D$204:$D$211,'SoESCaOMCbIC-capital'!N$1,'Cost Breakdowns'!$B$204:$B$211)</f>
        <v/>
      </c>
      <c r="O6" s="77">
        <f>SUMIF('Cost Breakdowns'!$D$204:$D$211,'SoESCaOMCbIC-capital'!O$1,'Cost Breakdowns'!$B$204:$B$211)</f>
        <v/>
      </c>
      <c r="P6" s="77">
        <f>SUMIF('Cost Breakdowns'!$D$204:$D$211,'SoESCaOMCbIC-capital'!P$1,'Cost Breakdowns'!$B$204:$B$211)</f>
        <v/>
      </c>
      <c r="Q6" s="77">
        <f>SUMIF('Cost Breakdowns'!$D$204:$D$211,'SoESCaOMCbIC-capital'!Q$1,'Cost Breakdowns'!$B$204:$B$211)</f>
        <v/>
      </c>
      <c r="R6" s="77">
        <f>SUMIF('Cost Breakdowns'!$D$204:$D$211,'SoESCaOMCbIC-capital'!R$1,'Cost Breakdowns'!$B$204:$B$211)</f>
        <v/>
      </c>
      <c r="S6" s="77">
        <f>SUMIF('Cost Breakdowns'!$D$204:$D$211,'SoESCaOMCbIC-capital'!S$1,'Cost Breakdowns'!$B$204:$B$211)</f>
        <v/>
      </c>
      <c r="T6" s="77">
        <f>SUMIF('Cost Breakdowns'!$D$204:$D$211,'SoESCaOMCbIC-capital'!T$1,'Cost Breakdowns'!$B$204:$B$211)</f>
        <v/>
      </c>
      <c r="U6" s="77">
        <f>SUMIF('Cost Breakdowns'!$D$204:$D$211,'SoESCaOMCbIC-capital'!U$1,'Cost Breakdowns'!$B$204:$B$211)</f>
        <v/>
      </c>
      <c r="V6" s="77">
        <f>SUMIF('Cost Breakdowns'!$D$204:$D$211,'SoESCaOMCbIC-capital'!V$1,'Cost Breakdowns'!$B$204:$B$211)</f>
        <v/>
      </c>
      <c r="W6" s="77">
        <f>SUMIF('Cost Breakdowns'!$D$204:$D$211,'SoESCaOMCbIC-capital'!W$1,'Cost Breakdowns'!$B$204:$B$211)</f>
        <v/>
      </c>
      <c r="X6" s="77">
        <f>SUMIF('Cost Breakdowns'!$D$204:$D$211,'SoESCaOMCbIC-capital'!X$1,'Cost Breakdowns'!$B$204:$B$211)</f>
        <v/>
      </c>
      <c r="Y6" s="77">
        <f>SUMIF('Cost Breakdowns'!$D$204:$D$211,'SoESCaOMCbIC-capital'!Y$1,'Cost Breakdowns'!$B$204:$B$211)</f>
        <v/>
      </c>
      <c r="Z6" s="77">
        <f>SUMIF('Cost Breakdowns'!$D$204:$D$211,'SoESCaOMCbIC-capital'!Z$1,'Cost Breakdowns'!$B$204:$B$211)</f>
        <v/>
      </c>
      <c r="AA6" s="77">
        <f>SUMIF('Cost Breakdowns'!$D$204:$D$211,'SoESCaOMCbIC-capital'!AA$1,'Cost Breakdowns'!$B$204:$B$211)</f>
        <v/>
      </c>
      <c r="AB6" s="77">
        <f>SUMIF('Cost Breakdowns'!$D$204:$D$211,'SoESCaOMCbIC-capital'!AB$1,'Cost Breakdowns'!$B$204:$B$211)</f>
        <v/>
      </c>
      <c r="AC6" s="77">
        <f>SUMIF('Cost Breakdowns'!$D$204:$D$211,'SoESCaOMCbIC-capital'!AC$1,'Cost Breakdowns'!$B$204:$B$211)</f>
        <v/>
      </c>
      <c r="AD6" s="77">
        <f>SUMIF('Cost Breakdowns'!$D$204:$D$211,'SoESCaOMCbIC-capital'!AD$1,'Cost Breakdowns'!$B$204:$B$211)</f>
        <v/>
      </c>
      <c r="AE6" s="77">
        <f>SUMIF('Cost Breakdowns'!$D$204:$D$211,'SoESCaOMCbIC-capital'!AE$1,'Cost Breakdowns'!$B$204:$B$211)</f>
        <v/>
      </c>
      <c r="AF6" s="77">
        <f>SUMIF('Cost Breakdowns'!$D$204:$D$211,'SoESCaOMCbIC-capital'!AF$1,'Cost Breakdowns'!$B$204:$B$211)</f>
        <v/>
      </c>
      <c r="AG6" s="77">
        <f>SUMIF('Cost Breakdowns'!$D$204:$D$211,'SoESCaOMCbIC-capital'!AG$1,'Cost Breakdowns'!$B$204:$B$211)</f>
        <v/>
      </c>
      <c r="AH6" s="77">
        <f>SUMIF('Cost Breakdowns'!$D$204:$D$211,'SoESCaOMCbIC-capital'!AH$1,'Cost Breakdowns'!$B$204:$B$211)</f>
        <v/>
      </c>
      <c r="AI6" s="77">
        <f>SUMIF('Cost Breakdowns'!$D$204:$D$211,'SoESCaOMCbIC-capital'!AI$1,'Cost Breakdowns'!$B$204:$B$211)</f>
        <v/>
      </c>
      <c r="AJ6" s="77">
        <f>SUMIF('Cost Breakdowns'!$D$204:$D$211,'SoESCaOMCbIC-capital'!AJ$1,'Cost Breakdowns'!$B$204:$B$211)</f>
        <v/>
      </c>
      <c r="AK6" s="77">
        <f>SUMIF('Cost Breakdowns'!$D$204:$D$211,'SoESCaOMCbIC-capital'!AK$1,'Cost Breakdowns'!$B$204:$B$211)</f>
        <v/>
      </c>
      <c r="AL6" s="77">
        <f>SUMIF('Cost Breakdowns'!$D$204:$D$211,'SoESCaOMCbIC-capital'!AL$1,'Cost Breakdowns'!$B$204:$B$211)</f>
        <v/>
      </c>
      <c r="AM6" s="77">
        <f>SUMIF('Cost Breakdowns'!$D$204:$D$211,'SoESCaOMCbIC-capital'!AM$1,'Cost Breakdowns'!$B$204:$B$211)</f>
        <v/>
      </c>
      <c r="AN6" s="77">
        <f>SUMIF('Cost Breakdowns'!$D$204:$D$211,'SoESCaOMCbIC-capital'!AN$1,'Cost Breakdowns'!$B$204:$B$211)</f>
        <v/>
      </c>
      <c r="AO6" s="77">
        <f>SUMIF('Cost Breakdowns'!$D$204:$D$211,'SoESCaOMCbIC-capital'!AO$1,'Cost Breakdowns'!$B$204:$B$211)</f>
        <v/>
      </c>
      <c r="AP6" s="77">
        <f>SUMIF('Cost Breakdowns'!$D$204:$D$211,'SoESCaOMCbIC-capital'!AP$1,'Cost Breakdowns'!$B$204:$B$211)</f>
        <v/>
      </c>
      <c r="AQ6" s="77">
        <f>SUMIF('Cost Breakdowns'!$D$204:$D$211,'SoESCaOMCbIC-capital'!AQ$1,'Cost Breakdowns'!$B$204:$B$211)</f>
        <v/>
      </c>
    </row>
    <row r="7">
      <c r="A7" t="inlineStr">
        <is>
          <t>wind</t>
        </is>
      </c>
      <c r="B7" s="77">
        <f>SUMIF('Cost Breakdowns'!$D$57:$D$71,'SoESCaOMCbIC-capital'!B$1,'Cost Breakdowns'!$B$57:$B$71)</f>
        <v/>
      </c>
      <c r="C7" s="77">
        <f>SUMIF('Cost Breakdowns'!$D$57:$D$71,'SoESCaOMCbIC-capital'!C$1,'Cost Breakdowns'!$B$57:$B$71)</f>
        <v/>
      </c>
      <c r="D7" s="77">
        <f>SUMIF('Cost Breakdowns'!$D$57:$D$71,'SoESCaOMCbIC-capital'!D$1,'Cost Breakdowns'!$B$57:$B$71)</f>
        <v/>
      </c>
      <c r="E7" s="77">
        <f>SUMIF('Cost Breakdowns'!$D$57:$D$71,'SoESCaOMCbIC-capital'!E$1,'Cost Breakdowns'!$B$57:$B$71)</f>
        <v/>
      </c>
      <c r="F7" s="77">
        <f>SUMIF('Cost Breakdowns'!$D$57:$D$71,'SoESCaOMCbIC-capital'!F$1,'Cost Breakdowns'!$B$57:$B$71)</f>
        <v/>
      </c>
      <c r="G7" s="77">
        <f>SUMIF('Cost Breakdowns'!$D$57:$D$71,'SoESCaOMCbIC-capital'!G$1,'Cost Breakdowns'!$B$57:$B$71)</f>
        <v/>
      </c>
      <c r="H7" s="77">
        <f>SUMIF('Cost Breakdowns'!$D$57:$D$71,'SoESCaOMCbIC-capital'!H$1,'Cost Breakdowns'!$B$57:$B$71)</f>
        <v/>
      </c>
      <c r="I7" s="77">
        <f>SUMIF('Cost Breakdowns'!$D$57:$D$71,'SoESCaOMCbIC-capital'!I$1,'Cost Breakdowns'!$B$57:$B$71)</f>
        <v/>
      </c>
      <c r="J7" s="77">
        <f>SUMIF('Cost Breakdowns'!$D$57:$D$71,'SoESCaOMCbIC-capital'!J$1,'Cost Breakdowns'!$B$57:$B$71)</f>
        <v/>
      </c>
      <c r="K7" s="77">
        <f>SUMIF('Cost Breakdowns'!$D$57:$D$71,'SoESCaOMCbIC-capital'!K$1,'Cost Breakdowns'!$B$57:$B$71)</f>
        <v/>
      </c>
      <c r="L7" s="77">
        <f>SUMIF('Cost Breakdowns'!$D$57:$D$71,'SoESCaOMCbIC-capital'!L$1,'Cost Breakdowns'!$B$57:$B$71)</f>
        <v/>
      </c>
      <c r="M7" s="77">
        <f>SUMIF('Cost Breakdowns'!$D$57:$D$71,'SoESCaOMCbIC-capital'!M$1,'Cost Breakdowns'!$B$57:$B$71)</f>
        <v/>
      </c>
      <c r="N7" s="77">
        <f>SUMIF('Cost Breakdowns'!$D$57:$D$71,'SoESCaOMCbIC-capital'!N$1,'Cost Breakdowns'!$B$57:$B$71)</f>
        <v/>
      </c>
      <c r="O7" s="77">
        <f>SUMIF('Cost Breakdowns'!$D$57:$D$71,'SoESCaOMCbIC-capital'!O$1,'Cost Breakdowns'!$B$57:$B$71)</f>
        <v/>
      </c>
      <c r="P7" s="77">
        <f>SUMIF('Cost Breakdowns'!$D$57:$D$71,'SoESCaOMCbIC-capital'!P$1,'Cost Breakdowns'!$B$57:$B$71)</f>
        <v/>
      </c>
      <c r="Q7" s="77">
        <f>SUMIF('Cost Breakdowns'!$D$57:$D$71,'SoESCaOMCbIC-capital'!Q$1,'Cost Breakdowns'!$B$57:$B$71)</f>
        <v/>
      </c>
      <c r="R7" s="77">
        <f>SUMIF('Cost Breakdowns'!$D$57:$D$71,'SoESCaOMCbIC-capital'!R$1,'Cost Breakdowns'!$B$57:$B$71)</f>
        <v/>
      </c>
      <c r="S7" s="77">
        <f>SUMIF('Cost Breakdowns'!$D$57:$D$71,'SoESCaOMCbIC-capital'!S$1,'Cost Breakdowns'!$B$57:$B$71)</f>
        <v/>
      </c>
      <c r="T7" s="77">
        <f>SUMIF('Cost Breakdowns'!$D$57:$D$71,'SoESCaOMCbIC-capital'!T$1,'Cost Breakdowns'!$B$57:$B$71)</f>
        <v/>
      </c>
      <c r="U7" s="77">
        <f>SUMIF('Cost Breakdowns'!$D$57:$D$71,'SoESCaOMCbIC-capital'!U$1,'Cost Breakdowns'!$B$57:$B$71)</f>
        <v/>
      </c>
      <c r="V7" s="77">
        <f>SUMIF('Cost Breakdowns'!$D$57:$D$71,'SoESCaOMCbIC-capital'!V$1,'Cost Breakdowns'!$B$57:$B$71)</f>
        <v/>
      </c>
      <c r="W7" s="77">
        <f>SUMIF('Cost Breakdowns'!$D$57:$D$71,'SoESCaOMCbIC-capital'!W$1,'Cost Breakdowns'!$B$57:$B$71)</f>
        <v/>
      </c>
      <c r="X7" s="77">
        <f>SUMIF('Cost Breakdowns'!$D$57:$D$71,'SoESCaOMCbIC-capital'!X$1,'Cost Breakdowns'!$B$57:$B$71)</f>
        <v/>
      </c>
      <c r="Y7" s="77">
        <f>SUMIF('Cost Breakdowns'!$D$57:$D$71,'SoESCaOMCbIC-capital'!Y$1,'Cost Breakdowns'!$B$57:$B$71)</f>
        <v/>
      </c>
      <c r="Z7" s="77">
        <f>SUMIF('Cost Breakdowns'!$D$57:$D$71,'SoESCaOMCbIC-capital'!Z$1,'Cost Breakdowns'!$B$57:$B$71)</f>
        <v/>
      </c>
      <c r="AA7" s="77">
        <f>SUMIF('Cost Breakdowns'!$D$57:$D$71,'SoESCaOMCbIC-capital'!AA$1,'Cost Breakdowns'!$B$57:$B$71)</f>
        <v/>
      </c>
      <c r="AB7" s="77">
        <f>SUMIF('Cost Breakdowns'!$D$57:$D$71,'SoESCaOMCbIC-capital'!AB$1,'Cost Breakdowns'!$B$57:$B$71)</f>
        <v/>
      </c>
      <c r="AC7" s="77">
        <f>SUMIF('Cost Breakdowns'!$D$57:$D$71,'SoESCaOMCbIC-capital'!AC$1,'Cost Breakdowns'!$B$57:$B$71)</f>
        <v/>
      </c>
      <c r="AD7" s="77">
        <f>SUMIF('Cost Breakdowns'!$D$57:$D$71,'SoESCaOMCbIC-capital'!AD$1,'Cost Breakdowns'!$B$57:$B$71)</f>
        <v/>
      </c>
      <c r="AE7" s="77">
        <f>SUMIF('Cost Breakdowns'!$D$57:$D$71,'SoESCaOMCbIC-capital'!AE$1,'Cost Breakdowns'!$B$57:$B$71)</f>
        <v/>
      </c>
      <c r="AF7" s="77">
        <f>SUMIF('Cost Breakdowns'!$D$57:$D$71,'SoESCaOMCbIC-capital'!AF$1,'Cost Breakdowns'!$B$57:$B$71)</f>
        <v/>
      </c>
      <c r="AG7" s="77">
        <f>SUMIF('Cost Breakdowns'!$D$57:$D$71,'SoESCaOMCbIC-capital'!AG$1,'Cost Breakdowns'!$B$57:$B$71)</f>
        <v/>
      </c>
      <c r="AH7" s="77">
        <f>SUMIF('Cost Breakdowns'!$D$57:$D$71,'SoESCaOMCbIC-capital'!AH$1,'Cost Breakdowns'!$B$57:$B$71)</f>
        <v/>
      </c>
      <c r="AI7" s="77">
        <f>SUMIF('Cost Breakdowns'!$D$57:$D$71,'SoESCaOMCbIC-capital'!AI$1,'Cost Breakdowns'!$B$57:$B$71)</f>
        <v/>
      </c>
      <c r="AJ7" s="77">
        <f>SUMIF('Cost Breakdowns'!$D$57:$D$71,'SoESCaOMCbIC-capital'!AJ$1,'Cost Breakdowns'!$B$57:$B$71)</f>
        <v/>
      </c>
      <c r="AK7" s="77">
        <f>SUMIF('Cost Breakdowns'!$D$57:$D$71,'SoESCaOMCbIC-capital'!AK$1,'Cost Breakdowns'!$B$57:$B$71)</f>
        <v/>
      </c>
      <c r="AL7" s="77">
        <f>SUMIF('Cost Breakdowns'!$D$57:$D$71,'SoESCaOMCbIC-capital'!AL$1,'Cost Breakdowns'!$B$57:$B$71)</f>
        <v/>
      </c>
      <c r="AM7" s="77">
        <f>SUMIF('Cost Breakdowns'!$D$57:$D$71,'SoESCaOMCbIC-capital'!AM$1,'Cost Breakdowns'!$B$57:$B$71)</f>
        <v/>
      </c>
      <c r="AN7" s="77">
        <f>SUMIF('Cost Breakdowns'!$D$57:$D$71,'SoESCaOMCbIC-capital'!AN$1,'Cost Breakdowns'!$B$57:$B$71)</f>
        <v/>
      </c>
      <c r="AO7" s="77">
        <f>SUMIF('Cost Breakdowns'!$D$57:$D$71,'SoESCaOMCbIC-capital'!AO$1,'Cost Breakdowns'!$B$57:$B$71)</f>
        <v/>
      </c>
      <c r="AP7" s="77">
        <f>SUMIF('Cost Breakdowns'!$D$57:$D$71,'SoESCaOMCbIC-capital'!AP$1,'Cost Breakdowns'!$B$57:$B$71)</f>
        <v/>
      </c>
      <c r="AQ7" s="77">
        <f>SUMIF('Cost Breakdowns'!$D$57:$D$71,'SoESCaOMCbIC-capital'!AQ$1,'Cost Breakdowns'!$B$57:$B$71)</f>
        <v/>
      </c>
    </row>
    <row r="8">
      <c r="A8" t="inlineStr">
        <is>
          <t>solar PV</t>
        </is>
      </c>
      <c r="B8" s="77">
        <f>SUMIF('Cost Breakdowns'!$D$15:$D$16,'SoESCaOMCbIC-capital'!B$1,'Cost Breakdowns'!$B$15:$B$16)</f>
        <v/>
      </c>
      <c r="C8" s="77">
        <f>SUMIF('Cost Breakdowns'!$D$15:$D$16,'SoESCaOMCbIC-capital'!C$1,'Cost Breakdowns'!$B$15:$B$16)</f>
        <v/>
      </c>
      <c r="D8" s="77">
        <f>SUMIF('Cost Breakdowns'!$D$15:$D$16,'SoESCaOMCbIC-capital'!D$1,'Cost Breakdowns'!$B$15:$B$16)</f>
        <v/>
      </c>
      <c r="E8" s="77">
        <f>SUMIF('Cost Breakdowns'!$D$15:$D$16,'SoESCaOMCbIC-capital'!E$1,'Cost Breakdowns'!$B$15:$B$16)</f>
        <v/>
      </c>
      <c r="F8" s="77">
        <f>SUMIF('Cost Breakdowns'!$D$15:$D$16,'SoESCaOMCbIC-capital'!F$1,'Cost Breakdowns'!$B$15:$B$16)</f>
        <v/>
      </c>
      <c r="G8" s="77">
        <f>SUMIF('Cost Breakdowns'!$D$15:$D$16,'SoESCaOMCbIC-capital'!G$1,'Cost Breakdowns'!$B$15:$B$16)</f>
        <v/>
      </c>
      <c r="H8" s="77">
        <f>SUMIF('Cost Breakdowns'!$D$15:$D$16,'SoESCaOMCbIC-capital'!H$1,'Cost Breakdowns'!$B$15:$B$16)</f>
        <v/>
      </c>
      <c r="I8" s="77">
        <f>SUMIF('Cost Breakdowns'!$D$15:$D$16,'SoESCaOMCbIC-capital'!I$1,'Cost Breakdowns'!$B$15:$B$16)</f>
        <v/>
      </c>
      <c r="J8" s="77">
        <f>SUMIF('Cost Breakdowns'!$D$15:$D$16,'SoESCaOMCbIC-capital'!J$1,'Cost Breakdowns'!$B$15:$B$16)</f>
        <v/>
      </c>
      <c r="K8" s="77">
        <f>SUMIF('Cost Breakdowns'!$D$15:$D$16,'SoESCaOMCbIC-capital'!K$1,'Cost Breakdowns'!$B$15:$B$16)</f>
        <v/>
      </c>
      <c r="L8" s="77">
        <f>SUMIF('Cost Breakdowns'!$D$15:$D$16,'SoESCaOMCbIC-capital'!L$1,'Cost Breakdowns'!$B$15:$B$16)</f>
        <v/>
      </c>
      <c r="M8" s="77">
        <f>SUMIF('Cost Breakdowns'!$D$15:$D$16,'SoESCaOMCbIC-capital'!M$1,'Cost Breakdowns'!$B$15:$B$16)</f>
        <v/>
      </c>
      <c r="N8" s="77">
        <f>SUMIF('Cost Breakdowns'!$D$15:$D$16,'SoESCaOMCbIC-capital'!N$1,'Cost Breakdowns'!$B$15:$B$16)</f>
        <v/>
      </c>
      <c r="O8" s="77">
        <f>SUMIF('Cost Breakdowns'!$D$15:$D$16,'SoESCaOMCbIC-capital'!O$1,'Cost Breakdowns'!$B$15:$B$16)</f>
        <v/>
      </c>
      <c r="P8" s="77">
        <f>SUMIF('Cost Breakdowns'!$D$15:$D$16,'SoESCaOMCbIC-capital'!P$1,'Cost Breakdowns'!$B$15:$B$16)</f>
        <v/>
      </c>
      <c r="Q8" s="77">
        <f>SUMIF('Cost Breakdowns'!$D$15:$D$16,'SoESCaOMCbIC-capital'!Q$1,'Cost Breakdowns'!$B$15:$B$16)</f>
        <v/>
      </c>
      <c r="R8" s="77">
        <f>SUMIF('Cost Breakdowns'!$D$15:$D$16,'SoESCaOMCbIC-capital'!R$1,'Cost Breakdowns'!$B$15:$B$16)</f>
        <v/>
      </c>
      <c r="S8" s="77">
        <f>SUMIF('Cost Breakdowns'!$D$15:$D$16,'SoESCaOMCbIC-capital'!S$1,'Cost Breakdowns'!$B$15:$B$16)</f>
        <v/>
      </c>
      <c r="T8" s="77">
        <f>SUMIF('Cost Breakdowns'!$D$15:$D$16,'SoESCaOMCbIC-capital'!T$1,'Cost Breakdowns'!$B$15:$B$16)</f>
        <v/>
      </c>
      <c r="U8" s="77">
        <f>SUMIF('Cost Breakdowns'!$D$15:$D$16,'SoESCaOMCbIC-capital'!U$1,'Cost Breakdowns'!$B$15:$B$16)</f>
        <v/>
      </c>
      <c r="V8" s="77">
        <f>SUMIF('Cost Breakdowns'!$D$15:$D$16,'SoESCaOMCbIC-capital'!V$1,'Cost Breakdowns'!$B$15:$B$16)</f>
        <v/>
      </c>
      <c r="W8" s="77">
        <f>SUMIF('Cost Breakdowns'!$D$15:$D$16,'SoESCaOMCbIC-capital'!W$1,'Cost Breakdowns'!$B$15:$B$16)</f>
        <v/>
      </c>
      <c r="X8" s="77">
        <f>SUMIF('Cost Breakdowns'!$D$15:$D$16,'SoESCaOMCbIC-capital'!X$1,'Cost Breakdowns'!$B$15:$B$16)</f>
        <v/>
      </c>
      <c r="Y8" s="77">
        <f>SUMIF('Cost Breakdowns'!$D$15:$D$16,'SoESCaOMCbIC-capital'!Y$1,'Cost Breakdowns'!$B$15:$B$16)</f>
        <v/>
      </c>
      <c r="Z8" s="77">
        <f>SUMIF('Cost Breakdowns'!$D$15:$D$16,'SoESCaOMCbIC-capital'!Z$1,'Cost Breakdowns'!$B$15:$B$16)</f>
        <v/>
      </c>
      <c r="AA8" s="77">
        <f>SUMIF('Cost Breakdowns'!$D$15:$D$16,'SoESCaOMCbIC-capital'!AA$1,'Cost Breakdowns'!$B$15:$B$16)</f>
        <v/>
      </c>
      <c r="AB8" s="77">
        <f>SUMIF('Cost Breakdowns'!$D$15:$D$16,'SoESCaOMCbIC-capital'!AB$1,'Cost Breakdowns'!$B$15:$B$16)</f>
        <v/>
      </c>
      <c r="AC8" s="77">
        <f>SUMIF('Cost Breakdowns'!$D$15:$D$16,'SoESCaOMCbIC-capital'!AC$1,'Cost Breakdowns'!$B$15:$B$16)</f>
        <v/>
      </c>
      <c r="AD8" s="77">
        <f>SUMIF('Cost Breakdowns'!$D$15:$D$16,'SoESCaOMCbIC-capital'!AD$1,'Cost Breakdowns'!$B$15:$B$16)</f>
        <v/>
      </c>
      <c r="AE8" s="77">
        <f>SUMIF('Cost Breakdowns'!$D$15:$D$16,'SoESCaOMCbIC-capital'!AE$1,'Cost Breakdowns'!$B$15:$B$16)</f>
        <v/>
      </c>
      <c r="AF8" s="77">
        <f>SUMIF('Cost Breakdowns'!$D$15:$D$16,'SoESCaOMCbIC-capital'!AF$1,'Cost Breakdowns'!$B$15:$B$16)</f>
        <v/>
      </c>
      <c r="AG8" s="77">
        <f>SUMIF('Cost Breakdowns'!$D$15:$D$16,'SoESCaOMCbIC-capital'!AG$1,'Cost Breakdowns'!$B$15:$B$16)</f>
        <v/>
      </c>
      <c r="AH8" s="77">
        <f>SUMIF('Cost Breakdowns'!$D$15:$D$16,'SoESCaOMCbIC-capital'!AH$1,'Cost Breakdowns'!$B$15:$B$16)</f>
        <v/>
      </c>
      <c r="AI8" s="77">
        <f>SUMIF('Cost Breakdowns'!$D$15:$D$16,'SoESCaOMCbIC-capital'!AI$1,'Cost Breakdowns'!$B$15:$B$16)</f>
        <v/>
      </c>
      <c r="AJ8" s="77">
        <f>SUMIF('Cost Breakdowns'!$D$15:$D$16,'SoESCaOMCbIC-capital'!AJ$1,'Cost Breakdowns'!$B$15:$B$16)</f>
        <v/>
      </c>
      <c r="AK8" s="77">
        <f>SUMIF('Cost Breakdowns'!$D$15:$D$16,'SoESCaOMCbIC-capital'!AK$1,'Cost Breakdowns'!$B$15:$B$16)</f>
        <v/>
      </c>
      <c r="AL8" s="77">
        <f>SUMIF('Cost Breakdowns'!$D$15:$D$16,'SoESCaOMCbIC-capital'!AL$1,'Cost Breakdowns'!$B$15:$B$16)</f>
        <v/>
      </c>
      <c r="AM8" s="77">
        <f>SUMIF('Cost Breakdowns'!$D$15:$D$16,'SoESCaOMCbIC-capital'!AM$1,'Cost Breakdowns'!$B$15:$B$16)</f>
        <v/>
      </c>
      <c r="AN8" s="77">
        <f>SUMIF('Cost Breakdowns'!$D$15:$D$16,'SoESCaOMCbIC-capital'!AN$1,'Cost Breakdowns'!$B$15:$B$16)</f>
        <v/>
      </c>
      <c r="AO8" s="77">
        <f>SUMIF('Cost Breakdowns'!$D$15:$D$16,'SoESCaOMCbIC-capital'!AO$1,'Cost Breakdowns'!$B$15:$B$16)</f>
        <v/>
      </c>
      <c r="AP8" s="77">
        <f>SUMIF('Cost Breakdowns'!$D$15:$D$16,'SoESCaOMCbIC-capital'!AP$1,'Cost Breakdowns'!$B$15:$B$16)</f>
        <v/>
      </c>
      <c r="AQ8" s="77">
        <f>SUMIF('Cost Breakdowns'!$D$15:$D$16,'SoESCaOMCbIC-capital'!AQ$1,'Cost Breakdowns'!$B$15:$B$16)</f>
        <v/>
      </c>
    </row>
    <row r="9">
      <c r="A9" t="inlineStr">
        <is>
          <t>solar thermal</t>
        </is>
      </c>
      <c r="B9" s="77">
        <f>SUMIF('Cost Breakdowns'!$D$274:$D$287,'SoESCaOMCbIC-capital'!B$1,'Cost Breakdowns'!$B$274:$B$287)</f>
        <v/>
      </c>
      <c r="C9" s="77">
        <f>SUMIF('Cost Breakdowns'!$D$274:$D$287,'SoESCaOMCbIC-capital'!C$1,'Cost Breakdowns'!$B$274:$B$287)</f>
        <v/>
      </c>
      <c r="D9" s="77">
        <f>SUMIF('Cost Breakdowns'!$D$274:$D$287,'SoESCaOMCbIC-capital'!D$1,'Cost Breakdowns'!$B$274:$B$287)</f>
        <v/>
      </c>
      <c r="E9" s="77">
        <f>SUMIF('Cost Breakdowns'!$D$274:$D$287,'SoESCaOMCbIC-capital'!E$1,'Cost Breakdowns'!$B$274:$B$287)</f>
        <v/>
      </c>
      <c r="F9" s="77">
        <f>SUMIF('Cost Breakdowns'!$D$274:$D$287,'SoESCaOMCbIC-capital'!F$1,'Cost Breakdowns'!$B$274:$B$287)</f>
        <v/>
      </c>
      <c r="G9" s="77">
        <f>SUMIF('Cost Breakdowns'!$D$274:$D$287,'SoESCaOMCbIC-capital'!G$1,'Cost Breakdowns'!$B$274:$B$287)</f>
        <v/>
      </c>
      <c r="H9" s="77">
        <f>SUMIF('Cost Breakdowns'!$D$274:$D$287,'SoESCaOMCbIC-capital'!H$1,'Cost Breakdowns'!$B$274:$B$287)</f>
        <v/>
      </c>
      <c r="I9" s="77">
        <f>SUMIF('Cost Breakdowns'!$D$274:$D$287,'SoESCaOMCbIC-capital'!I$1,'Cost Breakdowns'!$B$274:$B$287)</f>
        <v/>
      </c>
      <c r="J9" s="77">
        <f>SUMIF('Cost Breakdowns'!$D$274:$D$287,'SoESCaOMCbIC-capital'!J$1,'Cost Breakdowns'!$B$274:$B$287)</f>
        <v/>
      </c>
      <c r="K9" s="77">
        <f>SUMIF('Cost Breakdowns'!$D$274:$D$287,'SoESCaOMCbIC-capital'!K$1,'Cost Breakdowns'!$B$274:$B$287)</f>
        <v/>
      </c>
      <c r="L9" s="77">
        <f>SUMIF('Cost Breakdowns'!$D$274:$D$287,'SoESCaOMCbIC-capital'!L$1,'Cost Breakdowns'!$B$274:$B$287)</f>
        <v/>
      </c>
      <c r="M9" s="77">
        <f>SUMIF('Cost Breakdowns'!$D$274:$D$287,'SoESCaOMCbIC-capital'!M$1,'Cost Breakdowns'!$B$274:$B$287)</f>
        <v/>
      </c>
      <c r="N9" s="77">
        <f>SUMIF('Cost Breakdowns'!$D$274:$D$287,'SoESCaOMCbIC-capital'!N$1,'Cost Breakdowns'!$B$274:$B$287)</f>
        <v/>
      </c>
      <c r="O9" s="77">
        <f>SUMIF('Cost Breakdowns'!$D$274:$D$287,'SoESCaOMCbIC-capital'!O$1,'Cost Breakdowns'!$B$274:$B$287)</f>
        <v/>
      </c>
      <c r="P9" s="77">
        <f>SUMIF('Cost Breakdowns'!$D$274:$D$287,'SoESCaOMCbIC-capital'!P$1,'Cost Breakdowns'!$B$274:$B$287)</f>
        <v/>
      </c>
      <c r="Q9" s="77">
        <f>SUMIF('Cost Breakdowns'!$D$274:$D$287,'SoESCaOMCbIC-capital'!Q$1,'Cost Breakdowns'!$B$274:$B$287)</f>
        <v/>
      </c>
      <c r="R9" s="77">
        <f>SUMIF('Cost Breakdowns'!$D$274:$D$287,'SoESCaOMCbIC-capital'!R$1,'Cost Breakdowns'!$B$274:$B$287)</f>
        <v/>
      </c>
      <c r="S9" s="77">
        <f>SUMIF('Cost Breakdowns'!$D$274:$D$287,'SoESCaOMCbIC-capital'!S$1,'Cost Breakdowns'!$B$274:$B$287)</f>
        <v/>
      </c>
      <c r="T9" s="77">
        <f>SUMIF('Cost Breakdowns'!$D$274:$D$287,'SoESCaOMCbIC-capital'!T$1,'Cost Breakdowns'!$B$274:$B$287)</f>
        <v/>
      </c>
      <c r="U9" s="77">
        <f>SUMIF('Cost Breakdowns'!$D$274:$D$287,'SoESCaOMCbIC-capital'!U$1,'Cost Breakdowns'!$B$274:$B$287)</f>
        <v/>
      </c>
      <c r="V9" s="77">
        <f>SUMIF('Cost Breakdowns'!$D$274:$D$287,'SoESCaOMCbIC-capital'!V$1,'Cost Breakdowns'!$B$274:$B$287)</f>
        <v/>
      </c>
      <c r="W9" s="77">
        <f>SUMIF('Cost Breakdowns'!$D$274:$D$287,'SoESCaOMCbIC-capital'!W$1,'Cost Breakdowns'!$B$274:$B$287)</f>
        <v/>
      </c>
      <c r="X9" s="77">
        <f>SUMIF('Cost Breakdowns'!$D$274:$D$287,'SoESCaOMCbIC-capital'!X$1,'Cost Breakdowns'!$B$274:$B$287)</f>
        <v/>
      </c>
      <c r="Y9" s="77">
        <f>SUMIF('Cost Breakdowns'!$D$274:$D$287,'SoESCaOMCbIC-capital'!Y$1,'Cost Breakdowns'!$B$274:$B$287)</f>
        <v/>
      </c>
      <c r="Z9" s="77">
        <f>SUMIF('Cost Breakdowns'!$D$274:$D$287,'SoESCaOMCbIC-capital'!Z$1,'Cost Breakdowns'!$B$274:$B$287)</f>
        <v/>
      </c>
      <c r="AA9" s="77">
        <f>SUMIF('Cost Breakdowns'!$D$274:$D$287,'SoESCaOMCbIC-capital'!AA$1,'Cost Breakdowns'!$B$274:$B$287)</f>
        <v/>
      </c>
      <c r="AB9" s="77">
        <f>SUMIF('Cost Breakdowns'!$D$274:$D$287,'SoESCaOMCbIC-capital'!AB$1,'Cost Breakdowns'!$B$274:$B$287)</f>
        <v/>
      </c>
      <c r="AC9" s="77">
        <f>SUMIF('Cost Breakdowns'!$D$274:$D$287,'SoESCaOMCbIC-capital'!AC$1,'Cost Breakdowns'!$B$274:$B$287)</f>
        <v/>
      </c>
      <c r="AD9" s="77">
        <f>SUMIF('Cost Breakdowns'!$D$274:$D$287,'SoESCaOMCbIC-capital'!AD$1,'Cost Breakdowns'!$B$274:$B$287)</f>
        <v/>
      </c>
      <c r="AE9" s="77">
        <f>SUMIF('Cost Breakdowns'!$D$274:$D$287,'SoESCaOMCbIC-capital'!AE$1,'Cost Breakdowns'!$B$274:$B$287)</f>
        <v/>
      </c>
      <c r="AF9" s="77">
        <f>SUMIF('Cost Breakdowns'!$D$274:$D$287,'SoESCaOMCbIC-capital'!AF$1,'Cost Breakdowns'!$B$274:$B$287)</f>
        <v/>
      </c>
      <c r="AG9" s="77">
        <f>SUMIF('Cost Breakdowns'!$D$274:$D$287,'SoESCaOMCbIC-capital'!AG$1,'Cost Breakdowns'!$B$274:$B$287)</f>
        <v/>
      </c>
      <c r="AH9" s="77">
        <f>SUMIF('Cost Breakdowns'!$D$274:$D$287,'SoESCaOMCbIC-capital'!AH$1,'Cost Breakdowns'!$B$274:$B$287)</f>
        <v/>
      </c>
      <c r="AI9" s="77">
        <f>SUMIF('Cost Breakdowns'!$D$274:$D$287,'SoESCaOMCbIC-capital'!AI$1,'Cost Breakdowns'!$B$274:$B$287)</f>
        <v/>
      </c>
      <c r="AJ9" s="77">
        <f>SUMIF('Cost Breakdowns'!$D$274:$D$287,'SoESCaOMCbIC-capital'!AJ$1,'Cost Breakdowns'!$B$274:$B$287)</f>
        <v/>
      </c>
      <c r="AK9" s="77">
        <f>SUMIF('Cost Breakdowns'!$D$274:$D$287,'SoESCaOMCbIC-capital'!AK$1,'Cost Breakdowns'!$B$274:$B$287)</f>
        <v/>
      </c>
      <c r="AL9" s="77">
        <f>SUMIF('Cost Breakdowns'!$D$274:$D$287,'SoESCaOMCbIC-capital'!AL$1,'Cost Breakdowns'!$B$274:$B$287)</f>
        <v/>
      </c>
      <c r="AM9" s="77">
        <f>SUMIF('Cost Breakdowns'!$D$274:$D$287,'SoESCaOMCbIC-capital'!AM$1,'Cost Breakdowns'!$B$274:$B$287)</f>
        <v/>
      </c>
      <c r="AN9" s="77">
        <f>SUMIF('Cost Breakdowns'!$D$274:$D$287,'SoESCaOMCbIC-capital'!AN$1,'Cost Breakdowns'!$B$274:$B$287)</f>
        <v/>
      </c>
      <c r="AO9" s="77">
        <f>SUMIF('Cost Breakdowns'!$D$274:$D$287,'SoESCaOMCbIC-capital'!AO$1,'Cost Breakdowns'!$B$274:$B$287)</f>
        <v/>
      </c>
      <c r="AP9" s="77">
        <f>SUMIF('Cost Breakdowns'!$D$274:$D$287,'SoESCaOMCbIC-capital'!AP$1,'Cost Breakdowns'!$B$274:$B$287)</f>
        <v/>
      </c>
      <c r="AQ9" s="77">
        <f>SUMIF('Cost Breakdowns'!$D$274:$D$287,'SoESCaOMCbIC-capital'!AQ$1,'Cost Breakdowns'!$B$274:$B$287)</f>
        <v/>
      </c>
    </row>
    <row r="10">
      <c r="A10" t="inlineStr">
        <is>
          <t>biomass</t>
        </is>
      </c>
      <c r="B10" s="77">
        <f>SUMIF('Cost Breakdowns'!$D$229:$D$229,'SoESCaOMCbIC-capital'!B$1,'Cost Breakdowns'!$B$229:$B$229)</f>
        <v/>
      </c>
      <c r="C10" s="77">
        <f>SUMIF('Cost Breakdowns'!$D$229:$D$229,'SoESCaOMCbIC-capital'!C$1,'Cost Breakdowns'!$B$229:$B$229)</f>
        <v/>
      </c>
      <c r="D10" s="77">
        <f>SUMIF('Cost Breakdowns'!$D$229:$D$229,'SoESCaOMCbIC-capital'!D$1,'Cost Breakdowns'!$B$229:$B$229)</f>
        <v/>
      </c>
      <c r="E10" s="77">
        <f>SUMIF('Cost Breakdowns'!$D$229:$D$229,'SoESCaOMCbIC-capital'!E$1,'Cost Breakdowns'!$B$229:$B$229)</f>
        <v/>
      </c>
      <c r="F10" s="77">
        <f>SUMIF('Cost Breakdowns'!$D$229:$D$229,'SoESCaOMCbIC-capital'!F$1,'Cost Breakdowns'!$B$229:$B$229)</f>
        <v/>
      </c>
      <c r="G10" s="77">
        <f>SUMIF('Cost Breakdowns'!$D$229:$D$229,'SoESCaOMCbIC-capital'!G$1,'Cost Breakdowns'!$B$229:$B$229)</f>
        <v/>
      </c>
      <c r="H10" s="77">
        <f>SUMIF('Cost Breakdowns'!$D$229:$D$229,'SoESCaOMCbIC-capital'!H$1,'Cost Breakdowns'!$B$229:$B$229)</f>
        <v/>
      </c>
      <c r="I10" s="77">
        <f>SUMIF('Cost Breakdowns'!$D$229:$D$229,'SoESCaOMCbIC-capital'!I$1,'Cost Breakdowns'!$B$229:$B$229)</f>
        <v/>
      </c>
      <c r="J10" s="77">
        <f>SUMIF('Cost Breakdowns'!$D$229:$D$229,'SoESCaOMCbIC-capital'!J$1,'Cost Breakdowns'!$B$229:$B$229)</f>
        <v/>
      </c>
      <c r="K10" s="77">
        <f>SUMIF('Cost Breakdowns'!$D$229:$D$229,'SoESCaOMCbIC-capital'!K$1,'Cost Breakdowns'!$B$229:$B$229)</f>
        <v/>
      </c>
      <c r="L10" s="77">
        <f>SUMIF('Cost Breakdowns'!$D$229:$D$229,'SoESCaOMCbIC-capital'!L$1,'Cost Breakdowns'!$B$229:$B$229)</f>
        <v/>
      </c>
      <c r="M10" s="77">
        <f>SUMIF('Cost Breakdowns'!$D$229:$D$229,'SoESCaOMCbIC-capital'!M$1,'Cost Breakdowns'!$B$229:$B$229)</f>
        <v/>
      </c>
      <c r="N10" s="77">
        <f>SUMIF('Cost Breakdowns'!$D$229:$D$229,'SoESCaOMCbIC-capital'!N$1,'Cost Breakdowns'!$B$229:$B$229)</f>
        <v/>
      </c>
      <c r="O10" s="77">
        <f>SUMIF('Cost Breakdowns'!$D$229:$D$229,'SoESCaOMCbIC-capital'!O$1,'Cost Breakdowns'!$B$229:$B$229)</f>
        <v/>
      </c>
      <c r="P10" s="77">
        <f>SUMIF('Cost Breakdowns'!$D$229:$D$229,'SoESCaOMCbIC-capital'!P$1,'Cost Breakdowns'!$B$229:$B$229)</f>
        <v/>
      </c>
      <c r="Q10" s="77">
        <f>SUMIF('Cost Breakdowns'!$D$229:$D$229,'SoESCaOMCbIC-capital'!Q$1,'Cost Breakdowns'!$B$229:$B$229)</f>
        <v/>
      </c>
      <c r="R10" s="77">
        <f>SUMIF('Cost Breakdowns'!$D$229:$D$229,'SoESCaOMCbIC-capital'!R$1,'Cost Breakdowns'!$B$229:$B$229)</f>
        <v/>
      </c>
      <c r="S10" s="77">
        <f>SUMIF('Cost Breakdowns'!$D$229:$D$229,'SoESCaOMCbIC-capital'!S$1,'Cost Breakdowns'!$B$229:$B$229)</f>
        <v/>
      </c>
      <c r="T10" s="77">
        <f>SUMIF('Cost Breakdowns'!$D$229:$D$229,'SoESCaOMCbIC-capital'!T$1,'Cost Breakdowns'!$B$229:$B$229)</f>
        <v/>
      </c>
      <c r="U10" s="77">
        <f>SUMIF('Cost Breakdowns'!$D$229:$D$229,'SoESCaOMCbIC-capital'!U$1,'Cost Breakdowns'!$B$229:$B$229)</f>
        <v/>
      </c>
      <c r="V10" s="77">
        <f>SUMIF('Cost Breakdowns'!$D$229:$D$229,'SoESCaOMCbIC-capital'!V$1,'Cost Breakdowns'!$B$229:$B$229)</f>
        <v/>
      </c>
      <c r="W10" s="77">
        <f>SUMIF('Cost Breakdowns'!$D$229:$D$229,'SoESCaOMCbIC-capital'!W$1,'Cost Breakdowns'!$B$229:$B$229)</f>
        <v/>
      </c>
      <c r="X10" s="77">
        <f>SUMIF('Cost Breakdowns'!$D$229:$D$229,'SoESCaOMCbIC-capital'!X$1,'Cost Breakdowns'!$B$229:$B$229)</f>
        <v/>
      </c>
      <c r="Y10" s="77">
        <f>SUMIF('Cost Breakdowns'!$D$229:$D$229,'SoESCaOMCbIC-capital'!Y$1,'Cost Breakdowns'!$B$229:$B$229)</f>
        <v/>
      </c>
      <c r="Z10" s="77">
        <f>SUMIF('Cost Breakdowns'!$D$229:$D$229,'SoESCaOMCbIC-capital'!Z$1,'Cost Breakdowns'!$B$229:$B$229)</f>
        <v/>
      </c>
      <c r="AA10" s="77">
        <f>SUMIF('Cost Breakdowns'!$D$229:$D$229,'SoESCaOMCbIC-capital'!AA$1,'Cost Breakdowns'!$B$229:$B$229)</f>
        <v/>
      </c>
      <c r="AB10" s="77">
        <f>SUMIF('Cost Breakdowns'!$D$229:$D$229,'SoESCaOMCbIC-capital'!AB$1,'Cost Breakdowns'!$B$229:$B$229)</f>
        <v/>
      </c>
      <c r="AC10" s="77">
        <f>SUMIF('Cost Breakdowns'!$D$229:$D$229,'SoESCaOMCbIC-capital'!AC$1,'Cost Breakdowns'!$B$229:$B$229)</f>
        <v/>
      </c>
      <c r="AD10" s="77">
        <f>SUMIF('Cost Breakdowns'!$D$229:$D$229,'SoESCaOMCbIC-capital'!AD$1,'Cost Breakdowns'!$B$229:$B$229)</f>
        <v/>
      </c>
      <c r="AE10" s="77">
        <f>SUMIF('Cost Breakdowns'!$D$229:$D$229,'SoESCaOMCbIC-capital'!AE$1,'Cost Breakdowns'!$B$229:$B$229)</f>
        <v/>
      </c>
      <c r="AF10" s="77">
        <f>SUMIF('Cost Breakdowns'!$D$229:$D$229,'SoESCaOMCbIC-capital'!AF$1,'Cost Breakdowns'!$B$229:$B$229)</f>
        <v/>
      </c>
      <c r="AG10" s="77">
        <f>SUMIF('Cost Breakdowns'!$D$229:$D$229,'SoESCaOMCbIC-capital'!AG$1,'Cost Breakdowns'!$B$229:$B$229)</f>
        <v/>
      </c>
      <c r="AH10" s="77">
        <f>SUMIF('Cost Breakdowns'!$D$229:$D$229,'SoESCaOMCbIC-capital'!AH$1,'Cost Breakdowns'!$B$229:$B$229)</f>
        <v/>
      </c>
      <c r="AI10" s="77">
        <f>SUMIF('Cost Breakdowns'!$D$229:$D$229,'SoESCaOMCbIC-capital'!AI$1,'Cost Breakdowns'!$B$229:$B$229)</f>
        <v/>
      </c>
      <c r="AJ10" s="77">
        <f>SUMIF('Cost Breakdowns'!$D$229:$D$229,'SoESCaOMCbIC-capital'!AJ$1,'Cost Breakdowns'!$B$229:$B$229)</f>
        <v/>
      </c>
      <c r="AK10" s="77">
        <f>SUMIF('Cost Breakdowns'!$D$229:$D$229,'SoESCaOMCbIC-capital'!AK$1,'Cost Breakdowns'!$B$229:$B$229)</f>
        <v/>
      </c>
      <c r="AL10" s="77">
        <f>SUMIF('Cost Breakdowns'!$D$229:$D$229,'SoESCaOMCbIC-capital'!AL$1,'Cost Breakdowns'!$B$229:$B$229)</f>
        <v/>
      </c>
      <c r="AM10" s="77">
        <f>SUMIF('Cost Breakdowns'!$D$229:$D$229,'SoESCaOMCbIC-capital'!AM$1,'Cost Breakdowns'!$B$229:$B$229)</f>
        <v/>
      </c>
      <c r="AN10" s="77">
        <f>SUMIF('Cost Breakdowns'!$D$229:$D$229,'SoESCaOMCbIC-capital'!AN$1,'Cost Breakdowns'!$B$229:$B$229)</f>
        <v/>
      </c>
      <c r="AO10" s="77">
        <f>SUMIF('Cost Breakdowns'!$D$229:$D$229,'SoESCaOMCbIC-capital'!AO$1,'Cost Breakdowns'!$B$229:$B$229)</f>
        <v/>
      </c>
      <c r="AP10" s="77">
        <f>SUMIF('Cost Breakdowns'!$D$229:$D$229,'SoESCaOMCbIC-capital'!AP$1,'Cost Breakdowns'!$B$229:$B$229)</f>
        <v/>
      </c>
      <c r="AQ10" s="77">
        <f>SUMIF('Cost Breakdowns'!$D$229:$D$229,'SoESCaOMCbIC-capital'!AQ$1,'Cost Breakdowns'!$B$229:$B$229)</f>
        <v/>
      </c>
    </row>
    <row r="11">
      <c r="A11" t="inlineStr">
        <is>
          <t>geothermal</t>
        </is>
      </c>
      <c r="B11" s="77">
        <f>SUMIF('Cost Breakdowns'!$D$308:$D$311,'SoESCaOMCbIC-capital'!B$1,'Cost Breakdowns'!$B$308:$B$311)</f>
        <v/>
      </c>
      <c r="C11" s="77">
        <f>SUMIF('Cost Breakdowns'!$D$308:$D$311,'SoESCaOMCbIC-capital'!C$1,'Cost Breakdowns'!$B$308:$B$311)</f>
        <v/>
      </c>
      <c r="D11" s="77">
        <f>SUMIF('Cost Breakdowns'!$D$308:$D$311,'SoESCaOMCbIC-capital'!D$1,'Cost Breakdowns'!$B$308:$B$311)</f>
        <v/>
      </c>
      <c r="E11" s="77">
        <f>SUMIF('Cost Breakdowns'!$D$308:$D$311,'SoESCaOMCbIC-capital'!E$1,'Cost Breakdowns'!$B$308:$B$311)</f>
        <v/>
      </c>
      <c r="F11" s="77">
        <f>SUMIF('Cost Breakdowns'!$D$308:$D$311,'SoESCaOMCbIC-capital'!F$1,'Cost Breakdowns'!$B$308:$B$311)</f>
        <v/>
      </c>
      <c r="G11" s="77">
        <f>SUMIF('Cost Breakdowns'!$D$308:$D$311,'SoESCaOMCbIC-capital'!G$1,'Cost Breakdowns'!$B$308:$B$311)</f>
        <v/>
      </c>
      <c r="H11" s="77">
        <f>SUMIF('Cost Breakdowns'!$D$308:$D$311,'SoESCaOMCbIC-capital'!H$1,'Cost Breakdowns'!$B$308:$B$311)</f>
        <v/>
      </c>
      <c r="I11" s="77">
        <f>SUMIF('Cost Breakdowns'!$D$308:$D$311,'SoESCaOMCbIC-capital'!I$1,'Cost Breakdowns'!$B$308:$B$311)</f>
        <v/>
      </c>
      <c r="J11" s="77">
        <f>SUMIF('Cost Breakdowns'!$D$308:$D$311,'SoESCaOMCbIC-capital'!J$1,'Cost Breakdowns'!$B$308:$B$311)</f>
        <v/>
      </c>
      <c r="K11" s="77">
        <f>SUMIF('Cost Breakdowns'!$D$308:$D$311,'SoESCaOMCbIC-capital'!K$1,'Cost Breakdowns'!$B$308:$B$311)</f>
        <v/>
      </c>
      <c r="L11" s="77">
        <f>SUMIF('Cost Breakdowns'!$D$308:$D$311,'SoESCaOMCbIC-capital'!L$1,'Cost Breakdowns'!$B$308:$B$311)</f>
        <v/>
      </c>
      <c r="M11" s="77">
        <f>SUMIF('Cost Breakdowns'!$D$308:$D$311,'SoESCaOMCbIC-capital'!M$1,'Cost Breakdowns'!$B$308:$B$311)</f>
        <v/>
      </c>
      <c r="N11" s="77">
        <f>SUMIF('Cost Breakdowns'!$D$308:$D$311,'SoESCaOMCbIC-capital'!N$1,'Cost Breakdowns'!$B$308:$B$311)</f>
        <v/>
      </c>
      <c r="O11" s="77">
        <f>SUMIF('Cost Breakdowns'!$D$308:$D$311,'SoESCaOMCbIC-capital'!O$1,'Cost Breakdowns'!$B$308:$B$311)</f>
        <v/>
      </c>
      <c r="P11" s="77">
        <f>SUMIF('Cost Breakdowns'!$D$308:$D$311,'SoESCaOMCbIC-capital'!P$1,'Cost Breakdowns'!$B$308:$B$311)</f>
        <v/>
      </c>
      <c r="Q11" s="77">
        <f>SUMIF('Cost Breakdowns'!$D$308:$D$311,'SoESCaOMCbIC-capital'!Q$1,'Cost Breakdowns'!$B$308:$B$311)</f>
        <v/>
      </c>
      <c r="R11" s="77">
        <f>SUMIF('Cost Breakdowns'!$D$308:$D$311,'SoESCaOMCbIC-capital'!R$1,'Cost Breakdowns'!$B$308:$B$311)</f>
        <v/>
      </c>
      <c r="S11" s="77">
        <f>SUMIF('Cost Breakdowns'!$D$308:$D$311,'SoESCaOMCbIC-capital'!S$1,'Cost Breakdowns'!$B$308:$B$311)</f>
        <v/>
      </c>
      <c r="T11" s="77">
        <f>SUMIF('Cost Breakdowns'!$D$308:$D$311,'SoESCaOMCbIC-capital'!T$1,'Cost Breakdowns'!$B$308:$B$311)</f>
        <v/>
      </c>
      <c r="U11" s="77">
        <f>SUMIF('Cost Breakdowns'!$D$308:$D$311,'SoESCaOMCbIC-capital'!U$1,'Cost Breakdowns'!$B$308:$B$311)</f>
        <v/>
      </c>
      <c r="V11" s="77">
        <f>SUMIF('Cost Breakdowns'!$D$308:$D$311,'SoESCaOMCbIC-capital'!V$1,'Cost Breakdowns'!$B$308:$B$311)</f>
        <v/>
      </c>
      <c r="W11" s="77">
        <f>SUMIF('Cost Breakdowns'!$D$308:$D$311,'SoESCaOMCbIC-capital'!W$1,'Cost Breakdowns'!$B$308:$B$311)</f>
        <v/>
      </c>
      <c r="X11" s="77">
        <f>SUMIF('Cost Breakdowns'!$D$308:$D$311,'SoESCaOMCbIC-capital'!X$1,'Cost Breakdowns'!$B$308:$B$311)</f>
        <v/>
      </c>
      <c r="Y11" s="77">
        <f>SUMIF('Cost Breakdowns'!$D$308:$D$311,'SoESCaOMCbIC-capital'!Y$1,'Cost Breakdowns'!$B$308:$B$311)</f>
        <v/>
      </c>
      <c r="Z11" s="77">
        <f>SUMIF('Cost Breakdowns'!$D$308:$D$311,'SoESCaOMCbIC-capital'!Z$1,'Cost Breakdowns'!$B$308:$B$311)</f>
        <v/>
      </c>
      <c r="AA11" s="77">
        <f>SUMIF('Cost Breakdowns'!$D$308:$D$311,'SoESCaOMCbIC-capital'!AA$1,'Cost Breakdowns'!$B$308:$B$311)</f>
        <v/>
      </c>
      <c r="AB11" s="77">
        <f>SUMIF('Cost Breakdowns'!$D$308:$D$311,'SoESCaOMCbIC-capital'!AB$1,'Cost Breakdowns'!$B$308:$B$311)</f>
        <v/>
      </c>
      <c r="AC11" s="77">
        <f>SUMIF('Cost Breakdowns'!$D$308:$D$311,'SoESCaOMCbIC-capital'!AC$1,'Cost Breakdowns'!$B$308:$B$311)</f>
        <v/>
      </c>
      <c r="AD11" s="77">
        <f>SUMIF('Cost Breakdowns'!$D$308:$D$311,'SoESCaOMCbIC-capital'!AD$1,'Cost Breakdowns'!$B$308:$B$311)</f>
        <v/>
      </c>
      <c r="AE11" s="77">
        <f>SUMIF('Cost Breakdowns'!$D$308:$D$311,'SoESCaOMCbIC-capital'!AE$1,'Cost Breakdowns'!$B$308:$B$311)</f>
        <v/>
      </c>
      <c r="AF11" s="77">
        <f>SUMIF('Cost Breakdowns'!$D$308:$D$311,'SoESCaOMCbIC-capital'!AF$1,'Cost Breakdowns'!$B$308:$B$311)</f>
        <v/>
      </c>
      <c r="AG11" s="77">
        <f>SUMIF('Cost Breakdowns'!$D$308:$D$311,'SoESCaOMCbIC-capital'!AG$1,'Cost Breakdowns'!$B$308:$B$311)</f>
        <v/>
      </c>
      <c r="AH11" s="77">
        <f>SUMIF('Cost Breakdowns'!$D$308:$D$311,'SoESCaOMCbIC-capital'!AH$1,'Cost Breakdowns'!$B$308:$B$311)</f>
        <v/>
      </c>
      <c r="AI11" s="77">
        <f>SUMIF('Cost Breakdowns'!$D$308:$D$311,'SoESCaOMCbIC-capital'!AI$1,'Cost Breakdowns'!$B$308:$B$311)</f>
        <v/>
      </c>
      <c r="AJ11" s="77">
        <f>SUMIF('Cost Breakdowns'!$D$308:$D$311,'SoESCaOMCbIC-capital'!AJ$1,'Cost Breakdowns'!$B$308:$B$311)</f>
        <v/>
      </c>
      <c r="AK11" s="77">
        <f>SUMIF('Cost Breakdowns'!$D$308:$D$311,'SoESCaOMCbIC-capital'!AK$1,'Cost Breakdowns'!$B$308:$B$311)</f>
        <v/>
      </c>
      <c r="AL11" s="77">
        <f>SUMIF('Cost Breakdowns'!$D$308:$D$311,'SoESCaOMCbIC-capital'!AL$1,'Cost Breakdowns'!$B$308:$B$311)</f>
        <v/>
      </c>
      <c r="AM11" s="77">
        <f>SUMIF('Cost Breakdowns'!$D$308:$D$311,'SoESCaOMCbIC-capital'!AM$1,'Cost Breakdowns'!$B$308:$B$311)</f>
        <v/>
      </c>
      <c r="AN11" s="77">
        <f>SUMIF('Cost Breakdowns'!$D$308:$D$311,'SoESCaOMCbIC-capital'!AN$1,'Cost Breakdowns'!$B$308:$B$311)</f>
        <v/>
      </c>
      <c r="AO11" s="77">
        <f>SUMIF('Cost Breakdowns'!$D$308:$D$311,'SoESCaOMCbIC-capital'!AO$1,'Cost Breakdowns'!$B$308:$B$311)</f>
        <v/>
      </c>
      <c r="AP11" s="77">
        <f>SUMIF('Cost Breakdowns'!$D$308:$D$311,'SoESCaOMCbIC-capital'!AP$1,'Cost Breakdowns'!$B$308:$B$311)</f>
        <v/>
      </c>
      <c r="AQ11" s="77">
        <f>SUMIF('Cost Breakdowns'!$D$308:$D$311,'SoESCaOMCbIC-capital'!AQ$1,'Cost Breakdowns'!$B$308:$B$311)</f>
        <v/>
      </c>
    </row>
    <row r="12">
      <c r="A12" t="inlineStr">
        <is>
          <t>petroleum</t>
        </is>
      </c>
      <c r="B12" s="100">
        <f>B$3</f>
        <v/>
      </c>
      <c r="C12" s="100">
        <f>C$3</f>
        <v/>
      </c>
      <c r="D12" s="100">
        <f>D$3</f>
        <v/>
      </c>
      <c r="E12" s="100">
        <f>E$3</f>
        <v/>
      </c>
      <c r="F12" s="100">
        <f>F$3</f>
        <v/>
      </c>
      <c r="G12" s="100">
        <f>G$3</f>
        <v/>
      </c>
      <c r="H12" s="100">
        <f>H$3</f>
        <v/>
      </c>
      <c r="I12" s="100">
        <f>I$3</f>
        <v/>
      </c>
      <c r="J12" s="100">
        <f>J$3</f>
        <v/>
      </c>
      <c r="K12" s="100">
        <f>K$3</f>
        <v/>
      </c>
      <c r="L12" s="100">
        <f>L$3</f>
        <v/>
      </c>
      <c r="M12" s="100">
        <f>M$3</f>
        <v/>
      </c>
      <c r="N12" s="100">
        <f>N$3</f>
        <v/>
      </c>
      <c r="O12" s="100">
        <f>O$3</f>
        <v/>
      </c>
      <c r="P12" s="100">
        <f>P$3</f>
        <v/>
      </c>
      <c r="Q12" s="100">
        <f>Q$3</f>
        <v/>
      </c>
      <c r="R12" s="100">
        <f>R$3</f>
        <v/>
      </c>
      <c r="S12" s="100">
        <f>S$3</f>
        <v/>
      </c>
      <c r="T12" s="100">
        <f>T$3</f>
        <v/>
      </c>
      <c r="U12" s="100">
        <f>U$3</f>
        <v/>
      </c>
      <c r="V12" s="100">
        <f>V$3</f>
        <v/>
      </c>
      <c r="W12" s="100">
        <f>W$3</f>
        <v/>
      </c>
      <c r="X12" s="100">
        <f>X$3</f>
        <v/>
      </c>
      <c r="Y12" s="100">
        <f>Y$3</f>
        <v/>
      </c>
      <c r="Z12" s="100">
        <f>Z$3</f>
        <v/>
      </c>
      <c r="AA12" s="100">
        <f>AA$3</f>
        <v/>
      </c>
      <c r="AB12" s="100">
        <f>AB$3</f>
        <v/>
      </c>
      <c r="AC12" s="100">
        <f>AC$3</f>
        <v/>
      </c>
      <c r="AD12" s="100">
        <f>AD$3</f>
        <v/>
      </c>
      <c r="AE12" s="100">
        <f>AE$3</f>
        <v/>
      </c>
      <c r="AF12" s="100">
        <f>AF$3</f>
        <v/>
      </c>
      <c r="AG12" s="100">
        <f>AG$3</f>
        <v/>
      </c>
      <c r="AH12" s="100">
        <f>AH$3</f>
        <v/>
      </c>
      <c r="AI12" s="100">
        <f>AI$3</f>
        <v/>
      </c>
      <c r="AJ12" s="100">
        <f>AJ$3</f>
        <v/>
      </c>
      <c r="AK12" s="100">
        <f>AK$3</f>
        <v/>
      </c>
      <c r="AL12" s="100">
        <f>AL$3</f>
        <v/>
      </c>
      <c r="AM12" s="100">
        <f>AM$3</f>
        <v/>
      </c>
      <c r="AN12" s="100">
        <f>AN$3</f>
        <v/>
      </c>
      <c r="AO12" s="100">
        <f>AO$3</f>
        <v/>
      </c>
      <c r="AP12" s="100">
        <f>AP$3</f>
        <v/>
      </c>
      <c r="AQ12" s="100">
        <f>AQ$3</f>
        <v/>
      </c>
    </row>
    <row r="13">
      <c r="A13" t="inlineStr">
        <is>
          <t>natural gas peaker</t>
        </is>
      </c>
      <c r="B13" s="100">
        <f>B$3</f>
        <v/>
      </c>
      <c r="C13" s="100">
        <f>C$3</f>
        <v/>
      </c>
      <c r="D13" s="100">
        <f>D$3</f>
        <v/>
      </c>
      <c r="E13" s="100">
        <f>E$3</f>
        <v/>
      </c>
      <c r="F13" s="100">
        <f>F$3</f>
        <v/>
      </c>
      <c r="G13" s="100">
        <f>G$3</f>
        <v/>
      </c>
      <c r="H13" s="100">
        <f>H$3</f>
        <v/>
      </c>
      <c r="I13" s="100">
        <f>I$3</f>
        <v/>
      </c>
      <c r="J13" s="100">
        <f>J$3</f>
        <v/>
      </c>
      <c r="K13" s="100">
        <f>K$3</f>
        <v/>
      </c>
      <c r="L13" s="100">
        <f>L$3</f>
        <v/>
      </c>
      <c r="M13" s="100">
        <f>M$3</f>
        <v/>
      </c>
      <c r="N13" s="100">
        <f>N$3</f>
        <v/>
      </c>
      <c r="O13" s="100">
        <f>O$3</f>
        <v/>
      </c>
      <c r="P13" s="100">
        <f>P$3</f>
        <v/>
      </c>
      <c r="Q13" s="100">
        <f>Q$3</f>
        <v/>
      </c>
      <c r="R13" s="100">
        <f>R$3</f>
        <v/>
      </c>
      <c r="S13" s="100">
        <f>S$3</f>
        <v/>
      </c>
      <c r="T13" s="100">
        <f>T$3</f>
        <v/>
      </c>
      <c r="U13" s="100">
        <f>U$3</f>
        <v/>
      </c>
      <c r="V13" s="100">
        <f>V$3</f>
        <v/>
      </c>
      <c r="W13" s="100">
        <f>W$3</f>
        <v/>
      </c>
      <c r="X13" s="100">
        <f>X$3</f>
        <v/>
      </c>
      <c r="Y13" s="100">
        <f>Y$3</f>
        <v/>
      </c>
      <c r="Z13" s="100">
        <f>Z$3</f>
        <v/>
      </c>
      <c r="AA13" s="100">
        <f>AA$3</f>
        <v/>
      </c>
      <c r="AB13" s="100">
        <f>AB$3</f>
        <v/>
      </c>
      <c r="AC13" s="100">
        <f>AC$3</f>
        <v/>
      </c>
      <c r="AD13" s="100">
        <f>AD$3</f>
        <v/>
      </c>
      <c r="AE13" s="100">
        <f>AE$3</f>
        <v/>
      </c>
      <c r="AF13" s="100">
        <f>AF$3</f>
        <v/>
      </c>
      <c r="AG13" s="100">
        <f>AG$3</f>
        <v/>
      </c>
      <c r="AH13" s="100">
        <f>AH$3</f>
        <v/>
      </c>
      <c r="AI13" s="100">
        <f>AI$3</f>
        <v/>
      </c>
      <c r="AJ13" s="100">
        <f>AJ$3</f>
        <v/>
      </c>
      <c r="AK13" s="100">
        <f>AK$3</f>
        <v/>
      </c>
      <c r="AL13" s="100">
        <f>AL$3</f>
        <v/>
      </c>
      <c r="AM13" s="100">
        <f>AM$3</f>
        <v/>
      </c>
      <c r="AN13" s="100">
        <f>AN$3</f>
        <v/>
      </c>
      <c r="AO13" s="100">
        <f>AO$3</f>
        <v/>
      </c>
      <c r="AP13" s="100">
        <f>AP$3</f>
        <v/>
      </c>
      <c r="AQ13" s="100">
        <f>AQ$3</f>
        <v/>
      </c>
    </row>
    <row r="14">
      <c r="A14" t="inlineStr">
        <is>
          <t>lignite</t>
        </is>
      </c>
      <c r="B14" s="77">
        <f>SUMIF('Cost Breakdowns'!$D$100:$D$102,'SoESCaOMCbIC-capital'!B$1,'Cost Breakdowns'!$B$100:$B$102)</f>
        <v/>
      </c>
      <c r="C14" s="77">
        <f>SUMIF('Cost Breakdowns'!$D$100:$D$102,'SoESCaOMCbIC-capital'!C$1,'Cost Breakdowns'!$B$100:$B$102)</f>
        <v/>
      </c>
      <c r="D14" s="77">
        <f>SUMIF('Cost Breakdowns'!$D$100:$D$102,'SoESCaOMCbIC-capital'!D$1,'Cost Breakdowns'!$B$100:$B$102)</f>
        <v/>
      </c>
      <c r="E14" s="77">
        <f>SUMIF('Cost Breakdowns'!$D$100:$D$102,'SoESCaOMCbIC-capital'!E$1,'Cost Breakdowns'!$B$100:$B$102)</f>
        <v/>
      </c>
      <c r="F14" s="77">
        <f>SUMIF('Cost Breakdowns'!$D$100:$D$102,'SoESCaOMCbIC-capital'!F$1,'Cost Breakdowns'!$B$100:$B$102)</f>
        <v/>
      </c>
      <c r="G14" s="77">
        <f>SUMIF('Cost Breakdowns'!$D$100:$D$102,'SoESCaOMCbIC-capital'!G$1,'Cost Breakdowns'!$B$100:$B$102)</f>
        <v/>
      </c>
      <c r="H14" s="77">
        <f>SUMIF('Cost Breakdowns'!$D$100:$D$102,'SoESCaOMCbIC-capital'!H$1,'Cost Breakdowns'!$B$100:$B$102)</f>
        <v/>
      </c>
      <c r="I14" s="77">
        <f>SUMIF('Cost Breakdowns'!$D$100:$D$102,'SoESCaOMCbIC-capital'!I$1,'Cost Breakdowns'!$B$100:$B$102)</f>
        <v/>
      </c>
      <c r="J14" s="77">
        <f>SUMIF('Cost Breakdowns'!$D$100:$D$102,'SoESCaOMCbIC-capital'!J$1,'Cost Breakdowns'!$B$100:$B$102)</f>
        <v/>
      </c>
      <c r="K14" s="77">
        <f>SUMIF('Cost Breakdowns'!$D$100:$D$102,'SoESCaOMCbIC-capital'!K$1,'Cost Breakdowns'!$B$100:$B$102)</f>
        <v/>
      </c>
      <c r="L14" s="77">
        <f>SUMIF('Cost Breakdowns'!$D$100:$D$102,'SoESCaOMCbIC-capital'!L$1,'Cost Breakdowns'!$B$100:$B$102)</f>
        <v/>
      </c>
      <c r="M14" s="77">
        <f>SUMIF('Cost Breakdowns'!$D$100:$D$102,'SoESCaOMCbIC-capital'!M$1,'Cost Breakdowns'!$B$100:$B$102)</f>
        <v/>
      </c>
      <c r="N14" s="77">
        <f>SUMIF('Cost Breakdowns'!$D$100:$D$102,'SoESCaOMCbIC-capital'!N$1,'Cost Breakdowns'!$B$100:$B$102)</f>
        <v/>
      </c>
      <c r="O14" s="77">
        <f>SUMIF('Cost Breakdowns'!$D$100:$D$102,'SoESCaOMCbIC-capital'!O$1,'Cost Breakdowns'!$B$100:$B$102)</f>
        <v/>
      </c>
      <c r="P14" s="77">
        <f>SUMIF('Cost Breakdowns'!$D$100:$D$102,'SoESCaOMCbIC-capital'!P$1,'Cost Breakdowns'!$B$100:$B$102)</f>
        <v/>
      </c>
      <c r="Q14" s="77">
        <f>SUMIF('Cost Breakdowns'!$D$100:$D$102,'SoESCaOMCbIC-capital'!Q$1,'Cost Breakdowns'!$B$100:$B$102)</f>
        <v/>
      </c>
      <c r="R14" s="77">
        <f>SUMIF('Cost Breakdowns'!$D$100:$D$102,'SoESCaOMCbIC-capital'!R$1,'Cost Breakdowns'!$B$100:$B$102)</f>
        <v/>
      </c>
      <c r="S14" s="77">
        <f>SUMIF('Cost Breakdowns'!$D$100:$D$102,'SoESCaOMCbIC-capital'!S$1,'Cost Breakdowns'!$B$100:$B$102)</f>
        <v/>
      </c>
      <c r="T14" s="77">
        <f>SUMIF('Cost Breakdowns'!$D$100:$D$102,'SoESCaOMCbIC-capital'!T$1,'Cost Breakdowns'!$B$100:$B$102)</f>
        <v/>
      </c>
      <c r="U14" s="77">
        <f>SUMIF('Cost Breakdowns'!$D$100:$D$102,'SoESCaOMCbIC-capital'!U$1,'Cost Breakdowns'!$B$100:$B$102)</f>
        <v/>
      </c>
      <c r="V14" s="77">
        <f>SUMIF('Cost Breakdowns'!$D$100:$D$102,'SoESCaOMCbIC-capital'!V$1,'Cost Breakdowns'!$B$100:$B$102)</f>
        <v/>
      </c>
      <c r="W14" s="77">
        <f>SUMIF('Cost Breakdowns'!$D$100:$D$102,'SoESCaOMCbIC-capital'!W$1,'Cost Breakdowns'!$B$100:$B$102)</f>
        <v/>
      </c>
      <c r="X14" s="77">
        <f>SUMIF('Cost Breakdowns'!$D$100:$D$102,'SoESCaOMCbIC-capital'!X$1,'Cost Breakdowns'!$B$100:$B$102)</f>
        <v/>
      </c>
      <c r="Y14" s="77">
        <f>SUMIF('Cost Breakdowns'!$D$100:$D$102,'SoESCaOMCbIC-capital'!Y$1,'Cost Breakdowns'!$B$100:$B$102)</f>
        <v/>
      </c>
      <c r="Z14" s="77">
        <f>SUMIF('Cost Breakdowns'!$D$100:$D$102,'SoESCaOMCbIC-capital'!Z$1,'Cost Breakdowns'!$B$100:$B$102)</f>
        <v/>
      </c>
      <c r="AA14" s="77">
        <f>SUMIF('Cost Breakdowns'!$D$100:$D$102,'SoESCaOMCbIC-capital'!AA$1,'Cost Breakdowns'!$B$100:$B$102)</f>
        <v/>
      </c>
      <c r="AB14" s="77">
        <f>SUMIF('Cost Breakdowns'!$D$100:$D$102,'SoESCaOMCbIC-capital'!AB$1,'Cost Breakdowns'!$B$100:$B$102)</f>
        <v/>
      </c>
      <c r="AC14" s="77">
        <f>SUMIF('Cost Breakdowns'!$D$100:$D$102,'SoESCaOMCbIC-capital'!AC$1,'Cost Breakdowns'!$B$100:$B$102)</f>
        <v/>
      </c>
      <c r="AD14" s="77">
        <f>SUMIF('Cost Breakdowns'!$D$100:$D$102,'SoESCaOMCbIC-capital'!AD$1,'Cost Breakdowns'!$B$100:$B$102)</f>
        <v/>
      </c>
      <c r="AE14" s="77">
        <f>SUMIF('Cost Breakdowns'!$D$100:$D$102,'SoESCaOMCbIC-capital'!AE$1,'Cost Breakdowns'!$B$100:$B$102)</f>
        <v/>
      </c>
      <c r="AF14" s="77">
        <f>SUMIF('Cost Breakdowns'!$D$100:$D$102,'SoESCaOMCbIC-capital'!AF$1,'Cost Breakdowns'!$B$100:$B$102)</f>
        <v/>
      </c>
      <c r="AG14" s="77">
        <f>SUMIF('Cost Breakdowns'!$D$100:$D$102,'SoESCaOMCbIC-capital'!AG$1,'Cost Breakdowns'!$B$100:$B$102)</f>
        <v/>
      </c>
      <c r="AH14" s="77">
        <f>SUMIF('Cost Breakdowns'!$D$100:$D$102,'SoESCaOMCbIC-capital'!AH$1,'Cost Breakdowns'!$B$100:$B$102)</f>
        <v/>
      </c>
      <c r="AI14" s="77">
        <f>SUMIF('Cost Breakdowns'!$D$100:$D$102,'SoESCaOMCbIC-capital'!AI$1,'Cost Breakdowns'!$B$100:$B$102)</f>
        <v/>
      </c>
      <c r="AJ14" s="77">
        <f>SUMIF('Cost Breakdowns'!$D$100:$D$102,'SoESCaOMCbIC-capital'!AJ$1,'Cost Breakdowns'!$B$100:$B$102)</f>
        <v/>
      </c>
      <c r="AK14" s="77">
        <f>SUMIF('Cost Breakdowns'!$D$100:$D$102,'SoESCaOMCbIC-capital'!AK$1,'Cost Breakdowns'!$B$100:$B$102)</f>
        <v/>
      </c>
      <c r="AL14" s="77">
        <f>SUMIF('Cost Breakdowns'!$D$100:$D$102,'SoESCaOMCbIC-capital'!AL$1,'Cost Breakdowns'!$B$100:$B$102)</f>
        <v/>
      </c>
      <c r="AM14" s="77">
        <f>SUMIF('Cost Breakdowns'!$D$100:$D$102,'SoESCaOMCbIC-capital'!AM$1,'Cost Breakdowns'!$B$100:$B$102)</f>
        <v/>
      </c>
      <c r="AN14" s="77">
        <f>SUMIF('Cost Breakdowns'!$D$100:$D$102,'SoESCaOMCbIC-capital'!AN$1,'Cost Breakdowns'!$B$100:$B$102)</f>
        <v/>
      </c>
      <c r="AO14" s="77">
        <f>SUMIF('Cost Breakdowns'!$D$100:$D$102,'SoESCaOMCbIC-capital'!AO$1,'Cost Breakdowns'!$B$100:$B$102)</f>
        <v/>
      </c>
      <c r="AP14" s="77">
        <f>SUMIF('Cost Breakdowns'!$D$100:$D$102,'SoESCaOMCbIC-capital'!AP$1,'Cost Breakdowns'!$B$100:$B$102)</f>
        <v/>
      </c>
      <c r="AQ14" s="77">
        <f>SUMIF('Cost Breakdowns'!$D$100:$D$102,'SoESCaOMCbIC-capital'!AQ$1,'Cost Breakdowns'!$B$100:$B$102)</f>
        <v/>
      </c>
    </row>
    <row r="15">
      <c r="A15" t="inlineStr">
        <is>
          <t>offshore wind</t>
        </is>
      </c>
      <c r="B15" s="77">
        <f>SUMIF('Cost Breakdowns'!$D$367:$D$380,'SoESCaOMCbIC-capital'!B$1,'Cost Breakdowns'!$B$367:$B$380)</f>
        <v/>
      </c>
      <c r="C15" s="77">
        <f>SUMIF('Cost Breakdowns'!$D$367:$D$380,'SoESCaOMCbIC-capital'!C$1,'Cost Breakdowns'!$B$367:$B$380)</f>
        <v/>
      </c>
      <c r="D15" s="77">
        <f>SUMIF('Cost Breakdowns'!$D$367:$D$380,'SoESCaOMCbIC-capital'!D$1,'Cost Breakdowns'!$B$367:$B$380)</f>
        <v/>
      </c>
      <c r="E15" s="77">
        <f>SUMIF('Cost Breakdowns'!$D$367:$D$380,'SoESCaOMCbIC-capital'!E$1,'Cost Breakdowns'!$B$367:$B$380)</f>
        <v/>
      </c>
      <c r="F15" s="77">
        <f>SUMIF('Cost Breakdowns'!$D$367:$D$380,'SoESCaOMCbIC-capital'!F$1,'Cost Breakdowns'!$B$367:$B$380)</f>
        <v/>
      </c>
      <c r="G15" s="77">
        <f>SUMIF('Cost Breakdowns'!$D$367:$D$380,'SoESCaOMCbIC-capital'!G$1,'Cost Breakdowns'!$B$367:$B$380)</f>
        <v/>
      </c>
      <c r="H15" s="77">
        <f>SUMIF('Cost Breakdowns'!$D$367:$D$380,'SoESCaOMCbIC-capital'!H$1,'Cost Breakdowns'!$B$367:$B$380)</f>
        <v/>
      </c>
      <c r="I15" s="77">
        <f>SUMIF('Cost Breakdowns'!$D$367:$D$380,'SoESCaOMCbIC-capital'!I$1,'Cost Breakdowns'!$B$367:$B$380)</f>
        <v/>
      </c>
      <c r="J15" s="77">
        <f>SUMIF('Cost Breakdowns'!$D$367:$D$380,'SoESCaOMCbIC-capital'!J$1,'Cost Breakdowns'!$B$367:$B$380)</f>
        <v/>
      </c>
      <c r="K15" s="77">
        <f>SUMIF('Cost Breakdowns'!$D$367:$D$380,'SoESCaOMCbIC-capital'!K$1,'Cost Breakdowns'!$B$367:$B$380)</f>
        <v/>
      </c>
      <c r="L15" s="77">
        <f>SUMIF('Cost Breakdowns'!$D$367:$D$380,'SoESCaOMCbIC-capital'!L$1,'Cost Breakdowns'!$B$367:$B$380)</f>
        <v/>
      </c>
      <c r="M15" s="77">
        <f>SUMIF('Cost Breakdowns'!$D$367:$D$380,'SoESCaOMCbIC-capital'!M$1,'Cost Breakdowns'!$B$367:$B$380)</f>
        <v/>
      </c>
      <c r="N15" s="77">
        <f>SUMIF('Cost Breakdowns'!$D$367:$D$380,'SoESCaOMCbIC-capital'!N$1,'Cost Breakdowns'!$B$367:$B$380)</f>
        <v/>
      </c>
      <c r="O15" s="77">
        <f>SUMIF('Cost Breakdowns'!$D$367:$D$380,'SoESCaOMCbIC-capital'!O$1,'Cost Breakdowns'!$B$367:$B$380)</f>
        <v/>
      </c>
      <c r="P15" s="77">
        <f>SUMIF('Cost Breakdowns'!$D$367:$D$380,'SoESCaOMCbIC-capital'!P$1,'Cost Breakdowns'!$B$367:$B$380)</f>
        <v/>
      </c>
      <c r="Q15" s="77">
        <f>SUMIF('Cost Breakdowns'!$D$367:$D$380,'SoESCaOMCbIC-capital'!Q$1,'Cost Breakdowns'!$B$367:$B$380)</f>
        <v/>
      </c>
      <c r="R15" s="77">
        <f>SUMIF('Cost Breakdowns'!$D$367:$D$380,'SoESCaOMCbIC-capital'!R$1,'Cost Breakdowns'!$B$367:$B$380)</f>
        <v/>
      </c>
      <c r="S15" s="77">
        <f>SUMIF('Cost Breakdowns'!$D$367:$D$380,'SoESCaOMCbIC-capital'!S$1,'Cost Breakdowns'!$B$367:$B$380)</f>
        <v/>
      </c>
      <c r="T15" s="77">
        <f>SUMIF('Cost Breakdowns'!$D$367:$D$380,'SoESCaOMCbIC-capital'!T$1,'Cost Breakdowns'!$B$367:$B$380)</f>
        <v/>
      </c>
      <c r="U15" s="77">
        <f>SUMIF('Cost Breakdowns'!$D$367:$D$380,'SoESCaOMCbIC-capital'!U$1,'Cost Breakdowns'!$B$367:$B$380)</f>
        <v/>
      </c>
      <c r="V15" s="77">
        <f>SUMIF('Cost Breakdowns'!$D$367:$D$380,'SoESCaOMCbIC-capital'!V$1,'Cost Breakdowns'!$B$367:$B$380)</f>
        <v/>
      </c>
      <c r="W15" s="77">
        <f>SUMIF('Cost Breakdowns'!$D$367:$D$380,'SoESCaOMCbIC-capital'!W$1,'Cost Breakdowns'!$B$367:$B$380)</f>
        <v/>
      </c>
      <c r="X15" s="77">
        <f>SUMIF('Cost Breakdowns'!$D$367:$D$380,'SoESCaOMCbIC-capital'!X$1,'Cost Breakdowns'!$B$367:$B$380)</f>
        <v/>
      </c>
      <c r="Y15" s="77">
        <f>SUMIF('Cost Breakdowns'!$D$367:$D$380,'SoESCaOMCbIC-capital'!Y$1,'Cost Breakdowns'!$B$367:$B$380)</f>
        <v/>
      </c>
      <c r="Z15" s="77">
        <f>SUMIF('Cost Breakdowns'!$D$367:$D$380,'SoESCaOMCbIC-capital'!Z$1,'Cost Breakdowns'!$B$367:$B$380)</f>
        <v/>
      </c>
      <c r="AA15" s="77">
        <f>SUMIF('Cost Breakdowns'!$D$367:$D$380,'SoESCaOMCbIC-capital'!AA$1,'Cost Breakdowns'!$B$367:$B$380)</f>
        <v/>
      </c>
      <c r="AB15" s="77">
        <f>SUMIF('Cost Breakdowns'!$D$367:$D$380,'SoESCaOMCbIC-capital'!AB$1,'Cost Breakdowns'!$B$367:$B$380)</f>
        <v/>
      </c>
      <c r="AC15" s="77">
        <f>SUMIF('Cost Breakdowns'!$D$367:$D$380,'SoESCaOMCbIC-capital'!AC$1,'Cost Breakdowns'!$B$367:$B$380)</f>
        <v/>
      </c>
      <c r="AD15" s="77">
        <f>SUMIF('Cost Breakdowns'!$D$367:$D$380,'SoESCaOMCbIC-capital'!AD$1,'Cost Breakdowns'!$B$367:$B$380)</f>
        <v/>
      </c>
      <c r="AE15" s="77">
        <f>SUMIF('Cost Breakdowns'!$D$367:$D$380,'SoESCaOMCbIC-capital'!AE$1,'Cost Breakdowns'!$B$367:$B$380)</f>
        <v/>
      </c>
      <c r="AF15" s="77">
        <f>SUMIF('Cost Breakdowns'!$D$367:$D$380,'SoESCaOMCbIC-capital'!AF$1,'Cost Breakdowns'!$B$367:$B$380)</f>
        <v/>
      </c>
      <c r="AG15" s="77">
        <f>SUMIF('Cost Breakdowns'!$D$367:$D$380,'SoESCaOMCbIC-capital'!AG$1,'Cost Breakdowns'!$B$367:$B$380)</f>
        <v/>
      </c>
      <c r="AH15" s="77">
        <f>SUMIF('Cost Breakdowns'!$D$367:$D$380,'SoESCaOMCbIC-capital'!AH$1,'Cost Breakdowns'!$B$367:$B$380)</f>
        <v/>
      </c>
      <c r="AI15" s="77">
        <f>SUMIF('Cost Breakdowns'!$D$367:$D$380,'SoESCaOMCbIC-capital'!AI$1,'Cost Breakdowns'!$B$367:$B$380)</f>
        <v/>
      </c>
      <c r="AJ15" s="77">
        <f>SUMIF('Cost Breakdowns'!$D$367:$D$380,'SoESCaOMCbIC-capital'!AJ$1,'Cost Breakdowns'!$B$367:$B$380)</f>
        <v/>
      </c>
      <c r="AK15" s="77">
        <f>SUMIF('Cost Breakdowns'!$D$367:$D$380,'SoESCaOMCbIC-capital'!AK$1,'Cost Breakdowns'!$B$367:$B$380)</f>
        <v/>
      </c>
      <c r="AL15" s="77">
        <f>SUMIF('Cost Breakdowns'!$D$367:$D$380,'SoESCaOMCbIC-capital'!AL$1,'Cost Breakdowns'!$B$367:$B$380)</f>
        <v/>
      </c>
      <c r="AM15" s="77">
        <f>SUMIF('Cost Breakdowns'!$D$367:$D$380,'SoESCaOMCbIC-capital'!AM$1,'Cost Breakdowns'!$B$367:$B$380)</f>
        <v/>
      </c>
      <c r="AN15" s="77">
        <f>SUMIF('Cost Breakdowns'!$D$367:$D$380,'SoESCaOMCbIC-capital'!AN$1,'Cost Breakdowns'!$B$367:$B$380)</f>
        <v/>
      </c>
      <c r="AO15" s="77">
        <f>SUMIF('Cost Breakdowns'!$D$367:$D$380,'SoESCaOMCbIC-capital'!AO$1,'Cost Breakdowns'!$B$367:$B$380)</f>
        <v/>
      </c>
      <c r="AP15" s="77">
        <f>SUMIF('Cost Breakdowns'!$D$367:$D$380,'SoESCaOMCbIC-capital'!AP$1,'Cost Breakdowns'!$B$367:$B$380)</f>
        <v/>
      </c>
      <c r="AQ15" s="77">
        <f>SUMIF('Cost Breakdowns'!$D$367:$D$380,'SoESCaOMCbIC-capital'!AQ$1,'Cost Breakdowns'!$B$367:$B$380)</f>
        <v/>
      </c>
    </row>
    <row r="16">
      <c r="A16" t="inlineStr">
        <is>
          <t>crude oil</t>
        </is>
      </c>
      <c r="B16" s="100">
        <f>B$3</f>
        <v/>
      </c>
      <c r="C16" s="100">
        <f>C$3</f>
        <v/>
      </c>
      <c r="D16" s="100">
        <f>D$3</f>
        <v/>
      </c>
      <c r="E16" s="100">
        <f>E$3</f>
        <v/>
      </c>
      <c r="F16" s="100">
        <f>F$3</f>
        <v/>
      </c>
      <c r="G16" s="100">
        <f>G$3</f>
        <v/>
      </c>
      <c r="H16" s="100">
        <f>H$3</f>
        <v/>
      </c>
      <c r="I16" s="100">
        <f>I$3</f>
        <v/>
      </c>
      <c r="J16" s="100">
        <f>J$3</f>
        <v/>
      </c>
      <c r="K16" s="100">
        <f>K$3</f>
        <v/>
      </c>
      <c r="L16" s="100">
        <f>L$3</f>
        <v/>
      </c>
      <c r="M16" s="100">
        <f>M$3</f>
        <v/>
      </c>
      <c r="N16" s="100">
        <f>N$3</f>
        <v/>
      </c>
      <c r="O16" s="100">
        <f>O$3</f>
        <v/>
      </c>
      <c r="P16" s="100">
        <f>P$3</f>
        <v/>
      </c>
      <c r="Q16" s="100">
        <f>Q$3</f>
        <v/>
      </c>
      <c r="R16" s="100">
        <f>R$3</f>
        <v/>
      </c>
      <c r="S16" s="100">
        <f>S$3</f>
        <v/>
      </c>
      <c r="T16" s="100">
        <f>T$3</f>
        <v/>
      </c>
      <c r="U16" s="100">
        <f>U$3</f>
        <v/>
      </c>
      <c r="V16" s="100">
        <f>V$3</f>
        <v/>
      </c>
      <c r="W16" s="100">
        <f>W$3</f>
        <v/>
      </c>
      <c r="X16" s="100">
        <f>X$3</f>
        <v/>
      </c>
      <c r="Y16" s="100">
        <f>Y$3</f>
        <v/>
      </c>
      <c r="Z16" s="100">
        <f>Z$3</f>
        <v/>
      </c>
      <c r="AA16" s="100">
        <f>AA$3</f>
        <v/>
      </c>
      <c r="AB16" s="100">
        <f>AB$3</f>
        <v/>
      </c>
      <c r="AC16" s="100">
        <f>AC$3</f>
        <v/>
      </c>
      <c r="AD16" s="100">
        <f>AD$3</f>
        <v/>
      </c>
      <c r="AE16" s="100">
        <f>AE$3</f>
        <v/>
      </c>
      <c r="AF16" s="100">
        <f>AF$3</f>
        <v/>
      </c>
      <c r="AG16" s="100">
        <f>AG$3</f>
        <v/>
      </c>
      <c r="AH16" s="100">
        <f>AH$3</f>
        <v/>
      </c>
      <c r="AI16" s="100">
        <f>AI$3</f>
        <v/>
      </c>
      <c r="AJ16" s="100">
        <f>AJ$3</f>
        <v/>
      </c>
      <c r="AK16" s="100">
        <f>AK$3</f>
        <v/>
      </c>
      <c r="AL16" s="100">
        <f>AL$3</f>
        <v/>
      </c>
      <c r="AM16" s="100">
        <f>AM$3</f>
        <v/>
      </c>
      <c r="AN16" s="100">
        <f>AN$3</f>
        <v/>
      </c>
      <c r="AO16" s="100">
        <f>AO$3</f>
        <v/>
      </c>
      <c r="AP16" s="100">
        <f>AP$3</f>
        <v/>
      </c>
      <c r="AQ16" s="100">
        <f>AQ$3</f>
        <v/>
      </c>
    </row>
    <row r="17">
      <c r="A17" t="inlineStr">
        <is>
          <t>heavy or residual fuel oil</t>
        </is>
      </c>
      <c r="B17" s="100">
        <f>B$3</f>
        <v/>
      </c>
      <c r="C17" s="100">
        <f>C$3</f>
        <v/>
      </c>
      <c r="D17" s="100">
        <f>D$3</f>
        <v/>
      </c>
      <c r="E17" s="100">
        <f>E$3</f>
        <v/>
      </c>
      <c r="F17" s="100">
        <f>F$3</f>
        <v/>
      </c>
      <c r="G17" s="100">
        <f>G$3</f>
        <v/>
      </c>
      <c r="H17" s="100">
        <f>H$3</f>
        <v/>
      </c>
      <c r="I17" s="100">
        <f>I$3</f>
        <v/>
      </c>
      <c r="J17" s="100">
        <f>J$3</f>
        <v/>
      </c>
      <c r="K17" s="100">
        <f>K$3</f>
        <v/>
      </c>
      <c r="L17" s="100">
        <f>L$3</f>
        <v/>
      </c>
      <c r="M17" s="100">
        <f>M$3</f>
        <v/>
      </c>
      <c r="N17" s="100">
        <f>N$3</f>
        <v/>
      </c>
      <c r="O17" s="100">
        <f>O$3</f>
        <v/>
      </c>
      <c r="P17" s="100">
        <f>P$3</f>
        <v/>
      </c>
      <c r="Q17" s="100">
        <f>Q$3</f>
        <v/>
      </c>
      <c r="R17" s="100">
        <f>R$3</f>
        <v/>
      </c>
      <c r="S17" s="100">
        <f>S$3</f>
        <v/>
      </c>
      <c r="T17" s="100">
        <f>T$3</f>
        <v/>
      </c>
      <c r="U17" s="100">
        <f>U$3</f>
        <v/>
      </c>
      <c r="V17" s="100">
        <f>V$3</f>
        <v/>
      </c>
      <c r="W17" s="100">
        <f>W$3</f>
        <v/>
      </c>
      <c r="X17" s="100">
        <f>X$3</f>
        <v/>
      </c>
      <c r="Y17" s="100">
        <f>Y$3</f>
        <v/>
      </c>
      <c r="Z17" s="100">
        <f>Z$3</f>
        <v/>
      </c>
      <c r="AA17" s="100">
        <f>AA$3</f>
        <v/>
      </c>
      <c r="AB17" s="100">
        <f>AB$3</f>
        <v/>
      </c>
      <c r="AC17" s="100">
        <f>AC$3</f>
        <v/>
      </c>
      <c r="AD17" s="100">
        <f>AD$3</f>
        <v/>
      </c>
      <c r="AE17" s="100">
        <f>AE$3</f>
        <v/>
      </c>
      <c r="AF17" s="100">
        <f>AF$3</f>
        <v/>
      </c>
      <c r="AG17" s="100">
        <f>AG$3</f>
        <v/>
      </c>
      <c r="AH17" s="100">
        <f>AH$3</f>
        <v/>
      </c>
      <c r="AI17" s="100">
        <f>AI$3</f>
        <v/>
      </c>
      <c r="AJ17" s="100">
        <f>AJ$3</f>
        <v/>
      </c>
      <c r="AK17" s="100">
        <f>AK$3</f>
        <v/>
      </c>
      <c r="AL17" s="100">
        <f>AL$3</f>
        <v/>
      </c>
      <c r="AM17" s="100">
        <f>AM$3</f>
        <v/>
      </c>
      <c r="AN17" s="100">
        <f>AN$3</f>
        <v/>
      </c>
      <c r="AO17" s="100">
        <f>AO$3</f>
        <v/>
      </c>
      <c r="AP17" s="100">
        <f>AP$3</f>
        <v/>
      </c>
      <c r="AQ17" s="100">
        <f>AQ$3</f>
        <v/>
      </c>
    </row>
    <row r="18">
      <c r="A18" t="inlineStr">
        <is>
          <t>municipal solid waste</t>
        </is>
      </c>
      <c r="B18" s="100">
        <f>B10</f>
        <v/>
      </c>
      <c r="C18" s="100">
        <f>C10</f>
        <v/>
      </c>
      <c r="D18" s="100">
        <f>D10</f>
        <v/>
      </c>
      <c r="E18" s="100">
        <f>E10</f>
        <v/>
      </c>
      <c r="F18" s="100">
        <f>F10</f>
        <v/>
      </c>
      <c r="G18" s="100">
        <f>G10</f>
        <v/>
      </c>
      <c r="H18" s="100">
        <f>H10</f>
        <v/>
      </c>
      <c r="I18" s="100">
        <f>I10</f>
        <v/>
      </c>
      <c r="J18" s="100">
        <f>J10</f>
        <v/>
      </c>
      <c r="K18" s="100">
        <f>K10</f>
        <v/>
      </c>
      <c r="L18" s="100">
        <f>L10</f>
        <v/>
      </c>
      <c r="M18" s="100">
        <f>M10</f>
        <v/>
      </c>
      <c r="N18" s="100">
        <f>N10</f>
        <v/>
      </c>
      <c r="O18" s="100">
        <f>O10</f>
        <v/>
      </c>
      <c r="P18" s="100">
        <f>P10</f>
        <v/>
      </c>
      <c r="Q18" s="100">
        <f>Q10</f>
        <v/>
      </c>
      <c r="R18" s="100">
        <f>R10</f>
        <v/>
      </c>
      <c r="S18" s="100">
        <f>S10</f>
        <v/>
      </c>
      <c r="T18" s="100">
        <f>T10</f>
        <v/>
      </c>
      <c r="U18" s="100">
        <f>U10</f>
        <v/>
      </c>
      <c r="V18" s="100">
        <f>V10</f>
        <v/>
      </c>
      <c r="W18" s="100">
        <f>W10</f>
        <v/>
      </c>
      <c r="X18" s="100">
        <f>X10</f>
        <v/>
      </c>
      <c r="Y18" s="100">
        <f>Y10</f>
        <v/>
      </c>
      <c r="Z18" s="100">
        <f>Z10</f>
        <v/>
      </c>
      <c r="AA18" s="100">
        <f>AA10</f>
        <v/>
      </c>
      <c r="AB18" s="100">
        <f>AB10</f>
        <v/>
      </c>
      <c r="AC18" s="100">
        <f>AC10</f>
        <v/>
      </c>
      <c r="AD18" s="100">
        <f>AD10</f>
        <v/>
      </c>
      <c r="AE18" s="100">
        <f>AE10</f>
        <v/>
      </c>
      <c r="AF18" s="100">
        <f>AF10</f>
        <v/>
      </c>
      <c r="AG18" s="100">
        <f>AG10</f>
        <v/>
      </c>
      <c r="AH18" s="100">
        <f>AH10</f>
        <v/>
      </c>
      <c r="AI18" s="100">
        <f>AI10</f>
        <v/>
      </c>
      <c r="AJ18" s="100">
        <f>AJ10</f>
        <v/>
      </c>
      <c r="AK18" s="100">
        <f>AK10</f>
        <v/>
      </c>
      <c r="AL18" s="100">
        <f>AL10</f>
        <v/>
      </c>
      <c r="AM18" s="100">
        <f>AM10</f>
        <v/>
      </c>
      <c r="AN18" s="100">
        <f>AN10</f>
        <v/>
      </c>
      <c r="AO18" s="100">
        <f>AO10</f>
        <v/>
      </c>
      <c r="AP18" s="100">
        <f>AP10</f>
        <v/>
      </c>
      <c r="AQ18" s="100">
        <f>AQ10</f>
        <v/>
      </c>
    </row>
    <row r="19">
      <c r="A19" t="inlineStr">
        <is>
          <t>hard coal w CCS</t>
        </is>
      </c>
      <c r="B19" s="77">
        <f>'CCS Costs'!B75+'CCS Costs'!B83</f>
        <v/>
      </c>
      <c r="C19" s="77">
        <f>'CCS Costs'!C75+'CCS Costs'!C83</f>
        <v/>
      </c>
      <c r="D19" s="77">
        <f>'CCS Costs'!D75+'CCS Costs'!D83</f>
        <v/>
      </c>
      <c r="E19" s="77">
        <f>'CCS Costs'!E75+'CCS Costs'!E83</f>
        <v/>
      </c>
      <c r="F19" s="77">
        <f>'CCS Costs'!F75+'CCS Costs'!F83</f>
        <v/>
      </c>
      <c r="G19" s="77">
        <f>'CCS Costs'!G75+'CCS Costs'!G83</f>
        <v/>
      </c>
      <c r="H19" s="77">
        <f>'CCS Costs'!H75+'CCS Costs'!H83</f>
        <v/>
      </c>
      <c r="I19" s="77">
        <f>'CCS Costs'!I75+'CCS Costs'!I83</f>
        <v/>
      </c>
      <c r="J19" s="77">
        <f>'CCS Costs'!J75+'CCS Costs'!J83</f>
        <v/>
      </c>
      <c r="K19" s="77">
        <f>'CCS Costs'!K75+'CCS Costs'!K83</f>
        <v/>
      </c>
      <c r="L19" s="77">
        <f>'CCS Costs'!L75+'CCS Costs'!L83</f>
        <v/>
      </c>
      <c r="M19" s="77">
        <f>'CCS Costs'!M75+'CCS Costs'!M83</f>
        <v/>
      </c>
      <c r="N19" s="77">
        <f>'CCS Costs'!N75+'CCS Costs'!N83</f>
        <v/>
      </c>
      <c r="O19" s="77">
        <f>'CCS Costs'!O75+'CCS Costs'!O83</f>
        <v/>
      </c>
      <c r="P19" s="77">
        <f>'CCS Costs'!P75+'CCS Costs'!P83</f>
        <v/>
      </c>
      <c r="Q19" s="77">
        <f>'CCS Costs'!Q75+'CCS Costs'!Q83</f>
        <v/>
      </c>
      <c r="R19" s="77">
        <f>'CCS Costs'!R75+'CCS Costs'!R83</f>
        <v/>
      </c>
      <c r="S19" s="77">
        <f>'CCS Costs'!S75+'CCS Costs'!S83</f>
        <v/>
      </c>
      <c r="T19" s="77">
        <f>'CCS Costs'!T75+'CCS Costs'!T83</f>
        <v/>
      </c>
      <c r="U19" s="77">
        <f>'CCS Costs'!U75+'CCS Costs'!U83</f>
        <v/>
      </c>
      <c r="V19" s="77">
        <f>'CCS Costs'!V75+'CCS Costs'!V83</f>
        <v/>
      </c>
      <c r="W19" s="77">
        <f>'CCS Costs'!W75+'CCS Costs'!W83</f>
        <v/>
      </c>
      <c r="X19" s="77">
        <f>'CCS Costs'!X75+'CCS Costs'!X83</f>
        <v/>
      </c>
      <c r="Y19" s="77">
        <f>'CCS Costs'!Y75+'CCS Costs'!Y83</f>
        <v/>
      </c>
      <c r="Z19" s="77">
        <f>'CCS Costs'!Z75+'CCS Costs'!Z83</f>
        <v/>
      </c>
      <c r="AA19" s="77">
        <f>'CCS Costs'!AA75+'CCS Costs'!AA83</f>
        <v/>
      </c>
      <c r="AB19" s="77">
        <f>'CCS Costs'!AB75+'CCS Costs'!AB83</f>
        <v/>
      </c>
      <c r="AC19" s="77">
        <f>'CCS Costs'!AC75+'CCS Costs'!AC83</f>
        <v/>
      </c>
      <c r="AD19" s="77">
        <f>'CCS Costs'!AD75+'CCS Costs'!AD83</f>
        <v/>
      </c>
      <c r="AE19" s="77">
        <f>'CCS Costs'!AE75+'CCS Costs'!AE83</f>
        <v/>
      </c>
      <c r="AF19" s="77">
        <f>'CCS Costs'!AF75+'CCS Costs'!AF83</f>
        <v/>
      </c>
      <c r="AG19" s="77">
        <f>'CCS Costs'!AG75+'CCS Costs'!AG83</f>
        <v/>
      </c>
      <c r="AH19" s="77">
        <f>'CCS Costs'!AH75+'CCS Costs'!AH83</f>
        <v/>
      </c>
      <c r="AI19" s="77">
        <f>'CCS Costs'!AI75+'CCS Costs'!AI83</f>
        <v/>
      </c>
      <c r="AJ19" s="77">
        <f>'CCS Costs'!AJ75+'CCS Costs'!AJ83</f>
        <v/>
      </c>
      <c r="AK19" s="77">
        <f>'CCS Costs'!AK75+'CCS Costs'!AK83</f>
        <v/>
      </c>
      <c r="AL19" s="77">
        <f>'CCS Costs'!AL75+'CCS Costs'!AL83</f>
        <v/>
      </c>
      <c r="AM19" s="77">
        <f>'CCS Costs'!AM75+'CCS Costs'!AM83</f>
        <v/>
      </c>
      <c r="AN19" s="77">
        <f>'CCS Costs'!AN75+'CCS Costs'!AN83</f>
        <v/>
      </c>
      <c r="AO19" s="77">
        <f>'CCS Costs'!AO75+'CCS Costs'!AO83</f>
        <v/>
      </c>
      <c r="AP19" s="77">
        <f>'CCS Costs'!AP75+'CCS Costs'!AP83</f>
        <v/>
      </c>
      <c r="AQ19" s="77">
        <f>'CCS Costs'!AQ75+'CCS Costs'!AQ83</f>
        <v/>
      </c>
    </row>
    <row r="20">
      <c r="A20" t="inlineStr">
        <is>
          <t>natural gas combined cycle w CCS</t>
        </is>
      </c>
      <c r="B20" s="77">
        <f>'CCS Costs'!B76+'CCS Costs'!B84</f>
        <v/>
      </c>
      <c r="C20" s="77">
        <f>'CCS Costs'!C76+'CCS Costs'!C84</f>
        <v/>
      </c>
      <c r="D20" s="77">
        <f>'CCS Costs'!D76+'CCS Costs'!D84</f>
        <v/>
      </c>
      <c r="E20" s="77">
        <f>'CCS Costs'!E76+'CCS Costs'!E84</f>
        <v/>
      </c>
      <c r="F20" s="77">
        <f>'CCS Costs'!F76+'CCS Costs'!F84</f>
        <v/>
      </c>
      <c r="G20" s="77">
        <f>'CCS Costs'!G76+'CCS Costs'!G84</f>
        <v/>
      </c>
      <c r="H20" s="77">
        <f>'CCS Costs'!H76+'CCS Costs'!H84</f>
        <v/>
      </c>
      <c r="I20" s="77">
        <f>'CCS Costs'!I76+'CCS Costs'!I84</f>
        <v/>
      </c>
      <c r="J20" s="77">
        <f>'CCS Costs'!J76+'CCS Costs'!J84</f>
        <v/>
      </c>
      <c r="K20" s="77">
        <f>'CCS Costs'!K76+'CCS Costs'!K84</f>
        <v/>
      </c>
      <c r="L20" s="77">
        <f>'CCS Costs'!L76+'CCS Costs'!L84</f>
        <v/>
      </c>
      <c r="M20" s="77">
        <f>'CCS Costs'!M76+'CCS Costs'!M84</f>
        <v/>
      </c>
      <c r="N20" s="77">
        <f>'CCS Costs'!N76+'CCS Costs'!N84</f>
        <v/>
      </c>
      <c r="O20" s="77">
        <f>'CCS Costs'!O76+'CCS Costs'!O84</f>
        <v/>
      </c>
      <c r="P20" s="77">
        <f>'CCS Costs'!P76+'CCS Costs'!P84</f>
        <v/>
      </c>
      <c r="Q20" s="77">
        <f>'CCS Costs'!Q76+'CCS Costs'!Q84</f>
        <v/>
      </c>
      <c r="R20" s="77">
        <f>'CCS Costs'!R76+'CCS Costs'!R84</f>
        <v/>
      </c>
      <c r="S20" s="77">
        <f>'CCS Costs'!S76+'CCS Costs'!S84</f>
        <v/>
      </c>
      <c r="T20" s="77">
        <f>'CCS Costs'!T76+'CCS Costs'!T84</f>
        <v/>
      </c>
      <c r="U20" s="77">
        <f>'CCS Costs'!U76+'CCS Costs'!U84</f>
        <v/>
      </c>
      <c r="V20" s="77">
        <f>'CCS Costs'!V76+'CCS Costs'!V84</f>
        <v/>
      </c>
      <c r="W20" s="77">
        <f>'CCS Costs'!W76+'CCS Costs'!W84</f>
        <v/>
      </c>
      <c r="X20" s="77">
        <f>'CCS Costs'!X76+'CCS Costs'!X84</f>
        <v/>
      </c>
      <c r="Y20" s="77">
        <f>'CCS Costs'!Y76+'CCS Costs'!Y84</f>
        <v/>
      </c>
      <c r="Z20" s="77">
        <f>'CCS Costs'!Z76+'CCS Costs'!Z84</f>
        <v/>
      </c>
      <c r="AA20" s="77">
        <f>'CCS Costs'!AA76+'CCS Costs'!AA84</f>
        <v/>
      </c>
      <c r="AB20" s="77">
        <f>'CCS Costs'!AB76+'CCS Costs'!AB84</f>
        <v/>
      </c>
      <c r="AC20" s="77">
        <f>'CCS Costs'!AC76+'CCS Costs'!AC84</f>
        <v/>
      </c>
      <c r="AD20" s="77">
        <f>'CCS Costs'!AD76+'CCS Costs'!AD84</f>
        <v/>
      </c>
      <c r="AE20" s="77">
        <f>'CCS Costs'!AE76+'CCS Costs'!AE84</f>
        <v/>
      </c>
      <c r="AF20" s="77">
        <f>'CCS Costs'!AF76+'CCS Costs'!AF84</f>
        <v/>
      </c>
      <c r="AG20" s="77">
        <f>'CCS Costs'!AG76+'CCS Costs'!AG84</f>
        <v/>
      </c>
      <c r="AH20" s="77">
        <f>'CCS Costs'!AH76+'CCS Costs'!AH84</f>
        <v/>
      </c>
      <c r="AI20" s="77">
        <f>'CCS Costs'!AI76+'CCS Costs'!AI84</f>
        <v/>
      </c>
      <c r="AJ20" s="77">
        <f>'CCS Costs'!AJ76+'CCS Costs'!AJ84</f>
        <v/>
      </c>
      <c r="AK20" s="77">
        <f>'CCS Costs'!AK76+'CCS Costs'!AK84</f>
        <v/>
      </c>
      <c r="AL20" s="77">
        <f>'CCS Costs'!AL76+'CCS Costs'!AL84</f>
        <v/>
      </c>
      <c r="AM20" s="77">
        <f>'CCS Costs'!AM76+'CCS Costs'!AM84</f>
        <v/>
      </c>
      <c r="AN20" s="77">
        <f>'CCS Costs'!AN76+'CCS Costs'!AN84</f>
        <v/>
      </c>
      <c r="AO20" s="77">
        <f>'CCS Costs'!AO76+'CCS Costs'!AO84</f>
        <v/>
      </c>
      <c r="AP20" s="77">
        <f>'CCS Costs'!AP76+'CCS Costs'!AP84</f>
        <v/>
      </c>
      <c r="AQ20" s="77">
        <f>'CCS Costs'!AQ76+'CCS Costs'!AQ84</f>
        <v/>
      </c>
    </row>
    <row r="21">
      <c r="A21" t="inlineStr">
        <is>
          <t>biomass w CCS</t>
        </is>
      </c>
      <c r="B21" s="77">
        <f>'CCS Costs'!B77+'CCS Costs'!B85</f>
        <v/>
      </c>
      <c r="C21" s="77">
        <f>'CCS Costs'!C77+'CCS Costs'!C85</f>
        <v/>
      </c>
      <c r="D21" s="77">
        <f>'CCS Costs'!D77+'CCS Costs'!D85</f>
        <v/>
      </c>
      <c r="E21" s="77">
        <f>'CCS Costs'!E77+'CCS Costs'!E85</f>
        <v/>
      </c>
      <c r="F21" s="77">
        <f>'CCS Costs'!F77+'CCS Costs'!F85</f>
        <v/>
      </c>
      <c r="G21" s="77">
        <f>'CCS Costs'!G77+'CCS Costs'!G85</f>
        <v/>
      </c>
      <c r="H21" s="77">
        <f>'CCS Costs'!H77+'CCS Costs'!H85</f>
        <v/>
      </c>
      <c r="I21" s="77">
        <f>'CCS Costs'!I77+'CCS Costs'!I85</f>
        <v/>
      </c>
      <c r="J21" s="77">
        <f>'CCS Costs'!J77+'CCS Costs'!J85</f>
        <v/>
      </c>
      <c r="K21" s="77">
        <f>'CCS Costs'!K77+'CCS Costs'!K85</f>
        <v/>
      </c>
      <c r="L21" s="77">
        <f>'CCS Costs'!L77+'CCS Costs'!L85</f>
        <v/>
      </c>
      <c r="M21" s="77">
        <f>'CCS Costs'!M77+'CCS Costs'!M85</f>
        <v/>
      </c>
      <c r="N21" s="77">
        <f>'CCS Costs'!N77+'CCS Costs'!N85</f>
        <v/>
      </c>
      <c r="O21" s="77">
        <f>'CCS Costs'!O77+'CCS Costs'!O85</f>
        <v/>
      </c>
      <c r="P21" s="77">
        <f>'CCS Costs'!P77+'CCS Costs'!P85</f>
        <v/>
      </c>
      <c r="Q21" s="77">
        <f>'CCS Costs'!Q77+'CCS Costs'!Q85</f>
        <v/>
      </c>
      <c r="R21" s="77">
        <f>'CCS Costs'!R77+'CCS Costs'!R85</f>
        <v/>
      </c>
      <c r="S21" s="77">
        <f>'CCS Costs'!S77+'CCS Costs'!S85</f>
        <v/>
      </c>
      <c r="T21" s="77">
        <f>'CCS Costs'!T77+'CCS Costs'!T85</f>
        <v/>
      </c>
      <c r="U21" s="77">
        <f>'CCS Costs'!U77+'CCS Costs'!U85</f>
        <v/>
      </c>
      <c r="V21" s="77">
        <f>'CCS Costs'!V77+'CCS Costs'!V85</f>
        <v/>
      </c>
      <c r="W21" s="77">
        <f>'CCS Costs'!W77+'CCS Costs'!W85</f>
        <v/>
      </c>
      <c r="X21" s="77">
        <f>'CCS Costs'!X77+'CCS Costs'!X85</f>
        <v/>
      </c>
      <c r="Y21" s="77">
        <f>'CCS Costs'!Y77+'CCS Costs'!Y85</f>
        <v/>
      </c>
      <c r="Z21" s="77">
        <f>'CCS Costs'!Z77+'CCS Costs'!Z85</f>
        <v/>
      </c>
      <c r="AA21" s="77">
        <f>'CCS Costs'!AA77+'CCS Costs'!AA85</f>
        <v/>
      </c>
      <c r="AB21" s="77">
        <f>'CCS Costs'!AB77+'CCS Costs'!AB85</f>
        <v/>
      </c>
      <c r="AC21" s="77">
        <f>'CCS Costs'!AC77+'CCS Costs'!AC85</f>
        <v/>
      </c>
      <c r="AD21" s="77">
        <f>'CCS Costs'!AD77+'CCS Costs'!AD85</f>
        <v/>
      </c>
      <c r="AE21" s="77">
        <f>'CCS Costs'!AE77+'CCS Costs'!AE85</f>
        <v/>
      </c>
      <c r="AF21" s="77">
        <f>'CCS Costs'!AF77+'CCS Costs'!AF85</f>
        <v/>
      </c>
      <c r="AG21" s="77">
        <f>'CCS Costs'!AG77+'CCS Costs'!AG85</f>
        <v/>
      </c>
      <c r="AH21" s="77">
        <f>'CCS Costs'!AH77+'CCS Costs'!AH85</f>
        <v/>
      </c>
      <c r="AI21" s="77">
        <f>'CCS Costs'!AI77+'CCS Costs'!AI85</f>
        <v/>
      </c>
      <c r="AJ21" s="77">
        <f>'CCS Costs'!AJ77+'CCS Costs'!AJ85</f>
        <v/>
      </c>
      <c r="AK21" s="77">
        <f>'CCS Costs'!AK77+'CCS Costs'!AK85</f>
        <v/>
      </c>
      <c r="AL21" s="77">
        <f>'CCS Costs'!AL77+'CCS Costs'!AL85</f>
        <v/>
      </c>
      <c r="AM21" s="77">
        <f>'CCS Costs'!AM77+'CCS Costs'!AM85</f>
        <v/>
      </c>
      <c r="AN21" s="77">
        <f>'CCS Costs'!AN77+'CCS Costs'!AN85</f>
        <v/>
      </c>
      <c r="AO21" s="77">
        <f>'CCS Costs'!AO77+'CCS Costs'!AO85</f>
        <v/>
      </c>
      <c r="AP21" s="77">
        <f>'CCS Costs'!AP77+'CCS Costs'!AP85</f>
        <v/>
      </c>
      <c r="AQ21" s="77">
        <f>'CCS Costs'!AQ77+'CCS Costs'!AQ85</f>
        <v/>
      </c>
    </row>
    <row r="22">
      <c r="A22" t="inlineStr">
        <is>
          <t>lignite w CCS</t>
        </is>
      </c>
      <c r="B22" s="77">
        <f>'CCS Costs'!B78+'CCS Costs'!B86</f>
        <v/>
      </c>
      <c r="C22" s="77">
        <f>'CCS Costs'!C78+'CCS Costs'!C86</f>
        <v/>
      </c>
      <c r="D22" s="77">
        <f>'CCS Costs'!D78+'CCS Costs'!D86</f>
        <v/>
      </c>
      <c r="E22" s="77">
        <f>'CCS Costs'!E78+'CCS Costs'!E86</f>
        <v/>
      </c>
      <c r="F22" s="77">
        <f>'CCS Costs'!F78+'CCS Costs'!F86</f>
        <v/>
      </c>
      <c r="G22" s="77">
        <f>'CCS Costs'!G78+'CCS Costs'!G86</f>
        <v/>
      </c>
      <c r="H22" s="77">
        <f>'CCS Costs'!H78+'CCS Costs'!H86</f>
        <v/>
      </c>
      <c r="I22" s="77">
        <f>'CCS Costs'!I78+'CCS Costs'!I86</f>
        <v/>
      </c>
      <c r="J22" s="77">
        <f>'CCS Costs'!J78+'CCS Costs'!J86</f>
        <v/>
      </c>
      <c r="K22" s="77">
        <f>'CCS Costs'!K78+'CCS Costs'!K86</f>
        <v/>
      </c>
      <c r="L22" s="77">
        <f>'CCS Costs'!L78+'CCS Costs'!L86</f>
        <v/>
      </c>
      <c r="M22" s="77">
        <f>'CCS Costs'!M78+'CCS Costs'!M86</f>
        <v/>
      </c>
      <c r="N22" s="77">
        <f>'CCS Costs'!N78+'CCS Costs'!N86</f>
        <v/>
      </c>
      <c r="O22" s="77">
        <f>'CCS Costs'!O78+'CCS Costs'!O86</f>
        <v/>
      </c>
      <c r="P22" s="77">
        <f>'CCS Costs'!P78+'CCS Costs'!P86</f>
        <v/>
      </c>
      <c r="Q22" s="77">
        <f>'CCS Costs'!Q78+'CCS Costs'!Q86</f>
        <v/>
      </c>
      <c r="R22" s="77">
        <f>'CCS Costs'!R78+'CCS Costs'!R86</f>
        <v/>
      </c>
      <c r="S22" s="77">
        <f>'CCS Costs'!S78+'CCS Costs'!S86</f>
        <v/>
      </c>
      <c r="T22" s="77">
        <f>'CCS Costs'!T78+'CCS Costs'!T86</f>
        <v/>
      </c>
      <c r="U22" s="77">
        <f>'CCS Costs'!U78+'CCS Costs'!U86</f>
        <v/>
      </c>
      <c r="V22" s="77">
        <f>'CCS Costs'!V78+'CCS Costs'!V86</f>
        <v/>
      </c>
      <c r="W22" s="77">
        <f>'CCS Costs'!W78+'CCS Costs'!W86</f>
        <v/>
      </c>
      <c r="X22" s="77">
        <f>'CCS Costs'!X78+'CCS Costs'!X86</f>
        <v/>
      </c>
      <c r="Y22" s="77">
        <f>'CCS Costs'!Y78+'CCS Costs'!Y86</f>
        <v/>
      </c>
      <c r="Z22" s="77">
        <f>'CCS Costs'!Z78+'CCS Costs'!Z86</f>
        <v/>
      </c>
      <c r="AA22" s="77">
        <f>'CCS Costs'!AA78+'CCS Costs'!AA86</f>
        <v/>
      </c>
      <c r="AB22" s="77">
        <f>'CCS Costs'!AB78+'CCS Costs'!AB86</f>
        <v/>
      </c>
      <c r="AC22" s="77">
        <f>'CCS Costs'!AC78+'CCS Costs'!AC86</f>
        <v/>
      </c>
      <c r="AD22" s="77">
        <f>'CCS Costs'!AD78+'CCS Costs'!AD86</f>
        <v/>
      </c>
      <c r="AE22" s="77">
        <f>'CCS Costs'!AE78+'CCS Costs'!AE86</f>
        <v/>
      </c>
      <c r="AF22" s="77">
        <f>'CCS Costs'!AF78+'CCS Costs'!AF86</f>
        <v/>
      </c>
      <c r="AG22" s="77">
        <f>'CCS Costs'!AG78+'CCS Costs'!AG86</f>
        <v/>
      </c>
      <c r="AH22" s="77">
        <f>'CCS Costs'!AH78+'CCS Costs'!AH86</f>
        <v/>
      </c>
      <c r="AI22" s="77">
        <f>'CCS Costs'!AI78+'CCS Costs'!AI86</f>
        <v/>
      </c>
      <c r="AJ22" s="77">
        <f>'CCS Costs'!AJ78+'CCS Costs'!AJ86</f>
        <v/>
      </c>
      <c r="AK22" s="77">
        <f>'CCS Costs'!AK78+'CCS Costs'!AK86</f>
        <v/>
      </c>
      <c r="AL22" s="77">
        <f>'CCS Costs'!AL78+'CCS Costs'!AL86</f>
        <v/>
      </c>
      <c r="AM22" s="77">
        <f>'CCS Costs'!AM78+'CCS Costs'!AM86</f>
        <v/>
      </c>
      <c r="AN22" s="77">
        <f>'CCS Costs'!AN78+'CCS Costs'!AN86</f>
        <v/>
      </c>
      <c r="AO22" s="77">
        <f>'CCS Costs'!AO78+'CCS Costs'!AO86</f>
        <v/>
      </c>
      <c r="AP22" s="77">
        <f>'CCS Costs'!AP78+'CCS Costs'!AP86</f>
        <v/>
      </c>
      <c r="AQ22" s="77">
        <f>'CCS Costs'!AQ78+'CCS Costs'!AQ86</f>
        <v/>
      </c>
    </row>
    <row r="23">
      <c r="A23" t="inlineStr">
        <is>
          <t>small modular reactor</t>
        </is>
      </c>
      <c r="B23" s="77">
        <f>B5</f>
        <v/>
      </c>
      <c r="C23" s="77">
        <f>C5</f>
        <v/>
      </c>
      <c r="D23" s="77">
        <f>D5</f>
        <v/>
      </c>
      <c r="E23" s="77">
        <f>E5</f>
        <v/>
      </c>
      <c r="F23" s="77">
        <f>F5</f>
        <v/>
      </c>
      <c r="G23" s="77">
        <f>G5</f>
        <v/>
      </c>
      <c r="H23" s="77">
        <f>H5</f>
        <v/>
      </c>
      <c r="I23" s="77">
        <f>I5</f>
        <v/>
      </c>
      <c r="J23" s="77">
        <f>J5</f>
        <v/>
      </c>
      <c r="K23" s="77">
        <f>K5</f>
        <v/>
      </c>
      <c r="L23" s="77">
        <f>L5</f>
        <v/>
      </c>
      <c r="M23" s="77">
        <f>M5</f>
        <v/>
      </c>
      <c r="N23" s="77">
        <f>N5</f>
        <v/>
      </c>
      <c r="O23" s="77">
        <f>O5</f>
        <v/>
      </c>
      <c r="P23" s="77">
        <f>P5</f>
        <v/>
      </c>
      <c r="Q23" s="77">
        <f>Q5</f>
        <v/>
      </c>
      <c r="R23" s="77">
        <f>R5</f>
        <v/>
      </c>
      <c r="S23" s="77">
        <f>S5</f>
        <v/>
      </c>
      <c r="T23" s="77">
        <f>T5</f>
        <v/>
      </c>
      <c r="U23" s="77">
        <f>U5</f>
        <v/>
      </c>
      <c r="V23" s="77">
        <f>V5</f>
        <v/>
      </c>
      <c r="W23" s="77">
        <f>W5</f>
        <v/>
      </c>
      <c r="X23" s="77">
        <f>X5</f>
        <v/>
      </c>
      <c r="Y23" s="77">
        <f>Y5</f>
        <v/>
      </c>
      <c r="Z23" s="77">
        <f>Z5</f>
        <v/>
      </c>
      <c r="AA23" s="77">
        <f>AA5</f>
        <v/>
      </c>
      <c r="AB23" s="77">
        <f>AB5</f>
        <v/>
      </c>
      <c r="AC23" s="77">
        <f>AC5</f>
        <v/>
      </c>
      <c r="AD23" s="77">
        <f>AD5</f>
        <v/>
      </c>
      <c r="AE23" s="77">
        <f>AE5</f>
        <v/>
      </c>
      <c r="AF23" s="77">
        <f>AF5</f>
        <v/>
      </c>
      <c r="AG23" s="77">
        <f>AG5</f>
        <v/>
      </c>
      <c r="AH23" s="77">
        <f>AH5</f>
        <v/>
      </c>
      <c r="AI23" s="77">
        <f>AI5</f>
        <v/>
      </c>
      <c r="AJ23" s="77">
        <f>AJ5</f>
        <v/>
      </c>
      <c r="AK23" s="77">
        <f>AK5</f>
        <v/>
      </c>
      <c r="AL23" s="77">
        <f>AL5</f>
        <v/>
      </c>
      <c r="AM23" s="77">
        <f>AM5</f>
        <v/>
      </c>
      <c r="AN23" s="77">
        <f>AN5</f>
        <v/>
      </c>
      <c r="AO23" s="77">
        <f>AO5</f>
        <v/>
      </c>
      <c r="AP23" s="77">
        <f>AP5</f>
        <v/>
      </c>
      <c r="AQ23" s="77">
        <f>AQ5</f>
        <v/>
      </c>
    </row>
    <row r="24">
      <c r="A24" s="130" t="inlineStr">
        <is>
          <t>hydrogen combustion turbine</t>
        </is>
      </c>
      <c r="B24" s="77">
        <f>B13</f>
        <v/>
      </c>
      <c r="C24" s="77">
        <f>C13</f>
        <v/>
      </c>
      <c r="D24" s="77">
        <f>D13</f>
        <v/>
      </c>
      <c r="E24" s="77">
        <f>E13</f>
        <v/>
      </c>
      <c r="F24" s="77">
        <f>F13</f>
        <v/>
      </c>
      <c r="G24" s="77">
        <f>G13</f>
        <v/>
      </c>
      <c r="H24" s="77">
        <f>H13</f>
        <v/>
      </c>
      <c r="I24" s="77">
        <f>I13</f>
        <v/>
      </c>
      <c r="J24" s="77">
        <f>J13</f>
        <v/>
      </c>
      <c r="K24" s="77">
        <f>K13</f>
        <v/>
      </c>
      <c r="L24" s="77">
        <f>L13</f>
        <v/>
      </c>
      <c r="M24" s="77">
        <f>M13</f>
        <v/>
      </c>
      <c r="N24" s="77">
        <f>N13</f>
        <v/>
      </c>
      <c r="O24" s="77">
        <f>O13</f>
        <v/>
      </c>
      <c r="P24" s="77">
        <f>P13</f>
        <v/>
      </c>
      <c r="Q24" s="77">
        <f>Q13</f>
        <v/>
      </c>
      <c r="R24" s="77">
        <f>R13</f>
        <v/>
      </c>
      <c r="S24" s="77">
        <f>S13</f>
        <v/>
      </c>
      <c r="T24" s="77">
        <f>T13</f>
        <v/>
      </c>
      <c r="U24" s="77">
        <f>U13</f>
        <v/>
      </c>
      <c r="V24" s="77">
        <f>V13</f>
        <v/>
      </c>
      <c r="W24" s="77">
        <f>W13</f>
        <v/>
      </c>
      <c r="X24" s="77">
        <f>X13</f>
        <v/>
      </c>
      <c r="Y24" s="77">
        <f>Y13</f>
        <v/>
      </c>
      <c r="Z24" s="77">
        <f>Z13</f>
        <v/>
      </c>
      <c r="AA24" s="77">
        <f>AA13</f>
        <v/>
      </c>
      <c r="AB24" s="77">
        <f>AB13</f>
        <v/>
      </c>
      <c r="AC24" s="77">
        <f>AC13</f>
        <v/>
      </c>
      <c r="AD24" s="77">
        <f>AD13</f>
        <v/>
      </c>
      <c r="AE24" s="77">
        <f>AE13</f>
        <v/>
      </c>
      <c r="AF24" s="77">
        <f>AF13</f>
        <v/>
      </c>
      <c r="AG24" s="77">
        <f>AG13</f>
        <v/>
      </c>
      <c r="AH24" s="77">
        <f>AH13</f>
        <v/>
      </c>
      <c r="AI24" s="77">
        <f>AI13</f>
        <v/>
      </c>
      <c r="AJ24" s="77">
        <f>AJ13</f>
        <v/>
      </c>
      <c r="AK24" s="77">
        <f>AK13</f>
        <v/>
      </c>
      <c r="AL24" s="77">
        <f>AL13</f>
        <v/>
      </c>
      <c r="AM24" s="77">
        <f>AM13</f>
        <v/>
      </c>
      <c r="AN24" s="77">
        <f>AN13</f>
        <v/>
      </c>
      <c r="AO24" s="77">
        <f>AO13</f>
        <v/>
      </c>
      <c r="AP24" s="77">
        <f>AP13</f>
        <v/>
      </c>
      <c r="AQ24" s="77">
        <f>AQ13</f>
        <v/>
      </c>
    </row>
    <row r="25">
      <c r="A25" s="130" t="inlineStr">
        <is>
          <t>hydrogen combined cycle</t>
        </is>
      </c>
      <c r="B25" s="77">
        <f>B4</f>
        <v/>
      </c>
      <c r="C25" s="77">
        <f>C4</f>
        <v/>
      </c>
      <c r="D25" s="77">
        <f>D4</f>
        <v/>
      </c>
      <c r="E25" s="77">
        <f>E4</f>
        <v/>
      </c>
      <c r="F25" s="77">
        <f>F4</f>
        <v/>
      </c>
      <c r="G25" s="77">
        <f>G4</f>
        <v/>
      </c>
      <c r="H25" s="77">
        <f>H4</f>
        <v/>
      </c>
      <c r="I25" s="77">
        <f>I4</f>
        <v/>
      </c>
      <c r="J25" s="77">
        <f>J4</f>
        <v/>
      </c>
      <c r="K25" s="77">
        <f>K4</f>
        <v/>
      </c>
      <c r="L25" s="77">
        <f>L4</f>
        <v/>
      </c>
      <c r="M25" s="77">
        <f>M4</f>
        <v/>
      </c>
      <c r="N25" s="77">
        <f>N4</f>
        <v/>
      </c>
      <c r="O25" s="77">
        <f>O4</f>
        <v/>
      </c>
      <c r="P25" s="77">
        <f>P4</f>
        <v/>
      </c>
      <c r="Q25" s="77">
        <f>Q4</f>
        <v/>
      </c>
      <c r="R25" s="77">
        <f>R4</f>
        <v/>
      </c>
      <c r="S25" s="77">
        <f>S4</f>
        <v/>
      </c>
      <c r="T25" s="77">
        <f>T4</f>
        <v/>
      </c>
      <c r="U25" s="77">
        <f>U4</f>
        <v/>
      </c>
      <c r="V25" s="77">
        <f>V4</f>
        <v/>
      </c>
      <c r="W25" s="77">
        <f>W4</f>
        <v/>
      </c>
      <c r="X25" s="77">
        <f>X4</f>
        <v/>
      </c>
      <c r="Y25" s="77">
        <f>Y4</f>
        <v/>
      </c>
      <c r="Z25" s="77">
        <f>Z4</f>
        <v/>
      </c>
      <c r="AA25" s="77">
        <f>AA4</f>
        <v/>
      </c>
      <c r="AB25" s="77">
        <f>AB4</f>
        <v/>
      </c>
      <c r="AC25" s="77">
        <f>AC4</f>
        <v/>
      </c>
      <c r="AD25" s="77">
        <f>AD4</f>
        <v/>
      </c>
      <c r="AE25" s="77">
        <f>AE4</f>
        <v/>
      </c>
      <c r="AF25" s="77">
        <f>AF4</f>
        <v/>
      </c>
      <c r="AG25" s="77">
        <f>AG4</f>
        <v/>
      </c>
      <c r="AH25" s="77">
        <f>AH4</f>
        <v/>
      </c>
      <c r="AI25" s="77">
        <f>AI4</f>
        <v/>
      </c>
      <c r="AJ25" s="77">
        <f>AJ4</f>
        <v/>
      </c>
      <c r="AK25" s="77">
        <f>AK4</f>
        <v/>
      </c>
      <c r="AL25" s="77">
        <f>AL4</f>
        <v/>
      </c>
      <c r="AM25" s="77">
        <f>AM4</f>
        <v/>
      </c>
      <c r="AN25" s="77">
        <f>AN4</f>
        <v/>
      </c>
      <c r="AO25" s="77">
        <f>AO4</f>
        <v/>
      </c>
      <c r="AP25" s="77">
        <f>AP4</f>
        <v/>
      </c>
      <c r="AQ25" s="77">
        <f>AQ4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Q25"/>
  <sheetViews>
    <sheetView tabSelected="1" workbookViewId="0">
      <selection activeCell="G23" sqref="G23"/>
    </sheetView>
  </sheetViews>
  <sheetFormatPr baseColWidth="8" defaultRowHeight="14.5"/>
  <cols>
    <col width="27.453125" customWidth="1" min="1" max="1"/>
    <col width="10.54296875" bestFit="1" customWidth="1" min="2" max="2"/>
    <col width="9.7265625" bestFit="1" customWidth="1" min="3" max="3"/>
    <col width="9.7265625" customWidth="1" min="4" max="4"/>
    <col width="9.7265625" bestFit="1" customWidth="1" min="5" max="5"/>
    <col width="6.7265625" bestFit="1" customWidth="1" min="6" max="6"/>
    <col width="9.7265625" bestFit="1" customWidth="1" min="7" max="8"/>
    <col width="6.7265625" bestFit="1" customWidth="1" min="9" max="9"/>
    <col width="9.7265625" bestFit="1" customWidth="1" min="10" max="10"/>
    <col width="6.7265625" bestFit="1" customWidth="1" min="11" max="11"/>
    <col width="9.7265625" bestFit="1" customWidth="1" min="12" max="12"/>
    <col width="8.26953125" customWidth="1" min="13" max="24"/>
    <col width="9.7265625" bestFit="1" customWidth="1" min="25" max="26"/>
    <col width="9.7265625" customWidth="1" min="27" max="28"/>
    <col width="9.7265625" bestFit="1" customWidth="1" min="29" max="33"/>
    <col width="6.7265625" bestFit="1" customWidth="1" min="34" max="34"/>
    <col width="9.7265625" bestFit="1" customWidth="1" min="35" max="36"/>
    <col width="6.7265625" bestFit="1" customWidth="1" min="37" max="37"/>
    <col width="9.7265625" bestFit="1" customWidth="1" min="38" max="38"/>
    <col width="6.7265625" bestFit="1" customWidth="1" min="39" max="40"/>
    <col width="9.7265625" bestFit="1" customWidth="1" min="41" max="43"/>
  </cols>
  <sheetData>
    <row r="1">
      <c r="A1" s="127" t="inlineStr">
        <is>
          <t>Unit: dimensionless (share of costs)</t>
        </is>
      </c>
      <c r="B1" s="110" t="inlineStr">
        <is>
          <t>ISIC 01T03</t>
        </is>
      </c>
      <c r="C1" s="110" t="inlineStr">
        <is>
          <t>ISIC 05</t>
        </is>
      </c>
      <c r="D1" s="110" t="inlineStr">
        <is>
          <t>ISIC 06</t>
        </is>
      </c>
      <c r="E1" s="110" t="inlineStr">
        <is>
          <t>ISIC 07T08</t>
        </is>
      </c>
      <c r="F1" s="110" t="inlineStr">
        <is>
          <t>ISIC 09</t>
        </is>
      </c>
      <c r="G1" s="110" t="inlineStr">
        <is>
          <t>ISIC 10T12</t>
        </is>
      </c>
      <c r="H1" s="110" t="inlineStr">
        <is>
          <t>ISIC 13T15</t>
        </is>
      </c>
      <c r="I1" s="110" t="inlineStr">
        <is>
          <t>ISIC 16</t>
        </is>
      </c>
      <c r="J1" s="110" t="inlineStr">
        <is>
          <t>ISIC 17T18</t>
        </is>
      </c>
      <c r="K1" s="110" t="inlineStr">
        <is>
          <t>ISIC 19</t>
        </is>
      </c>
      <c r="L1" s="110" t="inlineStr">
        <is>
          <t>ISIC 20</t>
        </is>
      </c>
      <c r="M1" s="110" t="inlineStr">
        <is>
          <t>ISIC 21</t>
        </is>
      </c>
      <c r="N1" s="110" t="inlineStr">
        <is>
          <t>ISIC 22</t>
        </is>
      </c>
      <c r="O1" s="110" t="inlineStr">
        <is>
          <t>ISIC 231</t>
        </is>
      </c>
      <c r="P1" s="110" t="inlineStr">
        <is>
          <t>ISIC 239</t>
        </is>
      </c>
      <c r="Q1" s="110" t="inlineStr">
        <is>
          <t>ISIC 241</t>
        </is>
      </c>
      <c r="R1" s="110" t="inlineStr">
        <is>
          <t>ISIC 242</t>
        </is>
      </c>
      <c r="S1" s="110" t="inlineStr">
        <is>
          <t>ISIC 25</t>
        </is>
      </c>
      <c r="T1" s="110" t="inlineStr">
        <is>
          <t>ISIC 26</t>
        </is>
      </c>
      <c r="U1" s="110" t="inlineStr">
        <is>
          <t>ISIC 27</t>
        </is>
      </c>
      <c r="V1" s="110" t="inlineStr">
        <is>
          <t>ISIC 28</t>
        </is>
      </c>
      <c r="W1" s="110" t="inlineStr">
        <is>
          <t>ISIC 29</t>
        </is>
      </c>
      <c r="X1" s="110" t="inlineStr">
        <is>
          <t>ISIC 30</t>
        </is>
      </c>
      <c r="Y1" s="110" t="inlineStr">
        <is>
          <t>ISIC 31T33</t>
        </is>
      </c>
      <c r="Z1" s="110" t="inlineStr">
        <is>
          <t>ISIC 351</t>
        </is>
      </c>
      <c r="AA1" s="110" t="inlineStr">
        <is>
          <t>ISIC 352T353</t>
        </is>
      </c>
      <c r="AB1" s="110" t="inlineStr">
        <is>
          <t>ISIC 36T39</t>
        </is>
      </c>
      <c r="AC1" s="110" t="inlineStr">
        <is>
          <t>ISIC 41T43</t>
        </is>
      </c>
      <c r="AD1" s="110" t="inlineStr">
        <is>
          <t>ISIC 45T47</t>
        </is>
      </c>
      <c r="AE1" s="110" t="inlineStr">
        <is>
          <t>ISIC 49T53</t>
        </is>
      </c>
      <c r="AF1" s="110" t="inlineStr">
        <is>
          <t>ISIC 55T56</t>
        </is>
      </c>
      <c r="AG1" s="110" t="inlineStr">
        <is>
          <t>ISIC 58T60</t>
        </is>
      </c>
      <c r="AH1" s="110" t="inlineStr">
        <is>
          <t>ISIC 61</t>
        </is>
      </c>
      <c r="AI1" s="110" t="inlineStr">
        <is>
          <t>ISIC 62T63</t>
        </is>
      </c>
      <c r="AJ1" s="110" t="inlineStr">
        <is>
          <t>ISIC 64T66</t>
        </is>
      </c>
      <c r="AK1" s="110" t="inlineStr">
        <is>
          <t>ISIC 68</t>
        </is>
      </c>
      <c r="AL1" s="110" t="inlineStr">
        <is>
          <t>ISIC 69T82</t>
        </is>
      </c>
      <c r="AM1" s="110" t="inlineStr">
        <is>
          <t>ISIC 84</t>
        </is>
      </c>
      <c r="AN1" s="110" t="inlineStr">
        <is>
          <t>ISIC 85</t>
        </is>
      </c>
      <c r="AO1" s="110" t="inlineStr">
        <is>
          <t>ISIC 86T88</t>
        </is>
      </c>
      <c r="AP1" s="110" t="inlineStr">
        <is>
          <t>ISIC 90T96</t>
        </is>
      </c>
      <c r="AQ1" s="110" t="inlineStr">
        <is>
          <t>ISIC 97T98</t>
        </is>
      </c>
    </row>
    <row r="2">
      <c r="A2" t="inlineStr">
        <is>
          <t>hard coal</t>
        </is>
      </c>
      <c r="B2" s="77">
        <f>SUMIF('Cost Breakdowns'!$D$105:$D$107,'SoESCaOMCbIC-capital'!B$1,'Cost Breakdowns'!$B$105:$B$107)</f>
        <v/>
      </c>
      <c r="C2" s="77">
        <f>SUMIF('Cost Breakdowns'!$D$105:$D$107,'SoESCaOMCbIC-capital'!C$1,'Cost Breakdowns'!$B$105:$B$107)</f>
        <v/>
      </c>
      <c r="D2" s="77">
        <f>SUMIF('Cost Breakdowns'!$D$105:$D$107,'SoESCaOMCbIC-capital'!D$1,'Cost Breakdowns'!$B$105:$B$107)</f>
        <v/>
      </c>
      <c r="E2" s="77">
        <f>SUMIF('Cost Breakdowns'!$D$105:$D$107,'SoESCaOMCbIC-capital'!E$1,'Cost Breakdowns'!$B$105:$B$107)</f>
        <v/>
      </c>
      <c r="F2" s="77">
        <f>SUMIF('Cost Breakdowns'!$D$105:$D$107,'SoESCaOMCbIC-capital'!F$1,'Cost Breakdowns'!$B$105:$B$107)</f>
        <v/>
      </c>
      <c r="G2" s="77">
        <f>SUMIF('Cost Breakdowns'!$D$105:$D$107,'SoESCaOMCbIC-capital'!G$1,'Cost Breakdowns'!$B$105:$B$107)</f>
        <v/>
      </c>
      <c r="H2" s="77">
        <f>SUMIF('Cost Breakdowns'!$D$105:$D$107,'SoESCaOMCbIC-capital'!H$1,'Cost Breakdowns'!$B$105:$B$107)</f>
        <v/>
      </c>
      <c r="I2" s="77">
        <f>SUMIF('Cost Breakdowns'!$D$105:$D$107,'SoESCaOMCbIC-capital'!I$1,'Cost Breakdowns'!$B$105:$B$107)</f>
        <v/>
      </c>
      <c r="J2" s="77">
        <f>SUMIF('Cost Breakdowns'!$D$105:$D$107,'SoESCaOMCbIC-capital'!J$1,'Cost Breakdowns'!$B$105:$B$107)</f>
        <v/>
      </c>
      <c r="K2" s="77">
        <f>SUMIF('Cost Breakdowns'!$D$105:$D$107,'SoESCaOMCbIC-capital'!K$1,'Cost Breakdowns'!$B$105:$B$107)</f>
        <v/>
      </c>
      <c r="L2" s="77">
        <f>SUMIF('Cost Breakdowns'!$D$105:$D$107,'SoESCaOMCbIC-capital'!L$1,'Cost Breakdowns'!$B$105:$B$107)</f>
        <v/>
      </c>
      <c r="M2" s="77">
        <f>SUMIF('Cost Breakdowns'!$D$105:$D$107,'SoESCaOMCbIC-capital'!M$1,'Cost Breakdowns'!$B$105:$B$107)</f>
        <v/>
      </c>
      <c r="N2" s="77">
        <f>SUMIF('Cost Breakdowns'!$D$105:$D$107,'SoESCaOMCbIC-capital'!N$1,'Cost Breakdowns'!$B$105:$B$107)</f>
        <v/>
      </c>
      <c r="O2" s="77">
        <f>SUMIF('Cost Breakdowns'!$D$105:$D$107,'SoESCaOMCbIC-capital'!O$1,'Cost Breakdowns'!$B$105:$B$107)</f>
        <v/>
      </c>
      <c r="P2" s="77">
        <f>SUMIF('Cost Breakdowns'!$D$105:$D$107,'SoESCaOMCbIC-capital'!P$1,'Cost Breakdowns'!$B$105:$B$107)</f>
        <v/>
      </c>
      <c r="Q2" s="77">
        <f>SUMIF('Cost Breakdowns'!$D$105:$D$107,'SoESCaOMCbIC-capital'!Q$1,'Cost Breakdowns'!$B$105:$B$107)</f>
        <v/>
      </c>
      <c r="R2" s="77">
        <f>SUMIF('Cost Breakdowns'!$D$105:$D$107,'SoESCaOMCbIC-capital'!R$1,'Cost Breakdowns'!$B$105:$B$107)</f>
        <v/>
      </c>
      <c r="S2" s="77">
        <f>SUMIF('Cost Breakdowns'!$D$105:$D$107,'SoESCaOMCbIC-capital'!S$1,'Cost Breakdowns'!$B$105:$B$107)</f>
        <v/>
      </c>
      <c r="T2" s="77">
        <f>SUMIF('Cost Breakdowns'!$D$105:$D$107,'SoESCaOMCbIC-capital'!T$1,'Cost Breakdowns'!$B$105:$B$107)</f>
        <v/>
      </c>
      <c r="U2" s="77">
        <f>SUMIF('Cost Breakdowns'!$D$105:$D$107,'SoESCaOMCbIC-capital'!U$1,'Cost Breakdowns'!$B$105:$B$107)</f>
        <v/>
      </c>
      <c r="V2" s="77">
        <f>SUMIF('Cost Breakdowns'!$D$105:$D$107,'SoESCaOMCbIC-capital'!V$1,'Cost Breakdowns'!$B$105:$B$107)</f>
        <v/>
      </c>
      <c r="W2" s="77">
        <f>SUMIF('Cost Breakdowns'!$D$105:$D$107,'SoESCaOMCbIC-capital'!W$1,'Cost Breakdowns'!$B$105:$B$107)</f>
        <v/>
      </c>
      <c r="X2" s="77">
        <f>SUMIF('Cost Breakdowns'!$D$105:$D$107,'SoESCaOMCbIC-capital'!X$1,'Cost Breakdowns'!$B$105:$B$107)</f>
        <v/>
      </c>
      <c r="Y2" s="77">
        <f>SUMIF('Cost Breakdowns'!$D$105:$D$107,'SoESCaOMCbIC-capital'!Y$1,'Cost Breakdowns'!$B$105:$B$107)</f>
        <v/>
      </c>
      <c r="Z2" s="77">
        <f>SUMIF('Cost Breakdowns'!$D$105:$D$107,'SoESCaOMCbIC-capital'!Z$1,'Cost Breakdowns'!$B$105:$B$107)</f>
        <v/>
      </c>
      <c r="AA2" s="77">
        <f>SUMIF('Cost Breakdowns'!$D$105:$D$107,'SoESCaOMCbIC-capital'!AA$1,'Cost Breakdowns'!$B$105:$B$107)</f>
        <v/>
      </c>
      <c r="AB2" s="77">
        <f>SUMIF('Cost Breakdowns'!$D$105:$D$107,'SoESCaOMCbIC-capital'!AB$1,'Cost Breakdowns'!$B$105:$B$107)</f>
        <v/>
      </c>
      <c r="AC2" s="77">
        <f>SUMIF('Cost Breakdowns'!$D$105:$D$107,'SoESCaOMCbIC-capital'!AC$1,'Cost Breakdowns'!$B$105:$B$107)</f>
        <v/>
      </c>
      <c r="AD2" s="77">
        <f>SUMIF('Cost Breakdowns'!$D$105:$D$107,'SoESCaOMCbIC-capital'!AD$1,'Cost Breakdowns'!$B$105:$B$107)</f>
        <v/>
      </c>
      <c r="AE2" s="77">
        <f>SUMIF('Cost Breakdowns'!$D$105:$D$107,'SoESCaOMCbIC-capital'!AE$1,'Cost Breakdowns'!$B$105:$B$107)</f>
        <v/>
      </c>
      <c r="AF2" s="77">
        <f>SUMIF('Cost Breakdowns'!$D$105:$D$107,'SoESCaOMCbIC-capital'!AF$1,'Cost Breakdowns'!$B$105:$B$107)</f>
        <v/>
      </c>
      <c r="AG2" s="77">
        <f>SUMIF('Cost Breakdowns'!$D$105:$D$107,'SoESCaOMCbIC-capital'!AG$1,'Cost Breakdowns'!$B$105:$B$107)</f>
        <v/>
      </c>
      <c r="AH2" s="77">
        <f>SUMIF('Cost Breakdowns'!$D$105:$D$107,'SoESCaOMCbIC-capital'!AH$1,'Cost Breakdowns'!$B$105:$B$107)</f>
        <v/>
      </c>
      <c r="AI2" s="77">
        <f>SUMIF('Cost Breakdowns'!$D$105:$D$107,'SoESCaOMCbIC-capital'!AI$1,'Cost Breakdowns'!$B$105:$B$107)</f>
        <v/>
      </c>
      <c r="AJ2" s="77">
        <f>SUMIF('Cost Breakdowns'!$D$105:$D$107,'SoESCaOMCbIC-capital'!AJ$1,'Cost Breakdowns'!$B$105:$B$107)</f>
        <v/>
      </c>
      <c r="AK2" s="77">
        <f>SUMIF('Cost Breakdowns'!$D$105:$D$107,'SoESCaOMCbIC-capital'!AK$1,'Cost Breakdowns'!$B$105:$B$107)</f>
        <v/>
      </c>
      <c r="AL2" s="77">
        <f>SUMIF('Cost Breakdowns'!$D$105:$D$107,'SoESCaOMCbIC-capital'!AL$1,'Cost Breakdowns'!$B$105:$B$107)</f>
        <v/>
      </c>
      <c r="AM2" s="77">
        <f>SUMIF('Cost Breakdowns'!$D$105:$D$107,'SoESCaOMCbIC-capital'!AM$1,'Cost Breakdowns'!$B$105:$B$107)</f>
        <v/>
      </c>
      <c r="AN2" s="77">
        <f>SUMIF('Cost Breakdowns'!$D$105:$D$107,'SoESCaOMCbIC-capital'!AN$1,'Cost Breakdowns'!$B$105:$B$107)</f>
        <v/>
      </c>
      <c r="AO2" s="77">
        <f>SUMIF('Cost Breakdowns'!$D$105:$D$107,'SoESCaOMCbIC-capital'!AO$1,'Cost Breakdowns'!$B$105:$B$107)</f>
        <v/>
      </c>
      <c r="AP2" s="77">
        <f>SUMIF('Cost Breakdowns'!$D$105:$D$107,'SoESCaOMCbIC-capital'!AP$1,'Cost Breakdowns'!$B$105:$B$107)</f>
        <v/>
      </c>
      <c r="AQ2" s="77">
        <f>SUMIF('Cost Breakdowns'!$D$105:$D$107,'SoESCaOMCbIC-capital'!AQ$1,'Cost Breakdowns'!$B$105:$B$107)</f>
        <v/>
      </c>
    </row>
    <row r="3">
      <c r="A3" t="inlineStr">
        <is>
          <t>natural gas steam turbine</t>
        </is>
      </c>
      <c r="B3" s="77">
        <f>SUMIF('Cost Breakdowns'!$D$140:$D$142,'SoESCaOMCbIC-capital'!B$1,'Cost Breakdowns'!$B$140:$B$142)</f>
        <v/>
      </c>
      <c r="C3" s="77">
        <f>SUMIF('Cost Breakdowns'!$D$140:$D$142,'SoESCaOMCbIC-capital'!C$1,'Cost Breakdowns'!$B$140:$B$142)</f>
        <v/>
      </c>
      <c r="D3" s="77">
        <f>SUMIF('Cost Breakdowns'!$D$140:$D$142,'SoESCaOMCbIC-capital'!D$1,'Cost Breakdowns'!$B$140:$B$142)</f>
        <v/>
      </c>
      <c r="E3" s="77">
        <f>SUMIF('Cost Breakdowns'!$D$140:$D$142,'SoESCaOMCbIC-capital'!E$1,'Cost Breakdowns'!$B$140:$B$142)</f>
        <v/>
      </c>
      <c r="F3" s="77">
        <f>SUMIF('Cost Breakdowns'!$D$140:$D$142,'SoESCaOMCbIC-capital'!F$1,'Cost Breakdowns'!$B$140:$B$142)</f>
        <v/>
      </c>
      <c r="G3" s="77">
        <f>SUMIF('Cost Breakdowns'!$D$140:$D$142,'SoESCaOMCbIC-capital'!G$1,'Cost Breakdowns'!$B$140:$B$142)</f>
        <v/>
      </c>
      <c r="H3" s="77">
        <f>SUMIF('Cost Breakdowns'!$D$140:$D$142,'SoESCaOMCbIC-capital'!H$1,'Cost Breakdowns'!$B$140:$B$142)</f>
        <v/>
      </c>
      <c r="I3" s="77">
        <f>SUMIF('Cost Breakdowns'!$D$140:$D$142,'SoESCaOMCbIC-capital'!I$1,'Cost Breakdowns'!$B$140:$B$142)</f>
        <v/>
      </c>
      <c r="J3" s="77">
        <f>SUMIF('Cost Breakdowns'!$D$140:$D$142,'SoESCaOMCbIC-capital'!J$1,'Cost Breakdowns'!$B$140:$B$142)</f>
        <v/>
      </c>
      <c r="K3" s="77">
        <f>SUMIF('Cost Breakdowns'!$D$140:$D$142,'SoESCaOMCbIC-capital'!K$1,'Cost Breakdowns'!$B$140:$B$142)</f>
        <v/>
      </c>
      <c r="L3" s="77">
        <f>SUMIF('Cost Breakdowns'!$D$140:$D$142,'SoESCaOMCbIC-capital'!L$1,'Cost Breakdowns'!$B$140:$B$142)</f>
        <v/>
      </c>
      <c r="M3" s="77">
        <f>SUMIF('Cost Breakdowns'!$D$140:$D$142,'SoESCaOMCbIC-capital'!M$1,'Cost Breakdowns'!$B$140:$B$142)</f>
        <v/>
      </c>
      <c r="N3" s="77">
        <f>SUMIF('Cost Breakdowns'!$D$140:$D$142,'SoESCaOMCbIC-capital'!N$1,'Cost Breakdowns'!$B$140:$B$142)</f>
        <v/>
      </c>
      <c r="O3" s="77">
        <f>SUMIF('Cost Breakdowns'!$D$140:$D$142,'SoESCaOMCbIC-capital'!O$1,'Cost Breakdowns'!$B$140:$B$142)</f>
        <v/>
      </c>
      <c r="P3" s="77">
        <f>SUMIF('Cost Breakdowns'!$D$140:$D$142,'SoESCaOMCbIC-capital'!P$1,'Cost Breakdowns'!$B$140:$B$142)</f>
        <v/>
      </c>
      <c r="Q3" s="77">
        <f>SUMIF('Cost Breakdowns'!$D$140:$D$142,'SoESCaOMCbIC-capital'!Q$1,'Cost Breakdowns'!$B$140:$B$142)</f>
        <v/>
      </c>
      <c r="R3" s="77">
        <f>SUMIF('Cost Breakdowns'!$D$140:$D$142,'SoESCaOMCbIC-capital'!R$1,'Cost Breakdowns'!$B$140:$B$142)</f>
        <v/>
      </c>
      <c r="S3" s="77">
        <f>SUMIF('Cost Breakdowns'!$D$140:$D$142,'SoESCaOMCbIC-capital'!S$1,'Cost Breakdowns'!$B$140:$B$142)</f>
        <v/>
      </c>
      <c r="T3" s="77">
        <f>SUMIF('Cost Breakdowns'!$D$140:$D$142,'SoESCaOMCbIC-capital'!T$1,'Cost Breakdowns'!$B$140:$B$142)</f>
        <v/>
      </c>
      <c r="U3" s="77">
        <f>SUMIF('Cost Breakdowns'!$D$140:$D$142,'SoESCaOMCbIC-capital'!U$1,'Cost Breakdowns'!$B$140:$B$142)</f>
        <v/>
      </c>
      <c r="V3" s="77">
        <f>SUMIF('Cost Breakdowns'!$D$140:$D$142,'SoESCaOMCbIC-capital'!V$1,'Cost Breakdowns'!$B$140:$B$142)</f>
        <v/>
      </c>
      <c r="W3" s="77">
        <f>SUMIF('Cost Breakdowns'!$D$140:$D$142,'SoESCaOMCbIC-capital'!W$1,'Cost Breakdowns'!$B$140:$B$142)</f>
        <v/>
      </c>
      <c r="X3" s="77">
        <f>SUMIF('Cost Breakdowns'!$D$140:$D$142,'SoESCaOMCbIC-capital'!X$1,'Cost Breakdowns'!$B$140:$B$142)</f>
        <v/>
      </c>
      <c r="Y3" s="77">
        <f>SUMIF('Cost Breakdowns'!$D$140:$D$142,'SoESCaOMCbIC-capital'!Y$1,'Cost Breakdowns'!$B$140:$B$142)</f>
        <v/>
      </c>
      <c r="Z3" s="77">
        <f>SUMIF('Cost Breakdowns'!$D$140:$D$142,'SoESCaOMCbIC-capital'!Z$1,'Cost Breakdowns'!$B$140:$B$142)</f>
        <v/>
      </c>
      <c r="AA3" s="77">
        <f>SUMIF('Cost Breakdowns'!$D$140:$D$142,'SoESCaOMCbIC-capital'!AA$1,'Cost Breakdowns'!$B$140:$B$142)</f>
        <v/>
      </c>
      <c r="AB3" s="77">
        <f>SUMIF('Cost Breakdowns'!$D$140:$D$142,'SoESCaOMCbIC-capital'!AB$1,'Cost Breakdowns'!$B$140:$B$142)</f>
        <v/>
      </c>
      <c r="AC3" s="77">
        <f>SUMIF('Cost Breakdowns'!$D$140:$D$142,'SoESCaOMCbIC-capital'!AC$1,'Cost Breakdowns'!$B$140:$B$142)</f>
        <v/>
      </c>
      <c r="AD3" s="77">
        <f>SUMIF('Cost Breakdowns'!$D$140:$D$142,'SoESCaOMCbIC-capital'!AD$1,'Cost Breakdowns'!$B$140:$B$142)</f>
        <v/>
      </c>
      <c r="AE3" s="77">
        <f>SUMIF('Cost Breakdowns'!$D$140:$D$142,'SoESCaOMCbIC-capital'!AE$1,'Cost Breakdowns'!$B$140:$B$142)</f>
        <v/>
      </c>
      <c r="AF3" s="77">
        <f>SUMIF('Cost Breakdowns'!$D$140:$D$142,'SoESCaOMCbIC-capital'!AF$1,'Cost Breakdowns'!$B$140:$B$142)</f>
        <v/>
      </c>
      <c r="AG3" s="77">
        <f>SUMIF('Cost Breakdowns'!$D$140:$D$142,'SoESCaOMCbIC-capital'!AG$1,'Cost Breakdowns'!$B$140:$B$142)</f>
        <v/>
      </c>
      <c r="AH3" s="77">
        <f>SUMIF('Cost Breakdowns'!$D$140:$D$142,'SoESCaOMCbIC-capital'!AH$1,'Cost Breakdowns'!$B$140:$B$142)</f>
        <v/>
      </c>
      <c r="AI3" s="77">
        <f>SUMIF('Cost Breakdowns'!$D$140:$D$142,'SoESCaOMCbIC-capital'!AI$1,'Cost Breakdowns'!$B$140:$B$142)</f>
        <v/>
      </c>
      <c r="AJ3" s="77">
        <f>SUMIF('Cost Breakdowns'!$D$140:$D$142,'SoESCaOMCbIC-capital'!AJ$1,'Cost Breakdowns'!$B$140:$B$142)</f>
        <v/>
      </c>
      <c r="AK3" s="77">
        <f>SUMIF('Cost Breakdowns'!$D$140:$D$142,'SoESCaOMCbIC-capital'!AK$1,'Cost Breakdowns'!$B$140:$B$142)</f>
        <v/>
      </c>
      <c r="AL3" s="77">
        <f>SUMIF('Cost Breakdowns'!$D$140:$D$142,'SoESCaOMCbIC-capital'!AL$1,'Cost Breakdowns'!$B$140:$B$142)</f>
        <v/>
      </c>
      <c r="AM3" s="77">
        <f>SUMIF('Cost Breakdowns'!$D$140:$D$142,'SoESCaOMCbIC-capital'!AM$1,'Cost Breakdowns'!$B$140:$B$142)</f>
        <v/>
      </c>
      <c r="AN3" s="77">
        <f>SUMIF('Cost Breakdowns'!$D$140:$D$142,'SoESCaOMCbIC-capital'!AN$1,'Cost Breakdowns'!$B$140:$B$142)</f>
        <v/>
      </c>
      <c r="AO3" s="77">
        <f>SUMIF('Cost Breakdowns'!$D$140:$D$142,'SoESCaOMCbIC-capital'!AO$1,'Cost Breakdowns'!$B$140:$B$142)</f>
        <v/>
      </c>
      <c r="AP3" s="77">
        <f>SUMIF('Cost Breakdowns'!$D$140:$D$142,'SoESCaOMCbIC-capital'!AP$1,'Cost Breakdowns'!$B$140:$B$142)</f>
        <v/>
      </c>
      <c r="AQ3" s="77">
        <f>SUMIF('Cost Breakdowns'!$D$140:$D$142,'SoESCaOMCbIC-capital'!AQ$1,'Cost Breakdowns'!$B$140:$B$142)</f>
        <v/>
      </c>
    </row>
    <row r="4">
      <c r="A4" t="inlineStr">
        <is>
          <t>natural gas combined cycle</t>
        </is>
      </c>
      <c r="B4" s="100">
        <f>B$3</f>
        <v/>
      </c>
      <c r="C4" s="100">
        <f>C$3</f>
        <v/>
      </c>
      <c r="D4" s="100">
        <f>D$3</f>
        <v/>
      </c>
      <c r="E4" s="100">
        <f>E$3</f>
        <v/>
      </c>
      <c r="F4" s="100">
        <f>F$3</f>
        <v/>
      </c>
      <c r="G4" s="100">
        <f>G$3</f>
        <v/>
      </c>
      <c r="H4" s="100">
        <f>H$3</f>
        <v/>
      </c>
      <c r="I4" s="100">
        <f>I$3</f>
        <v/>
      </c>
      <c r="J4" s="100">
        <f>J$3</f>
        <v/>
      </c>
      <c r="K4" s="100">
        <f>K$3</f>
        <v/>
      </c>
      <c r="L4" s="100">
        <f>L$3</f>
        <v/>
      </c>
      <c r="M4" s="100">
        <f>M$3</f>
        <v/>
      </c>
      <c r="N4" s="100">
        <f>N$3</f>
        <v/>
      </c>
      <c r="O4" s="100">
        <f>O$3</f>
        <v/>
      </c>
      <c r="P4" s="100">
        <f>P$3</f>
        <v/>
      </c>
      <c r="Q4" s="100">
        <f>Q$3</f>
        <v/>
      </c>
      <c r="R4" s="100">
        <f>R$3</f>
        <v/>
      </c>
      <c r="S4" s="100">
        <f>S$3</f>
        <v/>
      </c>
      <c r="T4" s="100">
        <f>T$3</f>
        <v/>
      </c>
      <c r="U4" s="100">
        <f>U$3</f>
        <v/>
      </c>
      <c r="V4" s="100">
        <f>V$3</f>
        <v/>
      </c>
      <c r="W4" s="100">
        <f>W$3</f>
        <v/>
      </c>
      <c r="X4" s="100">
        <f>X$3</f>
        <v/>
      </c>
      <c r="Y4" s="100">
        <f>Y$3</f>
        <v/>
      </c>
      <c r="Z4" s="100">
        <f>Z$3</f>
        <v/>
      </c>
      <c r="AA4" s="100">
        <f>AA$3</f>
        <v/>
      </c>
      <c r="AB4" s="100">
        <f>AB$3</f>
        <v/>
      </c>
      <c r="AC4" s="100">
        <f>AC$3</f>
        <v/>
      </c>
      <c r="AD4" s="100">
        <f>AD$3</f>
        <v/>
      </c>
      <c r="AE4" s="100">
        <f>AE$3</f>
        <v/>
      </c>
      <c r="AF4" s="100">
        <f>AF$3</f>
        <v/>
      </c>
      <c r="AG4" s="100">
        <f>AG$3</f>
        <v/>
      </c>
      <c r="AH4" s="100">
        <f>AH$3</f>
        <v/>
      </c>
      <c r="AI4" s="100">
        <f>AI$3</f>
        <v/>
      </c>
      <c r="AJ4" s="100">
        <f>AJ$3</f>
        <v/>
      </c>
      <c r="AK4" s="100">
        <f>AK$3</f>
        <v/>
      </c>
      <c r="AL4" s="100">
        <f>AL$3</f>
        <v/>
      </c>
      <c r="AM4" s="100">
        <f>AM$3</f>
        <v/>
      </c>
      <c r="AN4" s="100">
        <f>AN$3</f>
        <v/>
      </c>
      <c r="AO4" s="100">
        <f>AO$3</f>
        <v/>
      </c>
      <c r="AP4" s="100">
        <f>AP$3</f>
        <v/>
      </c>
      <c r="AQ4" s="100">
        <f>AQ$3</f>
        <v/>
      </c>
    </row>
    <row r="5">
      <c r="A5" t="inlineStr">
        <is>
          <t>nuclear</t>
        </is>
      </c>
      <c r="B5" s="77">
        <f>SUMIF('Cost Breakdowns'!$D$162:$D$162,'SoESCaOMCbIC-capital'!B$1,'Cost Breakdowns'!$B$162:$B$162)</f>
        <v/>
      </c>
      <c r="C5" s="77">
        <f>SUMIF('Cost Breakdowns'!$D$162:$D$162,'SoESCaOMCbIC-capital'!C$1,'Cost Breakdowns'!$B$162:$B$162)</f>
        <v/>
      </c>
      <c r="D5" s="77">
        <f>SUMIF('Cost Breakdowns'!$D$162:$D$162,'SoESCaOMCbIC-capital'!D$1,'Cost Breakdowns'!$B$162:$B$162)</f>
        <v/>
      </c>
      <c r="E5" s="77">
        <f>SUMIF('Cost Breakdowns'!$D$162:$D$162,'SoESCaOMCbIC-capital'!E$1,'Cost Breakdowns'!$B$162:$B$162)</f>
        <v/>
      </c>
      <c r="F5" s="77">
        <f>SUMIF('Cost Breakdowns'!$D$162:$D$162,'SoESCaOMCbIC-capital'!F$1,'Cost Breakdowns'!$B$162:$B$162)</f>
        <v/>
      </c>
      <c r="G5" s="77">
        <f>SUMIF('Cost Breakdowns'!$D$162:$D$162,'SoESCaOMCbIC-capital'!G$1,'Cost Breakdowns'!$B$162:$B$162)</f>
        <v/>
      </c>
      <c r="H5" s="77">
        <f>SUMIF('Cost Breakdowns'!$D$162:$D$162,'SoESCaOMCbIC-capital'!H$1,'Cost Breakdowns'!$B$162:$B$162)</f>
        <v/>
      </c>
      <c r="I5" s="77">
        <f>SUMIF('Cost Breakdowns'!$D$162:$D$162,'SoESCaOMCbIC-capital'!I$1,'Cost Breakdowns'!$B$162:$B$162)</f>
        <v/>
      </c>
      <c r="J5" s="77">
        <f>SUMIF('Cost Breakdowns'!$D$162:$D$162,'SoESCaOMCbIC-capital'!J$1,'Cost Breakdowns'!$B$162:$B$162)</f>
        <v/>
      </c>
      <c r="K5" s="77">
        <f>SUMIF('Cost Breakdowns'!$D$162:$D$162,'SoESCaOMCbIC-capital'!K$1,'Cost Breakdowns'!$B$162:$B$162)</f>
        <v/>
      </c>
      <c r="L5" s="77">
        <f>SUMIF('Cost Breakdowns'!$D$162:$D$162,'SoESCaOMCbIC-capital'!L$1,'Cost Breakdowns'!$B$162:$B$162)</f>
        <v/>
      </c>
      <c r="M5" s="77">
        <f>SUMIF('Cost Breakdowns'!$D$162:$D$162,'SoESCaOMCbIC-capital'!M$1,'Cost Breakdowns'!$B$162:$B$162)</f>
        <v/>
      </c>
      <c r="N5" s="77">
        <f>SUMIF('Cost Breakdowns'!$D$162:$D$162,'SoESCaOMCbIC-capital'!N$1,'Cost Breakdowns'!$B$162:$B$162)</f>
        <v/>
      </c>
      <c r="O5" s="77">
        <f>SUMIF('Cost Breakdowns'!$D$162:$D$162,'SoESCaOMCbIC-capital'!O$1,'Cost Breakdowns'!$B$162:$B$162)</f>
        <v/>
      </c>
      <c r="P5" s="77">
        <f>SUMIF('Cost Breakdowns'!$D$162:$D$162,'SoESCaOMCbIC-capital'!P$1,'Cost Breakdowns'!$B$162:$B$162)</f>
        <v/>
      </c>
      <c r="Q5" s="77">
        <f>SUMIF('Cost Breakdowns'!$D$162:$D$162,'SoESCaOMCbIC-capital'!Q$1,'Cost Breakdowns'!$B$162:$B$162)</f>
        <v/>
      </c>
      <c r="R5" s="77">
        <f>SUMIF('Cost Breakdowns'!$D$162:$D$162,'SoESCaOMCbIC-capital'!R$1,'Cost Breakdowns'!$B$162:$B$162)</f>
        <v/>
      </c>
      <c r="S5" s="77">
        <f>SUMIF('Cost Breakdowns'!$D$162:$D$162,'SoESCaOMCbIC-capital'!S$1,'Cost Breakdowns'!$B$162:$B$162)</f>
        <v/>
      </c>
      <c r="T5" s="77">
        <f>SUMIF('Cost Breakdowns'!$D$162:$D$162,'SoESCaOMCbIC-capital'!T$1,'Cost Breakdowns'!$B$162:$B$162)</f>
        <v/>
      </c>
      <c r="U5" s="77">
        <f>SUMIF('Cost Breakdowns'!$D$162:$D$162,'SoESCaOMCbIC-capital'!U$1,'Cost Breakdowns'!$B$162:$B$162)</f>
        <v/>
      </c>
      <c r="V5" s="77">
        <f>SUMIF('Cost Breakdowns'!$D$162:$D$162,'SoESCaOMCbIC-capital'!V$1,'Cost Breakdowns'!$B$162:$B$162)</f>
        <v/>
      </c>
      <c r="W5" s="77">
        <f>SUMIF('Cost Breakdowns'!$D$162:$D$162,'SoESCaOMCbIC-capital'!W$1,'Cost Breakdowns'!$B$162:$B$162)</f>
        <v/>
      </c>
      <c r="X5" s="77">
        <f>SUMIF('Cost Breakdowns'!$D$162:$D$162,'SoESCaOMCbIC-capital'!X$1,'Cost Breakdowns'!$B$162:$B$162)</f>
        <v/>
      </c>
      <c r="Y5" s="77">
        <f>SUMIF('Cost Breakdowns'!$D$162:$D$162,'SoESCaOMCbIC-capital'!Y$1,'Cost Breakdowns'!$B$162:$B$162)</f>
        <v/>
      </c>
      <c r="Z5" s="77">
        <f>SUMIF('Cost Breakdowns'!$D$162:$D$162,'SoESCaOMCbIC-capital'!Z$1,'Cost Breakdowns'!$B$162:$B$162)</f>
        <v/>
      </c>
      <c r="AA5" s="77">
        <f>SUMIF('Cost Breakdowns'!$D$162:$D$162,'SoESCaOMCbIC-capital'!AA$1,'Cost Breakdowns'!$B$162:$B$162)</f>
        <v/>
      </c>
      <c r="AB5" s="77">
        <f>SUMIF('Cost Breakdowns'!$D$162:$D$162,'SoESCaOMCbIC-capital'!AB$1,'Cost Breakdowns'!$B$162:$B$162)</f>
        <v/>
      </c>
      <c r="AC5" s="77">
        <f>SUMIF('Cost Breakdowns'!$D$162:$D$162,'SoESCaOMCbIC-capital'!AC$1,'Cost Breakdowns'!$B$162:$B$162)</f>
        <v/>
      </c>
      <c r="AD5" s="77">
        <f>SUMIF('Cost Breakdowns'!$D$162:$D$162,'SoESCaOMCbIC-capital'!AD$1,'Cost Breakdowns'!$B$162:$B$162)</f>
        <v/>
      </c>
      <c r="AE5" s="77">
        <f>SUMIF('Cost Breakdowns'!$D$162:$D$162,'SoESCaOMCbIC-capital'!AE$1,'Cost Breakdowns'!$B$162:$B$162)</f>
        <v/>
      </c>
      <c r="AF5" s="77">
        <f>SUMIF('Cost Breakdowns'!$D$162:$D$162,'SoESCaOMCbIC-capital'!AF$1,'Cost Breakdowns'!$B$162:$B$162)</f>
        <v/>
      </c>
      <c r="AG5" s="77">
        <f>SUMIF('Cost Breakdowns'!$D$162:$D$162,'SoESCaOMCbIC-capital'!AG$1,'Cost Breakdowns'!$B$162:$B$162)</f>
        <v/>
      </c>
      <c r="AH5" s="77">
        <f>SUMIF('Cost Breakdowns'!$D$162:$D$162,'SoESCaOMCbIC-capital'!AH$1,'Cost Breakdowns'!$B$162:$B$162)</f>
        <v/>
      </c>
      <c r="AI5" s="77">
        <f>SUMIF('Cost Breakdowns'!$D$162:$D$162,'SoESCaOMCbIC-capital'!AI$1,'Cost Breakdowns'!$B$162:$B$162)</f>
        <v/>
      </c>
      <c r="AJ5" s="77">
        <f>SUMIF('Cost Breakdowns'!$D$162:$D$162,'SoESCaOMCbIC-capital'!AJ$1,'Cost Breakdowns'!$B$162:$B$162)</f>
        <v/>
      </c>
      <c r="AK5" s="77">
        <f>SUMIF('Cost Breakdowns'!$D$162:$D$162,'SoESCaOMCbIC-capital'!AK$1,'Cost Breakdowns'!$B$162:$B$162)</f>
        <v/>
      </c>
      <c r="AL5" s="77">
        <f>SUMIF('Cost Breakdowns'!$D$162:$D$162,'SoESCaOMCbIC-capital'!AL$1,'Cost Breakdowns'!$B$162:$B$162)</f>
        <v/>
      </c>
      <c r="AM5" s="77">
        <f>SUMIF('Cost Breakdowns'!$D$162:$D$162,'SoESCaOMCbIC-capital'!AM$1,'Cost Breakdowns'!$B$162:$B$162)</f>
        <v/>
      </c>
      <c r="AN5" s="77">
        <f>SUMIF('Cost Breakdowns'!$D$162:$D$162,'SoESCaOMCbIC-capital'!AN$1,'Cost Breakdowns'!$B$162:$B$162)</f>
        <v/>
      </c>
      <c r="AO5" s="77">
        <f>SUMIF('Cost Breakdowns'!$D$162:$D$162,'SoESCaOMCbIC-capital'!AO$1,'Cost Breakdowns'!$B$162:$B$162)</f>
        <v/>
      </c>
      <c r="AP5" s="77">
        <f>SUMIF('Cost Breakdowns'!$D$162:$D$162,'SoESCaOMCbIC-capital'!AP$1,'Cost Breakdowns'!$B$162:$B$162)</f>
        <v/>
      </c>
      <c r="AQ5" s="77">
        <f>SUMIF('Cost Breakdowns'!$D$162:$D$162,'SoESCaOMCbIC-capital'!AQ$1,'Cost Breakdowns'!$B$162:$B$162)</f>
        <v/>
      </c>
    </row>
    <row r="6">
      <c r="A6" t="inlineStr">
        <is>
          <t>hydro</t>
        </is>
      </c>
      <c r="B6" s="77">
        <f>SUMIF('Cost Breakdowns'!$D$217:$D$217,'SoESCaOMCbIC-capital'!B$1,'Cost Breakdowns'!$B$217:$B$217)</f>
        <v/>
      </c>
      <c r="C6" s="77">
        <f>SUMIF('Cost Breakdowns'!$D$217:$D$217,'SoESCaOMCbIC-capital'!C$1,'Cost Breakdowns'!$B$217:$B$217)</f>
        <v/>
      </c>
      <c r="D6" s="77">
        <f>SUMIF('Cost Breakdowns'!$D$217:$D$217,'SoESCaOMCbIC-capital'!D$1,'Cost Breakdowns'!$B$217:$B$217)</f>
        <v/>
      </c>
      <c r="E6" s="77">
        <f>SUMIF('Cost Breakdowns'!$D$217:$D$217,'SoESCaOMCbIC-capital'!E$1,'Cost Breakdowns'!$B$217:$B$217)</f>
        <v/>
      </c>
      <c r="F6" s="77">
        <f>SUMIF('Cost Breakdowns'!$D$217:$D$217,'SoESCaOMCbIC-capital'!F$1,'Cost Breakdowns'!$B$217:$B$217)</f>
        <v/>
      </c>
      <c r="G6" s="77">
        <f>SUMIF('Cost Breakdowns'!$D$217:$D$217,'SoESCaOMCbIC-capital'!G$1,'Cost Breakdowns'!$B$217:$B$217)</f>
        <v/>
      </c>
      <c r="H6" s="77">
        <f>SUMIF('Cost Breakdowns'!$D$217:$D$217,'SoESCaOMCbIC-capital'!H$1,'Cost Breakdowns'!$B$217:$B$217)</f>
        <v/>
      </c>
      <c r="I6" s="77">
        <f>SUMIF('Cost Breakdowns'!$D$217:$D$217,'SoESCaOMCbIC-capital'!I$1,'Cost Breakdowns'!$B$217:$B$217)</f>
        <v/>
      </c>
      <c r="J6" s="77">
        <f>SUMIF('Cost Breakdowns'!$D$217:$D$217,'SoESCaOMCbIC-capital'!J$1,'Cost Breakdowns'!$B$217:$B$217)</f>
        <v/>
      </c>
      <c r="K6" s="77">
        <f>SUMIF('Cost Breakdowns'!$D$217:$D$217,'SoESCaOMCbIC-capital'!K$1,'Cost Breakdowns'!$B$217:$B$217)</f>
        <v/>
      </c>
      <c r="L6" s="77">
        <f>SUMIF('Cost Breakdowns'!$D$217:$D$217,'SoESCaOMCbIC-capital'!L$1,'Cost Breakdowns'!$B$217:$B$217)</f>
        <v/>
      </c>
      <c r="M6" s="77">
        <f>SUMIF('Cost Breakdowns'!$D$217:$D$217,'SoESCaOMCbIC-capital'!M$1,'Cost Breakdowns'!$B$217:$B$217)</f>
        <v/>
      </c>
      <c r="N6" s="77">
        <f>SUMIF('Cost Breakdowns'!$D$217:$D$217,'SoESCaOMCbIC-capital'!N$1,'Cost Breakdowns'!$B$217:$B$217)</f>
        <v/>
      </c>
      <c r="O6" s="77">
        <f>SUMIF('Cost Breakdowns'!$D$217:$D$217,'SoESCaOMCbIC-capital'!O$1,'Cost Breakdowns'!$B$217:$B$217)</f>
        <v/>
      </c>
      <c r="P6" s="77">
        <f>SUMIF('Cost Breakdowns'!$D$217:$D$217,'SoESCaOMCbIC-capital'!P$1,'Cost Breakdowns'!$B$217:$B$217)</f>
        <v/>
      </c>
      <c r="Q6" s="77">
        <f>SUMIF('Cost Breakdowns'!$D$217:$D$217,'SoESCaOMCbIC-capital'!Q$1,'Cost Breakdowns'!$B$217:$B$217)</f>
        <v/>
      </c>
      <c r="R6" s="77">
        <f>SUMIF('Cost Breakdowns'!$D$217:$D$217,'SoESCaOMCbIC-capital'!R$1,'Cost Breakdowns'!$B$217:$B$217)</f>
        <v/>
      </c>
      <c r="S6" s="77">
        <f>SUMIF('Cost Breakdowns'!$D$217:$D$217,'SoESCaOMCbIC-capital'!S$1,'Cost Breakdowns'!$B$217:$B$217)</f>
        <v/>
      </c>
      <c r="T6" s="77">
        <f>SUMIF('Cost Breakdowns'!$D$217:$D$217,'SoESCaOMCbIC-capital'!T$1,'Cost Breakdowns'!$B$217:$B$217)</f>
        <v/>
      </c>
      <c r="U6" s="77">
        <f>SUMIF('Cost Breakdowns'!$D$217:$D$217,'SoESCaOMCbIC-capital'!U$1,'Cost Breakdowns'!$B$217:$B$217)</f>
        <v/>
      </c>
      <c r="V6" s="77">
        <f>SUMIF('Cost Breakdowns'!$D$217:$D$217,'SoESCaOMCbIC-capital'!V$1,'Cost Breakdowns'!$B$217:$B$217)</f>
        <v/>
      </c>
      <c r="W6" s="77">
        <f>SUMIF('Cost Breakdowns'!$D$217:$D$217,'SoESCaOMCbIC-capital'!W$1,'Cost Breakdowns'!$B$217:$B$217)</f>
        <v/>
      </c>
      <c r="X6" s="77">
        <f>SUMIF('Cost Breakdowns'!$D$217:$D$217,'SoESCaOMCbIC-capital'!X$1,'Cost Breakdowns'!$B$217:$B$217)</f>
        <v/>
      </c>
      <c r="Y6" s="77">
        <f>SUMIF('Cost Breakdowns'!$D$217:$D$217,'SoESCaOMCbIC-capital'!Y$1,'Cost Breakdowns'!$B$217:$B$217)</f>
        <v/>
      </c>
      <c r="Z6" s="77">
        <f>SUMIF('Cost Breakdowns'!$D$217:$D$217,'SoESCaOMCbIC-capital'!Z$1,'Cost Breakdowns'!$B$217:$B$217)</f>
        <v/>
      </c>
      <c r="AA6" s="77">
        <f>SUMIF('Cost Breakdowns'!$D$217:$D$217,'SoESCaOMCbIC-capital'!AA$1,'Cost Breakdowns'!$B$217:$B$217)</f>
        <v/>
      </c>
      <c r="AB6" s="77">
        <f>SUMIF('Cost Breakdowns'!$D$217:$D$217,'SoESCaOMCbIC-capital'!AB$1,'Cost Breakdowns'!$B$217:$B$217)</f>
        <v/>
      </c>
      <c r="AC6" s="77">
        <f>SUMIF('Cost Breakdowns'!$D$217:$D$217,'SoESCaOMCbIC-capital'!AC$1,'Cost Breakdowns'!$B$217:$B$217)</f>
        <v/>
      </c>
      <c r="AD6" s="77">
        <f>SUMIF('Cost Breakdowns'!$D$217:$D$217,'SoESCaOMCbIC-capital'!AD$1,'Cost Breakdowns'!$B$217:$B$217)</f>
        <v/>
      </c>
      <c r="AE6" s="77">
        <f>SUMIF('Cost Breakdowns'!$D$217:$D$217,'SoESCaOMCbIC-capital'!AE$1,'Cost Breakdowns'!$B$217:$B$217)</f>
        <v/>
      </c>
      <c r="AF6" s="77">
        <f>SUMIF('Cost Breakdowns'!$D$217:$D$217,'SoESCaOMCbIC-capital'!AF$1,'Cost Breakdowns'!$B$217:$B$217)</f>
        <v/>
      </c>
      <c r="AG6" s="77">
        <f>SUMIF('Cost Breakdowns'!$D$217:$D$217,'SoESCaOMCbIC-capital'!AG$1,'Cost Breakdowns'!$B$217:$B$217)</f>
        <v/>
      </c>
      <c r="AH6" s="77">
        <f>SUMIF('Cost Breakdowns'!$D$217:$D$217,'SoESCaOMCbIC-capital'!AH$1,'Cost Breakdowns'!$B$217:$B$217)</f>
        <v/>
      </c>
      <c r="AI6" s="77">
        <f>SUMIF('Cost Breakdowns'!$D$217:$D$217,'SoESCaOMCbIC-capital'!AI$1,'Cost Breakdowns'!$B$217:$B$217)</f>
        <v/>
      </c>
      <c r="AJ6" s="77">
        <f>SUMIF('Cost Breakdowns'!$D$217:$D$217,'SoESCaOMCbIC-capital'!AJ$1,'Cost Breakdowns'!$B$217:$B$217)</f>
        <v/>
      </c>
      <c r="AK6" s="77">
        <f>SUMIF('Cost Breakdowns'!$D$217:$D$217,'SoESCaOMCbIC-capital'!AK$1,'Cost Breakdowns'!$B$217:$B$217)</f>
        <v/>
      </c>
      <c r="AL6" s="77">
        <f>SUMIF('Cost Breakdowns'!$D$217:$D$217,'SoESCaOMCbIC-capital'!AL$1,'Cost Breakdowns'!$B$217:$B$217)</f>
        <v/>
      </c>
      <c r="AM6" s="77">
        <f>SUMIF('Cost Breakdowns'!$D$217:$D$217,'SoESCaOMCbIC-capital'!AM$1,'Cost Breakdowns'!$B$217:$B$217)</f>
        <v/>
      </c>
      <c r="AN6" s="77">
        <f>SUMIF('Cost Breakdowns'!$D$217:$D$217,'SoESCaOMCbIC-capital'!AN$1,'Cost Breakdowns'!$B$217:$B$217)</f>
        <v/>
      </c>
      <c r="AO6" s="77">
        <f>SUMIF('Cost Breakdowns'!$D$217:$D$217,'SoESCaOMCbIC-capital'!AO$1,'Cost Breakdowns'!$B$217:$B$217)</f>
        <v/>
      </c>
      <c r="AP6" s="77">
        <f>SUMIF('Cost Breakdowns'!$D$217:$D$217,'SoESCaOMCbIC-capital'!AP$1,'Cost Breakdowns'!$B$217:$B$217)</f>
        <v/>
      </c>
      <c r="AQ6" s="77">
        <f>SUMIF('Cost Breakdowns'!$D$217:$D$217,'SoESCaOMCbIC-capital'!AQ$1,'Cost Breakdowns'!$B$217:$B$217)</f>
        <v/>
      </c>
    </row>
    <row r="7">
      <c r="A7" t="inlineStr">
        <is>
          <t>wind</t>
        </is>
      </c>
      <c r="B7" s="89" t="n">
        <v>0</v>
      </c>
      <c r="C7" s="89" t="n">
        <v>0</v>
      </c>
      <c r="D7" s="89" t="n">
        <v>0</v>
      </c>
      <c r="E7" s="89" t="n">
        <v>0</v>
      </c>
      <c r="F7" s="89" t="n">
        <v>0</v>
      </c>
      <c r="G7" s="89" t="n">
        <v>0</v>
      </c>
      <c r="H7" s="89" t="n">
        <v>0</v>
      </c>
      <c r="I7" s="89" t="n">
        <v>0</v>
      </c>
      <c r="J7" s="89" t="n">
        <v>0</v>
      </c>
      <c r="K7" s="89" t="n">
        <v>0</v>
      </c>
      <c r="L7" s="89" t="n">
        <v>0</v>
      </c>
      <c r="M7" s="89" t="n">
        <v>0</v>
      </c>
      <c r="N7" s="89" t="n">
        <v>0</v>
      </c>
      <c r="O7" s="89" t="n">
        <v>0</v>
      </c>
      <c r="P7" s="89" t="n">
        <v>0</v>
      </c>
      <c r="Q7" s="89" t="n">
        <v>0</v>
      </c>
      <c r="R7" s="89" t="n">
        <v>0</v>
      </c>
      <c r="S7" s="89" t="n">
        <v>0</v>
      </c>
      <c r="T7" s="89" t="n">
        <v>0</v>
      </c>
      <c r="U7" s="89" t="n">
        <v>0</v>
      </c>
      <c r="V7" s="89" t="n">
        <v>0</v>
      </c>
      <c r="W7" s="89" t="n">
        <v>0</v>
      </c>
      <c r="X7" s="89" t="n">
        <v>0</v>
      </c>
      <c r="Y7" s="89" t="n">
        <v>0</v>
      </c>
      <c r="Z7" s="89" t="n">
        <v>0</v>
      </c>
      <c r="AA7" s="89" t="n">
        <v>0</v>
      </c>
      <c r="AB7" s="89" t="n">
        <v>0</v>
      </c>
      <c r="AC7" s="89" t="n">
        <v>0</v>
      </c>
      <c r="AD7" s="89" t="n">
        <v>0</v>
      </c>
      <c r="AE7" s="89" t="n">
        <v>0</v>
      </c>
      <c r="AF7" s="89" t="n">
        <v>0</v>
      </c>
      <c r="AG7" s="89" t="n">
        <v>0</v>
      </c>
      <c r="AH7" s="89" t="n">
        <v>0</v>
      </c>
      <c r="AI7" s="89" t="n">
        <v>0</v>
      </c>
      <c r="AJ7" s="89" t="n">
        <v>0</v>
      </c>
      <c r="AK7" s="89" t="n">
        <v>0</v>
      </c>
      <c r="AL7" s="89" t="n">
        <v>0</v>
      </c>
      <c r="AM7" s="89" t="n">
        <v>0</v>
      </c>
      <c r="AN7" s="89" t="n">
        <v>0</v>
      </c>
      <c r="AO7" s="89" t="n">
        <v>0</v>
      </c>
      <c r="AP7" s="89" t="n">
        <v>0</v>
      </c>
      <c r="AQ7" s="89" t="n">
        <v>0</v>
      </c>
    </row>
    <row r="8">
      <c r="A8" t="inlineStr">
        <is>
          <t>solar PV</t>
        </is>
      </c>
      <c r="B8" s="89" t="n">
        <v>0</v>
      </c>
      <c r="C8" s="89" t="n">
        <v>0</v>
      </c>
      <c r="D8" s="89" t="n">
        <v>0</v>
      </c>
      <c r="E8" s="89" t="n">
        <v>0</v>
      </c>
      <c r="F8" s="89" t="n">
        <v>0</v>
      </c>
      <c r="G8" s="89" t="n">
        <v>0</v>
      </c>
      <c r="H8" s="89" t="n">
        <v>0</v>
      </c>
      <c r="I8" s="89" t="n">
        <v>0</v>
      </c>
      <c r="J8" s="89" t="n">
        <v>0</v>
      </c>
      <c r="K8" s="89" t="n">
        <v>0</v>
      </c>
      <c r="L8" s="89" t="n">
        <v>0</v>
      </c>
      <c r="M8" s="89" t="n">
        <v>0</v>
      </c>
      <c r="N8" s="89" t="n">
        <v>0</v>
      </c>
      <c r="O8" s="89" t="n">
        <v>0</v>
      </c>
      <c r="P8" s="89" t="n">
        <v>0</v>
      </c>
      <c r="Q8" s="89" t="n">
        <v>0</v>
      </c>
      <c r="R8" s="89" t="n">
        <v>0</v>
      </c>
      <c r="S8" s="89" t="n">
        <v>0</v>
      </c>
      <c r="T8" s="89" t="n">
        <v>0</v>
      </c>
      <c r="U8" s="89" t="n">
        <v>0</v>
      </c>
      <c r="V8" s="89" t="n">
        <v>0</v>
      </c>
      <c r="W8" s="89" t="n">
        <v>0</v>
      </c>
      <c r="X8" s="89" t="n">
        <v>0</v>
      </c>
      <c r="Y8" s="89" t="n">
        <v>0</v>
      </c>
      <c r="Z8" s="89" t="n">
        <v>0</v>
      </c>
      <c r="AA8" s="89" t="n">
        <v>0</v>
      </c>
      <c r="AB8" s="89" t="n">
        <v>0</v>
      </c>
      <c r="AC8" s="89" t="n">
        <v>0</v>
      </c>
      <c r="AD8" s="89" t="n">
        <v>0</v>
      </c>
      <c r="AE8" s="89" t="n">
        <v>0</v>
      </c>
      <c r="AF8" s="89" t="n">
        <v>0</v>
      </c>
      <c r="AG8" s="89" t="n">
        <v>0</v>
      </c>
      <c r="AH8" s="89" t="n">
        <v>0</v>
      </c>
      <c r="AI8" s="89" t="n">
        <v>0</v>
      </c>
      <c r="AJ8" s="89" t="n">
        <v>0</v>
      </c>
      <c r="AK8" s="89" t="n">
        <v>0</v>
      </c>
      <c r="AL8" s="89" t="n">
        <v>0</v>
      </c>
      <c r="AM8" s="89" t="n">
        <v>0</v>
      </c>
      <c r="AN8" s="89" t="n">
        <v>0</v>
      </c>
      <c r="AO8" s="89" t="n">
        <v>0</v>
      </c>
      <c r="AP8" s="89" t="n">
        <v>0</v>
      </c>
      <c r="AQ8" s="89" t="n">
        <v>0</v>
      </c>
    </row>
    <row r="9">
      <c r="A9" t="inlineStr">
        <is>
          <t>solar thermal</t>
        </is>
      </c>
      <c r="B9" s="89" t="n">
        <v>0</v>
      </c>
      <c r="C9" s="89" t="n">
        <v>0</v>
      </c>
      <c r="D9" s="89" t="n">
        <v>0</v>
      </c>
      <c r="E9" s="89" t="n">
        <v>0</v>
      </c>
      <c r="F9" s="89" t="n">
        <v>0</v>
      </c>
      <c r="G9" s="89" t="n">
        <v>0</v>
      </c>
      <c r="H9" s="89" t="n">
        <v>0</v>
      </c>
      <c r="I9" s="89" t="n">
        <v>0</v>
      </c>
      <c r="J9" s="89" t="n">
        <v>0</v>
      </c>
      <c r="K9" s="89" t="n">
        <v>0</v>
      </c>
      <c r="L9" s="89" t="n">
        <v>0</v>
      </c>
      <c r="M9" s="89" t="n">
        <v>0</v>
      </c>
      <c r="N9" s="89" t="n">
        <v>0</v>
      </c>
      <c r="O9" s="89" t="n">
        <v>0</v>
      </c>
      <c r="P9" s="89" t="n">
        <v>0</v>
      </c>
      <c r="Q9" s="89" t="n">
        <v>0</v>
      </c>
      <c r="R9" s="89" t="n">
        <v>0</v>
      </c>
      <c r="S9" s="89" t="n">
        <v>0</v>
      </c>
      <c r="T9" s="89" t="n">
        <v>0</v>
      </c>
      <c r="U9" s="89" t="n">
        <v>0</v>
      </c>
      <c r="V9" s="89" t="n">
        <v>0</v>
      </c>
      <c r="W9" s="89" t="n">
        <v>0</v>
      </c>
      <c r="X9" s="89" t="n">
        <v>0</v>
      </c>
      <c r="Y9" s="89" t="n">
        <v>0</v>
      </c>
      <c r="Z9" s="89" t="n">
        <v>0</v>
      </c>
      <c r="AA9" s="89" t="n">
        <v>0</v>
      </c>
      <c r="AB9" s="89" t="n">
        <v>0</v>
      </c>
      <c r="AC9" s="89" t="n">
        <v>0</v>
      </c>
      <c r="AD9" s="89" t="n">
        <v>0</v>
      </c>
      <c r="AE9" s="89" t="n">
        <v>0</v>
      </c>
      <c r="AF9" s="89" t="n">
        <v>0</v>
      </c>
      <c r="AG9" s="89" t="n">
        <v>0</v>
      </c>
      <c r="AH9" s="89" t="n">
        <v>0</v>
      </c>
      <c r="AI9" s="89" t="n">
        <v>0</v>
      </c>
      <c r="AJ9" s="89" t="n">
        <v>0</v>
      </c>
      <c r="AK9" s="89" t="n">
        <v>0</v>
      </c>
      <c r="AL9" s="89" t="n">
        <v>0</v>
      </c>
      <c r="AM9" s="89" t="n">
        <v>0</v>
      </c>
      <c r="AN9" s="89" t="n">
        <v>0</v>
      </c>
      <c r="AO9" s="89" t="n">
        <v>0</v>
      </c>
      <c r="AP9" s="89" t="n">
        <v>0</v>
      </c>
      <c r="AQ9" s="89" t="n">
        <v>0</v>
      </c>
    </row>
    <row r="10">
      <c r="A10" t="inlineStr">
        <is>
          <t>biomass</t>
        </is>
      </c>
      <c r="B10" s="77">
        <f>SUMIF('Cost Breakdowns'!$D$231:$D$233,'SoESCaOMCbIC-capital'!B$1,'Cost Breakdowns'!$B$231:$B$233)</f>
        <v/>
      </c>
      <c r="C10" s="77">
        <f>SUMIF('Cost Breakdowns'!$D$231:$D$233,'SoESCaOMCbIC-capital'!C$1,'Cost Breakdowns'!$B$231:$B$233)</f>
        <v/>
      </c>
      <c r="D10" s="77">
        <f>SUMIF('Cost Breakdowns'!$D$231:$D$233,'SoESCaOMCbIC-capital'!D$1,'Cost Breakdowns'!$B$231:$B$233)</f>
        <v/>
      </c>
      <c r="E10" s="77">
        <f>SUMIF('Cost Breakdowns'!$D$231:$D$233,'SoESCaOMCbIC-capital'!E$1,'Cost Breakdowns'!$B$231:$B$233)</f>
        <v/>
      </c>
      <c r="F10" s="77">
        <f>SUMIF('Cost Breakdowns'!$D$231:$D$233,'SoESCaOMCbIC-capital'!F$1,'Cost Breakdowns'!$B$231:$B$233)</f>
        <v/>
      </c>
      <c r="G10" s="77">
        <f>SUMIF('Cost Breakdowns'!$D$231:$D$233,'SoESCaOMCbIC-capital'!G$1,'Cost Breakdowns'!$B$231:$B$233)</f>
        <v/>
      </c>
      <c r="H10" s="77">
        <f>SUMIF('Cost Breakdowns'!$D$231:$D$233,'SoESCaOMCbIC-capital'!H$1,'Cost Breakdowns'!$B$231:$B$233)</f>
        <v/>
      </c>
      <c r="I10" s="77">
        <f>SUMIF('Cost Breakdowns'!$D$231:$D$233,'SoESCaOMCbIC-capital'!I$1,'Cost Breakdowns'!$B$231:$B$233)</f>
        <v/>
      </c>
      <c r="J10" s="77">
        <f>SUMIF('Cost Breakdowns'!$D$231:$D$233,'SoESCaOMCbIC-capital'!J$1,'Cost Breakdowns'!$B$231:$B$233)</f>
        <v/>
      </c>
      <c r="K10" s="77">
        <f>SUMIF('Cost Breakdowns'!$D$231:$D$233,'SoESCaOMCbIC-capital'!K$1,'Cost Breakdowns'!$B$231:$B$233)</f>
        <v/>
      </c>
      <c r="L10" s="77">
        <f>SUMIF('Cost Breakdowns'!$D$231:$D$233,'SoESCaOMCbIC-capital'!L$1,'Cost Breakdowns'!$B$231:$B$233)</f>
        <v/>
      </c>
      <c r="M10" s="77">
        <f>SUMIF('Cost Breakdowns'!$D$231:$D$233,'SoESCaOMCbIC-capital'!M$1,'Cost Breakdowns'!$B$231:$B$233)</f>
        <v/>
      </c>
      <c r="N10" s="77">
        <f>SUMIF('Cost Breakdowns'!$D$231:$D$233,'SoESCaOMCbIC-capital'!N$1,'Cost Breakdowns'!$B$231:$B$233)</f>
        <v/>
      </c>
      <c r="O10" s="77">
        <f>SUMIF('Cost Breakdowns'!$D$231:$D$233,'SoESCaOMCbIC-capital'!O$1,'Cost Breakdowns'!$B$231:$B$233)</f>
        <v/>
      </c>
      <c r="P10" s="77">
        <f>SUMIF('Cost Breakdowns'!$D$231:$D$233,'SoESCaOMCbIC-capital'!P$1,'Cost Breakdowns'!$B$231:$B$233)</f>
        <v/>
      </c>
      <c r="Q10" s="77">
        <f>SUMIF('Cost Breakdowns'!$D$231:$D$233,'SoESCaOMCbIC-capital'!Q$1,'Cost Breakdowns'!$B$231:$B$233)</f>
        <v/>
      </c>
      <c r="R10" s="77">
        <f>SUMIF('Cost Breakdowns'!$D$231:$D$233,'SoESCaOMCbIC-capital'!R$1,'Cost Breakdowns'!$B$231:$B$233)</f>
        <v/>
      </c>
      <c r="S10" s="77">
        <f>SUMIF('Cost Breakdowns'!$D$231:$D$233,'SoESCaOMCbIC-capital'!S$1,'Cost Breakdowns'!$B$231:$B$233)</f>
        <v/>
      </c>
      <c r="T10" s="77">
        <f>SUMIF('Cost Breakdowns'!$D$231:$D$233,'SoESCaOMCbIC-capital'!T$1,'Cost Breakdowns'!$B$231:$B$233)</f>
        <v/>
      </c>
      <c r="U10" s="77">
        <f>SUMIF('Cost Breakdowns'!$D$231:$D$233,'SoESCaOMCbIC-capital'!U$1,'Cost Breakdowns'!$B$231:$B$233)</f>
        <v/>
      </c>
      <c r="V10" s="77">
        <f>SUMIF('Cost Breakdowns'!$D$231:$D$233,'SoESCaOMCbIC-capital'!V$1,'Cost Breakdowns'!$B$231:$B$233)</f>
        <v/>
      </c>
      <c r="W10" s="77">
        <f>SUMIF('Cost Breakdowns'!$D$231:$D$233,'SoESCaOMCbIC-capital'!W$1,'Cost Breakdowns'!$B$231:$B$233)</f>
        <v/>
      </c>
      <c r="X10" s="77">
        <f>SUMIF('Cost Breakdowns'!$D$231:$D$233,'SoESCaOMCbIC-capital'!X$1,'Cost Breakdowns'!$B$231:$B$233)</f>
        <v/>
      </c>
      <c r="Y10" s="77">
        <f>SUMIF('Cost Breakdowns'!$D$231:$D$233,'SoESCaOMCbIC-capital'!Y$1,'Cost Breakdowns'!$B$231:$B$233)</f>
        <v/>
      </c>
      <c r="Z10" s="77">
        <f>SUMIF('Cost Breakdowns'!$D$231:$D$233,'SoESCaOMCbIC-capital'!Z$1,'Cost Breakdowns'!$B$231:$B$233)</f>
        <v/>
      </c>
      <c r="AA10" s="77">
        <f>SUMIF('Cost Breakdowns'!$D$231:$D$233,'SoESCaOMCbIC-capital'!AA$1,'Cost Breakdowns'!$B$231:$B$233)</f>
        <v/>
      </c>
      <c r="AB10" s="77">
        <f>SUMIF('Cost Breakdowns'!$D$231:$D$233,'SoESCaOMCbIC-capital'!AB$1,'Cost Breakdowns'!$B$231:$B$233)</f>
        <v/>
      </c>
      <c r="AC10" s="77">
        <f>SUMIF('Cost Breakdowns'!$D$231:$D$233,'SoESCaOMCbIC-capital'!AC$1,'Cost Breakdowns'!$B$231:$B$233)</f>
        <v/>
      </c>
      <c r="AD10" s="77">
        <f>SUMIF('Cost Breakdowns'!$D$231:$D$233,'SoESCaOMCbIC-capital'!AD$1,'Cost Breakdowns'!$B$231:$B$233)</f>
        <v/>
      </c>
      <c r="AE10" s="77">
        <f>SUMIF('Cost Breakdowns'!$D$231:$D$233,'SoESCaOMCbIC-capital'!AE$1,'Cost Breakdowns'!$B$231:$B$233)</f>
        <v/>
      </c>
      <c r="AF10" s="77">
        <f>SUMIF('Cost Breakdowns'!$D$231:$D$233,'SoESCaOMCbIC-capital'!AF$1,'Cost Breakdowns'!$B$231:$B$233)</f>
        <v/>
      </c>
      <c r="AG10" s="77">
        <f>SUMIF('Cost Breakdowns'!$D$231:$D$233,'SoESCaOMCbIC-capital'!AG$1,'Cost Breakdowns'!$B$231:$B$233)</f>
        <v/>
      </c>
      <c r="AH10" s="77">
        <f>SUMIF('Cost Breakdowns'!$D$231:$D$233,'SoESCaOMCbIC-capital'!AH$1,'Cost Breakdowns'!$B$231:$B$233)</f>
        <v/>
      </c>
      <c r="AI10" s="77">
        <f>SUMIF('Cost Breakdowns'!$D$231:$D$233,'SoESCaOMCbIC-capital'!AI$1,'Cost Breakdowns'!$B$231:$B$233)</f>
        <v/>
      </c>
      <c r="AJ10" s="77">
        <f>SUMIF('Cost Breakdowns'!$D$231:$D$233,'SoESCaOMCbIC-capital'!AJ$1,'Cost Breakdowns'!$B$231:$B$233)</f>
        <v/>
      </c>
      <c r="AK10" s="77">
        <f>SUMIF('Cost Breakdowns'!$D$231:$D$233,'SoESCaOMCbIC-capital'!AK$1,'Cost Breakdowns'!$B$231:$B$233)</f>
        <v/>
      </c>
      <c r="AL10" s="77">
        <f>SUMIF('Cost Breakdowns'!$D$231:$D$233,'SoESCaOMCbIC-capital'!AL$1,'Cost Breakdowns'!$B$231:$B$233)</f>
        <v/>
      </c>
      <c r="AM10" s="77">
        <f>SUMIF('Cost Breakdowns'!$D$231:$D$233,'SoESCaOMCbIC-capital'!AM$1,'Cost Breakdowns'!$B$231:$B$233)</f>
        <v/>
      </c>
      <c r="AN10" s="77">
        <f>SUMIF('Cost Breakdowns'!$D$231:$D$233,'SoESCaOMCbIC-capital'!AN$1,'Cost Breakdowns'!$B$231:$B$233)</f>
        <v/>
      </c>
      <c r="AO10" s="77">
        <f>SUMIF('Cost Breakdowns'!$D$231:$D$233,'SoESCaOMCbIC-capital'!AO$1,'Cost Breakdowns'!$B$231:$B$233)</f>
        <v/>
      </c>
      <c r="AP10" s="77">
        <f>SUMIF('Cost Breakdowns'!$D$231:$D$233,'SoESCaOMCbIC-capital'!AP$1,'Cost Breakdowns'!$B$231:$B$233)</f>
        <v/>
      </c>
      <c r="AQ10" s="77">
        <f>SUMIF('Cost Breakdowns'!$D$231:$D$233,'SoESCaOMCbIC-capital'!AQ$1,'Cost Breakdowns'!$B$231:$B$233)</f>
        <v/>
      </c>
    </row>
    <row r="11">
      <c r="A11" t="inlineStr">
        <is>
          <t>geothermal</t>
        </is>
      </c>
      <c r="B11" s="77">
        <f>SUMIF('Cost Breakdowns'!$D$313:$D$313,'SoESCaOMCbIC-capital'!B$1,'Cost Breakdowns'!$B$313:$B$313)</f>
        <v/>
      </c>
      <c r="C11" s="77">
        <f>SUMIF('Cost Breakdowns'!$D$313:$D$313,'SoESCaOMCbIC-capital'!C$1,'Cost Breakdowns'!$B$313:$B$313)</f>
        <v/>
      </c>
      <c r="D11" s="77">
        <f>SUMIF('Cost Breakdowns'!$D$313:$D$313,'SoESCaOMCbIC-capital'!D$1,'Cost Breakdowns'!$B$313:$B$313)</f>
        <v/>
      </c>
      <c r="E11" s="77">
        <f>SUMIF('Cost Breakdowns'!$D$313:$D$313,'SoESCaOMCbIC-capital'!E$1,'Cost Breakdowns'!$B$313:$B$313)</f>
        <v/>
      </c>
      <c r="F11" s="77">
        <f>SUMIF('Cost Breakdowns'!$D$313:$D$313,'SoESCaOMCbIC-capital'!F$1,'Cost Breakdowns'!$B$313:$B$313)</f>
        <v/>
      </c>
      <c r="G11" s="77">
        <f>SUMIF('Cost Breakdowns'!$D$313:$D$313,'SoESCaOMCbIC-capital'!G$1,'Cost Breakdowns'!$B$313:$B$313)</f>
        <v/>
      </c>
      <c r="H11" s="77">
        <f>SUMIF('Cost Breakdowns'!$D$313:$D$313,'SoESCaOMCbIC-capital'!H$1,'Cost Breakdowns'!$B$313:$B$313)</f>
        <v/>
      </c>
      <c r="I11" s="77">
        <f>SUMIF('Cost Breakdowns'!$D$313:$D$313,'SoESCaOMCbIC-capital'!I$1,'Cost Breakdowns'!$B$313:$B$313)</f>
        <v/>
      </c>
      <c r="J11" s="77">
        <f>SUMIF('Cost Breakdowns'!$D$313:$D$313,'SoESCaOMCbIC-capital'!J$1,'Cost Breakdowns'!$B$313:$B$313)</f>
        <v/>
      </c>
      <c r="K11" s="77">
        <f>SUMIF('Cost Breakdowns'!$D$313:$D$313,'SoESCaOMCbIC-capital'!K$1,'Cost Breakdowns'!$B$313:$B$313)</f>
        <v/>
      </c>
      <c r="L11" s="77">
        <f>SUMIF('Cost Breakdowns'!$D$313:$D$313,'SoESCaOMCbIC-capital'!L$1,'Cost Breakdowns'!$B$313:$B$313)</f>
        <v/>
      </c>
      <c r="M11" s="77">
        <f>SUMIF('Cost Breakdowns'!$D$313:$D$313,'SoESCaOMCbIC-capital'!M$1,'Cost Breakdowns'!$B$313:$B$313)</f>
        <v/>
      </c>
      <c r="N11" s="77">
        <f>SUMIF('Cost Breakdowns'!$D$313:$D$313,'SoESCaOMCbIC-capital'!N$1,'Cost Breakdowns'!$B$313:$B$313)</f>
        <v/>
      </c>
      <c r="O11" s="77">
        <f>SUMIF('Cost Breakdowns'!$D$313:$D$313,'SoESCaOMCbIC-capital'!O$1,'Cost Breakdowns'!$B$313:$B$313)</f>
        <v/>
      </c>
      <c r="P11" s="77">
        <f>SUMIF('Cost Breakdowns'!$D$313:$D$313,'SoESCaOMCbIC-capital'!P$1,'Cost Breakdowns'!$B$313:$B$313)</f>
        <v/>
      </c>
      <c r="Q11" s="77">
        <f>SUMIF('Cost Breakdowns'!$D$313:$D$313,'SoESCaOMCbIC-capital'!Q$1,'Cost Breakdowns'!$B$313:$B$313)</f>
        <v/>
      </c>
      <c r="R11" s="77">
        <f>SUMIF('Cost Breakdowns'!$D$313:$D$313,'SoESCaOMCbIC-capital'!R$1,'Cost Breakdowns'!$B$313:$B$313)</f>
        <v/>
      </c>
      <c r="S11" s="77">
        <f>SUMIF('Cost Breakdowns'!$D$313:$D$313,'SoESCaOMCbIC-capital'!S$1,'Cost Breakdowns'!$B$313:$B$313)</f>
        <v/>
      </c>
      <c r="T11" s="77">
        <f>SUMIF('Cost Breakdowns'!$D$313:$D$313,'SoESCaOMCbIC-capital'!T$1,'Cost Breakdowns'!$B$313:$B$313)</f>
        <v/>
      </c>
      <c r="U11" s="77">
        <f>SUMIF('Cost Breakdowns'!$D$313:$D$313,'SoESCaOMCbIC-capital'!U$1,'Cost Breakdowns'!$B$313:$B$313)</f>
        <v/>
      </c>
      <c r="V11" s="77">
        <f>SUMIF('Cost Breakdowns'!$D$313:$D$313,'SoESCaOMCbIC-capital'!V$1,'Cost Breakdowns'!$B$313:$B$313)</f>
        <v/>
      </c>
      <c r="W11" s="77">
        <f>SUMIF('Cost Breakdowns'!$D$313:$D$313,'SoESCaOMCbIC-capital'!W$1,'Cost Breakdowns'!$B$313:$B$313)</f>
        <v/>
      </c>
      <c r="X11" s="77">
        <f>SUMIF('Cost Breakdowns'!$D$313:$D$313,'SoESCaOMCbIC-capital'!X$1,'Cost Breakdowns'!$B$313:$B$313)</f>
        <v/>
      </c>
      <c r="Y11" s="77">
        <f>SUMIF('Cost Breakdowns'!$D$313:$D$313,'SoESCaOMCbIC-capital'!Y$1,'Cost Breakdowns'!$B$313:$B$313)</f>
        <v/>
      </c>
      <c r="Z11" s="77">
        <f>SUMIF('Cost Breakdowns'!$D$313:$D$313,'SoESCaOMCbIC-capital'!Z$1,'Cost Breakdowns'!$B$313:$B$313)</f>
        <v/>
      </c>
      <c r="AA11" s="77">
        <f>SUMIF('Cost Breakdowns'!$D$313:$D$313,'SoESCaOMCbIC-capital'!AA$1,'Cost Breakdowns'!$B$313:$B$313)</f>
        <v/>
      </c>
      <c r="AB11" s="77">
        <f>SUMIF('Cost Breakdowns'!$D$313:$D$313,'SoESCaOMCbIC-capital'!AB$1,'Cost Breakdowns'!$B$313:$B$313)</f>
        <v/>
      </c>
      <c r="AC11" s="77">
        <f>SUMIF('Cost Breakdowns'!$D$313:$D$313,'SoESCaOMCbIC-capital'!AC$1,'Cost Breakdowns'!$B$313:$B$313)</f>
        <v/>
      </c>
      <c r="AD11" s="77">
        <f>SUMIF('Cost Breakdowns'!$D$313:$D$313,'SoESCaOMCbIC-capital'!AD$1,'Cost Breakdowns'!$B$313:$B$313)</f>
        <v/>
      </c>
      <c r="AE11" s="77">
        <f>SUMIF('Cost Breakdowns'!$D$313:$D$313,'SoESCaOMCbIC-capital'!AE$1,'Cost Breakdowns'!$B$313:$B$313)</f>
        <v/>
      </c>
      <c r="AF11" s="77">
        <f>SUMIF('Cost Breakdowns'!$D$313:$D$313,'SoESCaOMCbIC-capital'!AF$1,'Cost Breakdowns'!$B$313:$B$313)</f>
        <v/>
      </c>
      <c r="AG11" s="77">
        <f>SUMIF('Cost Breakdowns'!$D$313:$D$313,'SoESCaOMCbIC-capital'!AG$1,'Cost Breakdowns'!$B$313:$B$313)</f>
        <v/>
      </c>
      <c r="AH11" s="77">
        <f>SUMIF('Cost Breakdowns'!$D$313:$D$313,'SoESCaOMCbIC-capital'!AH$1,'Cost Breakdowns'!$B$313:$B$313)</f>
        <v/>
      </c>
      <c r="AI11" s="77">
        <f>SUMIF('Cost Breakdowns'!$D$313:$D$313,'SoESCaOMCbIC-capital'!AI$1,'Cost Breakdowns'!$B$313:$B$313)</f>
        <v/>
      </c>
      <c r="AJ11" s="77">
        <f>SUMIF('Cost Breakdowns'!$D$313:$D$313,'SoESCaOMCbIC-capital'!AJ$1,'Cost Breakdowns'!$B$313:$B$313)</f>
        <v/>
      </c>
      <c r="AK11" s="77">
        <f>SUMIF('Cost Breakdowns'!$D$313:$D$313,'SoESCaOMCbIC-capital'!AK$1,'Cost Breakdowns'!$B$313:$B$313)</f>
        <v/>
      </c>
      <c r="AL11" s="77">
        <f>SUMIF('Cost Breakdowns'!$D$313:$D$313,'SoESCaOMCbIC-capital'!AL$1,'Cost Breakdowns'!$B$313:$B$313)</f>
        <v/>
      </c>
      <c r="AM11" s="77">
        <f>SUMIF('Cost Breakdowns'!$D$313:$D$313,'SoESCaOMCbIC-capital'!AM$1,'Cost Breakdowns'!$B$313:$B$313)</f>
        <v/>
      </c>
      <c r="AN11" s="77">
        <f>SUMIF('Cost Breakdowns'!$D$313:$D$313,'SoESCaOMCbIC-capital'!AN$1,'Cost Breakdowns'!$B$313:$B$313)</f>
        <v/>
      </c>
      <c r="AO11" s="77">
        <f>SUMIF('Cost Breakdowns'!$D$313:$D$313,'SoESCaOMCbIC-capital'!AO$1,'Cost Breakdowns'!$B$313:$B$313)</f>
        <v/>
      </c>
      <c r="AP11" s="77">
        <f>SUMIF('Cost Breakdowns'!$D$313:$D$313,'SoESCaOMCbIC-capital'!AP$1,'Cost Breakdowns'!$B$313:$B$313)</f>
        <v/>
      </c>
      <c r="AQ11" s="77">
        <f>SUMIF('Cost Breakdowns'!$D$313:$D$313,'SoESCaOMCbIC-capital'!AQ$1,'Cost Breakdowns'!$B$313:$B$313)</f>
        <v/>
      </c>
    </row>
    <row r="12">
      <c r="A12" t="inlineStr">
        <is>
          <t>petroleum</t>
        </is>
      </c>
      <c r="B12" s="100">
        <f>B$3</f>
        <v/>
      </c>
      <c r="C12" s="100">
        <f>C$3</f>
        <v/>
      </c>
      <c r="D12" s="100">
        <f>D$3</f>
        <v/>
      </c>
      <c r="E12" s="100">
        <f>E$3</f>
        <v/>
      </c>
      <c r="F12" s="100">
        <f>F$3</f>
        <v/>
      </c>
      <c r="G12" s="100">
        <f>G$3</f>
        <v/>
      </c>
      <c r="H12" s="100">
        <f>H$3</f>
        <v/>
      </c>
      <c r="I12" s="100">
        <f>I$3</f>
        <v/>
      </c>
      <c r="J12" s="100">
        <f>J$3</f>
        <v/>
      </c>
      <c r="K12" s="100">
        <f>K$3</f>
        <v/>
      </c>
      <c r="L12" s="100">
        <f>L$3</f>
        <v/>
      </c>
      <c r="M12" s="100">
        <f>M$3</f>
        <v/>
      </c>
      <c r="N12" s="100">
        <f>N$3</f>
        <v/>
      </c>
      <c r="O12" s="100">
        <f>O$3</f>
        <v/>
      </c>
      <c r="P12" s="100">
        <f>P$3</f>
        <v/>
      </c>
      <c r="Q12" s="100">
        <f>Q$3</f>
        <v/>
      </c>
      <c r="R12" s="100">
        <f>R$3</f>
        <v/>
      </c>
      <c r="S12" s="100">
        <f>S$3</f>
        <v/>
      </c>
      <c r="T12" s="100">
        <f>T$3</f>
        <v/>
      </c>
      <c r="U12" s="100">
        <f>U$3</f>
        <v/>
      </c>
      <c r="V12" s="100">
        <f>V$3</f>
        <v/>
      </c>
      <c r="W12" s="100">
        <f>W$3</f>
        <v/>
      </c>
      <c r="X12" s="100">
        <f>X$3</f>
        <v/>
      </c>
      <c r="Y12" s="100">
        <f>Y$3</f>
        <v/>
      </c>
      <c r="Z12" s="100">
        <f>Z$3</f>
        <v/>
      </c>
      <c r="AA12" s="100">
        <f>AA$3</f>
        <v/>
      </c>
      <c r="AB12" s="100">
        <f>AB$3</f>
        <v/>
      </c>
      <c r="AC12" s="100">
        <f>AC$3</f>
        <v/>
      </c>
      <c r="AD12" s="100">
        <f>AD$3</f>
        <v/>
      </c>
      <c r="AE12" s="100">
        <f>AE$3</f>
        <v/>
      </c>
      <c r="AF12" s="100">
        <f>AF$3</f>
        <v/>
      </c>
      <c r="AG12" s="100">
        <f>AG$3</f>
        <v/>
      </c>
      <c r="AH12" s="100">
        <f>AH$3</f>
        <v/>
      </c>
      <c r="AI12" s="100">
        <f>AI$3</f>
        <v/>
      </c>
      <c r="AJ12" s="100">
        <f>AJ$3</f>
        <v/>
      </c>
      <c r="AK12" s="100">
        <f>AK$3</f>
        <v/>
      </c>
      <c r="AL12" s="100">
        <f>AL$3</f>
        <v/>
      </c>
      <c r="AM12" s="100">
        <f>AM$3</f>
        <v/>
      </c>
      <c r="AN12" s="100">
        <f>AN$3</f>
        <v/>
      </c>
      <c r="AO12" s="100">
        <f>AO$3</f>
        <v/>
      </c>
      <c r="AP12" s="100">
        <f>AP$3</f>
        <v/>
      </c>
      <c r="AQ12" s="100">
        <f>AQ$3</f>
        <v/>
      </c>
    </row>
    <row r="13">
      <c r="A13" t="inlineStr">
        <is>
          <t>natural gas peaker</t>
        </is>
      </c>
      <c r="B13" s="100">
        <f>B$3</f>
        <v/>
      </c>
      <c r="C13" s="100">
        <f>C$3</f>
        <v/>
      </c>
      <c r="D13" s="100">
        <f>D$3</f>
        <v/>
      </c>
      <c r="E13" s="100">
        <f>E$3</f>
        <v/>
      </c>
      <c r="F13" s="100">
        <f>F$3</f>
        <v/>
      </c>
      <c r="G13" s="100">
        <f>G$3</f>
        <v/>
      </c>
      <c r="H13" s="100">
        <f>H$3</f>
        <v/>
      </c>
      <c r="I13" s="100">
        <f>I$3</f>
        <v/>
      </c>
      <c r="J13" s="100">
        <f>J$3</f>
        <v/>
      </c>
      <c r="K13" s="100">
        <f>K$3</f>
        <v/>
      </c>
      <c r="L13" s="100">
        <f>L$3</f>
        <v/>
      </c>
      <c r="M13" s="100">
        <f>M$3</f>
        <v/>
      </c>
      <c r="N13" s="100">
        <f>N$3</f>
        <v/>
      </c>
      <c r="O13" s="100">
        <f>O$3</f>
        <v/>
      </c>
      <c r="P13" s="100">
        <f>P$3</f>
        <v/>
      </c>
      <c r="Q13" s="100">
        <f>Q$3</f>
        <v/>
      </c>
      <c r="R13" s="100">
        <f>R$3</f>
        <v/>
      </c>
      <c r="S13" s="100">
        <f>S$3</f>
        <v/>
      </c>
      <c r="T13" s="100">
        <f>T$3</f>
        <v/>
      </c>
      <c r="U13" s="100">
        <f>U$3</f>
        <v/>
      </c>
      <c r="V13" s="100">
        <f>V$3</f>
        <v/>
      </c>
      <c r="W13" s="100">
        <f>W$3</f>
        <v/>
      </c>
      <c r="X13" s="100">
        <f>X$3</f>
        <v/>
      </c>
      <c r="Y13" s="100">
        <f>Y$3</f>
        <v/>
      </c>
      <c r="Z13" s="100">
        <f>Z$3</f>
        <v/>
      </c>
      <c r="AA13" s="100">
        <f>AA$3</f>
        <v/>
      </c>
      <c r="AB13" s="100">
        <f>AB$3</f>
        <v/>
      </c>
      <c r="AC13" s="100">
        <f>AC$3</f>
        <v/>
      </c>
      <c r="AD13" s="100">
        <f>AD$3</f>
        <v/>
      </c>
      <c r="AE13" s="100">
        <f>AE$3</f>
        <v/>
      </c>
      <c r="AF13" s="100">
        <f>AF$3</f>
        <v/>
      </c>
      <c r="AG13" s="100">
        <f>AG$3</f>
        <v/>
      </c>
      <c r="AH13" s="100">
        <f>AH$3</f>
        <v/>
      </c>
      <c r="AI13" s="100">
        <f>AI$3</f>
        <v/>
      </c>
      <c r="AJ13" s="100">
        <f>AJ$3</f>
        <v/>
      </c>
      <c r="AK13" s="100">
        <f>AK$3</f>
        <v/>
      </c>
      <c r="AL13" s="100">
        <f>AL$3</f>
        <v/>
      </c>
      <c r="AM13" s="100">
        <f>AM$3</f>
        <v/>
      </c>
      <c r="AN13" s="100">
        <f>AN$3</f>
        <v/>
      </c>
      <c r="AO13" s="100">
        <f>AO$3</f>
        <v/>
      </c>
      <c r="AP13" s="100">
        <f>AP$3</f>
        <v/>
      </c>
      <c r="AQ13" s="100">
        <f>AQ$3</f>
        <v/>
      </c>
    </row>
    <row r="14">
      <c r="A14" t="inlineStr">
        <is>
          <t>lignite</t>
        </is>
      </c>
      <c r="B14" s="77">
        <f>SUMIF('Cost Breakdowns'!$D$105:$D$107,'SoESCaOMCbIC-capital'!B$1,'Cost Breakdowns'!$B$105:$B$107)</f>
        <v/>
      </c>
      <c r="C14" s="77">
        <f>SUMIF('Cost Breakdowns'!$D$105:$D$107,'SoESCaOMCbIC-capital'!C$1,'Cost Breakdowns'!$B$105:$B$107)</f>
        <v/>
      </c>
      <c r="D14" s="77">
        <f>SUMIF('Cost Breakdowns'!$D$105:$D$107,'SoESCaOMCbIC-capital'!D$1,'Cost Breakdowns'!$B$105:$B$107)</f>
        <v/>
      </c>
      <c r="E14" s="77">
        <f>SUMIF('Cost Breakdowns'!$D$105:$D$107,'SoESCaOMCbIC-capital'!E$1,'Cost Breakdowns'!$B$105:$B$107)</f>
        <v/>
      </c>
      <c r="F14" s="77">
        <f>SUMIF('Cost Breakdowns'!$D$105:$D$107,'SoESCaOMCbIC-capital'!F$1,'Cost Breakdowns'!$B$105:$B$107)</f>
        <v/>
      </c>
      <c r="G14" s="77">
        <f>SUMIF('Cost Breakdowns'!$D$105:$D$107,'SoESCaOMCbIC-capital'!G$1,'Cost Breakdowns'!$B$105:$B$107)</f>
        <v/>
      </c>
      <c r="H14" s="77">
        <f>SUMIF('Cost Breakdowns'!$D$105:$D$107,'SoESCaOMCbIC-capital'!H$1,'Cost Breakdowns'!$B$105:$B$107)</f>
        <v/>
      </c>
      <c r="I14" s="77">
        <f>SUMIF('Cost Breakdowns'!$D$105:$D$107,'SoESCaOMCbIC-capital'!I$1,'Cost Breakdowns'!$B$105:$B$107)</f>
        <v/>
      </c>
      <c r="J14" s="77">
        <f>SUMIF('Cost Breakdowns'!$D$105:$D$107,'SoESCaOMCbIC-capital'!J$1,'Cost Breakdowns'!$B$105:$B$107)</f>
        <v/>
      </c>
      <c r="K14" s="77">
        <f>SUMIF('Cost Breakdowns'!$D$105:$D$107,'SoESCaOMCbIC-capital'!K$1,'Cost Breakdowns'!$B$105:$B$107)</f>
        <v/>
      </c>
      <c r="L14" s="77">
        <f>SUMIF('Cost Breakdowns'!$D$105:$D$107,'SoESCaOMCbIC-capital'!L$1,'Cost Breakdowns'!$B$105:$B$107)</f>
        <v/>
      </c>
      <c r="M14" s="77">
        <f>SUMIF('Cost Breakdowns'!$D$105:$D$107,'SoESCaOMCbIC-capital'!M$1,'Cost Breakdowns'!$B$105:$B$107)</f>
        <v/>
      </c>
      <c r="N14" s="77">
        <f>SUMIF('Cost Breakdowns'!$D$105:$D$107,'SoESCaOMCbIC-capital'!N$1,'Cost Breakdowns'!$B$105:$B$107)</f>
        <v/>
      </c>
      <c r="O14" s="77">
        <f>SUMIF('Cost Breakdowns'!$D$105:$D$107,'SoESCaOMCbIC-capital'!O$1,'Cost Breakdowns'!$B$105:$B$107)</f>
        <v/>
      </c>
      <c r="P14" s="77">
        <f>SUMIF('Cost Breakdowns'!$D$105:$D$107,'SoESCaOMCbIC-capital'!P$1,'Cost Breakdowns'!$B$105:$B$107)</f>
        <v/>
      </c>
      <c r="Q14" s="77">
        <f>SUMIF('Cost Breakdowns'!$D$105:$D$107,'SoESCaOMCbIC-capital'!Q$1,'Cost Breakdowns'!$B$105:$B$107)</f>
        <v/>
      </c>
      <c r="R14" s="77">
        <f>SUMIF('Cost Breakdowns'!$D$105:$D$107,'SoESCaOMCbIC-capital'!R$1,'Cost Breakdowns'!$B$105:$B$107)</f>
        <v/>
      </c>
      <c r="S14" s="77">
        <f>SUMIF('Cost Breakdowns'!$D$105:$D$107,'SoESCaOMCbIC-capital'!S$1,'Cost Breakdowns'!$B$105:$B$107)</f>
        <v/>
      </c>
      <c r="T14" s="77">
        <f>SUMIF('Cost Breakdowns'!$D$105:$D$107,'SoESCaOMCbIC-capital'!T$1,'Cost Breakdowns'!$B$105:$B$107)</f>
        <v/>
      </c>
      <c r="U14" s="77">
        <f>SUMIF('Cost Breakdowns'!$D$105:$D$107,'SoESCaOMCbIC-capital'!U$1,'Cost Breakdowns'!$B$105:$B$107)</f>
        <v/>
      </c>
      <c r="V14" s="77">
        <f>SUMIF('Cost Breakdowns'!$D$105:$D$107,'SoESCaOMCbIC-capital'!V$1,'Cost Breakdowns'!$B$105:$B$107)</f>
        <v/>
      </c>
      <c r="W14" s="77">
        <f>SUMIF('Cost Breakdowns'!$D$105:$D$107,'SoESCaOMCbIC-capital'!W$1,'Cost Breakdowns'!$B$105:$B$107)</f>
        <v/>
      </c>
      <c r="X14" s="77">
        <f>SUMIF('Cost Breakdowns'!$D$105:$D$107,'SoESCaOMCbIC-capital'!X$1,'Cost Breakdowns'!$B$105:$B$107)</f>
        <v/>
      </c>
      <c r="Y14" s="77">
        <f>SUMIF('Cost Breakdowns'!$D$105:$D$107,'SoESCaOMCbIC-capital'!Y$1,'Cost Breakdowns'!$B$105:$B$107)</f>
        <v/>
      </c>
      <c r="Z14" s="77">
        <f>SUMIF('Cost Breakdowns'!$D$105:$D$107,'SoESCaOMCbIC-capital'!Z$1,'Cost Breakdowns'!$B$105:$B$107)</f>
        <v/>
      </c>
      <c r="AA14" s="77">
        <f>SUMIF('Cost Breakdowns'!$D$105:$D$107,'SoESCaOMCbIC-capital'!AA$1,'Cost Breakdowns'!$B$105:$B$107)</f>
        <v/>
      </c>
      <c r="AB14" s="77">
        <f>SUMIF('Cost Breakdowns'!$D$105:$D$107,'SoESCaOMCbIC-capital'!AB$1,'Cost Breakdowns'!$B$105:$B$107)</f>
        <v/>
      </c>
      <c r="AC14" s="77">
        <f>SUMIF('Cost Breakdowns'!$D$105:$D$107,'SoESCaOMCbIC-capital'!AC$1,'Cost Breakdowns'!$B$105:$B$107)</f>
        <v/>
      </c>
      <c r="AD14" s="77">
        <f>SUMIF('Cost Breakdowns'!$D$105:$D$107,'SoESCaOMCbIC-capital'!AD$1,'Cost Breakdowns'!$B$105:$B$107)</f>
        <v/>
      </c>
      <c r="AE14" s="77">
        <f>SUMIF('Cost Breakdowns'!$D$105:$D$107,'SoESCaOMCbIC-capital'!AE$1,'Cost Breakdowns'!$B$105:$B$107)</f>
        <v/>
      </c>
      <c r="AF14" s="77">
        <f>SUMIF('Cost Breakdowns'!$D$105:$D$107,'SoESCaOMCbIC-capital'!AF$1,'Cost Breakdowns'!$B$105:$B$107)</f>
        <v/>
      </c>
      <c r="AG14" s="77">
        <f>SUMIF('Cost Breakdowns'!$D$105:$D$107,'SoESCaOMCbIC-capital'!AG$1,'Cost Breakdowns'!$B$105:$B$107)</f>
        <v/>
      </c>
      <c r="AH14" s="77">
        <f>SUMIF('Cost Breakdowns'!$D$105:$D$107,'SoESCaOMCbIC-capital'!AH$1,'Cost Breakdowns'!$B$105:$B$107)</f>
        <v/>
      </c>
      <c r="AI14" s="77">
        <f>SUMIF('Cost Breakdowns'!$D$105:$D$107,'SoESCaOMCbIC-capital'!AI$1,'Cost Breakdowns'!$B$105:$B$107)</f>
        <v/>
      </c>
      <c r="AJ14" s="77">
        <f>SUMIF('Cost Breakdowns'!$D$105:$D$107,'SoESCaOMCbIC-capital'!AJ$1,'Cost Breakdowns'!$B$105:$B$107)</f>
        <v/>
      </c>
      <c r="AK14" s="77">
        <f>SUMIF('Cost Breakdowns'!$D$105:$D$107,'SoESCaOMCbIC-capital'!AK$1,'Cost Breakdowns'!$B$105:$B$107)</f>
        <v/>
      </c>
      <c r="AL14" s="77">
        <f>SUMIF('Cost Breakdowns'!$D$105:$D$107,'SoESCaOMCbIC-capital'!AL$1,'Cost Breakdowns'!$B$105:$B$107)</f>
        <v/>
      </c>
      <c r="AM14" s="77">
        <f>SUMIF('Cost Breakdowns'!$D$105:$D$107,'SoESCaOMCbIC-capital'!AM$1,'Cost Breakdowns'!$B$105:$B$107)</f>
        <v/>
      </c>
      <c r="AN14" s="77">
        <f>SUMIF('Cost Breakdowns'!$D$105:$D$107,'SoESCaOMCbIC-capital'!AN$1,'Cost Breakdowns'!$B$105:$B$107)</f>
        <v/>
      </c>
      <c r="AO14" s="77">
        <f>SUMIF('Cost Breakdowns'!$D$105:$D$107,'SoESCaOMCbIC-capital'!AO$1,'Cost Breakdowns'!$B$105:$B$107)</f>
        <v/>
      </c>
      <c r="AP14" s="77">
        <f>SUMIF('Cost Breakdowns'!$D$105:$D$107,'SoESCaOMCbIC-capital'!AP$1,'Cost Breakdowns'!$B$105:$B$107)</f>
        <v/>
      </c>
      <c r="AQ14" s="77">
        <f>SUMIF('Cost Breakdowns'!$D$105:$D$107,'SoESCaOMCbIC-capital'!AQ$1,'Cost Breakdowns'!$B$105:$B$107)</f>
        <v/>
      </c>
    </row>
    <row r="15">
      <c r="A15" t="inlineStr">
        <is>
          <t>offshore wind</t>
        </is>
      </c>
      <c r="B15" s="89" t="n">
        <v>0</v>
      </c>
      <c r="C15" s="89" t="n">
        <v>0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0</v>
      </c>
      <c r="T15" s="89" t="n">
        <v>0</v>
      </c>
      <c r="U15" s="89" t="n">
        <v>0</v>
      </c>
      <c r="V15" s="89" t="n">
        <v>0</v>
      </c>
      <c r="W15" s="89" t="n">
        <v>0</v>
      </c>
      <c r="X15" s="89" t="n">
        <v>0</v>
      </c>
      <c r="Y15" s="89" t="n">
        <v>0</v>
      </c>
      <c r="Z15" s="89" t="n">
        <v>0</v>
      </c>
      <c r="AA15" s="89" t="n">
        <v>0</v>
      </c>
      <c r="AB15" s="89" t="n">
        <v>0</v>
      </c>
      <c r="AC15" s="89" t="n">
        <v>0</v>
      </c>
      <c r="AD15" s="89" t="n">
        <v>0</v>
      </c>
      <c r="AE15" s="89" t="n">
        <v>0</v>
      </c>
      <c r="AF15" s="89" t="n">
        <v>0</v>
      </c>
      <c r="AG15" s="89" t="n">
        <v>0</v>
      </c>
      <c r="AH15" s="89" t="n">
        <v>0</v>
      </c>
      <c r="AI15" s="89" t="n">
        <v>0</v>
      </c>
      <c r="AJ15" s="89" t="n">
        <v>0</v>
      </c>
      <c r="AK15" s="89" t="n">
        <v>0</v>
      </c>
      <c r="AL15" s="89" t="n">
        <v>0</v>
      </c>
      <c r="AM15" s="89" t="n">
        <v>0</v>
      </c>
      <c r="AN15" s="89" t="n">
        <v>0</v>
      </c>
      <c r="AO15" s="89" t="n">
        <v>0</v>
      </c>
      <c r="AP15" s="89" t="n">
        <v>0</v>
      </c>
      <c r="AQ15" s="89" t="n">
        <v>0</v>
      </c>
    </row>
    <row r="16">
      <c r="A16" t="inlineStr">
        <is>
          <t>crude oil</t>
        </is>
      </c>
      <c r="B16" s="100">
        <f>B$3</f>
        <v/>
      </c>
      <c r="C16" s="100">
        <f>C$3</f>
        <v/>
      </c>
      <c r="D16" s="100">
        <f>D$3</f>
        <v/>
      </c>
      <c r="E16" s="100">
        <f>E$3</f>
        <v/>
      </c>
      <c r="F16" s="100">
        <f>F$3</f>
        <v/>
      </c>
      <c r="G16" s="100">
        <f>G$3</f>
        <v/>
      </c>
      <c r="H16" s="100">
        <f>H$3</f>
        <v/>
      </c>
      <c r="I16" s="100">
        <f>I$3</f>
        <v/>
      </c>
      <c r="J16" s="100">
        <f>J$3</f>
        <v/>
      </c>
      <c r="K16" s="100">
        <f>K$3</f>
        <v/>
      </c>
      <c r="L16" s="100">
        <f>L$3</f>
        <v/>
      </c>
      <c r="M16" s="100">
        <f>M$3</f>
        <v/>
      </c>
      <c r="N16" s="100">
        <f>N$3</f>
        <v/>
      </c>
      <c r="O16" s="100">
        <f>O$3</f>
        <v/>
      </c>
      <c r="P16" s="100">
        <f>P$3</f>
        <v/>
      </c>
      <c r="Q16" s="100">
        <f>Q$3</f>
        <v/>
      </c>
      <c r="R16" s="100">
        <f>R$3</f>
        <v/>
      </c>
      <c r="S16" s="100">
        <f>S$3</f>
        <v/>
      </c>
      <c r="T16" s="100">
        <f>T$3</f>
        <v/>
      </c>
      <c r="U16" s="100">
        <f>U$3</f>
        <v/>
      </c>
      <c r="V16" s="100">
        <f>V$3</f>
        <v/>
      </c>
      <c r="W16" s="100">
        <f>W$3</f>
        <v/>
      </c>
      <c r="X16" s="100">
        <f>X$3</f>
        <v/>
      </c>
      <c r="Y16" s="100">
        <f>Y$3</f>
        <v/>
      </c>
      <c r="Z16" s="100">
        <f>Z$3</f>
        <v/>
      </c>
      <c r="AA16" s="100">
        <f>AA$3</f>
        <v/>
      </c>
      <c r="AB16" s="100">
        <f>AB$3</f>
        <v/>
      </c>
      <c r="AC16" s="100">
        <f>AC$3</f>
        <v/>
      </c>
      <c r="AD16" s="100">
        <f>AD$3</f>
        <v/>
      </c>
      <c r="AE16" s="100">
        <f>AE$3</f>
        <v/>
      </c>
      <c r="AF16" s="100">
        <f>AF$3</f>
        <v/>
      </c>
      <c r="AG16" s="100">
        <f>AG$3</f>
        <v/>
      </c>
      <c r="AH16" s="100">
        <f>AH$3</f>
        <v/>
      </c>
      <c r="AI16" s="100">
        <f>AI$3</f>
        <v/>
      </c>
      <c r="AJ16" s="100">
        <f>AJ$3</f>
        <v/>
      </c>
      <c r="AK16" s="100">
        <f>AK$3</f>
        <v/>
      </c>
      <c r="AL16" s="100">
        <f>AL$3</f>
        <v/>
      </c>
      <c r="AM16" s="100">
        <f>AM$3</f>
        <v/>
      </c>
      <c r="AN16" s="100">
        <f>AN$3</f>
        <v/>
      </c>
      <c r="AO16" s="100">
        <f>AO$3</f>
        <v/>
      </c>
      <c r="AP16" s="100">
        <f>AP$3</f>
        <v/>
      </c>
      <c r="AQ16" s="100">
        <f>AQ$3</f>
        <v/>
      </c>
    </row>
    <row r="17">
      <c r="A17" t="inlineStr">
        <is>
          <t>heavy or residual fuel oil</t>
        </is>
      </c>
      <c r="B17" s="100">
        <f>B$3</f>
        <v/>
      </c>
      <c r="C17" s="100">
        <f>C$3</f>
        <v/>
      </c>
      <c r="D17" s="100">
        <f>D$3</f>
        <v/>
      </c>
      <c r="E17" s="100">
        <f>E$3</f>
        <v/>
      </c>
      <c r="F17" s="100">
        <f>F$3</f>
        <v/>
      </c>
      <c r="G17" s="100">
        <f>G$3</f>
        <v/>
      </c>
      <c r="H17" s="100">
        <f>H$3</f>
        <v/>
      </c>
      <c r="I17" s="100">
        <f>I$3</f>
        <v/>
      </c>
      <c r="J17" s="100">
        <f>J$3</f>
        <v/>
      </c>
      <c r="K17" s="100">
        <f>K$3</f>
        <v/>
      </c>
      <c r="L17" s="100">
        <f>L$3</f>
        <v/>
      </c>
      <c r="M17" s="100">
        <f>M$3</f>
        <v/>
      </c>
      <c r="N17" s="100">
        <f>N$3</f>
        <v/>
      </c>
      <c r="O17" s="100">
        <f>O$3</f>
        <v/>
      </c>
      <c r="P17" s="100">
        <f>P$3</f>
        <v/>
      </c>
      <c r="Q17" s="100">
        <f>Q$3</f>
        <v/>
      </c>
      <c r="R17" s="100">
        <f>R$3</f>
        <v/>
      </c>
      <c r="S17" s="100">
        <f>S$3</f>
        <v/>
      </c>
      <c r="T17" s="100">
        <f>T$3</f>
        <v/>
      </c>
      <c r="U17" s="100">
        <f>U$3</f>
        <v/>
      </c>
      <c r="V17" s="100">
        <f>V$3</f>
        <v/>
      </c>
      <c r="W17" s="100">
        <f>W$3</f>
        <v/>
      </c>
      <c r="X17" s="100">
        <f>X$3</f>
        <v/>
      </c>
      <c r="Y17" s="100">
        <f>Y$3</f>
        <v/>
      </c>
      <c r="Z17" s="100">
        <f>Z$3</f>
        <v/>
      </c>
      <c r="AA17" s="100">
        <f>AA$3</f>
        <v/>
      </c>
      <c r="AB17" s="100">
        <f>AB$3</f>
        <v/>
      </c>
      <c r="AC17" s="100">
        <f>AC$3</f>
        <v/>
      </c>
      <c r="AD17" s="100">
        <f>AD$3</f>
        <v/>
      </c>
      <c r="AE17" s="100">
        <f>AE$3</f>
        <v/>
      </c>
      <c r="AF17" s="100">
        <f>AF$3</f>
        <v/>
      </c>
      <c r="AG17" s="100">
        <f>AG$3</f>
        <v/>
      </c>
      <c r="AH17" s="100">
        <f>AH$3</f>
        <v/>
      </c>
      <c r="AI17" s="100">
        <f>AI$3</f>
        <v/>
      </c>
      <c r="AJ17" s="100">
        <f>AJ$3</f>
        <v/>
      </c>
      <c r="AK17" s="100">
        <f>AK$3</f>
        <v/>
      </c>
      <c r="AL17" s="100">
        <f>AL$3</f>
        <v/>
      </c>
      <c r="AM17" s="100">
        <f>AM$3</f>
        <v/>
      </c>
      <c r="AN17" s="100">
        <f>AN$3</f>
        <v/>
      </c>
      <c r="AO17" s="100">
        <f>AO$3</f>
        <v/>
      </c>
      <c r="AP17" s="100">
        <f>AP$3</f>
        <v/>
      </c>
      <c r="AQ17" s="100">
        <f>AQ$3</f>
        <v/>
      </c>
    </row>
    <row r="18">
      <c r="A18" t="inlineStr">
        <is>
          <t>municipal solid waste</t>
        </is>
      </c>
      <c r="B18" s="100">
        <f>B10</f>
        <v/>
      </c>
      <c r="C18" s="100">
        <f>C10</f>
        <v/>
      </c>
      <c r="D18" s="100">
        <f>D10</f>
        <v/>
      </c>
      <c r="E18" s="100">
        <f>E10</f>
        <v/>
      </c>
      <c r="F18" s="100">
        <f>F10</f>
        <v/>
      </c>
      <c r="G18" s="100">
        <f>G10</f>
        <v/>
      </c>
      <c r="H18" s="100">
        <f>H10</f>
        <v/>
      </c>
      <c r="I18" s="100">
        <f>I10</f>
        <v/>
      </c>
      <c r="J18" s="100">
        <f>J10</f>
        <v/>
      </c>
      <c r="K18" s="100">
        <f>K10</f>
        <v/>
      </c>
      <c r="L18" s="100">
        <f>L10</f>
        <v/>
      </c>
      <c r="M18" s="100">
        <f>M10</f>
        <v/>
      </c>
      <c r="N18" s="100">
        <f>N10</f>
        <v/>
      </c>
      <c r="O18" s="100">
        <f>O10</f>
        <v/>
      </c>
      <c r="P18" s="100">
        <f>P10</f>
        <v/>
      </c>
      <c r="Q18" s="100">
        <f>Q10</f>
        <v/>
      </c>
      <c r="R18" s="100">
        <f>R10</f>
        <v/>
      </c>
      <c r="S18" s="100">
        <f>S10</f>
        <v/>
      </c>
      <c r="T18" s="100">
        <f>T10</f>
        <v/>
      </c>
      <c r="U18" s="100">
        <f>U10</f>
        <v/>
      </c>
      <c r="V18" s="100">
        <f>V10</f>
        <v/>
      </c>
      <c r="W18" s="100">
        <f>W10</f>
        <v/>
      </c>
      <c r="X18" s="100">
        <f>X10</f>
        <v/>
      </c>
      <c r="Y18" s="100">
        <f>Y10</f>
        <v/>
      </c>
      <c r="Z18" s="100">
        <f>Z10</f>
        <v/>
      </c>
      <c r="AA18" s="100">
        <f>AA10</f>
        <v/>
      </c>
      <c r="AB18" s="100">
        <f>AB10</f>
        <v/>
      </c>
      <c r="AC18" s="100">
        <f>AC10</f>
        <v/>
      </c>
      <c r="AD18" s="100">
        <f>AD10</f>
        <v/>
      </c>
      <c r="AE18" s="100">
        <f>AE10</f>
        <v/>
      </c>
      <c r="AF18" s="100">
        <f>AF10</f>
        <v/>
      </c>
      <c r="AG18" s="100">
        <f>AG10</f>
        <v/>
      </c>
      <c r="AH18" s="100">
        <f>AH10</f>
        <v/>
      </c>
      <c r="AI18" s="100">
        <f>AI10</f>
        <v/>
      </c>
      <c r="AJ18" s="100">
        <f>AJ10</f>
        <v/>
      </c>
      <c r="AK18" s="100">
        <f>AK10</f>
        <v/>
      </c>
      <c r="AL18" s="100">
        <f>AL10</f>
        <v/>
      </c>
      <c r="AM18" s="100">
        <f>AM10</f>
        <v/>
      </c>
      <c r="AN18" s="100">
        <f>AN10</f>
        <v/>
      </c>
      <c r="AO18" s="100">
        <f>AO10</f>
        <v/>
      </c>
      <c r="AP18" s="100">
        <f>AP10</f>
        <v/>
      </c>
      <c r="AQ18" s="100">
        <f>AQ10</f>
        <v/>
      </c>
    </row>
    <row r="19">
      <c r="A19" t="inlineStr">
        <is>
          <t>hard coal w CCS</t>
        </is>
      </c>
      <c r="B19" s="77">
        <f>'CCS Costs'!B90+'CCS Costs'!B98</f>
        <v/>
      </c>
      <c r="C19" s="77">
        <f>'CCS Costs'!C90+'CCS Costs'!C98</f>
        <v/>
      </c>
      <c r="D19" s="77">
        <f>'CCS Costs'!D90+'CCS Costs'!D98</f>
        <v/>
      </c>
      <c r="E19" s="77">
        <f>'CCS Costs'!E90+'CCS Costs'!E98</f>
        <v/>
      </c>
      <c r="F19" s="77">
        <f>'CCS Costs'!F90+'CCS Costs'!F98</f>
        <v/>
      </c>
      <c r="G19" s="77">
        <f>'CCS Costs'!G90+'CCS Costs'!G98</f>
        <v/>
      </c>
      <c r="H19" s="77">
        <f>'CCS Costs'!H90+'CCS Costs'!H98</f>
        <v/>
      </c>
      <c r="I19" s="77">
        <f>'CCS Costs'!I90+'CCS Costs'!I98</f>
        <v/>
      </c>
      <c r="J19" s="77">
        <f>'CCS Costs'!J90+'CCS Costs'!J98</f>
        <v/>
      </c>
      <c r="K19" s="77">
        <f>'CCS Costs'!K90+'CCS Costs'!K98</f>
        <v/>
      </c>
      <c r="L19" s="77">
        <f>'CCS Costs'!L90+'CCS Costs'!L98</f>
        <v/>
      </c>
      <c r="M19" s="77">
        <f>'CCS Costs'!M90+'CCS Costs'!M98</f>
        <v/>
      </c>
      <c r="N19" s="77">
        <f>'CCS Costs'!N90+'CCS Costs'!N98</f>
        <v/>
      </c>
      <c r="O19" s="77">
        <f>'CCS Costs'!O90+'CCS Costs'!O98</f>
        <v/>
      </c>
      <c r="P19" s="77">
        <f>'CCS Costs'!P90+'CCS Costs'!P98</f>
        <v/>
      </c>
      <c r="Q19" s="77">
        <f>'CCS Costs'!Q90+'CCS Costs'!Q98</f>
        <v/>
      </c>
      <c r="R19" s="77">
        <f>'CCS Costs'!R90+'CCS Costs'!R98</f>
        <v/>
      </c>
      <c r="S19" s="77">
        <f>'CCS Costs'!S90+'CCS Costs'!S98</f>
        <v/>
      </c>
      <c r="T19" s="77">
        <f>'CCS Costs'!T90+'CCS Costs'!T98</f>
        <v/>
      </c>
      <c r="U19" s="77">
        <f>'CCS Costs'!U90+'CCS Costs'!U98</f>
        <v/>
      </c>
      <c r="V19" s="77">
        <f>'CCS Costs'!V90+'CCS Costs'!V98</f>
        <v/>
      </c>
      <c r="W19" s="77">
        <f>'CCS Costs'!W90+'CCS Costs'!W98</f>
        <v/>
      </c>
      <c r="X19" s="77">
        <f>'CCS Costs'!X90+'CCS Costs'!X98</f>
        <v/>
      </c>
      <c r="Y19" s="77">
        <f>'CCS Costs'!Y90+'CCS Costs'!Y98</f>
        <v/>
      </c>
      <c r="Z19" s="77">
        <f>'CCS Costs'!Z90+'CCS Costs'!Z98</f>
        <v/>
      </c>
      <c r="AA19" s="77">
        <f>'CCS Costs'!AA90+'CCS Costs'!AA98</f>
        <v/>
      </c>
      <c r="AB19" s="77">
        <f>'CCS Costs'!AB90+'CCS Costs'!AB98</f>
        <v/>
      </c>
      <c r="AC19" s="77">
        <f>'CCS Costs'!AC90+'CCS Costs'!AC98</f>
        <v/>
      </c>
      <c r="AD19" s="77">
        <f>'CCS Costs'!AD90+'CCS Costs'!AD98</f>
        <v/>
      </c>
      <c r="AE19" s="77">
        <f>'CCS Costs'!AE90+'CCS Costs'!AE98</f>
        <v/>
      </c>
      <c r="AF19" s="77">
        <f>'CCS Costs'!AF90+'CCS Costs'!AF98</f>
        <v/>
      </c>
      <c r="AG19" s="77">
        <f>'CCS Costs'!AG90+'CCS Costs'!AG98</f>
        <v/>
      </c>
      <c r="AH19" s="77">
        <f>'CCS Costs'!AH90+'CCS Costs'!AH98</f>
        <v/>
      </c>
      <c r="AI19" s="77">
        <f>'CCS Costs'!AI90+'CCS Costs'!AI98</f>
        <v/>
      </c>
      <c r="AJ19" s="77">
        <f>'CCS Costs'!AJ90+'CCS Costs'!AJ98</f>
        <v/>
      </c>
      <c r="AK19" s="77">
        <f>'CCS Costs'!AK90+'CCS Costs'!AK98</f>
        <v/>
      </c>
      <c r="AL19" s="77">
        <f>'CCS Costs'!AL90+'CCS Costs'!AL98</f>
        <v/>
      </c>
      <c r="AM19" s="77">
        <f>'CCS Costs'!AM90+'CCS Costs'!AM98</f>
        <v/>
      </c>
      <c r="AN19" s="77">
        <f>'CCS Costs'!AN90+'CCS Costs'!AN98</f>
        <v/>
      </c>
      <c r="AO19" s="77">
        <f>'CCS Costs'!AO90+'CCS Costs'!AO98</f>
        <v/>
      </c>
      <c r="AP19" s="77">
        <f>'CCS Costs'!AP90+'CCS Costs'!AP98</f>
        <v/>
      </c>
      <c r="AQ19" s="77">
        <f>'CCS Costs'!AQ90+'CCS Costs'!AQ98</f>
        <v/>
      </c>
    </row>
    <row r="20">
      <c r="A20" t="inlineStr">
        <is>
          <t>natural gas combined cycle w CCS</t>
        </is>
      </c>
      <c r="B20" s="77">
        <f>'CCS Costs'!B91+'CCS Costs'!B99</f>
        <v/>
      </c>
      <c r="C20" s="77">
        <f>'CCS Costs'!C91+'CCS Costs'!C99</f>
        <v/>
      </c>
      <c r="D20" s="77">
        <f>'CCS Costs'!D91+'CCS Costs'!D99</f>
        <v/>
      </c>
      <c r="E20" s="77">
        <f>'CCS Costs'!E91+'CCS Costs'!E99</f>
        <v/>
      </c>
      <c r="F20" s="77">
        <f>'CCS Costs'!F91+'CCS Costs'!F99</f>
        <v/>
      </c>
      <c r="G20" s="77">
        <f>'CCS Costs'!G91+'CCS Costs'!G99</f>
        <v/>
      </c>
      <c r="H20" s="77">
        <f>'CCS Costs'!H91+'CCS Costs'!H99</f>
        <v/>
      </c>
      <c r="I20" s="77">
        <f>'CCS Costs'!I91+'CCS Costs'!I99</f>
        <v/>
      </c>
      <c r="J20" s="77">
        <f>'CCS Costs'!J91+'CCS Costs'!J99</f>
        <v/>
      </c>
      <c r="K20" s="77">
        <f>'CCS Costs'!K91+'CCS Costs'!K99</f>
        <v/>
      </c>
      <c r="L20" s="77">
        <f>'CCS Costs'!L91+'CCS Costs'!L99</f>
        <v/>
      </c>
      <c r="M20" s="77">
        <f>'CCS Costs'!M91+'CCS Costs'!M99</f>
        <v/>
      </c>
      <c r="N20" s="77">
        <f>'CCS Costs'!N91+'CCS Costs'!N99</f>
        <v/>
      </c>
      <c r="O20" s="77">
        <f>'CCS Costs'!O91+'CCS Costs'!O99</f>
        <v/>
      </c>
      <c r="P20" s="77">
        <f>'CCS Costs'!P91+'CCS Costs'!P99</f>
        <v/>
      </c>
      <c r="Q20" s="77">
        <f>'CCS Costs'!Q91+'CCS Costs'!Q99</f>
        <v/>
      </c>
      <c r="R20" s="77">
        <f>'CCS Costs'!R91+'CCS Costs'!R99</f>
        <v/>
      </c>
      <c r="S20" s="77">
        <f>'CCS Costs'!S91+'CCS Costs'!S99</f>
        <v/>
      </c>
      <c r="T20" s="77">
        <f>'CCS Costs'!T91+'CCS Costs'!T99</f>
        <v/>
      </c>
      <c r="U20" s="77">
        <f>'CCS Costs'!U91+'CCS Costs'!U99</f>
        <v/>
      </c>
      <c r="V20" s="77">
        <f>'CCS Costs'!V91+'CCS Costs'!V99</f>
        <v/>
      </c>
      <c r="W20" s="77">
        <f>'CCS Costs'!W91+'CCS Costs'!W99</f>
        <v/>
      </c>
      <c r="X20" s="77">
        <f>'CCS Costs'!X91+'CCS Costs'!X99</f>
        <v/>
      </c>
      <c r="Y20" s="77">
        <f>'CCS Costs'!Y91+'CCS Costs'!Y99</f>
        <v/>
      </c>
      <c r="Z20" s="77">
        <f>'CCS Costs'!Z91+'CCS Costs'!Z99</f>
        <v/>
      </c>
      <c r="AA20" s="77">
        <f>'CCS Costs'!AA91+'CCS Costs'!AA99</f>
        <v/>
      </c>
      <c r="AB20" s="77">
        <f>'CCS Costs'!AB91+'CCS Costs'!AB99</f>
        <v/>
      </c>
      <c r="AC20" s="77">
        <f>'CCS Costs'!AC91+'CCS Costs'!AC99</f>
        <v/>
      </c>
      <c r="AD20" s="77">
        <f>'CCS Costs'!AD91+'CCS Costs'!AD99</f>
        <v/>
      </c>
      <c r="AE20" s="77">
        <f>'CCS Costs'!AE91+'CCS Costs'!AE99</f>
        <v/>
      </c>
      <c r="AF20" s="77">
        <f>'CCS Costs'!AF91+'CCS Costs'!AF99</f>
        <v/>
      </c>
      <c r="AG20" s="77">
        <f>'CCS Costs'!AG91+'CCS Costs'!AG99</f>
        <v/>
      </c>
      <c r="AH20" s="77">
        <f>'CCS Costs'!AH91+'CCS Costs'!AH99</f>
        <v/>
      </c>
      <c r="AI20" s="77">
        <f>'CCS Costs'!AI91+'CCS Costs'!AI99</f>
        <v/>
      </c>
      <c r="AJ20" s="77">
        <f>'CCS Costs'!AJ91+'CCS Costs'!AJ99</f>
        <v/>
      </c>
      <c r="AK20" s="77">
        <f>'CCS Costs'!AK91+'CCS Costs'!AK99</f>
        <v/>
      </c>
      <c r="AL20" s="77">
        <f>'CCS Costs'!AL91+'CCS Costs'!AL99</f>
        <v/>
      </c>
      <c r="AM20" s="77">
        <f>'CCS Costs'!AM91+'CCS Costs'!AM99</f>
        <v/>
      </c>
      <c r="AN20" s="77">
        <f>'CCS Costs'!AN91+'CCS Costs'!AN99</f>
        <v/>
      </c>
      <c r="AO20" s="77">
        <f>'CCS Costs'!AO91+'CCS Costs'!AO99</f>
        <v/>
      </c>
      <c r="AP20" s="77">
        <f>'CCS Costs'!AP91+'CCS Costs'!AP99</f>
        <v/>
      </c>
      <c r="AQ20" s="77">
        <f>'CCS Costs'!AQ91+'CCS Costs'!AQ99</f>
        <v/>
      </c>
    </row>
    <row r="21">
      <c r="A21" t="inlineStr">
        <is>
          <t>biomass w CCS</t>
        </is>
      </c>
      <c r="B21" s="77">
        <f>'CCS Costs'!B92+'CCS Costs'!B100</f>
        <v/>
      </c>
      <c r="C21" s="77">
        <f>'CCS Costs'!C92+'CCS Costs'!C100</f>
        <v/>
      </c>
      <c r="D21" s="77">
        <f>'CCS Costs'!D92+'CCS Costs'!D100</f>
        <v/>
      </c>
      <c r="E21" s="77">
        <f>'CCS Costs'!E92+'CCS Costs'!E100</f>
        <v/>
      </c>
      <c r="F21" s="77">
        <f>'CCS Costs'!F92+'CCS Costs'!F100</f>
        <v/>
      </c>
      <c r="G21" s="77">
        <f>'CCS Costs'!G92+'CCS Costs'!G100</f>
        <v/>
      </c>
      <c r="H21" s="77">
        <f>'CCS Costs'!H92+'CCS Costs'!H100</f>
        <v/>
      </c>
      <c r="I21" s="77">
        <f>'CCS Costs'!I92+'CCS Costs'!I100</f>
        <v/>
      </c>
      <c r="J21" s="77">
        <f>'CCS Costs'!J92+'CCS Costs'!J100</f>
        <v/>
      </c>
      <c r="K21" s="77">
        <f>'CCS Costs'!K92+'CCS Costs'!K100</f>
        <v/>
      </c>
      <c r="L21" s="77">
        <f>'CCS Costs'!L92+'CCS Costs'!L100</f>
        <v/>
      </c>
      <c r="M21" s="77">
        <f>'CCS Costs'!M92+'CCS Costs'!M100</f>
        <v/>
      </c>
      <c r="N21" s="77">
        <f>'CCS Costs'!N92+'CCS Costs'!N100</f>
        <v/>
      </c>
      <c r="O21" s="77">
        <f>'CCS Costs'!O92+'CCS Costs'!O100</f>
        <v/>
      </c>
      <c r="P21" s="77">
        <f>'CCS Costs'!P92+'CCS Costs'!P100</f>
        <v/>
      </c>
      <c r="Q21" s="77">
        <f>'CCS Costs'!Q92+'CCS Costs'!Q100</f>
        <v/>
      </c>
      <c r="R21" s="77">
        <f>'CCS Costs'!R92+'CCS Costs'!R100</f>
        <v/>
      </c>
      <c r="S21" s="77">
        <f>'CCS Costs'!S92+'CCS Costs'!S100</f>
        <v/>
      </c>
      <c r="T21" s="77">
        <f>'CCS Costs'!T92+'CCS Costs'!T100</f>
        <v/>
      </c>
      <c r="U21" s="77">
        <f>'CCS Costs'!U92+'CCS Costs'!U100</f>
        <v/>
      </c>
      <c r="V21" s="77">
        <f>'CCS Costs'!V92+'CCS Costs'!V100</f>
        <v/>
      </c>
      <c r="W21" s="77">
        <f>'CCS Costs'!W92+'CCS Costs'!W100</f>
        <v/>
      </c>
      <c r="X21" s="77">
        <f>'CCS Costs'!X92+'CCS Costs'!X100</f>
        <v/>
      </c>
      <c r="Y21" s="77">
        <f>'CCS Costs'!Y92+'CCS Costs'!Y100</f>
        <v/>
      </c>
      <c r="Z21" s="77">
        <f>'CCS Costs'!Z92+'CCS Costs'!Z100</f>
        <v/>
      </c>
      <c r="AA21" s="77">
        <f>'CCS Costs'!AA92+'CCS Costs'!AA100</f>
        <v/>
      </c>
      <c r="AB21" s="77">
        <f>'CCS Costs'!AB92+'CCS Costs'!AB100</f>
        <v/>
      </c>
      <c r="AC21" s="77">
        <f>'CCS Costs'!AC92+'CCS Costs'!AC100</f>
        <v/>
      </c>
      <c r="AD21" s="77">
        <f>'CCS Costs'!AD92+'CCS Costs'!AD100</f>
        <v/>
      </c>
      <c r="AE21" s="77">
        <f>'CCS Costs'!AE92+'CCS Costs'!AE100</f>
        <v/>
      </c>
      <c r="AF21" s="77">
        <f>'CCS Costs'!AF92+'CCS Costs'!AF100</f>
        <v/>
      </c>
      <c r="AG21" s="77">
        <f>'CCS Costs'!AG92+'CCS Costs'!AG100</f>
        <v/>
      </c>
      <c r="AH21" s="77">
        <f>'CCS Costs'!AH92+'CCS Costs'!AH100</f>
        <v/>
      </c>
      <c r="AI21" s="77">
        <f>'CCS Costs'!AI92+'CCS Costs'!AI100</f>
        <v/>
      </c>
      <c r="AJ21" s="77">
        <f>'CCS Costs'!AJ92+'CCS Costs'!AJ100</f>
        <v/>
      </c>
      <c r="AK21" s="77">
        <f>'CCS Costs'!AK92+'CCS Costs'!AK100</f>
        <v/>
      </c>
      <c r="AL21" s="77">
        <f>'CCS Costs'!AL92+'CCS Costs'!AL100</f>
        <v/>
      </c>
      <c r="AM21" s="77">
        <f>'CCS Costs'!AM92+'CCS Costs'!AM100</f>
        <v/>
      </c>
      <c r="AN21" s="77">
        <f>'CCS Costs'!AN92+'CCS Costs'!AN100</f>
        <v/>
      </c>
      <c r="AO21" s="77">
        <f>'CCS Costs'!AO92+'CCS Costs'!AO100</f>
        <v/>
      </c>
      <c r="AP21" s="77">
        <f>'CCS Costs'!AP92+'CCS Costs'!AP100</f>
        <v/>
      </c>
      <c r="AQ21" s="77">
        <f>'CCS Costs'!AQ92+'CCS Costs'!AQ100</f>
        <v/>
      </c>
    </row>
    <row r="22">
      <c r="A22" t="inlineStr">
        <is>
          <t>lignite w CCS</t>
        </is>
      </c>
      <c r="B22" s="77">
        <f>'CCS Costs'!B93+'CCS Costs'!B101</f>
        <v/>
      </c>
      <c r="C22" s="77">
        <f>'CCS Costs'!C93+'CCS Costs'!C101</f>
        <v/>
      </c>
      <c r="D22" s="77">
        <f>'CCS Costs'!D93+'CCS Costs'!D101</f>
        <v/>
      </c>
      <c r="E22" s="77">
        <f>'CCS Costs'!E93+'CCS Costs'!E101</f>
        <v/>
      </c>
      <c r="F22" s="77">
        <f>'CCS Costs'!F93+'CCS Costs'!F101</f>
        <v/>
      </c>
      <c r="G22" s="77">
        <f>'CCS Costs'!G93+'CCS Costs'!G101</f>
        <v/>
      </c>
      <c r="H22" s="77">
        <f>'CCS Costs'!H93+'CCS Costs'!H101</f>
        <v/>
      </c>
      <c r="I22" s="77">
        <f>'CCS Costs'!I93+'CCS Costs'!I101</f>
        <v/>
      </c>
      <c r="J22" s="77">
        <f>'CCS Costs'!J93+'CCS Costs'!J101</f>
        <v/>
      </c>
      <c r="K22" s="77">
        <f>'CCS Costs'!K93+'CCS Costs'!K101</f>
        <v/>
      </c>
      <c r="L22" s="77">
        <f>'CCS Costs'!L93+'CCS Costs'!L101</f>
        <v/>
      </c>
      <c r="M22" s="77">
        <f>'CCS Costs'!M93+'CCS Costs'!M101</f>
        <v/>
      </c>
      <c r="N22" s="77">
        <f>'CCS Costs'!N93+'CCS Costs'!N101</f>
        <v/>
      </c>
      <c r="O22" s="77">
        <f>'CCS Costs'!O93+'CCS Costs'!O101</f>
        <v/>
      </c>
      <c r="P22" s="77">
        <f>'CCS Costs'!P93+'CCS Costs'!P101</f>
        <v/>
      </c>
      <c r="Q22" s="77">
        <f>'CCS Costs'!Q93+'CCS Costs'!Q101</f>
        <v/>
      </c>
      <c r="R22" s="77">
        <f>'CCS Costs'!R93+'CCS Costs'!R101</f>
        <v/>
      </c>
      <c r="S22" s="77">
        <f>'CCS Costs'!S93+'CCS Costs'!S101</f>
        <v/>
      </c>
      <c r="T22" s="77">
        <f>'CCS Costs'!T93+'CCS Costs'!T101</f>
        <v/>
      </c>
      <c r="U22" s="77">
        <f>'CCS Costs'!U93+'CCS Costs'!U101</f>
        <v/>
      </c>
      <c r="V22" s="77">
        <f>'CCS Costs'!V93+'CCS Costs'!V101</f>
        <v/>
      </c>
      <c r="W22" s="77">
        <f>'CCS Costs'!W93+'CCS Costs'!W101</f>
        <v/>
      </c>
      <c r="X22" s="77">
        <f>'CCS Costs'!X93+'CCS Costs'!X101</f>
        <v/>
      </c>
      <c r="Y22" s="77">
        <f>'CCS Costs'!Y93+'CCS Costs'!Y101</f>
        <v/>
      </c>
      <c r="Z22" s="77">
        <f>'CCS Costs'!Z93+'CCS Costs'!Z101</f>
        <v/>
      </c>
      <c r="AA22" s="77">
        <f>'CCS Costs'!AA93+'CCS Costs'!AA101</f>
        <v/>
      </c>
      <c r="AB22" s="77">
        <f>'CCS Costs'!AB93+'CCS Costs'!AB101</f>
        <v/>
      </c>
      <c r="AC22" s="77">
        <f>'CCS Costs'!AC93+'CCS Costs'!AC101</f>
        <v/>
      </c>
      <c r="AD22" s="77">
        <f>'CCS Costs'!AD93+'CCS Costs'!AD101</f>
        <v/>
      </c>
      <c r="AE22" s="77">
        <f>'CCS Costs'!AE93+'CCS Costs'!AE101</f>
        <v/>
      </c>
      <c r="AF22" s="77">
        <f>'CCS Costs'!AF93+'CCS Costs'!AF101</f>
        <v/>
      </c>
      <c r="AG22" s="77">
        <f>'CCS Costs'!AG93+'CCS Costs'!AG101</f>
        <v/>
      </c>
      <c r="AH22" s="77">
        <f>'CCS Costs'!AH93+'CCS Costs'!AH101</f>
        <v/>
      </c>
      <c r="AI22" s="77">
        <f>'CCS Costs'!AI93+'CCS Costs'!AI101</f>
        <v/>
      </c>
      <c r="AJ22" s="77">
        <f>'CCS Costs'!AJ93+'CCS Costs'!AJ101</f>
        <v/>
      </c>
      <c r="AK22" s="77">
        <f>'CCS Costs'!AK93+'CCS Costs'!AK101</f>
        <v/>
      </c>
      <c r="AL22" s="77">
        <f>'CCS Costs'!AL93+'CCS Costs'!AL101</f>
        <v/>
      </c>
      <c r="AM22" s="77">
        <f>'CCS Costs'!AM93+'CCS Costs'!AM101</f>
        <v/>
      </c>
      <c r="AN22" s="77">
        <f>'CCS Costs'!AN93+'CCS Costs'!AN101</f>
        <v/>
      </c>
      <c r="AO22" s="77">
        <f>'CCS Costs'!AO93+'CCS Costs'!AO101</f>
        <v/>
      </c>
      <c r="AP22" s="77">
        <f>'CCS Costs'!AP93+'CCS Costs'!AP101</f>
        <v/>
      </c>
      <c r="AQ22" s="77">
        <f>'CCS Costs'!AQ93+'CCS Costs'!AQ101</f>
        <v/>
      </c>
    </row>
    <row r="23">
      <c r="A23" t="inlineStr">
        <is>
          <t>small modular reactor</t>
        </is>
      </c>
      <c r="B23" s="77">
        <f>B5</f>
        <v/>
      </c>
      <c r="C23" s="77">
        <f>C5</f>
        <v/>
      </c>
      <c r="D23" s="77">
        <f>D5</f>
        <v/>
      </c>
      <c r="E23" s="77">
        <f>E5</f>
        <v/>
      </c>
      <c r="F23" s="77">
        <f>F5</f>
        <v/>
      </c>
      <c r="G23" s="77">
        <f>G5</f>
        <v/>
      </c>
      <c r="H23" s="77">
        <f>H5</f>
        <v/>
      </c>
      <c r="I23" s="77">
        <f>I5</f>
        <v/>
      </c>
      <c r="J23" s="77">
        <f>J5</f>
        <v/>
      </c>
      <c r="K23" s="77">
        <f>K5</f>
        <v/>
      </c>
      <c r="L23" s="77">
        <f>L5</f>
        <v/>
      </c>
      <c r="M23" s="77">
        <f>M5</f>
        <v/>
      </c>
      <c r="N23" s="77">
        <f>N5</f>
        <v/>
      </c>
      <c r="O23" s="77">
        <f>O5</f>
        <v/>
      </c>
      <c r="P23" s="77">
        <f>P5</f>
        <v/>
      </c>
      <c r="Q23" s="77">
        <f>Q5</f>
        <v/>
      </c>
      <c r="R23" s="77">
        <f>R5</f>
        <v/>
      </c>
      <c r="S23" s="77">
        <f>S5</f>
        <v/>
      </c>
      <c r="T23" s="77">
        <f>T5</f>
        <v/>
      </c>
      <c r="U23" s="77">
        <f>U5</f>
        <v/>
      </c>
      <c r="V23" s="77">
        <f>V5</f>
        <v/>
      </c>
      <c r="W23" s="77">
        <f>W5</f>
        <v/>
      </c>
      <c r="X23" s="77">
        <f>X5</f>
        <v/>
      </c>
      <c r="Y23" s="77">
        <f>Y5</f>
        <v/>
      </c>
      <c r="Z23" s="77">
        <f>Z5</f>
        <v/>
      </c>
      <c r="AA23" s="77">
        <f>AA5</f>
        <v/>
      </c>
      <c r="AB23" s="77">
        <f>AB5</f>
        <v/>
      </c>
      <c r="AC23" s="77">
        <f>AC5</f>
        <v/>
      </c>
      <c r="AD23" s="77">
        <f>AD5</f>
        <v/>
      </c>
      <c r="AE23" s="77">
        <f>AE5</f>
        <v/>
      </c>
      <c r="AF23" s="77">
        <f>AF5</f>
        <v/>
      </c>
      <c r="AG23" s="77">
        <f>AG5</f>
        <v/>
      </c>
      <c r="AH23" s="77">
        <f>AH5</f>
        <v/>
      </c>
      <c r="AI23" s="77">
        <f>AI5</f>
        <v/>
      </c>
      <c r="AJ23" s="77">
        <f>AJ5</f>
        <v/>
      </c>
      <c r="AK23" s="77">
        <f>AK5</f>
        <v/>
      </c>
      <c r="AL23" s="77">
        <f>AL5</f>
        <v/>
      </c>
      <c r="AM23" s="77">
        <f>AM5</f>
        <v/>
      </c>
      <c r="AN23" s="77">
        <f>AN5</f>
        <v/>
      </c>
      <c r="AO23" s="77">
        <f>AO5</f>
        <v/>
      </c>
      <c r="AP23" s="77">
        <f>AP5</f>
        <v/>
      </c>
      <c r="AQ23" s="77">
        <f>AQ5</f>
        <v/>
      </c>
    </row>
    <row r="24">
      <c r="A24" s="130" t="inlineStr">
        <is>
          <t>hydrogen combustion turbine</t>
        </is>
      </c>
      <c r="B24" s="77">
        <f>B13</f>
        <v/>
      </c>
      <c r="C24" s="77">
        <f>C13</f>
        <v/>
      </c>
      <c r="D24" s="77">
        <f>D13</f>
        <v/>
      </c>
      <c r="E24" s="77">
        <f>E13</f>
        <v/>
      </c>
      <c r="F24" s="77">
        <f>F13</f>
        <v/>
      </c>
      <c r="G24" s="77">
        <f>G13</f>
        <v/>
      </c>
      <c r="H24" s="77">
        <f>H13</f>
        <v/>
      </c>
      <c r="I24" s="77">
        <f>I13</f>
        <v/>
      </c>
      <c r="J24" s="77">
        <f>J13</f>
        <v/>
      </c>
      <c r="K24" s="77">
        <f>K13</f>
        <v/>
      </c>
      <c r="L24" s="77">
        <f>L13</f>
        <v/>
      </c>
      <c r="M24" s="77">
        <f>M13</f>
        <v/>
      </c>
      <c r="N24" s="77">
        <f>N13</f>
        <v/>
      </c>
      <c r="O24" s="77">
        <f>O13</f>
        <v/>
      </c>
      <c r="P24" s="77">
        <f>P13</f>
        <v/>
      </c>
      <c r="Q24" s="77">
        <f>Q13</f>
        <v/>
      </c>
      <c r="R24" s="77">
        <f>R13</f>
        <v/>
      </c>
      <c r="S24" s="77">
        <f>S13</f>
        <v/>
      </c>
      <c r="T24" s="77">
        <f>T13</f>
        <v/>
      </c>
      <c r="U24" s="77">
        <f>U13</f>
        <v/>
      </c>
      <c r="V24" s="77">
        <f>V13</f>
        <v/>
      </c>
      <c r="W24" s="77">
        <f>W13</f>
        <v/>
      </c>
      <c r="X24" s="77">
        <f>X13</f>
        <v/>
      </c>
      <c r="Y24" s="77">
        <f>Y13</f>
        <v/>
      </c>
      <c r="Z24" s="77">
        <f>Z13</f>
        <v/>
      </c>
      <c r="AA24" s="77">
        <f>AA13</f>
        <v/>
      </c>
      <c r="AB24" s="77">
        <f>AB13</f>
        <v/>
      </c>
      <c r="AC24" s="77">
        <f>AC13</f>
        <v/>
      </c>
      <c r="AD24" s="77">
        <f>AD13</f>
        <v/>
      </c>
      <c r="AE24" s="77">
        <f>AE13</f>
        <v/>
      </c>
      <c r="AF24" s="77">
        <f>AF13</f>
        <v/>
      </c>
      <c r="AG24" s="77">
        <f>AG13</f>
        <v/>
      </c>
      <c r="AH24" s="77">
        <f>AH13</f>
        <v/>
      </c>
      <c r="AI24" s="77">
        <f>AI13</f>
        <v/>
      </c>
      <c r="AJ24" s="77">
        <f>AJ13</f>
        <v/>
      </c>
      <c r="AK24" s="77">
        <f>AK13</f>
        <v/>
      </c>
      <c r="AL24" s="77">
        <f>AL13</f>
        <v/>
      </c>
      <c r="AM24" s="77">
        <f>AM13</f>
        <v/>
      </c>
      <c r="AN24" s="77">
        <f>AN13</f>
        <v/>
      </c>
      <c r="AO24" s="77">
        <f>AO13</f>
        <v/>
      </c>
      <c r="AP24" s="77">
        <f>AP13</f>
        <v/>
      </c>
      <c r="AQ24" s="77">
        <f>AQ13</f>
        <v/>
      </c>
    </row>
    <row r="25">
      <c r="A25" s="130" t="inlineStr">
        <is>
          <t>hydrogen combined cycle</t>
        </is>
      </c>
      <c r="B25" s="77">
        <f>B4</f>
        <v/>
      </c>
      <c r="C25" s="77">
        <f>C4</f>
        <v/>
      </c>
      <c r="D25" s="77">
        <f>D4</f>
        <v/>
      </c>
      <c r="E25" s="77">
        <f>E4</f>
        <v/>
      </c>
      <c r="F25" s="77">
        <f>F4</f>
        <v/>
      </c>
      <c r="G25" s="77">
        <f>G4</f>
        <v/>
      </c>
      <c r="H25" s="77">
        <f>H4</f>
        <v/>
      </c>
      <c r="I25" s="77">
        <f>I4</f>
        <v/>
      </c>
      <c r="J25" s="77">
        <f>J4</f>
        <v/>
      </c>
      <c r="K25" s="77">
        <f>K4</f>
        <v/>
      </c>
      <c r="L25" s="77">
        <f>L4</f>
        <v/>
      </c>
      <c r="M25" s="77">
        <f>M4</f>
        <v/>
      </c>
      <c r="N25" s="77">
        <f>N4</f>
        <v/>
      </c>
      <c r="O25" s="77">
        <f>O4</f>
        <v/>
      </c>
      <c r="P25" s="77">
        <f>P4</f>
        <v/>
      </c>
      <c r="Q25" s="77">
        <f>Q4</f>
        <v/>
      </c>
      <c r="R25" s="77">
        <f>R4</f>
        <v/>
      </c>
      <c r="S25" s="77">
        <f>S4</f>
        <v/>
      </c>
      <c r="T25" s="77">
        <f>T4</f>
        <v/>
      </c>
      <c r="U25" s="77">
        <f>U4</f>
        <v/>
      </c>
      <c r="V25" s="77">
        <f>V4</f>
        <v/>
      </c>
      <c r="W25" s="77">
        <f>W4</f>
        <v/>
      </c>
      <c r="X25" s="77">
        <f>X4</f>
        <v/>
      </c>
      <c r="Y25" s="77">
        <f>Y4</f>
        <v/>
      </c>
      <c r="Z25" s="77">
        <f>Z4</f>
        <v/>
      </c>
      <c r="AA25" s="77">
        <f>AA4</f>
        <v/>
      </c>
      <c r="AB25" s="77">
        <f>AB4</f>
        <v/>
      </c>
      <c r="AC25" s="77">
        <f>AC4</f>
        <v/>
      </c>
      <c r="AD25" s="77">
        <f>AD4</f>
        <v/>
      </c>
      <c r="AE25" s="77">
        <f>AE4</f>
        <v/>
      </c>
      <c r="AF25" s="77">
        <f>AF4</f>
        <v/>
      </c>
      <c r="AG25" s="77">
        <f>AG4</f>
        <v/>
      </c>
      <c r="AH25" s="77">
        <f>AH4</f>
        <v/>
      </c>
      <c r="AI25" s="77">
        <f>AI4</f>
        <v/>
      </c>
      <c r="AJ25" s="77">
        <f>AJ4</f>
        <v/>
      </c>
      <c r="AK25" s="77">
        <f>AK4</f>
        <v/>
      </c>
      <c r="AL25" s="77">
        <f>AL4</f>
        <v/>
      </c>
      <c r="AM25" s="77">
        <f>AM4</f>
        <v/>
      </c>
      <c r="AN25" s="77">
        <f>AN4</f>
        <v/>
      </c>
      <c r="AO25" s="77">
        <f>AO4</f>
        <v/>
      </c>
      <c r="AP25" s="77">
        <f>AP4</f>
        <v/>
      </c>
      <c r="AQ25" s="77">
        <f>AQ4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2026-07-21T20:48:07Z</dcterms:modified>
  <cp:lastModifiedBy>Dan O'Brien</cp:lastModifiedBy>
</cp:coreProperties>
</file>