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9445" yWindow="1200" windowWidth="24555" windowHeight="14835" tabRatio="600" firstSheet="3" activeTab="7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Factors applied" sheetId="2" state="visible" r:id="rId2"/>
    <sheet xmlns:r="http://schemas.openxmlformats.org/officeDocument/2006/relationships" name="OECD Mapping" sheetId="3" state="visible" r:id="rId3"/>
    <sheet xmlns:r="http://schemas.openxmlformats.org/officeDocument/2006/relationships" name="Cost Breakdowns" sheetId="4" state="visible" r:id="rId4"/>
    <sheet xmlns:r="http://schemas.openxmlformats.org/officeDocument/2006/relationships" name="graphs_nrel" sheetId="5" state="visible" r:id="rId5"/>
    <sheet xmlns:r="http://schemas.openxmlformats.org/officeDocument/2006/relationships" name="CCS Costs" sheetId="6" state="visible" r:id="rId6"/>
    <sheet xmlns:r="http://schemas.openxmlformats.org/officeDocument/2006/relationships" name="Checks" sheetId="7" state="visible" r:id="rId7"/>
    <sheet xmlns:r="http://schemas.openxmlformats.org/officeDocument/2006/relationships" name="SoESCaOMCbIC-capital" sheetId="8" state="visible" r:id="rId8"/>
    <sheet xmlns:r="http://schemas.openxmlformats.org/officeDocument/2006/relationships" name="SoESCaOMCbIC-fixedOM" sheetId="9" state="visible" r:id="rId9"/>
    <sheet xmlns:r="http://schemas.openxmlformats.org/officeDocument/2006/relationships" name="SoESCaOMCbIC-variableOM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$&quot;#,##0"/>
    <numFmt numFmtId="165" formatCode="0.0%"/>
    <numFmt numFmtId="166" formatCode="0.0000"/>
    <numFmt numFmtId="167" formatCode="0.000000000000000000%"/>
    <numFmt numFmtId="168" formatCode="&quot;$&quot;#,##0_);[Red]\(&quot;$&quot;#,##0\)"/>
    <numFmt numFmtId="169" formatCode="0.000"/>
  </numFmts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i val="1"/>
      <sz val="11"/>
    </font>
    <font>
      <name val="Arial"/>
      <family val="2"/>
      <b val="1"/>
      <sz val="10"/>
    </font>
    <font>
      <name val="Arial"/>
      <family val="2"/>
      <b val="1"/>
      <sz val="11"/>
    </font>
    <font>
      <name val="Arial"/>
      <family val="2"/>
      <sz val="10"/>
    </font>
    <font>
      <name val="Calibri"/>
      <family val="2"/>
      <color theme="10"/>
      <sz val="11"/>
      <u val="single"/>
      <scheme val="minor"/>
    </font>
    <font>
      <name val="Arial"/>
      <family val="2"/>
      <i val="1"/>
      <sz val="10"/>
    </font>
    <font>
      <name val="Arial"/>
      <family val="2"/>
      <color indexed="8"/>
      <sz val="11"/>
    </font>
    <font>
      <name val="Calibri"/>
      <family val="2"/>
      <sz val="11"/>
      <scheme val="minor"/>
    </font>
    <font>
      <name val="Arial"/>
      <family val="2"/>
      <color theme="1"/>
      <sz val="10"/>
    </font>
    <font>
      <name val="Arial"/>
      <family val="2"/>
      <i val="1"/>
      <color theme="1"/>
      <sz val="10"/>
    </font>
    <font>
      <name val="Calibri"/>
      <family val="2"/>
      <i val="1"/>
      <color theme="1"/>
      <sz val="11"/>
      <scheme val="minor"/>
    </font>
    <font>
      <name val="Calibri"/>
      <family val="2"/>
      <i val="1"/>
      <color indexed="8"/>
      <sz val="11"/>
      <scheme val="minor"/>
    </font>
    <font>
      <name val="Calibri"/>
      <family val="2"/>
      <color rgb="FF000000"/>
      <sz val="11"/>
      <scheme val="minor"/>
    </font>
    <font>
      <b val="1"/>
    </font>
    <font/>
  </fonts>
  <fills count="8">
    <fill>
      <patternFill/>
    </fill>
    <fill>
      <patternFill patternType="gray125"/>
    </fill>
    <fill>
      <patternFill patternType="solid">
        <fgColor rgb="FFFFC7CE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7" tint="0.7999816888943144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1" fillId="0" borderId="0"/>
    <xf numFmtId="9" fontId="1" fillId="0" borderId="0"/>
    <xf numFmtId="0" fontId="2" fillId="2" borderId="0"/>
    <xf numFmtId="0" fontId="9" fillId="0" borderId="0"/>
  </cellStyleXfs>
  <cellXfs count="146">
    <xf numFmtId="0" fontId="0" fillId="0" borderId="0" pivotButton="0" quotePrefix="0" xfId="0"/>
    <xf numFmtId="1" fontId="5" fillId="0" borderId="5" pivotButton="0" quotePrefix="0" xfId="0"/>
    <xf numFmtId="1" fontId="6" fillId="0" borderId="6" applyAlignment="1" pivotButton="0" quotePrefix="0" xfId="0">
      <alignment horizontal="center"/>
    </xf>
    <xf numFmtId="1" fontId="6" fillId="0" borderId="7" applyAlignment="1" pivotButton="0" quotePrefix="0" xfId="0">
      <alignment horizontal="center"/>
    </xf>
    <xf numFmtId="0" fontId="3" fillId="0" borderId="8" applyAlignment="1" pivotButton="0" quotePrefix="0" xfId="0">
      <alignment horizontal="center"/>
    </xf>
    <xf numFmtId="1" fontId="7" fillId="0" borderId="5" pivotButton="0" quotePrefix="0" xfId="0"/>
    <xf numFmtId="0" fontId="0" fillId="0" borderId="8" pivotButton="0" quotePrefix="0" xfId="0"/>
    <xf numFmtId="1" fontId="8" fillId="0" borderId="5" pivotButton="0" quotePrefix="0" xfId="0"/>
    <xf numFmtId="0" fontId="0" fillId="0" borderId="6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1" pivotButton="0" quotePrefix="0" xfId="0"/>
    <xf numFmtId="1" fontId="5" fillId="0" borderId="1" applyAlignment="1" pivotButton="0" quotePrefix="1" xfId="0">
      <alignment horizontal="left"/>
    </xf>
    <xf numFmtId="1" fontId="0" fillId="0" borderId="2" pivotButton="0" quotePrefix="0" xfId="0"/>
    <xf numFmtId="164" fontId="0" fillId="0" borderId="2" applyAlignment="1" pivotButton="0" quotePrefix="0" xfId="0">
      <alignment horizontal="center" vertical="center"/>
    </xf>
    <xf numFmtId="0" fontId="0" fillId="0" borderId="4" pivotButton="0" quotePrefix="0" xfId="0"/>
    <xf numFmtId="165" fontId="0" fillId="0" borderId="6" pivotButton="0" quotePrefix="0" xfId="1"/>
    <xf numFmtId="0" fontId="9" fillId="0" borderId="8" pivotButton="0" quotePrefix="0" xfId="3"/>
    <xf numFmtId="1" fontId="8" fillId="0" borderId="14" pivotButton="0" quotePrefix="0" xfId="0"/>
    <xf numFmtId="165" fontId="0" fillId="0" borderId="9" pivotButton="0" quotePrefix="0" xfId="1"/>
    <xf numFmtId="0" fontId="9" fillId="0" borderId="11" pivotButton="0" quotePrefix="0" xfId="3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9" fontId="0" fillId="0" borderId="6" pivotButton="0" quotePrefix="0" xfId="0"/>
    <xf numFmtId="0" fontId="0" fillId="0" borderId="14" pivotButton="0" quotePrefix="0" xfId="0"/>
    <xf numFmtId="0" fontId="0" fillId="0" borderId="9" pivotButton="0" quotePrefix="0" xfId="0"/>
    <xf numFmtId="0" fontId="0" fillId="0" borderId="10" pivotButton="0" quotePrefix="0" xfId="0"/>
    <xf numFmtId="10" fontId="0" fillId="0" borderId="6" applyAlignment="1" pivotButton="0" quotePrefix="0" xfId="1">
      <alignment horizontal="center"/>
    </xf>
    <xf numFmtId="164" fontId="0" fillId="0" borderId="6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1" fontId="10" fillId="0" borderId="5" pivotButton="0" quotePrefix="0" xfId="0"/>
    <xf numFmtId="1" fontId="7" fillId="0" borderId="15" pivotButton="0" quotePrefix="0" xfId="0"/>
    <xf numFmtId="10" fontId="0" fillId="0" borderId="12" applyAlignment="1" pivotButton="0" quotePrefix="0" xfId="1">
      <alignment horizontal="center"/>
    </xf>
    <xf numFmtId="164" fontId="0" fillId="0" borderId="12" applyAlignment="1" pivotButton="0" quotePrefix="0" xfId="0">
      <alignment horizontal="center"/>
    </xf>
    <xf numFmtId="164" fontId="0" fillId="0" borderId="13" applyAlignment="1" pivotButton="0" quotePrefix="0" xfId="0">
      <alignment horizontal="center"/>
    </xf>
    <xf numFmtId="0" fontId="9" fillId="0" borderId="16" pivotButton="0" quotePrefix="0" xfId="3"/>
    <xf numFmtId="164" fontId="0" fillId="0" borderId="2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1" fontId="8" fillId="0" borderId="5" applyAlignment="1" pivotButton="0" quotePrefix="1" xfId="0">
      <alignment horizontal="left"/>
    </xf>
    <xf numFmtId="0" fontId="0" fillId="0" borderId="6" applyAlignment="1" pivotButton="0" quotePrefix="0" xfId="0">
      <alignment horizontal="center"/>
    </xf>
    <xf numFmtId="1" fontId="8" fillId="0" borderId="14" applyAlignment="1" pivotButton="0" quotePrefix="1" xfId="0">
      <alignment horizontal="left"/>
    </xf>
    <xf numFmtId="9" fontId="0" fillId="0" borderId="9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0" fontId="0" fillId="0" borderId="9" applyAlignment="1" pivotButton="0" quotePrefix="0" xfId="1">
      <alignment horizontal="center"/>
    </xf>
    <xf numFmtId="165" fontId="11" fillId="0" borderId="6" applyAlignment="1" pivotButton="0" quotePrefix="0" xfId="1">
      <alignment horizontal="center"/>
    </xf>
    <xf numFmtId="165" fontId="0" fillId="0" borderId="6" applyAlignment="1" pivotButton="0" quotePrefix="0" xfId="1">
      <alignment horizontal="center"/>
    </xf>
    <xf numFmtId="1" fontId="8" fillId="0" borderId="14" applyAlignment="1" pivotButton="0" quotePrefix="0" xfId="0">
      <alignment horizontal="left" wrapText="1"/>
    </xf>
    <xf numFmtId="165" fontId="0" fillId="0" borderId="9" applyAlignment="1" pivotButton="0" quotePrefix="0" xfId="1">
      <alignment horizontal="center"/>
    </xf>
    <xf numFmtId="164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10" fontId="0" fillId="0" borderId="2" applyAlignment="1" pivotButton="0" quotePrefix="0" xfId="1">
      <alignment horizontal="center"/>
    </xf>
    <xf numFmtId="0" fontId="9" fillId="0" borderId="4" pivotButton="0" quotePrefix="0" xfId="3"/>
    <xf numFmtId="9" fontId="0" fillId="0" borderId="9" pivotButton="0" quotePrefix="0" xfId="0"/>
    <xf numFmtId="1" fontId="6" fillId="0" borderId="2" applyAlignment="1" pivotButton="0" quotePrefix="0" xfId="0">
      <alignment horizontal="center"/>
    </xf>
    <xf numFmtId="165" fontId="8" fillId="0" borderId="6" pivotButton="0" quotePrefix="0" xfId="1"/>
    <xf numFmtId="0" fontId="9" fillId="0" borderId="21" pivotButton="0" quotePrefix="0" xfId="3"/>
    <xf numFmtId="1" fontId="8" fillId="0" borderId="15" pivotButton="0" quotePrefix="0" xfId="0"/>
    <xf numFmtId="165" fontId="8" fillId="0" borderId="12" pivotButton="0" quotePrefix="0" xfId="1"/>
    <xf numFmtId="0" fontId="0" fillId="0" borderId="12" pivotButton="0" quotePrefix="0" xfId="0"/>
    <xf numFmtId="0" fontId="0" fillId="0" borderId="2" pivotButton="0" quotePrefix="0" xfId="0"/>
    <xf numFmtId="9" fontId="0" fillId="0" borderId="12" pivotButton="0" quotePrefix="0" xfId="0"/>
    <xf numFmtId="1" fontId="8" fillId="0" borderId="22" pivotButton="0" quotePrefix="0" xfId="0"/>
    <xf numFmtId="0" fontId="0" fillId="0" borderId="23" pivotButton="0" quotePrefix="0" xfId="0"/>
    <xf numFmtId="0" fontId="9" fillId="0" borderId="24" pivotButton="0" quotePrefix="0" xfId="3"/>
    <xf numFmtId="0" fontId="9" fillId="0" borderId="0" pivotButton="0" quotePrefix="0" xfId="3"/>
    <xf numFmtId="165" fontId="0" fillId="0" borderId="12" pivotButton="0" quotePrefix="0" xfId="1"/>
    <xf numFmtId="0" fontId="0" fillId="0" borderId="15" pivotButton="0" quotePrefix="0" xfId="0"/>
    <xf numFmtId="0" fontId="9" fillId="0" borderId="25" pivotButton="0" quotePrefix="0" xfId="3"/>
    <xf numFmtId="9" fontId="0" fillId="0" borderId="6" pivotButton="0" quotePrefix="0" xfId="1"/>
    <xf numFmtId="9" fontId="0" fillId="0" borderId="9" pivotButton="0" quotePrefix="0" xfId="1"/>
    <xf numFmtId="0" fontId="3" fillId="0" borderId="0" pivotButton="0" quotePrefix="0" xfId="0"/>
    <xf numFmtId="0" fontId="0" fillId="0" borderId="16" pivotButton="0" quotePrefix="0" xfId="0"/>
    <xf numFmtId="0" fontId="0" fillId="0" borderId="7" applyAlignment="1" pivotButton="0" quotePrefix="0" xfId="0">
      <alignment horizontal="left" vertical="center"/>
    </xf>
    <xf numFmtId="0" fontId="12" fillId="0" borderId="6" applyAlignment="1" pivotButton="0" quotePrefix="0" xfId="0">
      <alignment horizontal="center" vertical="center"/>
    </xf>
    <xf numFmtId="0" fontId="12" fillId="0" borderId="6" applyAlignment="1" pivotButton="0" quotePrefix="0" xfId="2">
      <alignment horizontal="center" vertical="center"/>
    </xf>
    <xf numFmtId="0" fontId="12" fillId="0" borderId="12" applyAlignment="1" pivotButton="0" quotePrefix="0" xfId="0">
      <alignment horizontal="center" vertical="center"/>
    </xf>
    <xf numFmtId="166" fontId="0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horizontal="left"/>
    </xf>
    <xf numFmtId="165" fontId="0" fillId="0" borderId="0" pivotButton="0" quotePrefix="0" xfId="1"/>
    <xf numFmtId="10" fontId="0" fillId="0" borderId="0" pivotButton="0" quotePrefix="0" xfId="1"/>
    <xf numFmtId="0" fontId="3" fillId="0" borderId="4" applyAlignment="1" pivotButton="0" quotePrefix="0" xfId="0">
      <alignment horizontal="center"/>
    </xf>
    <xf numFmtId="0" fontId="13" fillId="0" borderId="5" pivotButton="0" quotePrefix="0" xfId="0"/>
    <xf numFmtId="0" fontId="13" fillId="0" borderId="15" pivotButton="0" quotePrefix="0" xfId="0"/>
    <xf numFmtId="0" fontId="13" fillId="0" borderId="14" pivotButton="0" quotePrefix="0" xfId="0"/>
    <xf numFmtId="0" fontId="14" fillId="0" borderId="5" pivotButton="0" quotePrefix="0" xfId="0"/>
    <xf numFmtId="0" fontId="0" fillId="0" borderId="26" pivotButton="0" quotePrefix="0" xfId="0"/>
    <xf numFmtId="0" fontId="0" fillId="0" borderId="27" pivotButton="0" quotePrefix="0" xfId="0"/>
    <xf numFmtId="166" fontId="0" fillId="4" borderId="0" pivotButton="0" quotePrefix="0" xfId="0"/>
    <xf numFmtId="0" fontId="0" fillId="0" borderId="6" applyAlignment="1" pivotButton="0" quotePrefix="0" xfId="0">
      <alignment horizontal="left" vertical="center"/>
    </xf>
    <xf numFmtId="165" fontId="0" fillId="0" borderId="6" pivotButton="0" quotePrefix="0" xfId="1"/>
    <xf numFmtId="1" fontId="5" fillId="0" borderId="1" pivotButton="0" quotePrefix="0" xfId="0"/>
    <xf numFmtId="164" fontId="0" fillId="0" borderId="6" applyAlignment="1" pivotButton="0" quotePrefix="0" xfId="0">
      <alignment horizontal="left" vertical="center"/>
    </xf>
    <xf numFmtId="0" fontId="0" fillId="0" borderId="9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/>
    </xf>
    <xf numFmtId="1" fontId="5" fillId="0" borderId="17" applyAlignment="1" pivotButton="0" quotePrefix="1" xfId="0">
      <alignment horizontal="left"/>
    </xf>
    <xf numFmtId="0" fontId="0" fillId="0" borderId="18" pivotButton="0" quotePrefix="0" xfId="0"/>
    <xf numFmtId="0" fontId="9" fillId="0" borderId="20" pivotButton="0" quotePrefix="0" xfId="3"/>
    <xf numFmtId="0" fontId="13" fillId="0" borderId="1" pivotButton="0" quotePrefix="0" xfId="0"/>
    <xf numFmtId="166" fontId="0" fillId="5" borderId="0" pivotButton="0" quotePrefix="0" xfId="0"/>
    <xf numFmtId="167" fontId="0" fillId="0" borderId="0" pivotButton="0" quotePrefix="0" xfId="0"/>
    <xf numFmtId="167" fontId="0" fillId="0" borderId="6" pivotButton="0" quotePrefix="0" xfId="0"/>
    <xf numFmtId="165" fontId="0" fillId="0" borderId="2" pivotButton="0" quotePrefix="0" xfId="1"/>
    <xf numFmtId="167" fontId="0" fillId="0" borderId="2" pivotButton="0" quotePrefix="0" xfId="0"/>
    <xf numFmtId="0" fontId="0" fillId="0" borderId="2" pivotButton="0" quotePrefix="0" xfId="1"/>
    <xf numFmtId="0" fontId="13" fillId="0" borderId="14" applyAlignment="1" pivotButton="0" quotePrefix="0" xfId="0">
      <alignment wrapText="1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9" fillId="0" borderId="0" applyAlignment="1" pivotButton="0" quotePrefix="0" xfId="3">
      <alignment vertical="center" wrapText="1"/>
    </xf>
    <xf numFmtId="0" fontId="0" fillId="0" borderId="0" applyAlignment="1" pivotButton="0" quotePrefix="0" xfId="0">
      <alignment horizontal="right"/>
    </xf>
    <xf numFmtId="165" fontId="0" fillId="0" borderId="6" pivotButton="0" quotePrefix="0" xfId="1"/>
    <xf numFmtId="9" fontId="0" fillId="0" borderId="0" pivotButton="0" quotePrefix="0" xfId="1"/>
    <xf numFmtId="9" fontId="0" fillId="0" borderId="0" pivotButton="0" quotePrefix="0" xfId="0"/>
    <xf numFmtId="9" fontId="3" fillId="0" borderId="0" pivotButton="0" quotePrefix="0" xfId="1"/>
    <xf numFmtId="0" fontId="3" fillId="6" borderId="0" pivotButton="0" quotePrefix="0" xfId="0"/>
    <xf numFmtId="0" fontId="0" fillId="6" borderId="0" pivotButton="0" quotePrefix="0" xfId="0"/>
    <xf numFmtId="165" fontId="8" fillId="7" borderId="6" pivotButton="0" quotePrefix="0" xfId="1"/>
    <xf numFmtId="1" fontId="0" fillId="7" borderId="2" pivotButton="0" quotePrefix="0" xfId="0"/>
    <xf numFmtId="165" fontId="0" fillId="7" borderId="6" pivotButton="0" quotePrefix="0" xfId="1"/>
    <xf numFmtId="0" fontId="3" fillId="0" borderId="28" pivotButton="0" quotePrefix="0" xfId="0"/>
    <xf numFmtId="0" fontId="0" fillId="0" borderId="28" pivotButton="0" quotePrefix="0" xfId="0"/>
    <xf numFmtId="1" fontId="8" fillId="0" borderId="0" pivotButton="0" quotePrefix="0" xfId="0"/>
    <xf numFmtId="1" fontId="5" fillId="0" borderId="0" applyAlignment="1" pivotButton="0" quotePrefix="1" xfId="0">
      <alignment horizontal="left"/>
    </xf>
    <xf numFmtId="1" fontId="0" fillId="0" borderId="0" pivotButton="0" quotePrefix="0" xfId="0"/>
    <xf numFmtId="165" fontId="0" fillId="0" borderId="0" pivotButton="0" quotePrefix="0" xfId="1"/>
    <xf numFmtId="0" fontId="15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0" fontId="17" fillId="0" borderId="0" applyAlignment="1" pivotButton="0" quotePrefix="0" xfId="0">
      <alignment vertical="center"/>
    </xf>
    <xf numFmtId="0" fontId="4" fillId="3" borderId="17" applyAlignment="1" pivotButton="0" quotePrefix="0" xfId="0">
      <alignment horizontal="center"/>
    </xf>
    <xf numFmtId="0" fontId="4" fillId="3" borderId="18" applyAlignment="1" pivotButton="0" quotePrefix="0" xfId="0">
      <alignment horizontal="center"/>
    </xf>
    <xf numFmtId="0" fontId="4" fillId="3" borderId="19" applyAlignment="1" pivotButton="0" quotePrefix="0" xfId="0">
      <alignment horizontal="center"/>
    </xf>
    <xf numFmtId="0" fontId="4" fillId="3" borderId="20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3" borderId="2" applyAlignment="1" pivotButton="0" quotePrefix="0" xfId="0">
      <alignment horizontal="center"/>
    </xf>
    <xf numFmtId="0" fontId="4" fillId="3" borderId="4" applyAlignment="1" pivotButton="0" quotePrefix="0" xfId="0">
      <alignment horizontal="center"/>
    </xf>
    <xf numFmtId="0" fontId="4" fillId="3" borderId="3" applyAlignment="1" pivotButton="0" quotePrefix="0" xfId="0">
      <alignment horizontal="center"/>
    </xf>
    <xf numFmtId="0" fontId="18" fillId="0" borderId="0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29" pivotButton="0" quotePrefix="0" xfId="0"/>
    <xf numFmtId="169" fontId="0" fillId="0" borderId="0" pivotButton="0" quotePrefix="0" xfId="0"/>
    <xf numFmtId="168" fontId="0" fillId="0" borderId="0" pivotButton="0" quotePrefix="0" xfId="0"/>
    <xf numFmtId="0" fontId="19" fillId="0" borderId="0" pivotButton="0" quotePrefix="0" xfId="0"/>
  </cellXfs>
  <cellStyles count="4">
    <cellStyle name="Normal" xfId="0" builtinId="0"/>
    <cellStyle name="Percent" xfId="1" builtinId="5"/>
    <cellStyle name="Bad" xfId="2" builtinId="27"/>
    <cellStyle name="Hyperlink" xfId="3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 editAs="oneCell">
    <from>
      <col>0</col>
      <colOff>6350</colOff>
      <row>2</row>
      <rowOff>31750</rowOff>
    </from>
    <to>
      <col>9</col>
      <colOff>355600</colOff>
      <row>54</row>
      <rowOff>36902</rowOff>
    </to>
    <pic>
      <nvPicPr>
        <cNvPr id="2" name="Picture 1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r:embed="rId1"/>
        <a:srcRect xmlns:a="http://schemas.openxmlformats.org/drawingml/2006/main" r="62647"/>
        <a:stretch xmlns:a="http://schemas.openxmlformats.org/drawingml/2006/main">
          <a:fillRect/>
        </a:stretch>
      </blipFill>
      <spPr>
        <a:xfrm xmlns:a="http://schemas.openxmlformats.org/drawingml/2006/main">
          <a:off x="6350" y="400050"/>
          <a:ext cx="5835650" cy="958095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9</col>
      <colOff>414867</colOff>
      <row>2</row>
      <rowOff>6350</rowOff>
    </from>
    <to>
      <col>14</col>
      <colOff>317664</colOff>
      <row>55</row>
      <rowOff>51719</rowOff>
    </to>
    <pic>
      <nvPicPr>
        <cNvPr id="3" name="Picture 2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r:embed="rId2"/>
        <a:srcRect xmlns:a="http://schemas.openxmlformats.org/drawingml/2006/main" l="80972"/>
        <a:stretch xmlns:a="http://schemas.openxmlformats.org/drawingml/2006/main">
          <a:fillRect/>
        </a:stretch>
      </blipFill>
      <spPr>
        <a:xfrm xmlns:a="http://schemas.openxmlformats.org/drawingml/2006/main">
          <a:off x="5901267" y="374650"/>
          <a:ext cx="2950797" cy="980531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nrel.gov/analysis/jedi/coal.html" TargetMode="External" Id="rId1"/><Relationship Type="http://schemas.openxmlformats.org/officeDocument/2006/relationships/hyperlink" Target="https://www.world-nuclear.org/information-library/economic-aspects/economics-of-nuclear-power.aspx" TargetMode="External" Id="rId2"/><Relationship Type="http://schemas.openxmlformats.org/officeDocument/2006/relationships/hyperlink" Target="https://www.nrel.gov/analysis/jedi/wind.html" TargetMode="External" Id="rId3"/><Relationship Type="http://schemas.openxmlformats.org/officeDocument/2006/relationships/hyperlink" Target="https://www.nrel.gov/analysis/jedi/natural-gas.html" TargetMode="External" Id="rId4"/><Relationship Type="http://schemas.openxmlformats.org/officeDocument/2006/relationships/hyperlink" Target="https://www.nrel.gov/analysis/jedi/conventional-hydro.html" TargetMode="External" Id="rId5"/><Relationship Type="http://schemas.openxmlformats.org/officeDocument/2006/relationships/hyperlink" Target="https://www.nrel.gov/analysis/jedi/international.html" TargetMode="External" Id="rId6"/><Relationship Type="http://schemas.openxmlformats.org/officeDocument/2006/relationships/hyperlink" Target="https://www.eia.gov/analysis/studies/powerplants/capitalcost/pdf/capital_cost_AEO2020.pdf" TargetMode="External" Id="rId7"/><Relationship Type="http://schemas.openxmlformats.org/officeDocument/2006/relationships/hyperlink" Target="https://www1.eere.energy.gov/water/pdfs/doewater-00662.pdf" TargetMode="External" Id="rId8"/><Relationship Type="http://schemas.openxmlformats.org/officeDocument/2006/relationships/hyperlink" Target="https://www.nrel.gov/analysis/jedi/csp.html" TargetMode="External" Id="rId9"/><Relationship Type="http://schemas.openxmlformats.org/officeDocument/2006/relationships/hyperlink" Target="https://www.nrel.gov/analysis/jedi/wind.html" TargetMode="External" Id="rId10"/><Relationship Type="http://schemas.openxmlformats.org/officeDocument/2006/relationships/hyperlink" Target="https://www.nrel.gov/analysis/jedi/international.html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nrel.gov/docs/fy19osti/72399.pdf,%20Figure%2028" TargetMode="External" Id="rId1"/><Relationship Type="http://schemas.openxmlformats.org/officeDocument/2006/relationships/hyperlink" Target="https://www.nrel.gov/docs/fy19osti/72399.pdf,%20Figure%2028" TargetMode="External" Id="rId2"/><Relationship Type="http://schemas.openxmlformats.org/officeDocument/2006/relationships/hyperlink" Target="https://www.nrel.gov/docs/fy19osti/72399.pdf,%20Figure%2028" TargetMode="External" Id="rId3"/><Relationship Type="http://schemas.openxmlformats.org/officeDocument/2006/relationships/hyperlink" Target="https://www.nrel.gov/docs/fy19osti/72399.pdf,%20Figure%2028" TargetMode="External" Id="rId4"/><Relationship Type="http://schemas.openxmlformats.org/officeDocument/2006/relationships/hyperlink" Target="https://www.nrel.gov/docs/fy19osti/72399.pdf,%20Figure%2028" TargetMode="External" Id="rId5"/><Relationship Type="http://schemas.openxmlformats.org/officeDocument/2006/relationships/hyperlink" Target="https://www.nrel.gov/docs/fy19osti/72399.pdf,%20Figure%2028" TargetMode="External" Id="rId6"/><Relationship Type="http://schemas.openxmlformats.org/officeDocument/2006/relationships/hyperlink" Target="https://www.nrel.gov/docs/fy19osti/72399.pdf,%20Figure%2028" TargetMode="External" Id="rId7"/><Relationship Type="http://schemas.openxmlformats.org/officeDocument/2006/relationships/hyperlink" Target="https://www.nrel.gov/docs/fy19osti/72399.pdf,%20Figure%2028" TargetMode="External" Id="rId8"/><Relationship Type="http://schemas.openxmlformats.org/officeDocument/2006/relationships/hyperlink" Target="https://www.nrel.gov/docs/fy19osti/72399.pdf,%20Figure%2028" TargetMode="External" Id="rId9"/><Relationship Type="http://schemas.openxmlformats.org/officeDocument/2006/relationships/hyperlink" Target="https://www.nrel.gov/docs/fy19osti/72399.pdf,%20Figure%2028" TargetMode="External" Id="rId10"/><Relationship Type="http://schemas.openxmlformats.org/officeDocument/2006/relationships/hyperlink" Target="https://www.nrel.gov/analysis/jedi/international.html" TargetMode="External" Id="rId11"/><Relationship Type="http://schemas.openxmlformats.org/officeDocument/2006/relationships/hyperlink" Target="https://www.nrel.gov/analysis/jedi/international.html" TargetMode="External" Id="rId12"/><Relationship Type="http://schemas.openxmlformats.org/officeDocument/2006/relationships/hyperlink" Target="https://www.nrel.gov/analysis/jedi/coal.html" TargetMode="External" Id="rId13"/><Relationship Type="http://schemas.openxmlformats.org/officeDocument/2006/relationships/hyperlink" Target="https://www.nrel.gov/analysis/jedi/coal.html" TargetMode="External" Id="rId14"/><Relationship Type="http://schemas.openxmlformats.org/officeDocument/2006/relationships/hyperlink" Target="https://www.nrel.gov/analysis/jedi/coal.html" TargetMode="External" Id="rId15"/><Relationship Type="http://schemas.openxmlformats.org/officeDocument/2006/relationships/hyperlink" Target="https://www.nrel.gov/analysis/jedi/coal.html" TargetMode="External" Id="rId16"/><Relationship Type="http://schemas.openxmlformats.org/officeDocument/2006/relationships/hyperlink" Target="https://www.nrel.gov/analysis/jedi/coal.html" TargetMode="External" Id="rId17"/><Relationship Type="http://schemas.openxmlformats.org/officeDocument/2006/relationships/hyperlink" Target="https://www.nrel.gov/analysis/jedi/coal.html" TargetMode="External" Id="rId18"/><Relationship Type="http://schemas.openxmlformats.org/officeDocument/2006/relationships/hyperlink" Target="https://www.nrel.gov/analysis/jedi/coal.html" TargetMode="External" Id="rId19"/><Relationship Type="http://schemas.openxmlformats.org/officeDocument/2006/relationships/hyperlink" Target="https://www.nrel.gov/analysis/jedi/natural-gas.html" TargetMode="External" Id="rId20"/><Relationship Type="http://schemas.openxmlformats.org/officeDocument/2006/relationships/hyperlink" Target="https://www.nrel.gov/analysis/jedi/natural-gas.html" TargetMode="External" Id="rId21"/><Relationship Type="http://schemas.openxmlformats.org/officeDocument/2006/relationships/hyperlink" Target="https://www.nrel.gov/analysis/jedi/natural-gas.html" TargetMode="External" Id="rId22"/><Relationship Type="http://schemas.openxmlformats.org/officeDocument/2006/relationships/hyperlink" Target="https://www.world-nuclear.org/information-library/economic-aspects/economics-of-nuclear-power.aspx" TargetMode="External" Id="rId23"/><Relationship Type="http://schemas.openxmlformats.org/officeDocument/2006/relationships/hyperlink" Target="https://www.world-nuclear.org/information-library/economic-aspects/economics-of-nuclear-power.aspx" TargetMode="External" Id="rId24"/><Relationship Type="http://schemas.openxmlformats.org/officeDocument/2006/relationships/hyperlink" Target="https://www.world-nuclear.org/information-library/economic-aspects/economics-of-nuclear-power.aspx" TargetMode="External" Id="rId25"/><Relationship Type="http://schemas.openxmlformats.org/officeDocument/2006/relationships/hyperlink" Target="https://www.world-nuclear.org/information-library/economic-aspects/economics-of-nuclear-power.aspx" TargetMode="External" Id="rId26"/><Relationship Type="http://schemas.openxmlformats.org/officeDocument/2006/relationships/hyperlink" Target="https://www.world-nuclear.org/information-library/economic-aspects/economics-of-nuclear-power.aspx" TargetMode="External" Id="rId27"/><Relationship Type="http://schemas.openxmlformats.org/officeDocument/2006/relationships/hyperlink" Target="https://www.world-nuclear.org/information-library/economic-aspects/economics-of-nuclear-power.aspx" TargetMode="External" Id="rId28"/><Relationship Type="http://schemas.openxmlformats.org/officeDocument/2006/relationships/hyperlink" Target="https://www.world-nuclear.org/information-library/economic-aspects/economics-of-nuclear-power.aspx" TargetMode="External" Id="rId29"/><Relationship Type="http://schemas.openxmlformats.org/officeDocument/2006/relationships/hyperlink" Target="https://www.world-nuclear.org/information-library/economic-aspects/economics-of-nuclear-power.aspx" TargetMode="External" Id="rId30"/><Relationship Type="http://schemas.openxmlformats.org/officeDocument/2006/relationships/hyperlink" Target="https://www.world-nuclear.org/information-library/economic-aspects/economics-of-nuclear-power.aspx" TargetMode="External" Id="rId31"/><Relationship Type="http://schemas.openxmlformats.org/officeDocument/2006/relationships/hyperlink" Target="https://www.nei.org/CorporateSite/media/filefolder/resources/reports-and-briefs/nuclear-costs-context-201810.pdf" TargetMode="External" Id="rId32"/><Relationship Type="http://schemas.openxmlformats.org/officeDocument/2006/relationships/hyperlink" Target="https://www.eia.gov/analysis/studies/powerplants/capitalcost/pdf/capital_cost_AEO2020.pdf" TargetMode="External" Id="rId33"/><Relationship Type="http://schemas.openxmlformats.org/officeDocument/2006/relationships/hyperlink" Target="https://www.nrel.gov/analysis/jedi/conventional-hydro.html" TargetMode="External" Id="rId34"/><Relationship Type="http://schemas.openxmlformats.org/officeDocument/2006/relationships/hyperlink" Target="https://www.nrel.gov/analysis/jedi/conventional-hydro.html" TargetMode="External" Id="rId35"/><Relationship Type="http://schemas.openxmlformats.org/officeDocument/2006/relationships/hyperlink" Target="https://www.nrel.gov/analysis/jedi/conventional-hydro.html" TargetMode="External" Id="rId36"/><Relationship Type="http://schemas.openxmlformats.org/officeDocument/2006/relationships/hyperlink" Target="https://www.nrel.gov/analysis/jedi/conventional-hydro.html" TargetMode="External" Id="rId37"/><Relationship Type="http://schemas.openxmlformats.org/officeDocument/2006/relationships/hyperlink" Target="https://www.nrel.gov/analysis/jedi/conventional-hydro.html" TargetMode="External" Id="rId38"/><Relationship Type="http://schemas.openxmlformats.org/officeDocument/2006/relationships/hyperlink" Target="https://www.nrel.gov/analysis/jedi/conventional-hydro.html" TargetMode="External" Id="rId39"/><Relationship Type="http://schemas.openxmlformats.org/officeDocument/2006/relationships/hyperlink" Target="https://www.nrel.gov/analysis/jedi/conventional-hydro.html" TargetMode="External" Id="rId40"/><Relationship Type="http://schemas.openxmlformats.org/officeDocument/2006/relationships/hyperlink" Target="https://www.nrel.gov/analysis/jedi/conventional-hydro.html" TargetMode="External" Id="rId41"/><Relationship Type="http://schemas.openxmlformats.org/officeDocument/2006/relationships/hyperlink" Target="https://www.nrel.gov/analysis/jedi/conventional-hydro.html" TargetMode="External" Id="rId42"/><Relationship Type="http://schemas.openxmlformats.org/officeDocument/2006/relationships/hyperlink" Target="https://www.nrel.gov/analysis/jedi/conventional-hydro.html" TargetMode="External" Id="rId43"/><Relationship Type="http://schemas.openxmlformats.org/officeDocument/2006/relationships/hyperlink" Target="https://www.nrel.gov/analysis/jedi/conventional-hydro.html" TargetMode="External" Id="rId44"/><Relationship Type="http://schemas.openxmlformats.org/officeDocument/2006/relationships/hyperlink" Target="https://www.nrel.gov/analysis/jedi/conventional-hydro.html" TargetMode="External" Id="rId45"/><Relationship Type="http://schemas.openxmlformats.org/officeDocument/2006/relationships/hyperlink" Target="https://www.nrel.gov/analysis/jedi/conventional-hydro.html" TargetMode="External" Id="rId46"/><Relationship Type="http://schemas.openxmlformats.org/officeDocument/2006/relationships/hyperlink" Target="https://www.nrel.gov/analysis/jedi/conventional-hydro.html" TargetMode="External" Id="rId47"/><Relationship Type="http://schemas.openxmlformats.org/officeDocument/2006/relationships/hyperlink" Target="https://www.nrel.gov/analysis/jedi/conventional-hydro.html" TargetMode="External" Id="rId48"/><Relationship Type="http://schemas.openxmlformats.org/officeDocument/2006/relationships/hyperlink" Target="https://www1.eere.energy.gov/water/pdfs/doewater-00662.pdf" TargetMode="External" Id="rId49"/><Relationship Type="http://schemas.openxmlformats.org/officeDocument/2006/relationships/hyperlink" Target="https://www.nrel.gov/analysis/jedi/international.html" TargetMode="External" Id="rId50"/><Relationship Type="http://schemas.openxmlformats.org/officeDocument/2006/relationships/hyperlink" Target="https://www.nrel.gov/analysis/jedi/international.html" TargetMode="External" Id="rId51"/><Relationship Type="http://schemas.openxmlformats.org/officeDocument/2006/relationships/hyperlink" Target="https://www.nrel.gov/analysis/jedi/international.html" TargetMode="External" Id="rId52"/><Relationship Type="http://schemas.openxmlformats.org/officeDocument/2006/relationships/hyperlink" Target="https://www.nrel.gov/analysis/jedi/international.html" TargetMode="External" Id="rId53"/><Relationship Type="http://schemas.openxmlformats.org/officeDocument/2006/relationships/hyperlink" Target="https://www.nrel.gov/analysis/jedi/international.html" TargetMode="External" Id="rId54"/><Relationship Type="http://schemas.openxmlformats.org/officeDocument/2006/relationships/hyperlink" Target="https://www.nrel.gov/analysis/jedi/international.html" TargetMode="External" Id="rId55"/><Relationship Type="http://schemas.openxmlformats.org/officeDocument/2006/relationships/hyperlink" Target="https://www.nrel.gov/analysis/jedi/international.html" TargetMode="External" Id="rId56"/><Relationship Type="http://schemas.openxmlformats.org/officeDocument/2006/relationships/hyperlink" Target="https://www.nrel.gov/analysis/jedi/international.html" TargetMode="External" Id="rId57"/><Relationship Type="http://schemas.openxmlformats.org/officeDocument/2006/relationships/hyperlink" Target="https://www.nrel.gov/analysis/jedi/international.html" TargetMode="External" Id="rId58"/><Relationship Type="http://schemas.openxmlformats.org/officeDocument/2006/relationships/hyperlink" Target="https://www.nrel.gov/analysis/jedi/international.html" TargetMode="External" Id="rId59"/><Relationship Type="http://schemas.openxmlformats.org/officeDocument/2006/relationships/hyperlink" Target="https://www.nrel.gov/analysis/jedi/csp.html" TargetMode="External" Id="rId60"/><Relationship Type="http://schemas.openxmlformats.org/officeDocument/2006/relationships/hyperlink" Target="https://www.nrel.gov/analysis/jedi/csp.html" TargetMode="External" Id="rId61"/><Relationship Type="http://schemas.openxmlformats.org/officeDocument/2006/relationships/hyperlink" Target="https://www.nrel.gov/analysis/jedi/csp.html" TargetMode="External" Id="rId62"/><Relationship Type="http://schemas.openxmlformats.org/officeDocument/2006/relationships/hyperlink" Target="https://www.nrel.gov/analysis/jedi/csp.html" TargetMode="External" Id="rId63"/><Relationship Type="http://schemas.openxmlformats.org/officeDocument/2006/relationships/hyperlink" Target="https://www.nrel.gov/analysis/jedi/csp.html" TargetMode="External" Id="rId64"/><Relationship Type="http://schemas.openxmlformats.org/officeDocument/2006/relationships/hyperlink" Target="https://www.nrel.gov/analysis/jedi/csp.html" TargetMode="External" Id="rId65"/><Relationship Type="http://schemas.openxmlformats.org/officeDocument/2006/relationships/hyperlink" Target="https://www.nrel.gov/analysis/jedi/csp.html" TargetMode="External" Id="rId66"/><Relationship Type="http://schemas.openxmlformats.org/officeDocument/2006/relationships/hyperlink" Target="https://www.nrel.gov/analysis/jedi/csp.html" TargetMode="External" Id="rId67"/><Relationship Type="http://schemas.openxmlformats.org/officeDocument/2006/relationships/hyperlink" Target="https://www.nrel.gov/analysis/jedi/csp.html" TargetMode="External" Id="rId68"/><Relationship Type="http://schemas.openxmlformats.org/officeDocument/2006/relationships/hyperlink" Target="https://www.nrel.gov/analysis/jedi/csp.html" TargetMode="External" Id="rId69"/><Relationship Type="http://schemas.openxmlformats.org/officeDocument/2006/relationships/hyperlink" Target="https://www.nrel.gov/analysis/jedi/csp.html" TargetMode="External" Id="rId70"/><Relationship Type="http://schemas.openxmlformats.org/officeDocument/2006/relationships/hyperlink" Target="https://www.nrel.gov/analysis/jedi/csp.html" TargetMode="External" Id="rId71"/><Relationship Type="http://schemas.openxmlformats.org/officeDocument/2006/relationships/hyperlink" Target="https://www.nrel.gov/analysis/jedi/csp.html" TargetMode="External" Id="rId72"/><Relationship Type="http://schemas.openxmlformats.org/officeDocument/2006/relationships/hyperlink" Target="https://www.nrel.gov/analysis/jedi/csp.html" TargetMode="External" Id="rId73"/><Relationship Type="http://schemas.openxmlformats.org/officeDocument/2006/relationships/hyperlink" Target="https://www.nrel.gov/analysis/jedi/csp.html" TargetMode="External" Id="rId74"/><Relationship Type="http://schemas.openxmlformats.org/officeDocument/2006/relationships/hyperlink" Target="https://www.nrel.gov/analysis/jedi/csp.html" TargetMode="External" Id="rId75"/><Relationship Type="http://schemas.openxmlformats.org/officeDocument/2006/relationships/hyperlink" Target="https://www.nrel.gov/analysis/jedi/csp.html" TargetMode="External" Id="rId76"/><Relationship Type="http://schemas.openxmlformats.org/officeDocument/2006/relationships/hyperlink" Target="https://www.nrel.gov/analysis/jedi/csp.html" TargetMode="External" Id="rId77"/><Relationship Type="http://schemas.openxmlformats.org/officeDocument/2006/relationships/hyperlink" Target="https://www.nrel.gov/analysis/jedi/csp.html" TargetMode="External" Id="rId78"/><Relationship Type="http://schemas.openxmlformats.org/officeDocument/2006/relationships/hyperlink" Target="https://www.nrel.gov/analysis/jedi/csp.html" TargetMode="External" Id="rId79"/><Relationship Type="http://schemas.openxmlformats.org/officeDocument/2006/relationships/hyperlink" Target="https://www.nrel.gov/analysis/jedi/csp.html" TargetMode="External" Id="rId80"/><Relationship Type="http://schemas.openxmlformats.org/officeDocument/2006/relationships/hyperlink" Target="https://www.nrel.gov/analysis/jedi/csp.html" TargetMode="External" Id="rId81"/><Relationship Type="http://schemas.openxmlformats.org/officeDocument/2006/relationships/hyperlink" Target="https://www.nrel.gov/analysis/jedi/csp.html" TargetMode="External" Id="rId82"/><Relationship Type="http://schemas.openxmlformats.org/officeDocument/2006/relationships/hyperlink" Target="https://www.nrel.gov/analysis/jedi/csp.html" TargetMode="External" Id="rId83"/><Relationship Type="http://schemas.openxmlformats.org/officeDocument/2006/relationships/hyperlink" Target="https://www.nrel.gov/analysis/jedi/csp.html" TargetMode="External" Id="rId84"/><Relationship Type="http://schemas.openxmlformats.org/officeDocument/2006/relationships/hyperlink" Target="https://www.nrel.gov/analysis/jedi/csp.html" TargetMode="External" Id="rId85"/><Relationship Type="http://schemas.openxmlformats.org/officeDocument/2006/relationships/hyperlink" Target="https://www.nrel.gov/analysis/jedi/csp.html" TargetMode="External" Id="rId86"/><Relationship Type="http://schemas.openxmlformats.org/officeDocument/2006/relationships/hyperlink" Target="https://www.nrel.gov/analysis/jedi/csp.html" TargetMode="External" Id="rId87"/><Relationship Type="http://schemas.openxmlformats.org/officeDocument/2006/relationships/hyperlink" Target="https://www.nrel.gov/analysis/jedi/csp.html" TargetMode="External" Id="rId88"/><Relationship Type="http://schemas.openxmlformats.org/officeDocument/2006/relationships/hyperlink" Target="https://www.nrel.gov/analysis/jedi/csp.html" TargetMode="External" Id="rId89"/><Relationship Type="http://schemas.openxmlformats.org/officeDocument/2006/relationships/hyperlink" Target="https://www.nrel.gov/analysis/jedi/csp.html" TargetMode="External" Id="rId90"/><Relationship Type="http://schemas.openxmlformats.org/officeDocument/2006/relationships/hyperlink" Target="https://www.nrel.gov/analysis/jedi/csp.html" TargetMode="External" Id="rId91"/><Relationship Type="http://schemas.openxmlformats.org/officeDocument/2006/relationships/hyperlink" Target="https://www.nrel.gov/analysis/jedi/international.html" TargetMode="External" Id="rId92"/><Relationship Type="http://schemas.openxmlformats.org/officeDocument/2006/relationships/hyperlink" Target="https://www.nrel.gov/analysis/jedi/international.html" TargetMode="External" Id="rId93"/><Relationship Type="http://schemas.openxmlformats.org/officeDocument/2006/relationships/hyperlink" Target="https://www.nrel.gov/analysis/jedi/international.html" TargetMode="External" Id="rId94"/><Relationship Type="http://schemas.openxmlformats.org/officeDocument/2006/relationships/hyperlink" Target="https://www.nrel.gov/analysis/jedi/international.html" TargetMode="External" Id="rId95"/><Relationship Type="http://schemas.openxmlformats.org/officeDocument/2006/relationships/hyperlink" Target="https://www.nrel.gov/analysis/jedi/international.html" TargetMode="External" Id="rId96"/><Relationship Type="http://schemas.openxmlformats.org/officeDocument/2006/relationships/hyperlink" Target="https://www.nrel.gov/analysis/jedi/international.html" TargetMode="External" Id="rId97"/><Relationship Type="http://schemas.openxmlformats.org/officeDocument/2006/relationships/hyperlink" Target="https://www.nrel.gov/analysis/jedi/international.html" TargetMode="External" Id="rId98"/><Relationship Type="http://schemas.openxmlformats.org/officeDocument/2006/relationships/hyperlink" Target="https://www.nrel.gov/analysis/jedi/international.html" TargetMode="External" Id="rId99"/><Relationship Type="http://schemas.openxmlformats.org/officeDocument/2006/relationships/hyperlink" Target="https://www.nrel.gov/analysis/jedi/international.html" TargetMode="External" Id="rId100"/><Relationship Type="http://schemas.openxmlformats.org/officeDocument/2006/relationships/hyperlink" Target="https://www.nrel.gov/analysis/jedi/international.html" TargetMode="External" Id="rId101"/><Relationship Type="http://schemas.openxmlformats.org/officeDocument/2006/relationships/hyperlink" Target="https://www.nrel.gov/analysis/jedi/international.html" TargetMode="External" Id="rId102"/><Relationship Type="http://schemas.openxmlformats.org/officeDocument/2006/relationships/hyperlink" Target="https://www.nrel.gov/analysis/jedi/international.html" TargetMode="External" Id="rId103"/><Relationship Type="http://schemas.openxmlformats.org/officeDocument/2006/relationships/hyperlink" Target="https://www.nrel.gov/analysis/jedi/international.html" TargetMode="External" Id="rId104"/><Relationship Type="http://schemas.openxmlformats.org/officeDocument/2006/relationships/hyperlink" Target="https://www.eia.gov/analysis/studies/powerplants/capitalcost/pdf/capital_cost_AEO2020.pdf" TargetMode="External" Id="rId105"/><Relationship Type="http://schemas.openxmlformats.org/officeDocument/2006/relationships/hyperlink" Target="https://www.eia.gov/analysis/studies/powerplants/capitalcost/pdf/capital_cost_AEO2020.pdf" TargetMode="External" Id="rId106"/><Relationship Type="http://schemas.openxmlformats.org/officeDocument/2006/relationships/hyperlink" Target="https://www.eia.gov/analysis/studies/powerplants/capitalcost/pdf/capital_cost_AEO2020.pdf" TargetMode="External" Id="rId107"/><Relationship Type="http://schemas.openxmlformats.org/officeDocument/2006/relationships/hyperlink" Target="https://www.eia.gov/analysis/studies/powerplants/capitalcost/pdf/capital_cost_AEO2020.pdf" TargetMode="External" Id="rId108"/><Relationship Type="http://schemas.openxmlformats.org/officeDocument/2006/relationships/hyperlink" Target="https://www.eia.gov/analysis/studies/powerplants/capitalcost/pdf/capital_cost_AEO2020.pdf" TargetMode="External" Id="rId109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topLeftCell="A1" workbookViewId="0">
      <selection activeCell="A1" sqref="A1"/>
    </sheetView>
  </sheetViews>
  <sheetFormatPr baseColWidth="8" defaultRowHeight="14.5"/>
  <cols>
    <col width="61.81640625" customWidth="1" min="2" max="2"/>
    <col width="4.54296875" customWidth="1" min="3" max="3"/>
    <col width="65.7265625" customWidth="1" min="4" max="4"/>
    <col width="5.7265625" customWidth="1" min="5" max="5"/>
    <col width="63.453125" customWidth="1" min="6" max="6"/>
    <col width="52.81640625" customWidth="1" min="8" max="8"/>
  </cols>
  <sheetData>
    <row r="1">
      <c r="A1" s="71" t="inlineStr">
        <is>
          <t>SoESCaOMCbIC Share of Electricity Sector Capital and O&amp;M Costs by ISIC Code</t>
        </is>
      </c>
    </row>
    <row r="2"/>
    <row r="3">
      <c r="A3" s="71" t="inlineStr">
        <is>
          <t>Sources:</t>
        </is>
      </c>
      <c r="B3" s="78" t="inlineStr">
        <is>
          <t>Solar PV Costs</t>
        </is>
      </c>
      <c r="D3" s="78" t="inlineStr">
        <is>
          <t>Hard Coal and Lignite Costs</t>
        </is>
      </c>
      <c r="F3" s="78" t="inlineStr">
        <is>
          <t>Nuclear Costs</t>
        </is>
      </c>
      <c r="H3" s="78" t="inlineStr">
        <is>
          <t>CCS Cost Breakdown</t>
        </is>
      </c>
    </row>
    <row r="4">
      <c r="B4" t="inlineStr">
        <is>
          <t>NREL</t>
        </is>
      </c>
      <c r="D4" t="inlineStr">
        <is>
          <t>NREL</t>
        </is>
      </c>
      <c r="F4" t="inlineStr">
        <is>
          <t>World Nuclear Association</t>
        </is>
      </c>
      <c r="H4" t="inlineStr">
        <is>
          <t>Economic Research Institute for ASEAN and East Asia</t>
        </is>
      </c>
    </row>
    <row r="5">
      <c r="B5" s="79" t="n">
        <v>2022</v>
      </c>
      <c r="D5" s="79" t="n">
        <v>2016</v>
      </c>
      <c r="F5" s="79" t="n">
        <v>2020</v>
      </c>
      <c r="H5" s="79" t="n">
        <v>2022</v>
      </c>
    </row>
    <row r="6">
      <c r="B6" t="inlineStr">
        <is>
          <t>U.S. Solar Photovoltaic System Cost Benchmark: Q1 2021</t>
        </is>
      </c>
      <c r="D6" t="inlineStr">
        <is>
          <t>JEDI Coal Model</t>
        </is>
      </c>
      <c r="F6" t="inlineStr">
        <is>
          <t>Economics of Nuclear Power</t>
        </is>
      </c>
      <c r="H6" t="inlineStr">
        <is>
          <t>A Model Case Study: CCUS Cost Estimation</t>
        </is>
      </c>
    </row>
    <row r="7">
      <c r="B7" s="65" t="inlineStr">
        <is>
          <t>https://www.nrel.gov/docs/fy22osti/80694.pdf</t>
        </is>
      </c>
      <c r="D7" s="65" t="inlineStr">
        <is>
          <t>https://www.nrel.gov/analysis/jedi/coal.html</t>
        </is>
      </c>
      <c r="F7" s="56" t="inlineStr">
        <is>
          <t>https://www.world-nuclear.org/information-library/economic-aspects/economics-of-nuclear-power.aspx</t>
        </is>
      </c>
      <c r="H7" s="65" t="inlineStr">
        <is>
          <t>https://www.eria.org/uploads/media/Research-Project-Report/RPR-2021-25/11_Chapter-2-A-Model-Case-Study_CCUS-Cost-Estimation_ed.pdf</t>
        </is>
      </c>
    </row>
    <row r="8">
      <c r="B8" t="inlineStr">
        <is>
          <t>Figure 24</t>
        </is>
      </c>
      <c r="D8" t="inlineStr">
        <is>
          <t>"DefaultData" and "Calculations" tabs</t>
        </is>
      </c>
      <c r="F8" t="inlineStr">
        <is>
          <t>Capital cost breakdown by labour, goods, and materials</t>
        </is>
      </c>
      <c r="H8" t="inlineStr">
        <is>
          <t>Table 2.2</t>
        </is>
      </c>
    </row>
    <row r="9"/>
    <row r="10">
      <c r="B10" s="78" t="inlineStr">
        <is>
          <t>Onshore Wind Costs</t>
        </is>
      </c>
      <c r="D10" s="78" t="inlineStr">
        <is>
          <t>Natural Gas Nonpeaker and All Oil Costs</t>
        </is>
      </c>
      <c r="F10" s="78" t="inlineStr">
        <is>
          <t>Hydro Construction Costs</t>
        </is>
      </c>
      <c r="H10" s="78" t="inlineStr">
        <is>
          <t>CCS Costs</t>
        </is>
      </c>
    </row>
    <row r="11">
      <c r="B11" t="inlineStr">
        <is>
          <t>NREL</t>
        </is>
      </c>
      <c r="D11" t="inlineStr">
        <is>
          <t>NREL</t>
        </is>
      </c>
      <c r="F11" t="inlineStr">
        <is>
          <t>NREL</t>
        </is>
      </c>
      <c r="H11" t="inlineStr">
        <is>
          <t>see EPS file elec/CCaMC</t>
        </is>
      </c>
    </row>
    <row r="12">
      <c r="B12" s="79" t="n">
        <v>2019</v>
      </c>
      <c r="D12" s="79" t="n">
        <v>2017</v>
      </c>
      <c r="F12" s="79" t="n">
        <v>2016</v>
      </c>
      <c r="H12" s="79" t="n"/>
    </row>
    <row r="13">
      <c r="B13" t="inlineStr">
        <is>
          <t>JEDI Land Based Wind</t>
        </is>
      </c>
      <c r="D13" t="inlineStr">
        <is>
          <t>JEDI Natural Gas Model</t>
        </is>
      </c>
      <c r="F13" t="inlineStr">
        <is>
          <t>JEDI Conventional Hydropower Model</t>
        </is>
      </c>
    </row>
    <row r="14">
      <c r="B14" s="65" t="inlineStr">
        <is>
          <t>https://www.nrel.gov/analysis/jedi/wind.html</t>
        </is>
      </c>
      <c r="D14" s="65" t="inlineStr">
        <is>
          <t>https://www.nrel.gov/analysis/jedi/natural-gas.html</t>
        </is>
      </c>
      <c r="F14" s="65" t="inlineStr">
        <is>
          <t>https://www.nrel.gov/analysis/jedi/conventional-hydro.html</t>
        </is>
      </c>
      <c r="H14" s="65" t="n"/>
    </row>
    <row r="15">
      <c r="B15" t="inlineStr">
        <is>
          <t>"DefaultData" and "Calculations" tabs</t>
        </is>
      </c>
      <c r="D15" t="inlineStr">
        <is>
          <t>"DefaultData" and "Calculations" tabs</t>
        </is>
      </c>
      <c r="F15" t="inlineStr">
        <is>
          <t>"DefaultData" and "Calculations" tabs</t>
        </is>
      </c>
    </row>
    <row r="16"/>
    <row r="17">
      <c r="B17" s="78" t="inlineStr">
        <is>
          <t>Cost to Sector Mapping for Solar PV and Onshore Wind</t>
        </is>
      </c>
      <c r="D17" s="78" t="inlineStr">
        <is>
          <t>Geothermal O&amp;M Costs</t>
        </is>
      </c>
      <c r="F17" s="78" t="inlineStr">
        <is>
          <t>Hydro O&amp;M Costs</t>
        </is>
      </c>
    </row>
    <row r="18">
      <c r="B18" t="inlineStr">
        <is>
          <t>NREL</t>
        </is>
      </c>
      <c r="D18" t="inlineStr">
        <is>
          <t>EIA</t>
        </is>
      </c>
      <c r="F18" t="inlineStr">
        <is>
          <t>INL</t>
        </is>
      </c>
    </row>
    <row r="19">
      <c r="B19" s="79" t="n">
        <v>2016</v>
      </c>
      <c r="D19" s="79" t="n">
        <v>2020</v>
      </c>
      <c r="F19" s="79" t="n">
        <v>2003</v>
      </c>
    </row>
    <row r="20" ht="29" customHeight="1">
      <c r="B20" s="107" t="inlineStr">
        <is>
          <t>I-JEDI Model</t>
        </is>
      </c>
      <c r="C20" s="108" t="n"/>
      <c r="D20" s="107" t="inlineStr">
        <is>
          <t>Capital Cost and Performance Characteristic Estimates for Utility Scale Electric Power Generating Technologies</t>
        </is>
      </c>
      <c r="E20" s="108" t="n"/>
      <c r="F20" s="107" t="inlineStr">
        <is>
          <t>Estimaton of Economic Parameters of U.S. Hydropower Resources</t>
        </is>
      </c>
    </row>
    <row r="21" ht="29" customHeight="1">
      <c r="B21" s="109" t="inlineStr">
        <is>
          <t>https://www.nrel.gov/analysis/jedi/international.html</t>
        </is>
      </c>
      <c r="C21" s="108" t="n"/>
      <c r="D21" s="109" t="inlineStr">
        <is>
          <t>https://www.eia.gov/analysis/studies/powerplants/capitalcost/pdf/capital_cost_AEO2020.pdf</t>
        </is>
      </c>
      <c r="E21" s="108" t="n"/>
      <c r="F21" s="109" t="inlineStr">
        <is>
          <t>https://www1.eere.energy.gov/water/pdfs/doewater-00662.pdf</t>
        </is>
      </c>
    </row>
    <row r="22">
      <c r="B22" t="inlineStr">
        <is>
          <t>"Calculations" tab</t>
        </is>
      </c>
      <c r="D22" t="inlineStr">
        <is>
          <t>Table 15.2</t>
        </is>
      </c>
      <c r="F22" t="inlineStr">
        <is>
          <t>p.8, 2.2</t>
        </is>
      </c>
    </row>
    <row r="23"/>
    <row r="24">
      <c r="B24" s="78" t="inlineStr">
        <is>
          <t>Solar Thermal Costs</t>
        </is>
      </c>
      <c r="D24" s="78" t="inlineStr">
        <is>
          <t>Offshore Wind</t>
        </is>
      </c>
      <c r="F24" s="78" t="inlineStr">
        <is>
          <t>Biomass; Geothermal</t>
        </is>
      </c>
    </row>
    <row r="25">
      <c r="B25" t="inlineStr">
        <is>
          <t>NREL</t>
        </is>
      </c>
      <c r="D25" t="inlineStr">
        <is>
          <t>NREL</t>
        </is>
      </c>
      <c r="F25" t="inlineStr">
        <is>
          <t>NREL</t>
        </is>
      </c>
    </row>
    <row r="26">
      <c r="B26" s="79" t="n">
        <v>2016</v>
      </c>
      <c r="D26" s="79" t="n">
        <v>2017</v>
      </c>
      <c r="F26" s="79" t="n">
        <v>2016</v>
      </c>
    </row>
    <row r="27">
      <c r="B27" t="inlineStr">
        <is>
          <t>JEDI Concentrating Solar Power Model</t>
        </is>
      </c>
      <c r="D27" t="inlineStr">
        <is>
          <t>JEDI Offshore Wind Model</t>
        </is>
      </c>
      <c r="F27" t="inlineStr">
        <is>
          <t>I-JEDI Model</t>
        </is>
      </c>
    </row>
    <row r="28">
      <c r="B28" s="65" t="inlineStr">
        <is>
          <t>https://www.nrel.gov/analysis/jedi/csp.html</t>
        </is>
      </c>
      <c r="D28" s="65" t="inlineStr">
        <is>
          <t>https://www.nrel.gov/analysis/jedi/wind.html</t>
        </is>
      </c>
      <c r="F28" s="65" t="inlineStr">
        <is>
          <t>https://www.nrel.gov/analysis/jedi/international.html</t>
        </is>
      </c>
    </row>
    <row r="29">
      <c r="B29" t="inlineStr">
        <is>
          <t>"DefaultData" and "Calculations" tabs</t>
        </is>
      </c>
      <c r="D29" t="inlineStr">
        <is>
          <t>"DefaultData" and "Calculations" tabs</t>
        </is>
      </c>
      <c r="F29" t="inlineStr">
        <is>
          <t>"DefaultData" and "Calculations" tabs</t>
        </is>
      </c>
    </row>
    <row r="30"/>
    <row r="31"/>
    <row r="32"/>
    <row r="33">
      <c r="A33" s="71" t="inlineStr">
        <is>
          <t>Notes:</t>
        </is>
      </c>
    </row>
    <row r="34">
      <c r="A34" t="inlineStr">
        <is>
          <t>Petroleum, crude, and fuel oil plants assigned same cost structure as natural gas plants as the designs are usually the same. If the type of plant</t>
        </is>
      </c>
    </row>
    <row r="35">
      <c r="A35" t="inlineStr">
        <is>
          <t>in the region being adapted differs from a traditional natural gas combined cycle plant, these values should be updated.</t>
        </is>
      </c>
    </row>
    <row r="36"/>
    <row r="37">
      <c r="A37" t="inlineStr">
        <is>
          <t xml:space="preserve">Municipal solid waste assigned same cost structure as biomass plants as the designs are usually similar. If the type of plant in the region being </t>
        </is>
      </c>
    </row>
    <row r="38">
      <c r="A38" t="inlineStr">
        <is>
          <t>adapted differs from a traditional biomass plant, these values should be updated</t>
        </is>
      </c>
    </row>
    <row r="39"/>
    <row r="40">
      <c r="A40" t="inlineStr">
        <is>
          <t>Natural gas peaker assigned same costs structure as natural gas nonpeaker.</t>
        </is>
      </c>
    </row>
    <row r="41"/>
    <row r="42">
      <c r="A42" t="inlineStr">
        <is>
          <t>Though a geothermal-specific JEDI model exists, we use the I-JEDI version for simplicity.</t>
        </is>
      </c>
    </row>
    <row r="44">
      <c r="A44" s="139" t="inlineStr">
        <is>
          <t>52-code expansion (2026-07-17):</t>
        </is>
      </c>
    </row>
    <row r="45">
      <c r="A45" t="inlineStr">
        <is>
          <t>The output tabs produce the 52-code ISIC list. The derivation above is unchanged and live; output-tab formulas reference the derivation tabs</t>
        </is>
      </c>
    </row>
    <row r="46">
      <c r="A46" t="inlineStr">
        <is>
          <t>directly, with the original header-label criteria written as literals (the derivation tabs still use the pre-split 42-code labels).</t>
        </is>
      </c>
    </row>
    <row r="48">
      <c r="A48" t="inlineStr">
        <is>
          <t>Children of split parents multiply the parent's allocation by the factors on the 'Factors applied' tab (editable; defaults = BEA 2024 gross-</t>
        </is>
      </c>
    </row>
    <row r="49">
      <c r="A49" t="inlineStr">
        <is>
          <t>output shares from io-model/BObIC; semantic overrides documented per row with rationale).</t>
        </is>
      </c>
    </row>
  </sheetData>
  <hyperlinks>
    <hyperlink xmlns:r="http://schemas.openxmlformats.org/officeDocument/2006/relationships" ref="D7" r:id="rId1"/>
    <hyperlink xmlns:r="http://schemas.openxmlformats.org/officeDocument/2006/relationships" ref="F7" r:id="rId2"/>
    <hyperlink xmlns:r="http://schemas.openxmlformats.org/officeDocument/2006/relationships" ref="B14" r:id="rId3"/>
    <hyperlink xmlns:r="http://schemas.openxmlformats.org/officeDocument/2006/relationships" ref="D14" r:id="rId4"/>
    <hyperlink xmlns:r="http://schemas.openxmlformats.org/officeDocument/2006/relationships" ref="F14" r:id="rId5"/>
    <hyperlink xmlns:r="http://schemas.openxmlformats.org/officeDocument/2006/relationships" ref="B21" r:id="rId6"/>
    <hyperlink xmlns:r="http://schemas.openxmlformats.org/officeDocument/2006/relationships" ref="D21" r:id="rId7"/>
    <hyperlink xmlns:r="http://schemas.openxmlformats.org/officeDocument/2006/relationships" ref="F21" r:id="rId8"/>
    <hyperlink xmlns:r="http://schemas.openxmlformats.org/officeDocument/2006/relationships" ref="B28" r:id="rId9"/>
    <hyperlink xmlns:r="http://schemas.openxmlformats.org/officeDocument/2006/relationships" ref="D28" r:id="rId10"/>
    <hyperlink xmlns:r="http://schemas.openxmlformats.org/officeDocument/2006/relationships" ref="F28" r:id="rId1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54"/>
  <sheetViews>
    <sheetView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44" customWidth="1" min="6" max="6"/>
  </cols>
  <sheetData>
    <row r="1">
      <c r="A1" s="139" t="inlineStr">
        <is>
          <t>Child factors applied inline in the output-tab formulas (editable). Defaults = BEA 2024 output shares; semantic overrides and fuel reroutes noted per row.</t>
        </is>
      </c>
    </row>
    <row r="2">
      <c r="A2" s="139" t="inlineStr">
        <is>
          <t>File</t>
        </is>
      </c>
      <c r="B2" s="139" t="inlineStr">
        <is>
          <t>Row context</t>
        </is>
      </c>
      <c r="C2" s="139" t="inlineStr">
        <is>
          <t>Child</t>
        </is>
      </c>
      <c r="D2" s="139" t="inlineStr">
        <is>
          <t>Parent</t>
        </is>
      </c>
      <c r="E2" s="139" t="inlineStr">
        <is>
          <t>Factor</t>
        </is>
      </c>
      <c r="F2" s="139" t="inlineStr">
        <is>
          <t>Rationale</t>
        </is>
      </c>
      <c r="G2" s="139" t="inlineStr">
        <is>
          <t>BEA 2024 output share</t>
        </is>
      </c>
    </row>
    <row r="3">
      <c r="A3" t="inlineStr">
        <is>
          <t>SoESCaOMCbIC-capital.csv</t>
        </is>
      </c>
      <c r="B3" t="inlineStr">
        <is>
          <t>biomass</t>
        </is>
      </c>
      <c r="C3" t="inlineStr">
        <is>
          <t>ISIC 01</t>
        </is>
      </c>
      <c r="D3" t="inlineStr">
        <is>
          <t>ISIC 01T03</t>
        </is>
      </c>
      <c r="E3" t="n">
        <v>0.9429986826432329</v>
      </c>
      <c r="F3" t="inlineStr">
        <is>
          <t>BEA 2024 output share (default)</t>
        </is>
      </c>
      <c r="G3" t="n">
        <v>0.9429986826432329</v>
      </c>
    </row>
    <row r="4">
      <c r="A4" t="inlineStr">
        <is>
          <t>SoESCaOMCbIC-capital.csv</t>
        </is>
      </c>
      <c r="B4" t="inlineStr">
        <is>
          <t>biomass</t>
        </is>
      </c>
      <c r="C4" t="inlineStr">
        <is>
          <t>ISIC 02</t>
        </is>
      </c>
      <c r="D4" t="inlineStr">
        <is>
          <t>ISIC 01T03</t>
        </is>
      </c>
      <c r="E4" t="n">
        <v>0.04176573136965662</v>
      </c>
      <c r="F4" t="inlineStr">
        <is>
          <t>BEA 2024 output share (default)</t>
        </is>
      </c>
      <c r="G4" t="n">
        <v>0.04176573136965662</v>
      </c>
    </row>
    <row r="5">
      <c r="A5" t="inlineStr">
        <is>
          <t>SoESCaOMCbIC-capital.csv</t>
        </is>
      </c>
      <c r="B5" t="inlineStr">
        <is>
          <t>biomass</t>
        </is>
      </c>
      <c r="C5" t="inlineStr">
        <is>
          <t>ISIC 03</t>
        </is>
      </c>
      <c r="D5" t="inlineStr">
        <is>
          <t>ISIC 01T03</t>
        </is>
      </c>
      <c r="E5" t="n">
        <v>0.01523558598711041</v>
      </c>
      <c r="F5" t="inlineStr">
        <is>
          <t>BEA 2024 output share (default)</t>
        </is>
      </c>
      <c r="G5" t="n">
        <v>0.01523558598711041</v>
      </c>
    </row>
    <row r="6">
      <c r="A6" t="inlineStr">
        <is>
          <t>SoESCaOMCbIC-capital.csv</t>
        </is>
      </c>
      <c r="B6" t="inlineStr">
        <is>
          <t>biomass</t>
        </is>
      </c>
      <c r="C6" t="inlineStr">
        <is>
          <t>ISIC 07</t>
        </is>
      </c>
      <c r="D6" t="inlineStr">
        <is>
          <t>ISIC 07T08</t>
        </is>
      </c>
      <c r="E6" t="n">
        <v>0.4327368836123752</v>
      </c>
      <c r="F6" t="inlineStr">
        <is>
          <t>BEA 2024 output share (default)</t>
        </is>
      </c>
      <c r="G6" t="n">
        <v>0.4327368836123752</v>
      </c>
    </row>
    <row r="7">
      <c r="A7" t="inlineStr">
        <is>
          <t>SoESCaOMCbIC-capital.csv</t>
        </is>
      </c>
      <c r="B7" t="inlineStr">
        <is>
          <t>biomass</t>
        </is>
      </c>
      <c r="C7" t="inlineStr">
        <is>
          <t>ISIC 08</t>
        </is>
      </c>
      <c r="D7" t="inlineStr">
        <is>
          <t>ISIC 07T08</t>
        </is>
      </c>
      <c r="E7" t="n">
        <v>0.5672631163876248</v>
      </c>
      <c r="F7" t="inlineStr">
        <is>
          <t>BEA 2024 output share (default)</t>
        </is>
      </c>
      <c r="G7" t="n">
        <v>0.5672631163876248</v>
      </c>
    </row>
    <row r="8">
      <c r="A8" t="inlineStr">
        <is>
          <t>SoESCaOMCbIC-capital.csv</t>
        </is>
      </c>
      <c r="B8" t="inlineStr">
        <is>
          <t>biomass</t>
        </is>
      </c>
      <c r="C8" t="inlineStr">
        <is>
          <t>ISIC 301</t>
        </is>
      </c>
      <c r="D8" t="inlineStr">
        <is>
          <t>ISIC 30</t>
        </is>
      </c>
      <c r="E8" t="n">
        <v>0.1171368722490322</v>
      </c>
      <c r="F8" t="inlineStr">
        <is>
          <t>BEA 2024 output share (default)</t>
        </is>
      </c>
      <c r="G8" t="n">
        <v>0.1171368722490322</v>
      </c>
    </row>
    <row r="9">
      <c r="A9" t="inlineStr">
        <is>
          <t>SoESCaOMCbIC-capital.csv</t>
        </is>
      </c>
      <c r="B9" t="inlineStr">
        <is>
          <t>biomass</t>
        </is>
      </c>
      <c r="C9" t="inlineStr">
        <is>
          <t>ISIC 302T309</t>
        </is>
      </c>
      <c r="D9" t="inlineStr">
        <is>
          <t>ISIC 30</t>
        </is>
      </c>
      <c r="E9" t="n">
        <v>0.8828631277509678</v>
      </c>
      <c r="F9" t="inlineStr">
        <is>
          <t>BEA 2024 output share (default)</t>
        </is>
      </c>
      <c r="G9" t="n">
        <v>0.8828631277509678</v>
      </c>
    </row>
    <row r="10">
      <c r="A10" t="inlineStr">
        <is>
          <t>SoESCaOMCbIC-capital.csv</t>
        </is>
      </c>
      <c r="B10" t="inlineStr">
        <is>
          <t>biomass</t>
        </is>
      </c>
      <c r="C10" t="inlineStr">
        <is>
          <t>ISIC 49</t>
        </is>
      </c>
      <c r="D10" t="inlineStr">
        <is>
          <t>ISIC 49T53</t>
        </is>
      </c>
      <c r="E10" t="n">
        <v>0.4781643011829615</v>
      </c>
      <c r="F10" t="inlineStr">
        <is>
          <t>BEA 2024 output share (default)</t>
        </is>
      </c>
      <c r="G10" t="n">
        <v>0.4781643011829615</v>
      </c>
    </row>
    <row r="11">
      <c r="A11" t="inlineStr">
        <is>
          <t>SoESCaOMCbIC-capital.csv</t>
        </is>
      </c>
      <c r="B11" t="inlineStr">
        <is>
          <t>biomass</t>
        </is>
      </c>
      <c r="C11" t="inlineStr">
        <is>
          <t>ISIC 50</t>
        </is>
      </c>
      <c r="D11" t="inlineStr">
        <is>
          <t>ISIC 49T53</t>
        </is>
      </c>
      <c r="E11" t="n">
        <v>0.04258639396614965</v>
      </c>
      <c r="F11" t="inlineStr">
        <is>
          <t>BEA 2024 output share (default)</t>
        </is>
      </c>
      <c r="G11" t="n">
        <v>0.04258639396614965</v>
      </c>
    </row>
    <row r="12">
      <c r="A12" t="inlineStr">
        <is>
          <t>SoESCaOMCbIC-capital.csv</t>
        </is>
      </c>
      <c r="B12" t="inlineStr">
        <is>
          <t>biomass</t>
        </is>
      </c>
      <c r="C12" t="inlineStr">
        <is>
          <t>ISIC 51</t>
        </is>
      </c>
      <c r="D12" t="inlineStr">
        <is>
          <t>ISIC 49T53</t>
        </is>
      </c>
      <c r="E12" t="n">
        <v>0.1808024634415262</v>
      </c>
      <c r="F12" t="inlineStr">
        <is>
          <t>BEA 2024 output share (default)</t>
        </is>
      </c>
      <c r="G12" t="n">
        <v>0.1808024634415262</v>
      </c>
    </row>
    <row r="13">
      <c r="A13" t="inlineStr">
        <is>
          <t>SoESCaOMCbIC-capital.csv</t>
        </is>
      </c>
      <c r="B13" t="inlineStr">
        <is>
          <t>biomass</t>
        </is>
      </c>
      <c r="C13" t="inlineStr">
        <is>
          <t>ISIC 52</t>
        </is>
      </c>
      <c r="D13" t="inlineStr">
        <is>
          <t>ISIC 49T53</t>
        </is>
      </c>
      <c r="E13" t="n">
        <v>0.2139060571318126</v>
      </c>
      <c r="F13" t="inlineStr">
        <is>
          <t>BEA 2024 output share (default)</t>
        </is>
      </c>
      <c r="G13" t="n">
        <v>0.2139060571318126</v>
      </c>
    </row>
    <row r="14">
      <c r="A14" t="inlineStr">
        <is>
          <t>SoESCaOMCbIC-capital.csv</t>
        </is>
      </c>
      <c r="B14" t="inlineStr">
        <is>
          <t>biomass</t>
        </is>
      </c>
      <c r="C14" t="inlineStr">
        <is>
          <t>ISIC 53</t>
        </is>
      </c>
      <c r="D14" t="inlineStr">
        <is>
          <t>ISIC 49T53</t>
        </is>
      </c>
      <c r="E14" t="n">
        <v>0.08454078427755009</v>
      </c>
      <c r="F14" t="inlineStr">
        <is>
          <t>BEA 2024 output share (default)</t>
        </is>
      </c>
      <c r="G14" t="n">
        <v>0.08454078427755009</v>
      </c>
    </row>
    <row r="15">
      <c r="A15" t="inlineStr">
        <is>
          <t>SoESCaOMCbIC-capital.csv</t>
        </is>
      </c>
      <c r="B15" t="inlineStr">
        <is>
          <t>biomass</t>
        </is>
      </c>
      <c r="C15" t="inlineStr">
        <is>
          <t>ISIC 69T75</t>
        </is>
      </c>
      <c r="D15" t="inlineStr">
        <is>
          <t>ISIC 69T82</t>
        </is>
      </c>
      <c r="E15" t="n">
        <v>1</v>
      </c>
      <c r="F15" t="inlineStr">
        <is>
          <t>semantic override</t>
        </is>
      </c>
      <c r="G15" t="n">
        <v>0.7298219447914125</v>
      </c>
    </row>
    <row r="16">
      <c r="A16" t="inlineStr">
        <is>
          <t>SoESCaOMCbIC-capital.csv</t>
        </is>
      </c>
      <c r="B16" t="inlineStr">
        <is>
          <t>biomass</t>
        </is>
      </c>
      <c r="C16" t="inlineStr">
        <is>
          <t>ISIC 77T82</t>
        </is>
      </c>
      <c r="D16" t="inlineStr">
        <is>
          <t>ISIC 69T82</t>
        </is>
      </c>
      <c r="E16" t="n">
        <v>0</v>
      </c>
      <c r="F16" t="inlineStr">
        <is>
          <t>semantic override</t>
        </is>
      </c>
      <c r="G16" t="n">
        <v>0.2701780552085875</v>
      </c>
    </row>
    <row r="17">
      <c r="A17" t="inlineStr">
        <is>
          <t>SoESCaOMCbIC-capital.csv</t>
        </is>
      </c>
      <c r="B17" t="inlineStr">
        <is>
          <t>biomass</t>
        </is>
      </c>
      <c r="C17" t="inlineStr">
        <is>
          <t>ISIC 90T93</t>
        </is>
      </c>
      <c r="D17" t="inlineStr">
        <is>
          <t>ISIC 90T96</t>
        </is>
      </c>
      <c r="E17" t="n">
        <v>0.4216249514352275</v>
      </c>
      <c r="F17" t="inlineStr">
        <is>
          <t>BEA 2024 output share (default)</t>
        </is>
      </c>
      <c r="G17" t="n">
        <v>0.4216249514352275</v>
      </c>
    </row>
    <row r="18">
      <c r="A18" t="inlineStr">
        <is>
          <t>SoESCaOMCbIC-capital.csv</t>
        </is>
      </c>
      <c r="B18" t="inlineStr">
        <is>
          <t>biomass</t>
        </is>
      </c>
      <c r="C18" t="inlineStr">
        <is>
          <t>ISIC 94T96</t>
        </is>
      </c>
      <c r="D18" t="inlineStr">
        <is>
          <t>ISIC 90T96</t>
        </is>
      </c>
      <c r="E18" t="n">
        <v>0.5783750485647725</v>
      </c>
      <c r="F18" t="inlineStr">
        <is>
          <t>BEA 2024 output share (default)</t>
        </is>
      </c>
      <c r="G18" t="n">
        <v>0.5783750485647725</v>
      </c>
    </row>
    <row r="19">
      <c r="A19" t="inlineStr">
        <is>
          <t>SoESCaOMCbIC-capital.csv</t>
        </is>
      </c>
      <c r="B19" t="inlineStr">
        <is>
          <t>biomass w CCS</t>
        </is>
      </c>
      <c r="C19" t="inlineStr">
        <is>
          <t>ISIC 01</t>
        </is>
      </c>
      <c r="D19" t="inlineStr">
        <is>
          <t>ISIC 01T03</t>
        </is>
      </c>
      <c r="E19" t="n">
        <v>0.9429986826432329</v>
      </c>
      <c r="F19" t="inlineStr">
        <is>
          <t>BEA 2024 output share (default)</t>
        </is>
      </c>
      <c r="G19" t="n">
        <v>0.9429986826432329</v>
      </c>
    </row>
    <row r="20">
      <c r="A20" t="inlineStr">
        <is>
          <t>SoESCaOMCbIC-capital.csv</t>
        </is>
      </c>
      <c r="B20" t="inlineStr">
        <is>
          <t>biomass w CCS</t>
        </is>
      </c>
      <c r="C20" t="inlineStr">
        <is>
          <t>ISIC 02</t>
        </is>
      </c>
      <c r="D20" t="inlineStr">
        <is>
          <t>ISIC 01T03</t>
        </is>
      </c>
      <c r="E20" t="n">
        <v>0.04176573136965662</v>
      </c>
      <c r="F20" t="inlineStr">
        <is>
          <t>BEA 2024 output share (default)</t>
        </is>
      </c>
      <c r="G20" t="n">
        <v>0.04176573136965662</v>
      </c>
    </row>
    <row r="21">
      <c r="A21" t="inlineStr">
        <is>
          <t>SoESCaOMCbIC-capital.csv</t>
        </is>
      </c>
      <c r="B21" t="inlineStr">
        <is>
          <t>biomass w CCS</t>
        </is>
      </c>
      <c r="C21" t="inlineStr">
        <is>
          <t>ISIC 03</t>
        </is>
      </c>
      <c r="D21" t="inlineStr">
        <is>
          <t>ISIC 01T03</t>
        </is>
      </c>
      <c r="E21" t="n">
        <v>0.01523558598711041</v>
      </c>
      <c r="F21" t="inlineStr">
        <is>
          <t>BEA 2024 output share (default)</t>
        </is>
      </c>
      <c r="G21" t="n">
        <v>0.01523558598711041</v>
      </c>
    </row>
    <row r="22">
      <c r="A22" t="inlineStr">
        <is>
          <t>SoESCaOMCbIC-capital.csv</t>
        </is>
      </c>
      <c r="B22" t="inlineStr">
        <is>
          <t>biomass w CCS</t>
        </is>
      </c>
      <c r="C22" t="inlineStr">
        <is>
          <t>ISIC 07</t>
        </is>
      </c>
      <c r="D22" t="inlineStr">
        <is>
          <t>ISIC 07T08</t>
        </is>
      </c>
      <c r="E22" t="n">
        <v>0.4327368836123752</v>
      </c>
      <c r="F22" t="inlineStr">
        <is>
          <t>BEA 2024 output share (default)</t>
        </is>
      </c>
      <c r="G22" t="n">
        <v>0.4327368836123752</v>
      </c>
    </row>
    <row r="23">
      <c r="A23" t="inlineStr">
        <is>
          <t>SoESCaOMCbIC-capital.csv</t>
        </is>
      </c>
      <c r="B23" t="inlineStr">
        <is>
          <t>biomass w CCS</t>
        </is>
      </c>
      <c r="C23" t="inlineStr">
        <is>
          <t>ISIC 08</t>
        </is>
      </c>
      <c r="D23" t="inlineStr">
        <is>
          <t>ISIC 07T08</t>
        </is>
      </c>
      <c r="E23" t="n">
        <v>0.5672631163876248</v>
      </c>
      <c r="F23" t="inlineStr">
        <is>
          <t>BEA 2024 output share (default)</t>
        </is>
      </c>
      <c r="G23" t="n">
        <v>0.5672631163876248</v>
      </c>
    </row>
    <row r="24">
      <c r="A24" t="inlineStr">
        <is>
          <t>SoESCaOMCbIC-capital.csv</t>
        </is>
      </c>
      <c r="B24" t="inlineStr">
        <is>
          <t>biomass w CCS</t>
        </is>
      </c>
      <c r="C24" t="inlineStr">
        <is>
          <t>ISIC 301</t>
        </is>
      </c>
      <c r="D24" t="inlineStr">
        <is>
          <t>ISIC 30</t>
        </is>
      </c>
      <c r="E24" t="n">
        <v>0.1171368722490322</v>
      </c>
      <c r="F24" t="inlineStr">
        <is>
          <t>BEA 2024 output share (default)</t>
        </is>
      </c>
      <c r="G24" t="n">
        <v>0.1171368722490322</v>
      </c>
    </row>
    <row r="25">
      <c r="A25" t="inlineStr">
        <is>
          <t>SoESCaOMCbIC-capital.csv</t>
        </is>
      </c>
      <c r="B25" t="inlineStr">
        <is>
          <t>biomass w CCS</t>
        </is>
      </c>
      <c r="C25" t="inlineStr">
        <is>
          <t>ISIC 302T309</t>
        </is>
      </c>
      <c r="D25" t="inlineStr">
        <is>
          <t>ISIC 30</t>
        </is>
      </c>
      <c r="E25" t="n">
        <v>0.8828631277509678</v>
      </c>
      <c r="F25" t="inlineStr">
        <is>
          <t>BEA 2024 output share (default)</t>
        </is>
      </c>
      <c r="G25" t="n">
        <v>0.8828631277509678</v>
      </c>
    </row>
    <row r="26">
      <c r="A26" t="inlineStr">
        <is>
          <t>SoESCaOMCbIC-capital.csv</t>
        </is>
      </c>
      <c r="B26" t="inlineStr">
        <is>
          <t>biomass w CCS</t>
        </is>
      </c>
      <c r="C26" t="inlineStr">
        <is>
          <t>ISIC 49</t>
        </is>
      </c>
      <c r="D26" t="inlineStr">
        <is>
          <t>ISIC 49T53</t>
        </is>
      </c>
      <c r="E26" t="n">
        <v>0.4781643011829615</v>
      </c>
      <c r="F26" t="inlineStr">
        <is>
          <t>BEA 2024 output share (default)</t>
        </is>
      </c>
      <c r="G26" t="n">
        <v>0.4781643011829615</v>
      </c>
    </row>
    <row r="27">
      <c r="A27" t="inlineStr">
        <is>
          <t>SoESCaOMCbIC-capital.csv</t>
        </is>
      </c>
      <c r="B27" t="inlineStr">
        <is>
          <t>biomass w CCS</t>
        </is>
      </c>
      <c r="C27" t="inlineStr">
        <is>
          <t>ISIC 50</t>
        </is>
      </c>
      <c r="D27" t="inlineStr">
        <is>
          <t>ISIC 49T53</t>
        </is>
      </c>
      <c r="E27" t="n">
        <v>0.04258639396614965</v>
      </c>
      <c r="F27" t="inlineStr">
        <is>
          <t>BEA 2024 output share (default)</t>
        </is>
      </c>
      <c r="G27" t="n">
        <v>0.04258639396614965</v>
      </c>
    </row>
    <row r="28">
      <c r="A28" t="inlineStr">
        <is>
          <t>SoESCaOMCbIC-capital.csv</t>
        </is>
      </c>
      <c r="B28" t="inlineStr">
        <is>
          <t>biomass w CCS</t>
        </is>
      </c>
      <c r="C28" t="inlineStr">
        <is>
          <t>ISIC 51</t>
        </is>
      </c>
      <c r="D28" t="inlineStr">
        <is>
          <t>ISIC 49T53</t>
        </is>
      </c>
      <c r="E28" t="n">
        <v>0.1808024634415262</v>
      </c>
      <c r="F28" t="inlineStr">
        <is>
          <t>BEA 2024 output share (default)</t>
        </is>
      </c>
      <c r="G28" t="n">
        <v>0.1808024634415262</v>
      </c>
    </row>
    <row r="29">
      <c r="A29" t="inlineStr">
        <is>
          <t>SoESCaOMCbIC-capital.csv</t>
        </is>
      </c>
      <c r="B29" t="inlineStr">
        <is>
          <t>biomass w CCS</t>
        </is>
      </c>
      <c r="C29" t="inlineStr">
        <is>
          <t>ISIC 52</t>
        </is>
      </c>
      <c r="D29" t="inlineStr">
        <is>
          <t>ISIC 49T53</t>
        </is>
      </c>
      <c r="E29" t="n">
        <v>0.2139060571318126</v>
      </c>
      <c r="F29" t="inlineStr">
        <is>
          <t>BEA 2024 output share (default)</t>
        </is>
      </c>
      <c r="G29" t="n">
        <v>0.2139060571318126</v>
      </c>
    </row>
    <row r="30">
      <c r="A30" t="inlineStr">
        <is>
          <t>SoESCaOMCbIC-capital.csv</t>
        </is>
      </c>
      <c r="B30" t="inlineStr">
        <is>
          <t>biomass w CCS</t>
        </is>
      </c>
      <c r="C30" t="inlineStr">
        <is>
          <t>ISIC 53</t>
        </is>
      </c>
      <c r="D30" t="inlineStr">
        <is>
          <t>ISIC 49T53</t>
        </is>
      </c>
      <c r="E30" t="n">
        <v>0.08454078427755009</v>
      </c>
      <c r="F30" t="inlineStr">
        <is>
          <t>BEA 2024 output share (default)</t>
        </is>
      </c>
      <c r="G30" t="n">
        <v>0.08454078427755009</v>
      </c>
    </row>
    <row r="31">
      <c r="A31" t="inlineStr">
        <is>
          <t>SoESCaOMCbIC-capital.csv</t>
        </is>
      </c>
      <c r="B31" t="inlineStr">
        <is>
          <t>biomass w CCS</t>
        </is>
      </c>
      <c r="C31" t="inlineStr">
        <is>
          <t>ISIC 69T75</t>
        </is>
      </c>
      <c r="D31" t="inlineStr">
        <is>
          <t>ISIC 69T82</t>
        </is>
      </c>
      <c r="E31" t="n">
        <v>1</v>
      </c>
      <c r="F31" t="inlineStr">
        <is>
          <t>semantic override</t>
        </is>
      </c>
      <c r="G31" t="n">
        <v>0.7298219447914125</v>
      </c>
    </row>
    <row r="32">
      <c r="A32" t="inlineStr">
        <is>
          <t>SoESCaOMCbIC-capital.csv</t>
        </is>
      </c>
      <c r="B32" t="inlineStr">
        <is>
          <t>biomass w CCS</t>
        </is>
      </c>
      <c r="C32" t="inlineStr">
        <is>
          <t>ISIC 77T82</t>
        </is>
      </c>
      <c r="D32" t="inlineStr">
        <is>
          <t>ISIC 69T82</t>
        </is>
      </c>
      <c r="E32" t="n">
        <v>0</v>
      </c>
      <c r="F32" t="inlineStr">
        <is>
          <t>semantic override</t>
        </is>
      </c>
      <c r="G32" t="n">
        <v>0.2701780552085875</v>
      </c>
    </row>
    <row r="33">
      <c r="A33" t="inlineStr">
        <is>
          <t>SoESCaOMCbIC-capital.csv</t>
        </is>
      </c>
      <c r="B33" t="inlineStr">
        <is>
          <t>biomass w CCS</t>
        </is>
      </c>
      <c r="C33" t="inlineStr">
        <is>
          <t>ISIC 90T93</t>
        </is>
      </c>
      <c r="D33" t="inlineStr">
        <is>
          <t>ISIC 90T96</t>
        </is>
      </c>
      <c r="E33" t="n">
        <v>0.4216249514352275</v>
      </c>
      <c r="F33" t="inlineStr">
        <is>
          <t>BEA 2024 output share (default)</t>
        </is>
      </c>
      <c r="G33" t="n">
        <v>0.4216249514352275</v>
      </c>
    </row>
    <row r="34">
      <c r="A34" t="inlineStr">
        <is>
          <t>SoESCaOMCbIC-capital.csv</t>
        </is>
      </c>
      <c r="B34" t="inlineStr">
        <is>
          <t>biomass w CCS</t>
        </is>
      </c>
      <c r="C34" t="inlineStr">
        <is>
          <t>ISIC 94T96</t>
        </is>
      </c>
      <c r="D34" t="inlineStr">
        <is>
          <t>ISIC 90T96</t>
        </is>
      </c>
      <c r="E34" t="n">
        <v>0.5783750485647725</v>
      </c>
      <c r="F34" t="inlineStr">
        <is>
          <t>BEA 2024 output share (default)</t>
        </is>
      </c>
      <c r="G34" t="n">
        <v>0.5783750485647725</v>
      </c>
    </row>
    <row r="35">
      <c r="A35" t="inlineStr">
        <is>
          <t>SoESCaOMCbIC-capital.csv</t>
        </is>
      </c>
      <c r="B35" t="inlineStr">
        <is>
          <t>crude oil</t>
        </is>
      </c>
      <c r="C35" t="inlineStr">
        <is>
          <t>ISIC 01</t>
        </is>
      </c>
      <c r="D35" t="inlineStr">
        <is>
          <t>ISIC 01T03</t>
        </is>
      </c>
      <c r="E35" t="n">
        <v>0.9429986826432329</v>
      </c>
      <c r="F35" t="inlineStr">
        <is>
          <t>BEA 2024 output share (default)</t>
        </is>
      </c>
      <c r="G35" t="n">
        <v>0.9429986826432329</v>
      </c>
    </row>
    <row r="36">
      <c r="A36" t="inlineStr">
        <is>
          <t>SoESCaOMCbIC-capital.csv</t>
        </is>
      </c>
      <c r="B36" t="inlineStr">
        <is>
          <t>crude oil</t>
        </is>
      </c>
      <c r="C36" t="inlineStr">
        <is>
          <t>ISIC 02</t>
        </is>
      </c>
      <c r="D36" t="inlineStr">
        <is>
          <t>ISIC 01T03</t>
        </is>
      </c>
      <c r="E36" t="n">
        <v>0.04176573136965662</v>
      </c>
      <c r="F36" t="inlineStr">
        <is>
          <t>BEA 2024 output share (default)</t>
        </is>
      </c>
      <c r="G36" t="n">
        <v>0.04176573136965662</v>
      </c>
    </row>
    <row r="37">
      <c r="A37" t="inlineStr">
        <is>
          <t>SoESCaOMCbIC-capital.csv</t>
        </is>
      </c>
      <c r="B37" t="inlineStr">
        <is>
          <t>crude oil</t>
        </is>
      </c>
      <c r="C37" t="inlineStr">
        <is>
          <t>ISIC 03</t>
        </is>
      </c>
      <c r="D37" t="inlineStr">
        <is>
          <t>ISIC 01T03</t>
        </is>
      </c>
      <c r="E37" t="n">
        <v>0.01523558598711041</v>
      </c>
      <c r="F37" t="inlineStr">
        <is>
          <t>BEA 2024 output share (default)</t>
        </is>
      </c>
      <c r="G37" t="n">
        <v>0.01523558598711041</v>
      </c>
    </row>
    <row r="38">
      <c r="A38" t="inlineStr">
        <is>
          <t>SoESCaOMCbIC-capital.csv</t>
        </is>
      </c>
      <c r="B38" t="inlineStr">
        <is>
          <t>crude oil</t>
        </is>
      </c>
      <c r="C38" t="inlineStr">
        <is>
          <t>ISIC 07</t>
        </is>
      </c>
      <c r="D38" t="inlineStr">
        <is>
          <t>ISIC 07T08</t>
        </is>
      </c>
      <c r="E38" t="n">
        <v>0.4327368836123752</v>
      </c>
      <c r="F38" t="inlineStr">
        <is>
          <t>BEA 2024 output share (default)</t>
        </is>
      </c>
      <c r="G38" t="n">
        <v>0.4327368836123752</v>
      </c>
    </row>
    <row r="39">
      <c r="A39" t="inlineStr">
        <is>
          <t>SoESCaOMCbIC-capital.csv</t>
        </is>
      </c>
      <c r="B39" t="inlineStr">
        <is>
          <t>crude oil</t>
        </is>
      </c>
      <c r="C39" t="inlineStr">
        <is>
          <t>ISIC 08</t>
        </is>
      </c>
      <c r="D39" t="inlineStr">
        <is>
          <t>ISIC 07T08</t>
        </is>
      </c>
      <c r="E39" t="n">
        <v>0.5672631163876248</v>
      </c>
      <c r="F39" t="inlineStr">
        <is>
          <t>BEA 2024 output share (default)</t>
        </is>
      </c>
      <c r="G39" t="n">
        <v>0.5672631163876248</v>
      </c>
    </row>
    <row r="40">
      <c r="A40" t="inlineStr">
        <is>
          <t>SoESCaOMCbIC-capital.csv</t>
        </is>
      </c>
      <c r="B40" t="inlineStr">
        <is>
          <t>crude oil</t>
        </is>
      </c>
      <c r="C40" t="inlineStr">
        <is>
          <t>ISIC 301</t>
        </is>
      </c>
      <c r="D40" t="inlineStr">
        <is>
          <t>ISIC 30</t>
        </is>
      </c>
      <c r="E40" t="n">
        <v>0.1171368722490322</v>
      </c>
      <c r="F40" t="inlineStr">
        <is>
          <t>BEA 2024 output share (default)</t>
        </is>
      </c>
      <c r="G40" t="n">
        <v>0.1171368722490322</v>
      </c>
    </row>
    <row r="41">
      <c r="A41" t="inlineStr">
        <is>
          <t>SoESCaOMCbIC-capital.csv</t>
        </is>
      </c>
      <c r="B41" t="inlineStr">
        <is>
          <t>crude oil</t>
        </is>
      </c>
      <c r="C41" t="inlineStr">
        <is>
          <t>ISIC 302T309</t>
        </is>
      </c>
      <c r="D41" t="inlineStr">
        <is>
          <t>ISIC 30</t>
        </is>
      </c>
      <c r="E41" t="n">
        <v>0.8828631277509678</v>
      </c>
      <c r="F41" t="inlineStr">
        <is>
          <t>BEA 2024 output share (default)</t>
        </is>
      </c>
      <c r="G41" t="n">
        <v>0.8828631277509678</v>
      </c>
    </row>
    <row r="42">
      <c r="A42" t="inlineStr">
        <is>
          <t>SoESCaOMCbIC-capital.csv</t>
        </is>
      </c>
      <c r="B42" t="inlineStr">
        <is>
          <t>crude oil</t>
        </is>
      </c>
      <c r="C42" t="inlineStr">
        <is>
          <t>ISIC 49</t>
        </is>
      </c>
      <c r="D42" t="inlineStr">
        <is>
          <t>ISIC 49T53</t>
        </is>
      </c>
      <c r="E42" t="n">
        <v>0.4781643011829615</v>
      </c>
      <c r="F42" t="inlineStr">
        <is>
          <t>BEA 2024 output share (default)</t>
        </is>
      </c>
      <c r="G42" t="n">
        <v>0.4781643011829615</v>
      </c>
    </row>
    <row r="43">
      <c r="A43" t="inlineStr">
        <is>
          <t>SoESCaOMCbIC-capital.csv</t>
        </is>
      </c>
      <c r="B43" t="inlineStr">
        <is>
          <t>crude oil</t>
        </is>
      </c>
      <c r="C43" t="inlineStr">
        <is>
          <t>ISIC 50</t>
        </is>
      </c>
      <c r="D43" t="inlineStr">
        <is>
          <t>ISIC 49T53</t>
        </is>
      </c>
      <c r="E43" t="n">
        <v>0.04258639396614965</v>
      </c>
      <c r="F43" t="inlineStr">
        <is>
          <t>BEA 2024 output share (default)</t>
        </is>
      </c>
      <c r="G43" t="n">
        <v>0.04258639396614965</v>
      </c>
    </row>
    <row r="44">
      <c r="A44" t="inlineStr">
        <is>
          <t>SoESCaOMCbIC-capital.csv</t>
        </is>
      </c>
      <c r="B44" t="inlineStr">
        <is>
          <t>crude oil</t>
        </is>
      </c>
      <c r="C44" t="inlineStr">
        <is>
          <t>ISIC 51</t>
        </is>
      </c>
      <c r="D44" t="inlineStr">
        <is>
          <t>ISIC 49T53</t>
        </is>
      </c>
      <c r="E44" t="n">
        <v>0.1808024634415262</v>
      </c>
      <c r="F44" t="inlineStr">
        <is>
          <t>BEA 2024 output share (default)</t>
        </is>
      </c>
      <c r="G44" t="n">
        <v>0.1808024634415262</v>
      </c>
    </row>
    <row r="45">
      <c r="A45" t="inlineStr">
        <is>
          <t>SoESCaOMCbIC-capital.csv</t>
        </is>
      </c>
      <c r="B45" t="inlineStr">
        <is>
          <t>crude oil</t>
        </is>
      </c>
      <c r="C45" t="inlineStr">
        <is>
          <t>ISIC 52</t>
        </is>
      </c>
      <c r="D45" t="inlineStr">
        <is>
          <t>ISIC 49T53</t>
        </is>
      </c>
      <c r="E45" t="n">
        <v>0.2139060571318126</v>
      </c>
      <c r="F45" t="inlineStr">
        <is>
          <t>BEA 2024 output share (default)</t>
        </is>
      </c>
      <c r="G45" t="n">
        <v>0.2139060571318126</v>
      </c>
    </row>
    <row r="46">
      <c r="A46" t="inlineStr">
        <is>
          <t>SoESCaOMCbIC-capital.csv</t>
        </is>
      </c>
      <c r="B46" t="inlineStr">
        <is>
          <t>crude oil</t>
        </is>
      </c>
      <c r="C46" t="inlineStr">
        <is>
          <t>ISIC 53</t>
        </is>
      </c>
      <c r="D46" t="inlineStr">
        <is>
          <t>ISIC 49T53</t>
        </is>
      </c>
      <c r="E46" t="n">
        <v>0.08454078427755009</v>
      </c>
      <c r="F46" t="inlineStr">
        <is>
          <t>BEA 2024 output share (default)</t>
        </is>
      </c>
      <c r="G46" t="n">
        <v>0.08454078427755009</v>
      </c>
    </row>
    <row r="47">
      <c r="A47" t="inlineStr">
        <is>
          <t>SoESCaOMCbIC-capital.csv</t>
        </is>
      </c>
      <c r="B47" t="inlineStr">
        <is>
          <t>crude oil</t>
        </is>
      </c>
      <c r="C47" t="inlineStr">
        <is>
          <t>ISIC 69T75</t>
        </is>
      </c>
      <c r="D47" t="inlineStr">
        <is>
          <t>ISIC 69T82</t>
        </is>
      </c>
      <c r="E47" t="n">
        <v>1</v>
      </c>
      <c r="F47" t="inlineStr">
        <is>
          <t>semantic override</t>
        </is>
      </c>
      <c r="G47" t="n">
        <v>0.7298219447914125</v>
      </c>
    </row>
    <row r="48">
      <c r="A48" t="inlineStr">
        <is>
          <t>SoESCaOMCbIC-capital.csv</t>
        </is>
      </c>
      <c r="B48" t="inlineStr">
        <is>
          <t>crude oil</t>
        </is>
      </c>
      <c r="C48" t="inlineStr">
        <is>
          <t>ISIC 77T82</t>
        </is>
      </c>
      <c r="D48" t="inlineStr">
        <is>
          <t>ISIC 69T82</t>
        </is>
      </c>
      <c r="E48" t="n">
        <v>0</v>
      </c>
      <c r="F48" t="inlineStr">
        <is>
          <t>semantic override</t>
        </is>
      </c>
      <c r="G48" t="n">
        <v>0.2701780552085875</v>
      </c>
    </row>
    <row r="49">
      <c r="A49" t="inlineStr">
        <is>
          <t>SoESCaOMCbIC-capital.csv</t>
        </is>
      </c>
      <c r="B49" t="inlineStr">
        <is>
          <t>crude oil</t>
        </is>
      </c>
      <c r="C49" t="inlineStr">
        <is>
          <t>ISIC 90T93</t>
        </is>
      </c>
      <c r="D49" t="inlineStr">
        <is>
          <t>ISIC 90T96</t>
        </is>
      </c>
      <c r="E49" t="n">
        <v>0.4216249514352275</v>
      </c>
      <c r="F49" t="inlineStr">
        <is>
          <t>BEA 2024 output share (default)</t>
        </is>
      </c>
      <c r="G49" t="n">
        <v>0.4216249514352275</v>
      </c>
    </row>
    <row r="50">
      <c r="A50" t="inlineStr">
        <is>
          <t>SoESCaOMCbIC-capital.csv</t>
        </is>
      </c>
      <c r="B50" t="inlineStr">
        <is>
          <t>crude oil</t>
        </is>
      </c>
      <c r="C50" t="inlineStr">
        <is>
          <t>ISIC 94T96</t>
        </is>
      </c>
      <c r="D50" t="inlineStr">
        <is>
          <t>ISIC 90T96</t>
        </is>
      </c>
      <c r="E50" t="n">
        <v>0.5783750485647725</v>
      </c>
      <c r="F50" t="inlineStr">
        <is>
          <t>BEA 2024 output share (default)</t>
        </is>
      </c>
      <c r="G50" t="n">
        <v>0.5783750485647725</v>
      </c>
    </row>
    <row r="51">
      <c r="A51" t="inlineStr">
        <is>
          <t>SoESCaOMCbIC-capital.csv</t>
        </is>
      </c>
      <c r="B51" t="inlineStr">
        <is>
          <t>geothermal</t>
        </is>
      </c>
      <c r="C51" t="inlineStr">
        <is>
          <t>ISIC 01</t>
        </is>
      </c>
      <c r="D51" t="inlineStr">
        <is>
          <t>ISIC 01T03</t>
        </is>
      </c>
      <c r="E51" t="n">
        <v>0.9429986826432329</v>
      </c>
      <c r="F51" t="inlineStr">
        <is>
          <t>BEA 2024 output share (default)</t>
        </is>
      </c>
      <c r="G51" t="n">
        <v>0.9429986826432329</v>
      </c>
    </row>
    <row r="52">
      <c r="A52" t="inlineStr">
        <is>
          <t>SoESCaOMCbIC-capital.csv</t>
        </is>
      </c>
      <c r="B52" t="inlineStr">
        <is>
          <t>geothermal</t>
        </is>
      </c>
      <c r="C52" t="inlineStr">
        <is>
          <t>ISIC 02</t>
        </is>
      </c>
      <c r="D52" t="inlineStr">
        <is>
          <t>ISIC 01T03</t>
        </is>
      </c>
      <c r="E52" t="n">
        <v>0.04176573136965662</v>
      </c>
      <c r="F52" t="inlineStr">
        <is>
          <t>BEA 2024 output share (default)</t>
        </is>
      </c>
      <c r="G52" t="n">
        <v>0.04176573136965662</v>
      </c>
    </row>
    <row r="53">
      <c r="A53" t="inlineStr">
        <is>
          <t>SoESCaOMCbIC-capital.csv</t>
        </is>
      </c>
      <c r="B53" t="inlineStr">
        <is>
          <t>geothermal</t>
        </is>
      </c>
      <c r="C53" t="inlineStr">
        <is>
          <t>ISIC 03</t>
        </is>
      </c>
      <c r="D53" t="inlineStr">
        <is>
          <t>ISIC 01T03</t>
        </is>
      </c>
      <c r="E53" t="n">
        <v>0.01523558598711041</v>
      </c>
      <c r="F53" t="inlineStr">
        <is>
          <t>BEA 2024 output share (default)</t>
        </is>
      </c>
      <c r="G53" t="n">
        <v>0.01523558598711041</v>
      </c>
    </row>
    <row r="54">
      <c r="A54" t="inlineStr">
        <is>
          <t>SoESCaOMCbIC-capital.csv</t>
        </is>
      </c>
      <c r="B54" t="inlineStr">
        <is>
          <t>geothermal</t>
        </is>
      </c>
      <c r="C54" t="inlineStr">
        <is>
          <t>ISIC 07</t>
        </is>
      </c>
      <c r="D54" t="inlineStr">
        <is>
          <t>ISIC 07T08</t>
        </is>
      </c>
      <c r="E54" t="n">
        <v>0.4327368836123752</v>
      </c>
      <c r="F54" t="inlineStr">
        <is>
          <t>BEA 2024 output share (default)</t>
        </is>
      </c>
      <c r="G54" t="n">
        <v>0.4327368836123752</v>
      </c>
    </row>
    <row r="55">
      <c r="A55" t="inlineStr">
        <is>
          <t>SoESCaOMCbIC-capital.csv</t>
        </is>
      </c>
      <c r="B55" t="inlineStr">
        <is>
          <t>geothermal</t>
        </is>
      </c>
      <c r="C55" t="inlineStr">
        <is>
          <t>ISIC 08</t>
        </is>
      </c>
      <c r="D55" t="inlineStr">
        <is>
          <t>ISIC 07T08</t>
        </is>
      </c>
      <c r="E55" t="n">
        <v>0.5672631163876248</v>
      </c>
      <c r="F55" t="inlineStr">
        <is>
          <t>BEA 2024 output share (default)</t>
        </is>
      </c>
      <c r="G55" t="n">
        <v>0.5672631163876248</v>
      </c>
    </row>
    <row r="56">
      <c r="A56" t="inlineStr">
        <is>
          <t>SoESCaOMCbIC-capital.csv</t>
        </is>
      </c>
      <c r="B56" t="inlineStr">
        <is>
          <t>geothermal</t>
        </is>
      </c>
      <c r="C56" t="inlineStr">
        <is>
          <t>ISIC 301</t>
        </is>
      </c>
      <c r="D56" t="inlineStr">
        <is>
          <t>ISIC 30</t>
        </is>
      </c>
      <c r="E56" t="n">
        <v>0.1171368722490322</v>
      </c>
      <c r="F56" t="inlineStr">
        <is>
          <t>BEA 2024 output share (default)</t>
        </is>
      </c>
      <c r="G56" t="n">
        <v>0.1171368722490322</v>
      </c>
    </row>
    <row r="57">
      <c r="A57" t="inlineStr">
        <is>
          <t>SoESCaOMCbIC-capital.csv</t>
        </is>
      </c>
      <c r="B57" t="inlineStr">
        <is>
          <t>geothermal</t>
        </is>
      </c>
      <c r="C57" t="inlineStr">
        <is>
          <t>ISIC 302T309</t>
        </is>
      </c>
      <c r="D57" t="inlineStr">
        <is>
          <t>ISIC 30</t>
        </is>
      </c>
      <c r="E57" t="n">
        <v>0.8828631277509678</v>
      </c>
      <c r="F57" t="inlineStr">
        <is>
          <t>BEA 2024 output share (default)</t>
        </is>
      </c>
      <c r="G57" t="n">
        <v>0.8828631277509678</v>
      </c>
    </row>
    <row r="58">
      <c r="A58" t="inlineStr">
        <is>
          <t>SoESCaOMCbIC-capital.csv</t>
        </is>
      </c>
      <c r="B58" t="inlineStr">
        <is>
          <t>geothermal</t>
        </is>
      </c>
      <c r="C58" t="inlineStr">
        <is>
          <t>ISIC 49</t>
        </is>
      </c>
      <c r="D58" t="inlineStr">
        <is>
          <t>ISIC 49T53</t>
        </is>
      </c>
      <c r="E58" t="n">
        <v>0.4781643011829615</v>
      </c>
      <c r="F58" t="inlineStr">
        <is>
          <t>BEA 2024 output share (default)</t>
        </is>
      </c>
      <c r="G58" t="n">
        <v>0.4781643011829615</v>
      </c>
    </row>
    <row r="59">
      <c r="A59" t="inlineStr">
        <is>
          <t>SoESCaOMCbIC-capital.csv</t>
        </is>
      </c>
      <c r="B59" t="inlineStr">
        <is>
          <t>geothermal</t>
        </is>
      </c>
      <c r="C59" t="inlineStr">
        <is>
          <t>ISIC 50</t>
        </is>
      </c>
      <c r="D59" t="inlineStr">
        <is>
          <t>ISIC 49T53</t>
        </is>
      </c>
      <c r="E59" t="n">
        <v>0.04258639396614965</v>
      </c>
      <c r="F59" t="inlineStr">
        <is>
          <t>BEA 2024 output share (default)</t>
        </is>
      </c>
      <c r="G59" t="n">
        <v>0.04258639396614965</v>
      </c>
    </row>
    <row r="60">
      <c r="A60" t="inlineStr">
        <is>
          <t>SoESCaOMCbIC-capital.csv</t>
        </is>
      </c>
      <c r="B60" t="inlineStr">
        <is>
          <t>geothermal</t>
        </is>
      </c>
      <c r="C60" t="inlineStr">
        <is>
          <t>ISIC 51</t>
        </is>
      </c>
      <c r="D60" t="inlineStr">
        <is>
          <t>ISIC 49T53</t>
        </is>
      </c>
      <c r="E60" t="n">
        <v>0.1808024634415262</v>
      </c>
      <c r="F60" t="inlineStr">
        <is>
          <t>BEA 2024 output share (default)</t>
        </is>
      </c>
      <c r="G60" t="n">
        <v>0.1808024634415262</v>
      </c>
    </row>
    <row r="61">
      <c r="A61" t="inlineStr">
        <is>
          <t>SoESCaOMCbIC-capital.csv</t>
        </is>
      </c>
      <c r="B61" t="inlineStr">
        <is>
          <t>geothermal</t>
        </is>
      </c>
      <c r="C61" t="inlineStr">
        <is>
          <t>ISIC 52</t>
        </is>
      </c>
      <c r="D61" t="inlineStr">
        <is>
          <t>ISIC 49T53</t>
        </is>
      </c>
      <c r="E61" t="n">
        <v>0.2139060571318126</v>
      </c>
      <c r="F61" t="inlineStr">
        <is>
          <t>BEA 2024 output share (default)</t>
        </is>
      </c>
      <c r="G61" t="n">
        <v>0.2139060571318126</v>
      </c>
    </row>
    <row r="62">
      <c r="A62" t="inlineStr">
        <is>
          <t>SoESCaOMCbIC-capital.csv</t>
        </is>
      </c>
      <c r="B62" t="inlineStr">
        <is>
          <t>geothermal</t>
        </is>
      </c>
      <c r="C62" t="inlineStr">
        <is>
          <t>ISIC 53</t>
        </is>
      </c>
      <c r="D62" t="inlineStr">
        <is>
          <t>ISIC 49T53</t>
        </is>
      </c>
      <c r="E62" t="n">
        <v>0.08454078427755009</v>
      </c>
      <c r="F62" t="inlineStr">
        <is>
          <t>BEA 2024 output share (default)</t>
        </is>
      </c>
      <c r="G62" t="n">
        <v>0.08454078427755009</v>
      </c>
    </row>
    <row r="63">
      <c r="A63" t="inlineStr">
        <is>
          <t>SoESCaOMCbIC-capital.csv</t>
        </is>
      </c>
      <c r="B63" t="inlineStr">
        <is>
          <t>geothermal</t>
        </is>
      </c>
      <c r="C63" t="inlineStr">
        <is>
          <t>ISIC 69T75</t>
        </is>
      </c>
      <c r="D63" t="inlineStr">
        <is>
          <t>ISIC 69T82</t>
        </is>
      </c>
      <c r="E63" t="n">
        <v>1</v>
      </c>
      <c r="F63" t="inlineStr">
        <is>
          <t>semantic override</t>
        </is>
      </c>
      <c r="G63" t="n">
        <v>0.7298219447914125</v>
      </c>
    </row>
    <row r="64">
      <c r="A64" t="inlineStr">
        <is>
          <t>SoESCaOMCbIC-capital.csv</t>
        </is>
      </c>
      <c r="B64" t="inlineStr">
        <is>
          <t>geothermal</t>
        </is>
      </c>
      <c r="C64" t="inlineStr">
        <is>
          <t>ISIC 77T82</t>
        </is>
      </c>
      <c r="D64" t="inlineStr">
        <is>
          <t>ISIC 69T82</t>
        </is>
      </c>
      <c r="E64" t="n">
        <v>0</v>
      </c>
      <c r="F64" t="inlineStr">
        <is>
          <t>semantic override</t>
        </is>
      </c>
      <c r="G64" t="n">
        <v>0.2701780552085875</v>
      </c>
    </row>
    <row r="65">
      <c r="A65" t="inlineStr">
        <is>
          <t>SoESCaOMCbIC-capital.csv</t>
        </is>
      </c>
      <c r="B65" t="inlineStr">
        <is>
          <t>geothermal</t>
        </is>
      </c>
      <c r="C65" t="inlineStr">
        <is>
          <t>ISIC 90T93</t>
        </is>
      </c>
      <c r="D65" t="inlineStr">
        <is>
          <t>ISIC 90T96</t>
        </is>
      </c>
      <c r="E65" t="n">
        <v>0.4216249514352275</v>
      </c>
      <c r="F65" t="inlineStr">
        <is>
          <t>BEA 2024 output share (default)</t>
        </is>
      </c>
      <c r="G65" t="n">
        <v>0.4216249514352275</v>
      </c>
    </row>
    <row r="66">
      <c r="A66" t="inlineStr">
        <is>
          <t>SoESCaOMCbIC-capital.csv</t>
        </is>
      </c>
      <c r="B66" t="inlineStr">
        <is>
          <t>geothermal</t>
        </is>
      </c>
      <c r="C66" t="inlineStr">
        <is>
          <t>ISIC 94T96</t>
        </is>
      </c>
      <c r="D66" t="inlineStr">
        <is>
          <t>ISIC 90T96</t>
        </is>
      </c>
      <c r="E66" t="n">
        <v>0.5783750485647725</v>
      </c>
      <c r="F66" t="inlineStr">
        <is>
          <t>BEA 2024 output share (default)</t>
        </is>
      </c>
      <c r="G66" t="n">
        <v>0.5783750485647725</v>
      </c>
    </row>
    <row r="67">
      <c r="A67" t="inlineStr">
        <is>
          <t>SoESCaOMCbIC-capital.csv</t>
        </is>
      </c>
      <c r="B67" t="inlineStr">
        <is>
          <t>hard coal</t>
        </is>
      </c>
      <c r="C67" t="inlineStr">
        <is>
          <t>ISIC 01</t>
        </is>
      </c>
      <c r="D67" t="inlineStr">
        <is>
          <t>ISIC 01T03</t>
        </is>
      </c>
      <c r="E67" t="n">
        <v>0.9429986826432329</v>
      </c>
      <c r="F67" t="inlineStr">
        <is>
          <t>BEA 2024 output share (default)</t>
        </is>
      </c>
      <c r="G67" t="n">
        <v>0.9429986826432329</v>
      </c>
    </row>
    <row r="68">
      <c r="A68" t="inlineStr">
        <is>
          <t>SoESCaOMCbIC-capital.csv</t>
        </is>
      </c>
      <c r="B68" t="inlineStr">
        <is>
          <t>hard coal</t>
        </is>
      </c>
      <c r="C68" t="inlineStr">
        <is>
          <t>ISIC 02</t>
        </is>
      </c>
      <c r="D68" t="inlineStr">
        <is>
          <t>ISIC 01T03</t>
        </is>
      </c>
      <c r="E68" t="n">
        <v>0.04176573136965662</v>
      </c>
      <c r="F68" t="inlineStr">
        <is>
          <t>BEA 2024 output share (default)</t>
        </is>
      </c>
      <c r="G68" t="n">
        <v>0.04176573136965662</v>
      </c>
    </row>
    <row r="69">
      <c r="A69" t="inlineStr">
        <is>
          <t>SoESCaOMCbIC-capital.csv</t>
        </is>
      </c>
      <c r="B69" t="inlineStr">
        <is>
          <t>hard coal</t>
        </is>
      </c>
      <c r="C69" t="inlineStr">
        <is>
          <t>ISIC 03</t>
        </is>
      </c>
      <c r="D69" t="inlineStr">
        <is>
          <t>ISIC 01T03</t>
        </is>
      </c>
      <c r="E69" t="n">
        <v>0.01523558598711041</v>
      </c>
      <c r="F69" t="inlineStr">
        <is>
          <t>BEA 2024 output share (default)</t>
        </is>
      </c>
      <c r="G69" t="n">
        <v>0.01523558598711041</v>
      </c>
    </row>
    <row r="70">
      <c r="A70" t="inlineStr">
        <is>
          <t>SoESCaOMCbIC-capital.csv</t>
        </is>
      </c>
      <c r="B70" t="inlineStr">
        <is>
          <t>hard coal</t>
        </is>
      </c>
      <c r="C70" t="inlineStr">
        <is>
          <t>ISIC 07</t>
        </is>
      </c>
      <c r="D70" t="inlineStr">
        <is>
          <t>ISIC 07T08</t>
        </is>
      </c>
      <c r="E70" t="n">
        <v>0.4327368836123752</v>
      </c>
      <c r="F70" t="inlineStr">
        <is>
          <t>BEA 2024 output share (default)</t>
        </is>
      </c>
      <c r="G70" t="n">
        <v>0.4327368836123752</v>
      </c>
    </row>
    <row r="71">
      <c r="A71" t="inlineStr">
        <is>
          <t>SoESCaOMCbIC-capital.csv</t>
        </is>
      </c>
      <c r="B71" t="inlineStr">
        <is>
          <t>hard coal</t>
        </is>
      </c>
      <c r="C71" t="inlineStr">
        <is>
          <t>ISIC 08</t>
        </is>
      </c>
      <c r="D71" t="inlineStr">
        <is>
          <t>ISIC 07T08</t>
        </is>
      </c>
      <c r="E71" t="n">
        <v>0.5672631163876248</v>
      </c>
      <c r="F71" t="inlineStr">
        <is>
          <t>BEA 2024 output share (default)</t>
        </is>
      </c>
      <c r="G71" t="n">
        <v>0.5672631163876248</v>
      </c>
    </row>
    <row r="72">
      <c r="A72" t="inlineStr">
        <is>
          <t>SoESCaOMCbIC-capital.csv</t>
        </is>
      </c>
      <c r="B72" t="inlineStr">
        <is>
          <t>hard coal</t>
        </is>
      </c>
      <c r="C72" t="inlineStr">
        <is>
          <t>ISIC 301</t>
        </is>
      </c>
      <c r="D72" t="inlineStr">
        <is>
          <t>ISIC 30</t>
        </is>
      </c>
      <c r="E72" t="n">
        <v>0.1171368722490322</v>
      </c>
      <c r="F72" t="inlineStr">
        <is>
          <t>BEA 2024 output share (default)</t>
        </is>
      </c>
      <c r="G72" t="n">
        <v>0.1171368722490322</v>
      </c>
    </row>
    <row r="73">
      <c r="A73" t="inlineStr">
        <is>
          <t>SoESCaOMCbIC-capital.csv</t>
        </is>
      </c>
      <c r="B73" t="inlineStr">
        <is>
          <t>hard coal</t>
        </is>
      </c>
      <c r="C73" t="inlineStr">
        <is>
          <t>ISIC 302T309</t>
        </is>
      </c>
      <c r="D73" t="inlineStr">
        <is>
          <t>ISIC 30</t>
        </is>
      </c>
      <c r="E73" t="n">
        <v>0.8828631277509678</v>
      </c>
      <c r="F73" t="inlineStr">
        <is>
          <t>BEA 2024 output share (default)</t>
        </is>
      </c>
      <c r="G73" t="n">
        <v>0.8828631277509678</v>
      </c>
    </row>
    <row r="74">
      <c r="A74" t="inlineStr">
        <is>
          <t>SoESCaOMCbIC-capital.csv</t>
        </is>
      </c>
      <c r="B74" t="inlineStr">
        <is>
          <t>hard coal</t>
        </is>
      </c>
      <c r="C74" t="inlineStr">
        <is>
          <t>ISIC 49</t>
        </is>
      </c>
      <c r="D74" t="inlineStr">
        <is>
          <t>ISIC 49T53</t>
        </is>
      </c>
      <c r="E74" t="n">
        <v>0.4781643011829615</v>
      </c>
      <c r="F74" t="inlineStr">
        <is>
          <t>BEA 2024 output share (default)</t>
        </is>
      </c>
      <c r="G74" t="n">
        <v>0.4781643011829615</v>
      </c>
    </row>
    <row r="75">
      <c r="A75" t="inlineStr">
        <is>
          <t>SoESCaOMCbIC-capital.csv</t>
        </is>
      </c>
      <c r="B75" t="inlineStr">
        <is>
          <t>hard coal</t>
        </is>
      </c>
      <c r="C75" t="inlineStr">
        <is>
          <t>ISIC 50</t>
        </is>
      </c>
      <c r="D75" t="inlineStr">
        <is>
          <t>ISIC 49T53</t>
        </is>
      </c>
      <c r="E75" t="n">
        <v>0.04258639396614965</v>
      </c>
      <c r="F75" t="inlineStr">
        <is>
          <t>BEA 2024 output share (default)</t>
        </is>
      </c>
      <c r="G75" t="n">
        <v>0.04258639396614965</v>
      </c>
    </row>
    <row r="76">
      <c r="A76" t="inlineStr">
        <is>
          <t>SoESCaOMCbIC-capital.csv</t>
        </is>
      </c>
      <c r="B76" t="inlineStr">
        <is>
          <t>hard coal</t>
        </is>
      </c>
      <c r="C76" t="inlineStr">
        <is>
          <t>ISIC 51</t>
        </is>
      </c>
      <c r="D76" t="inlineStr">
        <is>
          <t>ISIC 49T53</t>
        </is>
      </c>
      <c r="E76" t="n">
        <v>0.1808024634415262</v>
      </c>
      <c r="F76" t="inlineStr">
        <is>
          <t>BEA 2024 output share (default)</t>
        </is>
      </c>
      <c r="G76" t="n">
        <v>0.1808024634415262</v>
      </c>
    </row>
    <row r="77">
      <c r="A77" t="inlineStr">
        <is>
          <t>SoESCaOMCbIC-capital.csv</t>
        </is>
      </c>
      <c r="B77" t="inlineStr">
        <is>
          <t>hard coal</t>
        </is>
      </c>
      <c r="C77" t="inlineStr">
        <is>
          <t>ISIC 52</t>
        </is>
      </c>
      <c r="D77" t="inlineStr">
        <is>
          <t>ISIC 49T53</t>
        </is>
      </c>
      <c r="E77" t="n">
        <v>0.2139060571318126</v>
      </c>
      <c r="F77" t="inlineStr">
        <is>
          <t>BEA 2024 output share (default)</t>
        </is>
      </c>
      <c r="G77" t="n">
        <v>0.2139060571318126</v>
      </c>
    </row>
    <row r="78">
      <c r="A78" t="inlineStr">
        <is>
          <t>SoESCaOMCbIC-capital.csv</t>
        </is>
      </c>
      <c r="B78" t="inlineStr">
        <is>
          <t>hard coal</t>
        </is>
      </c>
      <c r="C78" t="inlineStr">
        <is>
          <t>ISIC 53</t>
        </is>
      </c>
      <c r="D78" t="inlineStr">
        <is>
          <t>ISIC 49T53</t>
        </is>
      </c>
      <c r="E78" t="n">
        <v>0.08454078427755009</v>
      </c>
      <c r="F78" t="inlineStr">
        <is>
          <t>BEA 2024 output share (default)</t>
        </is>
      </c>
      <c r="G78" t="n">
        <v>0.08454078427755009</v>
      </c>
    </row>
    <row r="79">
      <c r="A79" t="inlineStr">
        <is>
          <t>SoESCaOMCbIC-capital.csv</t>
        </is>
      </c>
      <c r="B79" t="inlineStr">
        <is>
          <t>hard coal</t>
        </is>
      </c>
      <c r="C79" t="inlineStr">
        <is>
          <t>ISIC 69T75</t>
        </is>
      </c>
      <c r="D79" t="inlineStr">
        <is>
          <t>ISIC 69T82</t>
        </is>
      </c>
      <c r="E79" t="n">
        <v>1</v>
      </c>
      <c r="F79" t="inlineStr">
        <is>
          <t>semantic override</t>
        </is>
      </c>
      <c r="G79" t="n">
        <v>0.7298219447914125</v>
      </c>
    </row>
    <row r="80">
      <c r="A80" t="inlineStr">
        <is>
          <t>SoESCaOMCbIC-capital.csv</t>
        </is>
      </c>
      <c r="B80" t="inlineStr">
        <is>
          <t>hard coal</t>
        </is>
      </c>
      <c r="C80" t="inlineStr">
        <is>
          <t>ISIC 77T82</t>
        </is>
      </c>
      <c r="D80" t="inlineStr">
        <is>
          <t>ISIC 69T82</t>
        </is>
      </c>
      <c r="E80" t="n">
        <v>0</v>
      </c>
      <c r="F80" t="inlineStr">
        <is>
          <t>semantic override</t>
        </is>
      </c>
      <c r="G80" t="n">
        <v>0.2701780552085875</v>
      </c>
    </row>
    <row r="81">
      <c r="A81" t="inlineStr">
        <is>
          <t>SoESCaOMCbIC-capital.csv</t>
        </is>
      </c>
      <c r="B81" t="inlineStr">
        <is>
          <t>hard coal</t>
        </is>
      </c>
      <c r="C81" t="inlineStr">
        <is>
          <t>ISIC 90T93</t>
        </is>
      </c>
      <c r="D81" t="inlineStr">
        <is>
          <t>ISIC 90T96</t>
        </is>
      </c>
      <c r="E81" t="n">
        <v>0.4216249514352275</v>
      </c>
      <c r="F81" t="inlineStr">
        <is>
          <t>BEA 2024 output share (default)</t>
        </is>
      </c>
      <c r="G81" t="n">
        <v>0.4216249514352275</v>
      </c>
    </row>
    <row r="82">
      <c r="A82" t="inlineStr">
        <is>
          <t>SoESCaOMCbIC-capital.csv</t>
        </is>
      </c>
      <c r="B82" t="inlineStr">
        <is>
          <t>hard coal</t>
        </is>
      </c>
      <c r="C82" t="inlineStr">
        <is>
          <t>ISIC 94T96</t>
        </is>
      </c>
      <c r="D82" t="inlineStr">
        <is>
          <t>ISIC 90T96</t>
        </is>
      </c>
      <c r="E82" t="n">
        <v>0.5783750485647725</v>
      </c>
      <c r="F82" t="inlineStr">
        <is>
          <t>BEA 2024 output share (default)</t>
        </is>
      </c>
      <c r="G82" t="n">
        <v>0.5783750485647725</v>
      </c>
    </row>
    <row r="83">
      <c r="A83" t="inlineStr">
        <is>
          <t>SoESCaOMCbIC-capital.csv</t>
        </is>
      </c>
      <c r="B83" t="inlineStr">
        <is>
          <t>hard coal w CCS</t>
        </is>
      </c>
      <c r="C83" t="inlineStr">
        <is>
          <t>ISIC 01</t>
        </is>
      </c>
      <c r="D83" t="inlineStr">
        <is>
          <t>ISIC 01T03</t>
        </is>
      </c>
      <c r="E83" t="n">
        <v>0.9429986826432329</v>
      </c>
      <c r="F83" t="inlineStr">
        <is>
          <t>BEA 2024 output share (default)</t>
        </is>
      </c>
      <c r="G83" t="n">
        <v>0.9429986826432329</v>
      </c>
    </row>
    <row r="84">
      <c r="A84" t="inlineStr">
        <is>
          <t>SoESCaOMCbIC-capital.csv</t>
        </is>
      </c>
      <c r="B84" t="inlineStr">
        <is>
          <t>hard coal w CCS</t>
        </is>
      </c>
      <c r="C84" t="inlineStr">
        <is>
          <t>ISIC 02</t>
        </is>
      </c>
      <c r="D84" t="inlineStr">
        <is>
          <t>ISIC 01T03</t>
        </is>
      </c>
      <c r="E84" t="n">
        <v>0.04176573136965662</v>
      </c>
      <c r="F84" t="inlineStr">
        <is>
          <t>BEA 2024 output share (default)</t>
        </is>
      </c>
      <c r="G84" t="n">
        <v>0.04176573136965662</v>
      </c>
    </row>
    <row r="85">
      <c r="A85" t="inlineStr">
        <is>
          <t>SoESCaOMCbIC-capital.csv</t>
        </is>
      </c>
      <c r="B85" t="inlineStr">
        <is>
          <t>hard coal w CCS</t>
        </is>
      </c>
      <c r="C85" t="inlineStr">
        <is>
          <t>ISIC 03</t>
        </is>
      </c>
      <c r="D85" t="inlineStr">
        <is>
          <t>ISIC 01T03</t>
        </is>
      </c>
      <c r="E85" t="n">
        <v>0.01523558598711041</v>
      </c>
      <c r="F85" t="inlineStr">
        <is>
          <t>BEA 2024 output share (default)</t>
        </is>
      </c>
      <c r="G85" t="n">
        <v>0.01523558598711041</v>
      </c>
    </row>
    <row r="86">
      <c r="A86" t="inlineStr">
        <is>
          <t>SoESCaOMCbIC-capital.csv</t>
        </is>
      </c>
      <c r="B86" t="inlineStr">
        <is>
          <t>hard coal w CCS</t>
        </is>
      </c>
      <c r="C86" t="inlineStr">
        <is>
          <t>ISIC 07</t>
        </is>
      </c>
      <c r="D86" t="inlineStr">
        <is>
          <t>ISIC 07T08</t>
        </is>
      </c>
      <c r="E86" t="n">
        <v>0.4327368836123752</v>
      </c>
      <c r="F86" t="inlineStr">
        <is>
          <t>BEA 2024 output share (default)</t>
        </is>
      </c>
      <c r="G86" t="n">
        <v>0.4327368836123752</v>
      </c>
    </row>
    <row r="87">
      <c r="A87" t="inlineStr">
        <is>
          <t>SoESCaOMCbIC-capital.csv</t>
        </is>
      </c>
      <c r="B87" t="inlineStr">
        <is>
          <t>hard coal w CCS</t>
        </is>
      </c>
      <c r="C87" t="inlineStr">
        <is>
          <t>ISIC 08</t>
        </is>
      </c>
      <c r="D87" t="inlineStr">
        <is>
          <t>ISIC 07T08</t>
        </is>
      </c>
      <c r="E87" t="n">
        <v>0.5672631163876248</v>
      </c>
      <c r="F87" t="inlineStr">
        <is>
          <t>BEA 2024 output share (default)</t>
        </is>
      </c>
      <c r="G87" t="n">
        <v>0.5672631163876248</v>
      </c>
    </row>
    <row r="88">
      <c r="A88" t="inlineStr">
        <is>
          <t>SoESCaOMCbIC-capital.csv</t>
        </is>
      </c>
      <c r="B88" t="inlineStr">
        <is>
          <t>hard coal w CCS</t>
        </is>
      </c>
      <c r="C88" t="inlineStr">
        <is>
          <t>ISIC 301</t>
        </is>
      </c>
      <c r="D88" t="inlineStr">
        <is>
          <t>ISIC 30</t>
        </is>
      </c>
      <c r="E88" t="n">
        <v>0.1171368722490322</v>
      </c>
      <c r="F88" t="inlineStr">
        <is>
          <t>BEA 2024 output share (default)</t>
        </is>
      </c>
      <c r="G88" t="n">
        <v>0.1171368722490322</v>
      </c>
    </row>
    <row r="89">
      <c r="A89" t="inlineStr">
        <is>
          <t>SoESCaOMCbIC-capital.csv</t>
        </is>
      </c>
      <c r="B89" t="inlineStr">
        <is>
          <t>hard coal w CCS</t>
        </is>
      </c>
      <c r="C89" t="inlineStr">
        <is>
          <t>ISIC 302T309</t>
        </is>
      </c>
      <c r="D89" t="inlineStr">
        <is>
          <t>ISIC 30</t>
        </is>
      </c>
      <c r="E89" t="n">
        <v>0.8828631277509678</v>
      </c>
      <c r="F89" t="inlineStr">
        <is>
          <t>BEA 2024 output share (default)</t>
        </is>
      </c>
      <c r="G89" t="n">
        <v>0.8828631277509678</v>
      </c>
    </row>
    <row r="90">
      <c r="A90" t="inlineStr">
        <is>
          <t>SoESCaOMCbIC-capital.csv</t>
        </is>
      </c>
      <c r="B90" t="inlineStr">
        <is>
          <t>hard coal w CCS</t>
        </is>
      </c>
      <c r="C90" t="inlineStr">
        <is>
          <t>ISIC 49</t>
        </is>
      </c>
      <c r="D90" t="inlineStr">
        <is>
          <t>ISIC 49T53</t>
        </is>
      </c>
      <c r="E90" t="n">
        <v>0.4781643011829615</v>
      </c>
      <c r="F90" t="inlineStr">
        <is>
          <t>BEA 2024 output share (default)</t>
        </is>
      </c>
      <c r="G90" t="n">
        <v>0.4781643011829615</v>
      </c>
    </row>
    <row r="91">
      <c r="A91" t="inlineStr">
        <is>
          <t>SoESCaOMCbIC-capital.csv</t>
        </is>
      </c>
      <c r="B91" t="inlineStr">
        <is>
          <t>hard coal w CCS</t>
        </is>
      </c>
      <c r="C91" t="inlineStr">
        <is>
          <t>ISIC 50</t>
        </is>
      </c>
      <c r="D91" t="inlineStr">
        <is>
          <t>ISIC 49T53</t>
        </is>
      </c>
      <c r="E91" t="n">
        <v>0.04258639396614965</v>
      </c>
      <c r="F91" t="inlineStr">
        <is>
          <t>BEA 2024 output share (default)</t>
        </is>
      </c>
      <c r="G91" t="n">
        <v>0.04258639396614965</v>
      </c>
    </row>
    <row r="92">
      <c r="A92" t="inlineStr">
        <is>
          <t>SoESCaOMCbIC-capital.csv</t>
        </is>
      </c>
      <c r="B92" t="inlineStr">
        <is>
          <t>hard coal w CCS</t>
        </is>
      </c>
      <c r="C92" t="inlineStr">
        <is>
          <t>ISIC 51</t>
        </is>
      </c>
      <c r="D92" t="inlineStr">
        <is>
          <t>ISIC 49T53</t>
        </is>
      </c>
      <c r="E92" t="n">
        <v>0.1808024634415262</v>
      </c>
      <c r="F92" t="inlineStr">
        <is>
          <t>BEA 2024 output share (default)</t>
        </is>
      </c>
      <c r="G92" t="n">
        <v>0.1808024634415262</v>
      </c>
    </row>
    <row r="93">
      <c r="A93" t="inlineStr">
        <is>
          <t>SoESCaOMCbIC-capital.csv</t>
        </is>
      </c>
      <c r="B93" t="inlineStr">
        <is>
          <t>hard coal w CCS</t>
        </is>
      </c>
      <c r="C93" t="inlineStr">
        <is>
          <t>ISIC 52</t>
        </is>
      </c>
      <c r="D93" t="inlineStr">
        <is>
          <t>ISIC 49T53</t>
        </is>
      </c>
      <c r="E93" t="n">
        <v>0.2139060571318126</v>
      </c>
      <c r="F93" t="inlineStr">
        <is>
          <t>BEA 2024 output share (default)</t>
        </is>
      </c>
      <c r="G93" t="n">
        <v>0.2139060571318126</v>
      </c>
    </row>
    <row r="94">
      <c r="A94" t="inlineStr">
        <is>
          <t>SoESCaOMCbIC-capital.csv</t>
        </is>
      </c>
      <c r="B94" t="inlineStr">
        <is>
          <t>hard coal w CCS</t>
        </is>
      </c>
      <c r="C94" t="inlineStr">
        <is>
          <t>ISIC 53</t>
        </is>
      </c>
      <c r="D94" t="inlineStr">
        <is>
          <t>ISIC 49T53</t>
        </is>
      </c>
      <c r="E94" t="n">
        <v>0.08454078427755009</v>
      </c>
      <c r="F94" t="inlineStr">
        <is>
          <t>BEA 2024 output share (default)</t>
        </is>
      </c>
      <c r="G94" t="n">
        <v>0.08454078427755009</v>
      </c>
    </row>
    <row r="95">
      <c r="A95" t="inlineStr">
        <is>
          <t>SoESCaOMCbIC-capital.csv</t>
        </is>
      </c>
      <c r="B95" t="inlineStr">
        <is>
          <t>hard coal w CCS</t>
        </is>
      </c>
      <c r="C95" t="inlineStr">
        <is>
          <t>ISIC 69T75</t>
        </is>
      </c>
      <c r="D95" t="inlineStr">
        <is>
          <t>ISIC 69T82</t>
        </is>
      </c>
      <c r="E95" t="n">
        <v>1</v>
      </c>
      <c r="F95" t="inlineStr">
        <is>
          <t>semantic override</t>
        </is>
      </c>
      <c r="G95" t="n">
        <v>0.7298219447914125</v>
      </c>
    </row>
    <row r="96">
      <c r="A96" t="inlineStr">
        <is>
          <t>SoESCaOMCbIC-capital.csv</t>
        </is>
      </c>
      <c r="B96" t="inlineStr">
        <is>
          <t>hard coal w CCS</t>
        </is>
      </c>
      <c r="C96" t="inlineStr">
        <is>
          <t>ISIC 77T82</t>
        </is>
      </c>
      <c r="D96" t="inlineStr">
        <is>
          <t>ISIC 69T82</t>
        </is>
      </c>
      <c r="E96" t="n">
        <v>0</v>
      </c>
      <c r="F96" t="inlineStr">
        <is>
          <t>semantic override</t>
        </is>
      </c>
      <c r="G96" t="n">
        <v>0.2701780552085875</v>
      </c>
    </row>
    <row r="97">
      <c r="A97" t="inlineStr">
        <is>
          <t>SoESCaOMCbIC-capital.csv</t>
        </is>
      </c>
      <c r="B97" t="inlineStr">
        <is>
          <t>hard coal w CCS</t>
        </is>
      </c>
      <c r="C97" t="inlineStr">
        <is>
          <t>ISIC 90T93</t>
        </is>
      </c>
      <c r="D97" t="inlineStr">
        <is>
          <t>ISIC 90T96</t>
        </is>
      </c>
      <c r="E97" t="n">
        <v>0.4216249514352275</v>
      </c>
      <c r="F97" t="inlineStr">
        <is>
          <t>BEA 2024 output share (default)</t>
        </is>
      </c>
      <c r="G97" t="n">
        <v>0.4216249514352275</v>
      </c>
    </row>
    <row r="98">
      <c r="A98" t="inlineStr">
        <is>
          <t>SoESCaOMCbIC-capital.csv</t>
        </is>
      </c>
      <c r="B98" t="inlineStr">
        <is>
          <t>hard coal w CCS</t>
        </is>
      </c>
      <c r="C98" t="inlineStr">
        <is>
          <t>ISIC 94T96</t>
        </is>
      </c>
      <c r="D98" t="inlineStr">
        <is>
          <t>ISIC 90T96</t>
        </is>
      </c>
      <c r="E98" t="n">
        <v>0.5783750485647725</v>
      </c>
      <c r="F98" t="inlineStr">
        <is>
          <t>BEA 2024 output share (default)</t>
        </is>
      </c>
      <c r="G98" t="n">
        <v>0.5783750485647725</v>
      </c>
    </row>
    <row r="99">
      <c r="A99" t="inlineStr">
        <is>
          <t>SoESCaOMCbIC-capital.csv</t>
        </is>
      </c>
      <c r="B99" t="inlineStr">
        <is>
          <t>heavy or residual fuel oil</t>
        </is>
      </c>
      <c r="C99" t="inlineStr">
        <is>
          <t>ISIC 01</t>
        </is>
      </c>
      <c r="D99" t="inlineStr">
        <is>
          <t>ISIC 01T03</t>
        </is>
      </c>
      <c r="E99" t="n">
        <v>0.9429986826432329</v>
      </c>
      <c r="F99" t="inlineStr">
        <is>
          <t>BEA 2024 output share (default)</t>
        </is>
      </c>
      <c r="G99" t="n">
        <v>0.9429986826432329</v>
      </c>
    </row>
    <row r="100">
      <c r="A100" t="inlineStr">
        <is>
          <t>SoESCaOMCbIC-capital.csv</t>
        </is>
      </c>
      <c r="B100" t="inlineStr">
        <is>
          <t>heavy or residual fuel oil</t>
        </is>
      </c>
      <c r="C100" t="inlineStr">
        <is>
          <t>ISIC 02</t>
        </is>
      </c>
      <c r="D100" t="inlineStr">
        <is>
          <t>ISIC 01T03</t>
        </is>
      </c>
      <c r="E100" t="n">
        <v>0.04176573136965662</v>
      </c>
      <c r="F100" t="inlineStr">
        <is>
          <t>BEA 2024 output share (default)</t>
        </is>
      </c>
      <c r="G100" t="n">
        <v>0.04176573136965662</v>
      </c>
    </row>
    <row r="101">
      <c r="A101" t="inlineStr">
        <is>
          <t>SoESCaOMCbIC-capital.csv</t>
        </is>
      </c>
      <c r="B101" t="inlineStr">
        <is>
          <t>heavy or residual fuel oil</t>
        </is>
      </c>
      <c r="C101" t="inlineStr">
        <is>
          <t>ISIC 03</t>
        </is>
      </c>
      <c r="D101" t="inlineStr">
        <is>
          <t>ISIC 01T03</t>
        </is>
      </c>
      <c r="E101" t="n">
        <v>0.01523558598711041</v>
      </c>
      <c r="F101" t="inlineStr">
        <is>
          <t>BEA 2024 output share (default)</t>
        </is>
      </c>
      <c r="G101" t="n">
        <v>0.01523558598711041</v>
      </c>
    </row>
    <row r="102">
      <c r="A102" t="inlineStr">
        <is>
          <t>SoESCaOMCbIC-capital.csv</t>
        </is>
      </c>
      <c r="B102" t="inlineStr">
        <is>
          <t>heavy or residual fuel oil</t>
        </is>
      </c>
      <c r="C102" t="inlineStr">
        <is>
          <t>ISIC 07</t>
        </is>
      </c>
      <c r="D102" t="inlineStr">
        <is>
          <t>ISIC 07T08</t>
        </is>
      </c>
      <c r="E102" t="n">
        <v>0.4327368836123752</v>
      </c>
      <c r="F102" t="inlineStr">
        <is>
          <t>BEA 2024 output share (default)</t>
        </is>
      </c>
      <c r="G102" t="n">
        <v>0.4327368836123752</v>
      </c>
    </row>
    <row r="103">
      <c r="A103" t="inlineStr">
        <is>
          <t>SoESCaOMCbIC-capital.csv</t>
        </is>
      </c>
      <c r="B103" t="inlineStr">
        <is>
          <t>heavy or residual fuel oil</t>
        </is>
      </c>
      <c r="C103" t="inlineStr">
        <is>
          <t>ISIC 08</t>
        </is>
      </c>
      <c r="D103" t="inlineStr">
        <is>
          <t>ISIC 07T08</t>
        </is>
      </c>
      <c r="E103" t="n">
        <v>0.5672631163876248</v>
      </c>
      <c r="F103" t="inlineStr">
        <is>
          <t>BEA 2024 output share (default)</t>
        </is>
      </c>
      <c r="G103" t="n">
        <v>0.5672631163876248</v>
      </c>
    </row>
    <row r="104">
      <c r="A104" t="inlineStr">
        <is>
          <t>SoESCaOMCbIC-capital.csv</t>
        </is>
      </c>
      <c r="B104" t="inlineStr">
        <is>
          <t>heavy or residual fuel oil</t>
        </is>
      </c>
      <c r="C104" t="inlineStr">
        <is>
          <t>ISIC 301</t>
        </is>
      </c>
      <c r="D104" t="inlineStr">
        <is>
          <t>ISIC 30</t>
        </is>
      </c>
      <c r="E104" t="n">
        <v>0.1171368722490322</v>
      </c>
      <c r="F104" t="inlineStr">
        <is>
          <t>BEA 2024 output share (default)</t>
        </is>
      </c>
      <c r="G104" t="n">
        <v>0.1171368722490322</v>
      </c>
    </row>
    <row r="105">
      <c r="A105" t="inlineStr">
        <is>
          <t>SoESCaOMCbIC-capital.csv</t>
        </is>
      </c>
      <c r="B105" t="inlineStr">
        <is>
          <t>heavy or residual fuel oil</t>
        </is>
      </c>
      <c r="C105" t="inlineStr">
        <is>
          <t>ISIC 302T309</t>
        </is>
      </c>
      <c r="D105" t="inlineStr">
        <is>
          <t>ISIC 30</t>
        </is>
      </c>
      <c r="E105" t="n">
        <v>0.8828631277509678</v>
      </c>
      <c r="F105" t="inlineStr">
        <is>
          <t>BEA 2024 output share (default)</t>
        </is>
      </c>
      <c r="G105" t="n">
        <v>0.8828631277509678</v>
      </c>
    </row>
    <row r="106">
      <c r="A106" t="inlineStr">
        <is>
          <t>SoESCaOMCbIC-capital.csv</t>
        </is>
      </c>
      <c r="B106" t="inlineStr">
        <is>
          <t>heavy or residual fuel oil</t>
        </is>
      </c>
      <c r="C106" t="inlineStr">
        <is>
          <t>ISIC 49</t>
        </is>
      </c>
      <c r="D106" t="inlineStr">
        <is>
          <t>ISIC 49T53</t>
        </is>
      </c>
      <c r="E106" t="n">
        <v>0.4781643011829615</v>
      </c>
      <c r="F106" t="inlineStr">
        <is>
          <t>BEA 2024 output share (default)</t>
        </is>
      </c>
      <c r="G106" t="n">
        <v>0.4781643011829615</v>
      </c>
    </row>
    <row r="107">
      <c r="A107" t="inlineStr">
        <is>
          <t>SoESCaOMCbIC-capital.csv</t>
        </is>
      </c>
      <c r="B107" t="inlineStr">
        <is>
          <t>heavy or residual fuel oil</t>
        </is>
      </c>
      <c r="C107" t="inlineStr">
        <is>
          <t>ISIC 50</t>
        </is>
      </c>
      <c r="D107" t="inlineStr">
        <is>
          <t>ISIC 49T53</t>
        </is>
      </c>
      <c r="E107" t="n">
        <v>0.04258639396614965</v>
      </c>
      <c r="F107" t="inlineStr">
        <is>
          <t>BEA 2024 output share (default)</t>
        </is>
      </c>
      <c r="G107" t="n">
        <v>0.04258639396614965</v>
      </c>
    </row>
    <row r="108">
      <c r="A108" t="inlineStr">
        <is>
          <t>SoESCaOMCbIC-capital.csv</t>
        </is>
      </c>
      <c r="B108" t="inlineStr">
        <is>
          <t>heavy or residual fuel oil</t>
        </is>
      </c>
      <c r="C108" t="inlineStr">
        <is>
          <t>ISIC 51</t>
        </is>
      </c>
      <c r="D108" t="inlineStr">
        <is>
          <t>ISIC 49T53</t>
        </is>
      </c>
      <c r="E108" t="n">
        <v>0.1808024634415262</v>
      </c>
      <c r="F108" t="inlineStr">
        <is>
          <t>BEA 2024 output share (default)</t>
        </is>
      </c>
      <c r="G108" t="n">
        <v>0.1808024634415262</v>
      </c>
    </row>
    <row r="109">
      <c r="A109" t="inlineStr">
        <is>
          <t>SoESCaOMCbIC-capital.csv</t>
        </is>
      </c>
      <c r="B109" t="inlineStr">
        <is>
          <t>heavy or residual fuel oil</t>
        </is>
      </c>
      <c r="C109" t="inlineStr">
        <is>
          <t>ISIC 52</t>
        </is>
      </c>
      <c r="D109" t="inlineStr">
        <is>
          <t>ISIC 49T53</t>
        </is>
      </c>
      <c r="E109" t="n">
        <v>0.2139060571318126</v>
      </c>
      <c r="F109" t="inlineStr">
        <is>
          <t>BEA 2024 output share (default)</t>
        </is>
      </c>
      <c r="G109" t="n">
        <v>0.2139060571318126</v>
      </c>
    </row>
    <row r="110">
      <c r="A110" t="inlineStr">
        <is>
          <t>SoESCaOMCbIC-capital.csv</t>
        </is>
      </c>
      <c r="B110" t="inlineStr">
        <is>
          <t>heavy or residual fuel oil</t>
        </is>
      </c>
      <c r="C110" t="inlineStr">
        <is>
          <t>ISIC 53</t>
        </is>
      </c>
      <c r="D110" t="inlineStr">
        <is>
          <t>ISIC 49T53</t>
        </is>
      </c>
      <c r="E110" t="n">
        <v>0.08454078427755009</v>
      </c>
      <c r="F110" t="inlineStr">
        <is>
          <t>BEA 2024 output share (default)</t>
        </is>
      </c>
      <c r="G110" t="n">
        <v>0.08454078427755009</v>
      </c>
    </row>
    <row r="111">
      <c r="A111" t="inlineStr">
        <is>
          <t>SoESCaOMCbIC-capital.csv</t>
        </is>
      </c>
      <c r="B111" t="inlineStr">
        <is>
          <t>heavy or residual fuel oil</t>
        </is>
      </c>
      <c r="C111" t="inlineStr">
        <is>
          <t>ISIC 69T75</t>
        </is>
      </c>
      <c r="D111" t="inlineStr">
        <is>
          <t>ISIC 69T82</t>
        </is>
      </c>
      <c r="E111" t="n">
        <v>1</v>
      </c>
      <c r="F111" t="inlineStr">
        <is>
          <t>semantic override</t>
        </is>
      </c>
      <c r="G111" t="n">
        <v>0.7298219447914125</v>
      </c>
    </row>
    <row r="112">
      <c r="A112" t="inlineStr">
        <is>
          <t>SoESCaOMCbIC-capital.csv</t>
        </is>
      </c>
      <c r="B112" t="inlineStr">
        <is>
          <t>heavy or residual fuel oil</t>
        </is>
      </c>
      <c r="C112" t="inlineStr">
        <is>
          <t>ISIC 77T82</t>
        </is>
      </c>
      <c r="D112" t="inlineStr">
        <is>
          <t>ISIC 69T82</t>
        </is>
      </c>
      <c r="E112" t="n">
        <v>0</v>
      </c>
      <c r="F112" t="inlineStr">
        <is>
          <t>semantic override</t>
        </is>
      </c>
      <c r="G112" t="n">
        <v>0.2701780552085875</v>
      </c>
    </row>
    <row r="113">
      <c r="A113" t="inlineStr">
        <is>
          <t>SoESCaOMCbIC-capital.csv</t>
        </is>
      </c>
      <c r="B113" t="inlineStr">
        <is>
          <t>heavy or residual fuel oil</t>
        </is>
      </c>
      <c r="C113" t="inlineStr">
        <is>
          <t>ISIC 90T93</t>
        </is>
      </c>
      <c r="D113" t="inlineStr">
        <is>
          <t>ISIC 90T96</t>
        </is>
      </c>
      <c r="E113" t="n">
        <v>0.4216249514352275</v>
      </c>
      <c r="F113" t="inlineStr">
        <is>
          <t>BEA 2024 output share (default)</t>
        </is>
      </c>
      <c r="G113" t="n">
        <v>0.4216249514352275</v>
      </c>
    </row>
    <row r="114">
      <c r="A114" t="inlineStr">
        <is>
          <t>SoESCaOMCbIC-capital.csv</t>
        </is>
      </c>
      <c r="B114" t="inlineStr">
        <is>
          <t>heavy or residual fuel oil</t>
        </is>
      </c>
      <c r="C114" t="inlineStr">
        <is>
          <t>ISIC 94T96</t>
        </is>
      </c>
      <c r="D114" t="inlineStr">
        <is>
          <t>ISIC 90T96</t>
        </is>
      </c>
      <c r="E114" t="n">
        <v>0.5783750485647725</v>
      </c>
      <c r="F114" t="inlineStr">
        <is>
          <t>BEA 2024 output share (default)</t>
        </is>
      </c>
      <c r="G114" t="n">
        <v>0.5783750485647725</v>
      </c>
    </row>
    <row r="115">
      <c r="A115" t="inlineStr">
        <is>
          <t>SoESCaOMCbIC-capital.csv</t>
        </is>
      </c>
      <c r="B115" t="inlineStr">
        <is>
          <t>hydro</t>
        </is>
      </c>
      <c r="C115" t="inlineStr">
        <is>
          <t>ISIC 01</t>
        </is>
      </c>
      <c r="D115" t="inlineStr">
        <is>
          <t>ISIC 01T03</t>
        </is>
      </c>
      <c r="E115" t="n">
        <v>0.9429986826432329</v>
      </c>
      <c r="F115" t="inlineStr">
        <is>
          <t>BEA 2024 output share (default)</t>
        </is>
      </c>
      <c r="G115" t="n">
        <v>0.9429986826432329</v>
      </c>
    </row>
    <row r="116">
      <c r="A116" t="inlineStr">
        <is>
          <t>SoESCaOMCbIC-capital.csv</t>
        </is>
      </c>
      <c r="B116" t="inlineStr">
        <is>
          <t>hydro</t>
        </is>
      </c>
      <c r="C116" t="inlineStr">
        <is>
          <t>ISIC 02</t>
        </is>
      </c>
      <c r="D116" t="inlineStr">
        <is>
          <t>ISIC 01T03</t>
        </is>
      </c>
      <c r="E116" t="n">
        <v>0.04176573136965662</v>
      </c>
      <c r="F116" t="inlineStr">
        <is>
          <t>BEA 2024 output share (default)</t>
        </is>
      </c>
      <c r="G116" t="n">
        <v>0.04176573136965662</v>
      </c>
    </row>
    <row r="117">
      <c r="A117" t="inlineStr">
        <is>
          <t>SoESCaOMCbIC-capital.csv</t>
        </is>
      </c>
      <c r="B117" t="inlineStr">
        <is>
          <t>hydro</t>
        </is>
      </c>
      <c r="C117" t="inlineStr">
        <is>
          <t>ISIC 03</t>
        </is>
      </c>
      <c r="D117" t="inlineStr">
        <is>
          <t>ISIC 01T03</t>
        </is>
      </c>
      <c r="E117" t="n">
        <v>0.01523558598711041</v>
      </c>
      <c r="F117" t="inlineStr">
        <is>
          <t>BEA 2024 output share (default)</t>
        </is>
      </c>
      <c r="G117" t="n">
        <v>0.01523558598711041</v>
      </c>
    </row>
    <row r="118">
      <c r="A118" t="inlineStr">
        <is>
          <t>SoESCaOMCbIC-capital.csv</t>
        </is>
      </c>
      <c r="B118" t="inlineStr">
        <is>
          <t>hydro</t>
        </is>
      </c>
      <c r="C118" t="inlineStr">
        <is>
          <t>ISIC 07</t>
        </is>
      </c>
      <c r="D118" t="inlineStr">
        <is>
          <t>ISIC 07T08</t>
        </is>
      </c>
      <c r="E118" t="n">
        <v>0.4327368836123752</v>
      </c>
      <c r="F118" t="inlineStr">
        <is>
          <t>BEA 2024 output share (default)</t>
        </is>
      </c>
      <c r="G118" t="n">
        <v>0.4327368836123752</v>
      </c>
    </row>
    <row r="119">
      <c r="A119" t="inlineStr">
        <is>
          <t>SoESCaOMCbIC-capital.csv</t>
        </is>
      </c>
      <c r="B119" t="inlineStr">
        <is>
          <t>hydro</t>
        </is>
      </c>
      <c r="C119" t="inlineStr">
        <is>
          <t>ISIC 08</t>
        </is>
      </c>
      <c r="D119" t="inlineStr">
        <is>
          <t>ISIC 07T08</t>
        </is>
      </c>
      <c r="E119" t="n">
        <v>0.5672631163876248</v>
      </c>
      <c r="F119" t="inlineStr">
        <is>
          <t>BEA 2024 output share (default)</t>
        </is>
      </c>
      <c r="G119" t="n">
        <v>0.5672631163876248</v>
      </c>
    </row>
    <row r="120">
      <c r="A120" t="inlineStr">
        <is>
          <t>SoESCaOMCbIC-capital.csv</t>
        </is>
      </c>
      <c r="B120" t="inlineStr">
        <is>
          <t>hydro</t>
        </is>
      </c>
      <c r="C120" t="inlineStr">
        <is>
          <t>ISIC 301</t>
        </is>
      </c>
      <c r="D120" t="inlineStr">
        <is>
          <t>ISIC 30</t>
        </is>
      </c>
      <c r="E120" t="n">
        <v>0.1171368722490322</v>
      </c>
      <c r="F120" t="inlineStr">
        <is>
          <t>BEA 2024 output share (default)</t>
        </is>
      </c>
      <c r="G120" t="n">
        <v>0.1171368722490322</v>
      </c>
    </row>
    <row r="121">
      <c r="A121" t="inlineStr">
        <is>
          <t>SoESCaOMCbIC-capital.csv</t>
        </is>
      </c>
      <c r="B121" t="inlineStr">
        <is>
          <t>hydro</t>
        </is>
      </c>
      <c r="C121" t="inlineStr">
        <is>
          <t>ISIC 302T309</t>
        </is>
      </c>
      <c r="D121" t="inlineStr">
        <is>
          <t>ISIC 30</t>
        </is>
      </c>
      <c r="E121" t="n">
        <v>0.8828631277509678</v>
      </c>
      <c r="F121" t="inlineStr">
        <is>
          <t>BEA 2024 output share (default)</t>
        </is>
      </c>
      <c r="G121" t="n">
        <v>0.8828631277509678</v>
      </c>
    </row>
    <row r="122">
      <c r="A122" t="inlineStr">
        <is>
          <t>SoESCaOMCbIC-capital.csv</t>
        </is>
      </c>
      <c r="B122" t="inlineStr">
        <is>
          <t>hydro</t>
        </is>
      </c>
      <c r="C122" t="inlineStr">
        <is>
          <t>ISIC 49</t>
        </is>
      </c>
      <c r="D122" t="inlineStr">
        <is>
          <t>ISIC 49T53</t>
        </is>
      </c>
      <c r="E122" t="n">
        <v>0.4781643011829615</v>
      </c>
      <c r="F122" t="inlineStr">
        <is>
          <t>BEA 2024 output share (default)</t>
        </is>
      </c>
      <c r="G122" t="n">
        <v>0.4781643011829615</v>
      </c>
    </row>
    <row r="123">
      <c r="A123" t="inlineStr">
        <is>
          <t>SoESCaOMCbIC-capital.csv</t>
        </is>
      </c>
      <c r="B123" t="inlineStr">
        <is>
          <t>hydro</t>
        </is>
      </c>
      <c r="C123" t="inlineStr">
        <is>
          <t>ISIC 50</t>
        </is>
      </c>
      <c r="D123" t="inlineStr">
        <is>
          <t>ISIC 49T53</t>
        </is>
      </c>
      <c r="E123" t="n">
        <v>0.04258639396614965</v>
      </c>
      <c r="F123" t="inlineStr">
        <is>
          <t>BEA 2024 output share (default)</t>
        </is>
      </c>
      <c r="G123" t="n">
        <v>0.04258639396614965</v>
      </c>
    </row>
    <row r="124">
      <c r="A124" t="inlineStr">
        <is>
          <t>SoESCaOMCbIC-capital.csv</t>
        </is>
      </c>
      <c r="B124" t="inlineStr">
        <is>
          <t>hydro</t>
        </is>
      </c>
      <c r="C124" t="inlineStr">
        <is>
          <t>ISIC 51</t>
        </is>
      </c>
      <c r="D124" t="inlineStr">
        <is>
          <t>ISIC 49T53</t>
        </is>
      </c>
      <c r="E124" t="n">
        <v>0.1808024634415262</v>
      </c>
      <c r="F124" t="inlineStr">
        <is>
          <t>BEA 2024 output share (default)</t>
        </is>
      </c>
      <c r="G124" t="n">
        <v>0.1808024634415262</v>
      </c>
    </row>
    <row r="125">
      <c r="A125" t="inlineStr">
        <is>
          <t>SoESCaOMCbIC-capital.csv</t>
        </is>
      </c>
      <c r="B125" t="inlineStr">
        <is>
          <t>hydro</t>
        </is>
      </c>
      <c r="C125" t="inlineStr">
        <is>
          <t>ISIC 52</t>
        </is>
      </c>
      <c r="D125" t="inlineStr">
        <is>
          <t>ISIC 49T53</t>
        </is>
      </c>
      <c r="E125" t="n">
        <v>0.2139060571318126</v>
      </c>
      <c r="F125" t="inlineStr">
        <is>
          <t>BEA 2024 output share (default)</t>
        </is>
      </c>
      <c r="G125" t="n">
        <v>0.2139060571318126</v>
      </c>
    </row>
    <row r="126">
      <c r="A126" t="inlineStr">
        <is>
          <t>SoESCaOMCbIC-capital.csv</t>
        </is>
      </c>
      <c r="B126" t="inlineStr">
        <is>
          <t>hydro</t>
        </is>
      </c>
      <c r="C126" t="inlineStr">
        <is>
          <t>ISIC 53</t>
        </is>
      </c>
      <c r="D126" t="inlineStr">
        <is>
          <t>ISIC 49T53</t>
        </is>
      </c>
      <c r="E126" t="n">
        <v>0.08454078427755009</v>
      </c>
      <c r="F126" t="inlineStr">
        <is>
          <t>BEA 2024 output share (default)</t>
        </is>
      </c>
      <c r="G126" t="n">
        <v>0.08454078427755009</v>
      </c>
    </row>
    <row r="127">
      <c r="A127" t="inlineStr">
        <is>
          <t>SoESCaOMCbIC-capital.csv</t>
        </is>
      </c>
      <c r="B127" t="inlineStr">
        <is>
          <t>hydro</t>
        </is>
      </c>
      <c r="C127" t="inlineStr">
        <is>
          <t>ISIC 69T75</t>
        </is>
      </c>
      <c r="D127" t="inlineStr">
        <is>
          <t>ISIC 69T82</t>
        </is>
      </c>
      <c r="E127" t="n">
        <v>1</v>
      </c>
      <c r="F127" t="inlineStr">
        <is>
          <t>semantic override</t>
        </is>
      </c>
      <c r="G127" t="n">
        <v>0.7298219447914125</v>
      </c>
    </row>
    <row r="128">
      <c r="A128" t="inlineStr">
        <is>
          <t>SoESCaOMCbIC-capital.csv</t>
        </is>
      </c>
      <c r="B128" t="inlineStr">
        <is>
          <t>hydro</t>
        </is>
      </c>
      <c r="C128" t="inlineStr">
        <is>
          <t>ISIC 77T82</t>
        </is>
      </c>
      <c r="D128" t="inlineStr">
        <is>
          <t>ISIC 69T82</t>
        </is>
      </c>
      <c r="E128" t="n">
        <v>0</v>
      </c>
      <c r="F128" t="inlineStr">
        <is>
          <t>semantic override</t>
        </is>
      </c>
      <c r="G128" t="n">
        <v>0.2701780552085875</v>
      </c>
    </row>
    <row r="129">
      <c r="A129" t="inlineStr">
        <is>
          <t>SoESCaOMCbIC-capital.csv</t>
        </is>
      </c>
      <c r="B129" t="inlineStr">
        <is>
          <t>hydro</t>
        </is>
      </c>
      <c r="C129" t="inlineStr">
        <is>
          <t>ISIC 90T93</t>
        </is>
      </c>
      <c r="D129" t="inlineStr">
        <is>
          <t>ISIC 90T96</t>
        </is>
      </c>
      <c r="E129" t="n">
        <v>0.4216249514352275</v>
      </c>
      <c r="F129" t="inlineStr">
        <is>
          <t>BEA 2024 output share (default)</t>
        </is>
      </c>
      <c r="G129" t="n">
        <v>0.4216249514352275</v>
      </c>
    </row>
    <row r="130">
      <c r="A130" t="inlineStr">
        <is>
          <t>SoESCaOMCbIC-capital.csv</t>
        </is>
      </c>
      <c r="B130" t="inlineStr">
        <is>
          <t>hydro</t>
        </is>
      </c>
      <c r="C130" t="inlineStr">
        <is>
          <t>ISIC 94T96</t>
        </is>
      </c>
      <c r="D130" t="inlineStr">
        <is>
          <t>ISIC 90T96</t>
        </is>
      </c>
      <c r="E130" t="n">
        <v>0.5783750485647725</v>
      </c>
      <c r="F130" t="inlineStr">
        <is>
          <t>BEA 2024 output share (default)</t>
        </is>
      </c>
      <c r="G130" t="n">
        <v>0.5783750485647725</v>
      </c>
    </row>
    <row r="131">
      <c r="A131" t="inlineStr">
        <is>
          <t>SoESCaOMCbIC-capital.csv</t>
        </is>
      </c>
      <c r="B131" t="inlineStr">
        <is>
          <t>hydrogen combined cycle</t>
        </is>
      </c>
      <c r="C131" t="inlineStr">
        <is>
          <t>ISIC 01</t>
        </is>
      </c>
      <c r="D131" t="inlineStr">
        <is>
          <t>ISIC 01T03</t>
        </is>
      </c>
      <c r="E131" t="n">
        <v>0.9429986826432329</v>
      </c>
      <c r="F131" t="inlineStr">
        <is>
          <t>BEA 2024 output share (default)</t>
        </is>
      </c>
      <c r="G131" t="n">
        <v>0.9429986826432329</v>
      </c>
    </row>
    <row r="132">
      <c r="A132" t="inlineStr">
        <is>
          <t>SoESCaOMCbIC-capital.csv</t>
        </is>
      </c>
      <c r="B132" t="inlineStr">
        <is>
          <t>hydrogen combined cycle</t>
        </is>
      </c>
      <c r="C132" t="inlineStr">
        <is>
          <t>ISIC 02</t>
        </is>
      </c>
      <c r="D132" t="inlineStr">
        <is>
          <t>ISIC 01T03</t>
        </is>
      </c>
      <c r="E132" t="n">
        <v>0.04176573136965662</v>
      </c>
      <c r="F132" t="inlineStr">
        <is>
          <t>BEA 2024 output share (default)</t>
        </is>
      </c>
      <c r="G132" t="n">
        <v>0.04176573136965662</v>
      </c>
    </row>
    <row r="133">
      <c r="A133" t="inlineStr">
        <is>
          <t>SoESCaOMCbIC-capital.csv</t>
        </is>
      </c>
      <c r="B133" t="inlineStr">
        <is>
          <t>hydrogen combined cycle</t>
        </is>
      </c>
      <c r="C133" t="inlineStr">
        <is>
          <t>ISIC 03</t>
        </is>
      </c>
      <c r="D133" t="inlineStr">
        <is>
          <t>ISIC 01T03</t>
        </is>
      </c>
      <c r="E133" t="n">
        <v>0.01523558598711041</v>
      </c>
      <c r="F133" t="inlineStr">
        <is>
          <t>BEA 2024 output share (default)</t>
        </is>
      </c>
      <c r="G133" t="n">
        <v>0.01523558598711041</v>
      </c>
    </row>
    <row r="134">
      <c r="A134" t="inlineStr">
        <is>
          <t>SoESCaOMCbIC-capital.csv</t>
        </is>
      </c>
      <c r="B134" t="inlineStr">
        <is>
          <t>hydrogen combined cycle</t>
        </is>
      </c>
      <c r="C134" t="inlineStr">
        <is>
          <t>ISIC 07</t>
        </is>
      </c>
      <c r="D134" t="inlineStr">
        <is>
          <t>ISIC 07T08</t>
        </is>
      </c>
      <c r="E134" t="n">
        <v>0.4327368836123752</v>
      </c>
      <c r="F134" t="inlineStr">
        <is>
          <t>BEA 2024 output share (default)</t>
        </is>
      </c>
      <c r="G134" t="n">
        <v>0.4327368836123752</v>
      </c>
    </row>
    <row r="135">
      <c r="A135" t="inlineStr">
        <is>
          <t>SoESCaOMCbIC-capital.csv</t>
        </is>
      </c>
      <c r="B135" t="inlineStr">
        <is>
          <t>hydrogen combined cycle</t>
        </is>
      </c>
      <c r="C135" t="inlineStr">
        <is>
          <t>ISIC 08</t>
        </is>
      </c>
      <c r="D135" t="inlineStr">
        <is>
          <t>ISIC 07T08</t>
        </is>
      </c>
      <c r="E135" t="n">
        <v>0.5672631163876248</v>
      </c>
      <c r="F135" t="inlineStr">
        <is>
          <t>BEA 2024 output share (default)</t>
        </is>
      </c>
      <c r="G135" t="n">
        <v>0.5672631163876248</v>
      </c>
    </row>
    <row r="136">
      <c r="A136" t="inlineStr">
        <is>
          <t>SoESCaOMCbIC-capital.csv</t>
        </is>
      </c>
      <c r="B136" t="inlineStr">
        <is>
          <t>hydrogen combined cycle</t>
        </is>
      </c>
      <c r="C136" t="inlineStr">
        <is>
          <t>ISIC 301</t>
        </is>
      </c>
      <c r="D136" t="inlineStr">
        <is>
          <t>ISIC 30</t>
        </is>
      </c>
      <c r="E136" t="n">
        <v>0.1171368722490322</v>
      </c>
      <c r="F136" t="inlineStr">
        <is>
          <t>BEA 2024 output share (default)</t>
        </is>
      </c>
      <c r="G136" t="n">
        <v>0.1171368722490322</v>
      </c>
    </row>
    <row r="137">
      <c r="A137" t="inlineStr">
        <is>
          <t>SoESCaOMCbIC-capital.csv</t>
        </is>
      </c>
      <c r="B137" t="inlineStr">
        <is>
          <t>hydrogen combined cycle</t>
        </is>
      </c>
      <c r="C137" t="inlineStr">
        <is>
          <t>ISIC 302T309</t>
        </is>
      </c>
      <c r="D137" t="inlineStr">
        <is>
          <t>ISIC 30</t>
        </is>
      </c>
      <c r="E137" t="n">
        <v>0.8828631277509678</v>
      </c>
      <c r="F137" t="inlineStr">
        <is>
          <t>BEA 2024 output share (default)</t>
        </is>
      </c>
      <c r="G137" t="n">
        <v>0.8828631277509678</v>
      </c>
    </row>
    <row r="138">
      <c r="A138" t="inlineStr">
        <is>
          <t>SoESCaOMCbIC-capital.csv</t>
        </is>
      </c>
      <c r="B138" t="inlineStr">
        <is>
          <t>hydrogen combined cycle</t>
        </is>
      </c>
      <c r="C138" t="inlineStr">
        <is>
          <t>ISIC 49</t>
        </is>
      </c>
      <c r="D138" t="inlineStr">
        <is>
          <t>ISIC 49T53</t>
        </is>
      </c>
      <c r="E138" t="n">
        <v>0.4781643011829615</v>
      </c>
      <c r="F138" t="inlineStr">
        <is>
          <t>BEA 2024 output share (default)</t>
        </is>
      </c>
      <c r="G138" t="n">
        <v>0.4781643011829615</v>
      </c>
    </row>
    <row r="139">
      <c r="A139" t="inlineStr">
        <is>
          <t>SoESCaOMCbIC-capital.csv</t>
        </is>
      </c>
      <c r="B139" t="inlineStr">
        <is>
          <t>hydrogen combined cycle</t>
        </is>
      </c>
      <c r="C139" t="inlineStr">
        <is>
          <t>ISIC 50</t>
        </is>
      </c>
      <c r="D139" t="inlineStr">
        <is>
          <t>ISIC 49T53</t>
        </is>
      </c>
      <c r="E139" t="n">
        <v>0.04258639396614965</v>
      </c>
      <c r="F139" t="inlineStr">
        <is>
          <t>BEA 2024 output share (default)</t>
        </is>
      </c>
      <c r="G139" t="n">
        <v>0.04258639396614965</v>
      </c>
    </row>
    <row r="140">
      <c r="A140" t="inlineStr">
        <is>
          <t>SoESCaOMCbIC-capital.csv</t>
        </is>
      </c>
      <c r="B140" t="inlineStr">
        <is>
          <t>hydrogen combined cycle</t>
        </is>
      </c>
      <c r="C140" t="inlineStr">
        <is>
          <t>ISIC 51</t>
        </is>
      </c>
      <c r="D140" t="inlineStr">
        <is>
          <t>ISIC 49T53</t>
        </is>
      </c>
      <c r="E140" t="n">
        <v>0.1808024634415262</v>
      </c>
      <c r="F140" t="inlineStr">
        <is>
          <t>BEA 2024 output share (default)</t>
        </is>
      </c>
      <c r="G140" t="n">
        <v>0.1808024634415262</v>
      </c>
    </row>
    <row r="141">
      <c r="A141" t="inlineStr">
        <is>
          <t>SoESCaOMCbIC-capital.csv</t>
        </is>
      </c>
      <c r="B141" t="inlineStr">
        <is>
          <t>hydrogen combined cycle</t>
        </is>
      </c>
      <c r="C141" t="inlineStr">
        <is>
          <t>ISIC 52</t>
        </is>
      </c>
      <c r="D141" t="inlineStr">
        <is>
          <t>ISIC 49T53</t>
        </is>
      </c>
      <c r="E141" t="n">
        <v>0.2139060571318126</v>
      </c>
      <c r="F141" t="inlineStr">
        <is>
          <t>BEA 2024 output share (default)</t>
        </is>
      </c>
      <c r="G141" t="n">
        <v>0.2139060571318126</v>
      </c>
    </row>
    <row r="142">
      <c r="A142" t="inlineStr">
        <is>
          <t>SoESCaOMCbIC-capital.csv</t>
        </is>
      </c>
      <c r="B142" t="inlineStr">
        <is>
          <t>hydrogen combined cycle</t>
        </is>
      </c>
      <c r="C142" t="inlineStr">
        <is>
          <t>ISIC 53</t>
        </is>
      </c>
      <c r="D142" t="inlineStr">
        <is>
          <t>ISIC 49T53</t>
        </is>
      </c>
      <c r="E142" t="n">
        <v>0.08454078427755009</v>
      </c>
      <c r="F142" t="inlineStr">
        <is>
          <t>BEA 2024 output share (default)</t>
        </is>
      </c>
      <c r="G142" t="n">
        <v>0.08454078427755009</v>
      </c>
    </row>
    <row r="143">
      <c r="A143" t="inlineStr">
        <is>
          <t>SoESCaOMCbIC-capital.csv</t>
        </is>
      </c>
      <c r="B143" t="inlineStr">
        <is>
          <t>hydrogen combined cycle</t>
        </is>
      </c>
      <c r="C143" t="inlineStr">
        <is>
          <t>ISIC 69T75</t>
        </is>
      </c>
      <c r="D143" t="inlineStr">
        <is>
          <t>ISIC 69T82</t>
        </is>
      </c>
      <c r="E143" t="n">
        <v>1</v>
      </c>
      <c r="F143" t="inlineStr">
        <is>
          <t>semantic override</t>
        </is>
      </c>
      <c r="G143" t="n">
        <v>0.7298219447914125</v>
      </c>
    </row>
    <row r="144">
      <c r="A144" t="inlineStr">
        <is>
          <t>SoESCaOMCbIC-capital.csv</t>
        </is>
      </c>
      <c r="B144" t="inlineStr">
        <is>
          <t>hydrogen combined cycle</t>
        </is>
      </c>
      <c r="C144" t="inlineStr">
        <is>
          <t>ISIC 77T82</t>
        </is>
      </c>
      <c r="D144" t="inlineStr">
        <is>
          <t>ISIC 69T82</t>
        </is>
      </c>
      <c r="E144" t="n">
        <v>0</v>
      </c>
      <c r="F144" t="inlineStr">
        <is>
          <t>semantic override</t>
        </is>
      </c>
      <c r="G144" t="n">
        <v>0.2701780552085875</v>
      </c>
    </row>
    <row r="145">
      <c r="A145" t="inlineStr">
        <is>
          <t>SoESCaOMCbIC-capital.csv</t>
        </is>
      </c>
      <c r="B145" t="inlineStr">
        <is>
          <t>hydrogen combined cycle</t>
        </is>
      </c>
      <c r="C145" t="inlineStr">
        <is>
          <t>ISIC 90T93</t>
        </is>
      </c>
      <c r="D145" t="inlineStr">
        <is>
          <t>ISIC 90T96</t>
        </is>
      </c>
      <c r="E145" t="n">
        <v>0.4216249514352275</v>
      </c>
      <c r="F145" t="inlineStr">
        <is>
          <t>BEA 2024 output share (default)</t>
        </is>
      </c>
      <c r="G145" t="n">
        <v>0.4216249514352275</v>
      </c>
    </row>
    <row r="146">
      <c r="A146" t="inlineStr">
        <is>
          <t>SoESCaOMCbIC-capital.csv</t>
        </is>
      </c>
      <c r="B146" t="inlineStr">
        <is>
          <t>hydrogen combined cycle</t>
        </is>
      </c>
      <c r="C146" t="inlineStr">
        <is>
          <t>ISIC 94T96</t>
        </is>
      </c>
      <c r="D146" t="inlineStr">
        <is>
          <t>ISIC 90T96</t>
        </is>
      </c>
      <c r="E146" t="n">
        <v>0.5783750485647725</v>
      </c>
      <c r="F146" t="inlineStr">
        <is>
          <t>BEA 2024 output share (default)</t>
        </is>
      </c>
      <c r="G146" t="n">
        <v>0.5783750485647725</v>
      </c>
    </row>
    <row r="147">
      <c r="A147" t="inlineStr">
        <is>
          <t>SoESCaOMCbIC-capital.csv</t>
        </is>
      </c>
      <c r="B147" t="inlineStr">
        <is>
          <t>hydrogen combustion turbine</t>
        </is>
      </c>
      <c r="C147" t="inlineStr">
        <is>
          <t>ISIC 01</t>
        </is>
      </c>
      <c r="D147" t="inlineStr">
        <is>
          <t>ISIC 01T03</t>
        </is>
      </c>
      <c r="E147" t="n">
        <v>0.9429986826432329</v>
      </c>
      <c r="F147" t="inlineStr">
        <is>
          <t>BEA 2024 output share (default)</t>
        </is>
      </c>
      <c r="G147" t="n">
        <v>0.9429986826432329</v>
      </c>
    </row>
    <row r="148">
      <c r="A148" t="inlineStr">
        <is>
          <t>SoESCaOMCbIC-capital.csv</t>
        </is>
      </c>
      <c r="B148" t="inlineStr">
        <is>
          <t>hydrogen combustion turbine</t>
        </is>
      </c>
      <c r="C148" t="inlineStr">
        <is>
          <t>ISIC 02</t>
        </is>
      </c>
      <c r="D148" t="inlineStr">
        <is>
          <t>ISIC 01T03</t>
        </is>
      </c>
      <c r="E148" t="n">
        <v>0.04176573136965662</v>
      </c>
      <c r="F148" t="inlineStr">
        <is>
          <t>BEA 2024 output share (default)</t>
        </is>
      </c>
      <c r="G148" t="n">
        <v>0.04176573136965662</v>
      </c>
    </row>
    <row r="149">
      <c r="A149" t="inlineStr">
        <is>
          <t>SoESCaOMCbIC-capital.csv</t>
        </is>
      </c>
      <c r="B149" t="inlineStr">
        <is>
          <t>hydrogen combustion turbine</t>
        </is>
      </c>
      <c r="C149" t="inlineStr">
        <is>
          <t>ISIC 03</t>
        </is>
      </c>
      <c r="D149" t="inlineStr">
        <is>
          <t>ISIC 01T03</t>
        </is>
      </c>
      <c r="E149" t="n">
        <v>0.01523558598711041</v>
      </c>
      <c r="F149" t="inlineStr">
        <is>
          <t>BEA 2024 output share (default)</t>
        </is>
      </c>
      <c r="G149" t="n">
        <v>0.01523558598711041</v>
      </c>
    </row>
    <row r="150">
      <c r="A150" t="inlineStr">
        <is>
          <t>SoESCaOMCbIC-capital.csv</t>
        </is>
      </c>
      <c r="B150" t="inlineStr">
        <is>
          <t>hydrogen combustion turbine</t>
        </is>
      </c>
      <c r="C150" t="inlineStr">
        <is>
          <t>ISIC 07</t>
        </is>
      </c>
      <c r="D150" t="inlineStr">
        <is>
          <t>ISIC 07T08</t>
        </is>
      </c>
      <c r="E150" t="n">
        <v>0.4327368836123752</v>
      </c>
      <c r="F150" t="inlineStr">
        <is>
          <t>BEA 2024 output share (default)</t>
        </is>
      </c>
      <c r="G150" t="n">
        <v>0.4327368836123752</v>
      </c>
    </row>
    <row r="151">
      <c r="A151" t="inlineStr">
        <is>
          <t>SoESCaOMCbIC-capital.csv</t>
        </is>
      </c>
      <c r="B151" t="inlineStr">
        <is>
          <t>hydrogen combustion turbine</t>
        </is>
      </c>
      <c r="C151" t="inlineStr">
        <is>
          <t>ISIC 08</t>
        </is>
      </c>
      <c r="D151" t="inlineStr">
        <is>
          <t>ISIC 07T08</t>
        </is>
      </c>
      <c r="E151" t="n">
        <v>0.5672631163876248</v>
      </c>
      <c r="F151" t="inlineStr">
        <is>
          <t>BEA 2024 output share (default)</t>
        </is>
      </c>
      <c r="G151" t="n">
        <v>0.5672631163876248</v>
      </c>
    </row>
    <row r="152">
      <c r="A152" t="inlineStr">
        <is>
          <t>SoESCaOMCbIC-capital.csv</t>
        </is>
      </c>
      <c r="B152" t="inlineStr">
        <is>
          <t>hydrogen combustion turbine</t>
        </is>
      </c>
      <c r="C152" t="inlineStr">
        <is>
          <t>ISIC 301</t>
        </is>
      </c>
      <c r="D152" t="inlineStr">
        <is>
          <t>ISIC 30</t>
        </is>
      </c>
      <c r="E152" t="n">
        <v>0.1171368722490322</v>
      </c>
      <c r="F152" t="inlineStr">
        <is>
          <t>BEA 2024 output share (default)</t>
        </is>
      </c>
      <c r="G152" t="n">
        <v>0.1171368722490322</v>
      </c>
    </row>
    <row r="153">
      <c r="A153" t="inlineStr">
        <is>
          <t>SoESCaOMCbIC-capital.csv</t>
        </is>
      </c>
      <c r="B153" t="inlineStr">
        <is>
          <t>hydrogen combustion turbine</t>
        </is>
      </c>
      <c r="C153" t="inlineStr">
        <is>
          <t>ISIC 302T309</t>
        </is>
      </c>
      <c r="D153" t="inlineStr">
        <is>
          <t>ISIC 30</t>
        </is>
      </c>
      <c r="E153" t="n">
        <v>0.8828631277509678</v>
      </c>
      <c r="F153" t="inlineStr">
        <is>
          <t>BEA 2024 output share (default)</t>
        </is>
      </c>
      <c r="G153" t="n">
        <v>0.8828631277509678</v>
      </c>
    </row>
    <row r="154">
      <c r="A154" t="inlineStr">
        <is>
          <t>SoESCaOMCbIC-capital.csv</t>
        </is>
      </c>
      <c r="B154" t="inlineStr">
        <is>
          <t>hydrogen combustion turbine</t>
        </is>
      </c>
      <c r="C154" t="inlineStr">
        <is>
          <t>ISIC 49</t>
        </is>
      </c>
      <c r="D154" t="inlineStr">
        <is>
          <t>ISIC 49T53</t>
        </is>
      </c>
      <c r="E154" t="n">
        <v>0.4781643011829615</v>
      </c>
      <c r="F154" t="inlineStr">
        <is>
          <t>BEA 2024 output share (default)</t>
        </is>
      </c>
      <c r="G154" t="n">
        <v>0.4781643011829615</v>
      </c>
    </row>
    <row r="155">
      <c r="A155" t="inlineStr">
        <is>
          <t>SoESCaOMCbIC-capital.csv</t>
        </is>
      </c>
      <c r="B155" t="inlineStr">
        <is>
          <t>hydrogen combustion turbine</t>
        </is>
      </c>
      <c r="C155" t="inlineStr">
        <is>
          <t>ISIC 50</t>
        </is>
      </c>
      <c r="D155" t="inlineStr">
        <is>
          <t>ISIC 49T53</t>
        </is>
      </c>
      <c r="E155" t="n">
        <v>0.04258639396614965</v>
      </c>
      <c r="F155" t="inlineStr">
        <is>
          <t>BEA 2024 output share (default)</t>
        </is>
      </c>
      <c r="G155" t="n">
        <v>0.04258639396614965</v>
      </c>
    </row>
    <row r="156">
      <c r="A156" t="inlineStr">
        <is>
          <t>SoESCaOMCbIC-capital.csv</t>
        </is>
      </c>
      <c r="B156" t="inlineStr">
        <is>
          <t>hydrogen combustion turbine</t>
        </is>
      </c>
      <c r="C156" t="inlineStr">
        <is>
          <t>ISIC 51</t>
        </is>
      </c>
      <c r="D156" t="inlineStr">
        <is>
          <t>ISIC 49T53</t>
        </is>
      </c>
      <c r="E156" t="n">
        <v>0.1808024634415262</v>
      </c>
      <c r="F156" t="inlineStr">
        <is>
          <t>BEA 2024 output share (default)</t>
        </is>
      </c>
      <c r="G156" t="n">
        <v>0.1808024634415262</v>
      </c>
    </row>
    <row r="157">
      <c r="A157" t="inlineStr">
        <is>
          <t>SoESCaOMCbIC-capital.csv</t>
        </is>
      </c>
      <c r="B157" t="inlineStr">
        <is>
          <t>hydrogen combustion turbine</t>
        </is>
      </c>
      <c r="C157" t="inlineStr">
        <is>
          <t>ISIC 52</t>
        </is>
      </c>
      <c r="D157" t="inlineStr">
        <is>
          <t>ISIC 49T53</t>
        </is>
      </c>
      <c r="E157" t="n">
        <v>0.2139060571318126</v>
      </c>
      <c r="F157" t="inlineStr">
        <is>
          <t>BEA 2024 output share (default)</t>
        </is>
      </c>
      <c r="G157" t="n">
        <v>0.2139060571318126</v>
      </c>
    </row>
    <row r="158">
      <c r="A158" t="inlineStr">
        <is>
          <t>SoESCaOMCbIC-capital.csv</t>
        </is>
      </c>
      <c r="B158" t="inlineStr">
        <is>
          <t>hydrogen combustion turbine</t>
        </is>
      </c>
      <c r="C158" t="inlineStr">
        <is>
          <t>ISIC 53</t>
        </is>
      </c>
      <c r="D158" t="inlineStr">
        <is>
          <t>ISIC 49T53</t>
        </is>
      </c>
      <c r="E158" t="n">
        <v>0.08454078427755009</v>
      </c>
      <c r="F158" t="inlineStr">
        <is>
          <t>BEA 2024 output share (default)</t>
        </is>
      </c>
      <c r="G158" t="n">
        <v>0.08454078427755009</v>
      </c>
    </row>
    <row r="159">
      <c r="A159" t="inlineStr">
        <is>
          <t>SoESCaOMCbIC-capital.csv</t>
        </is>
      </c>
      <c r="B159" t="inlineStr">
        <is>
          <t>hydrogen combustion turbine</t>
        </is>
      </c>
      <c r="C159" t="inlineStr">
        <is>
          <t>ISIC 69T75</t>
        </is>
      </c>
      <c r="D159" t="inlineStr">
        <is>
          <t>ISIC 69T82</t>
        </is>
      </c>
      <c r="E159" t="n">
        <v>1</v>
      </c>
      <c r="F159" t="inlineStr">
        <is>
          <t>semantic override</t>
        </is>
      </c>
      <c r="G159" t="n">
        <v>0.7298219447914125</v>
      </c>
    </row>
    <row r="160">
      <c r="A160" t="inlineStr">
        <is>
          <t>SoESCaOMCbIC-capital.csv</t>
        </is>
      </c>
      <c r="B160" t="inlineStr">
        <is>
          <t>hydrogen combustion turbine</t>
        </is>
      </c>
      <c r="C160" t="inlineStr">
        <is>
          <t>ISIC 77T82</t>
        </is>
      </c>
      <c r="D160" t="inlineStr">
        <is>
          <t>ISIC 69T82</t>
        </is>
      </c>
      <c r="E160" t="n">
        <v>0</v>
      </c>
      <c r="F160" t="inlineStr">
        <is>
          <t>semantic override</t>
        </is>
      </c>
      <c r="G160" t="n">
        <v>0.2701780552085875</v>
      </c>
    </row>
    <row r="161">
      <c r="A161" t="inlineStr">
        <is>
          <t>SoESCaOMCbIC-capital.csv</t>
        </is>
      </c>
      <c r="B161" t="inlineStr">
        <is>
          <t>hydrogen combustion turbine</t>
        </is>
      </c>
      <c r="C161" t="inlineStr">
        <is>
          <t>ISIC 90T93</t>
        </is>
      </c>
      <c r="D161" t="inlineStr">
        <is>
          <t>ISIC 90T96</t>
        </is>
      </c>
      <c r="E161" t="n">
        <v>0.4216249514352275</v>
      </c>
      <c r="F161" t="inlineStr">
        <is>
          <t>BEA 2024 output share (default)</t>
        </is>
      </c>
      <c r="G161" t="n">
        <v>0.4216249514352275</v>
      </c>
    </row>
    <row r="162">
      <c r="A162" t="inlineStr">
        <is>
          <t>SoESCaOMCbIC-capital.csv</t>
        </is>
      </c>
      <c r="B162" t="inlineStr">
        <is>
          <t>hydrogen combustion turbine</t>
        </is>
      </c>
      <c r="C162" t="inlineStr">
        <is>
          <t>ISIC 94T96</t>
        </is>
      </c>
      <c r="D162" t="inlineStr">
        <is>
          <t>ISIC 90T96</t>
        </is>
      </c>
      <c r="E162" t="n">
        <v>0.5783750485647725</v>
      </c>
      <c r="F162" t="inlineStr">
        <is>
          <t>BEA 2024 output share (default)</t>
        </is>
      </c>
      <c r="G162" t="n">
        <v>0.5783750485647725</v>
      </c>
    </row>
    <row r="163">
      <c r="A163" t="inlineStr">
        <is>
          <t>SoESCaOMCbIC-capital.csv</t>
        </is>
      </c>
      <c r="B163" t="inlineStr">
        <is>
          <t>lignite</t>
        </is>
      </c>
      <c r="C163" t="inlineStr">
        <is>
          <t>ISIC 01</t>
        </is>
      </c>
      <c r="D163" t="inlineStr">
        <is>
          <t>ISIC 01T03</t>
        </is>
      </c>
      <c r="E163" t="n">
        <v>0.9429986826432329</v>
      </c>
      <c r="F163" t="inlineStr">
        <is>
          <t>BEA 2024 output share (default)</t>
        </is>
      </c>
      <c r="G163" t="n">
        <v>0.9429986826432329</v>
      </c>
    </row>
    <row r="164">
      <c r="A164" t="inlineStr">
        <is>
          <t>SoESCaOMCbIC-capital.csv</t>
        </is>
      </c>
      <c r="B164" t="inlineStr">
        <is>
          <t>lignite</t>
        </is>
      </c>
      <c r="C164" t="inlineStr">
        <is>
          <t>ISIC 02</t>
        </is>
      </c>
      <c r="D164" t="inlineStr">
        <is>
          <t>ISIC 01T03</t>
        </is>
      </c>
      <c r="E164" t="n">
        <v>0.04176573136965662</v>
      </c>
      <c r="F164" t="inlineStr">
        <is>
          <t>BEA 2024 output share (default)</t>
        </is>
      </c>
      <c r="G164" t="n">
        <v>0.04176573136965662</v>
      </c>
    </row>
    <row r="165">
      <c r="A165" t="inlineStr">
        <is>
          <t>SoESCaOMCbIC-capital.csv</t>
        </is>
      </c>
      <c r="B165" t="inlineStr">
        <is>
          <t>lignite</t>
        </is>
      </c>
      <c r="C165" t="inlineStr">
        <is>
          <t>ISIC 03</t>
        </is>
      </c>
      <c r="D165" t="inlineStr">
        <is>
          <t>ISIC 01T03</t>
        </is>
      </c>
      <c r="E165" t="n">
        <v>0.01523558598711041</v>
      </c>
      <c r="F165" t="inlineStr">
        <is>
          <t>BEA 2024 output share (default)</t>
        </is>
      </c>
      <c r="G165" t="n">
        <v>0.01523558598711041</v>
      </c>
    </row>
    <row r="166">
      <c r="A166" t="inlineStr">
        <is>
          <t>SoESCaOMCbIC-capital.csv</t>
        </is>
      </c>
      <c r="B166" t="inlineStr">
        <is>
          <t>lignite</t>
        </is>
      </c>
      <c r="C166" t="inlineStr">
        <is>
          <t>ISIC 07</t>
        </is>
      </c>
      <c r="D166" t="inlineStr">
        <is>
          <t>ISIC 07T08</t>
        </is>
      </c>
      <c r="E166" t="n">
        <v>0.4327368836123752</v>
      </c>
      <c r="F166" t="inlineStr">
        <is>
          <t>BEA 2024 output share (default)</t>
        </is>
      </c>
      <c r="G166" t="n">
        <v>0.4327368836123752</v>
      </c>
    </row>
    <row r="167">
      <c r="A167" t="inlineStr">
        <is>
          <t>SoESCaOMCbIC-capital.csv</t>
        </is>
      </c>
      <c r="B167" t="inlineStr">
        <is>
          <t>lignite</t>
        </is>
      </c>
      <c r="C167" t="inlineStr">
        <is>
          <t>ISIC 08</t>
        </is>
      </c>
      <c r="D167" t="inlineStr">
        <is>
          <t>ISIC 07T08</t>
        </is>
      </c>
      <c r="E167" t="n">
        <v>0.5672631163876248</v>
      </c>
      <c r="F167" t="inlineStr">
        <is>
          <t>BEA 2024 output share (default)</t>
        </is>
      </c>
      <c r="G167" t="n">
        <v>0.5672631163876248</v>
      </c>
    </row>
    <row r="168">
      <c r="A168" t="inlineStr">
        <is>
          <t>SoESCaOMCbIC-capital.csv</t>
        </is>
      </c>
      <c r="B168" t="inlineStr">
        <is>
          <t>lignite</t>
        </is>
      </c>
      <c r="C168" t="inlineStr">
        <is>
          <t>ISIC 301</t>
        </is>
      </c>
      <c r="D168" t="inlineStr">
        <is>
          <t>ISIC 30</t>
        </is>
      </c>
      <c r="E168" t="n">
        <v>0.1171368722490322</v>
      </c>
      <c r="F168" t="inlineStr">
        <is>
          <t>BEA 2024 output share (default)</t>
        </is>
      </c>
      <c r="G168" t="n">
        <v>0.1171368722490322</v>
      </c>
    </row>
    <row r="169">
      <c r="A169" t="inlineStr">
        <is>
          <t>SoESCaOMCbIC-capital.csv</t>
        </is>
      </c>
      <c r="B169" t="inlineStr">
        <is>
          <t>lignite</t>
        </is>
      </c>
      <c r="C169" t="inlineStr">
        <is>
          <t>ISIC 302T309</t>
        </is>
      </c>
      <c r="D169" t="inlineStr">
        <is>
          <t>ISIC 30</t>
        </is>
      </c>
      <c r="E169" t="n">
        <v>0.8828631277509678</v>
      </c>
      <c r="F169" t="inlineStr">
        <is>
          <t>BEA 2024 output share (default)</t>
        </is>
      </c>
      <c r="G169" t="n">
        <v>0.8828631277509678</v>
      </c>
    </row>
    <row r="170">
      <c r="A170" t="inlineStr">
        <is>
          <t>SoESCaOMCbIC-capital.csv</t>
        </is>
      </c>
      <c r="B170" t="inlineStr">
        <is>
          <t>lignite</t>
        </is>
      </c>
      <c r="C170" t="inlineStr">
        <is>
          <t>ISIC 49</t>
        </is>
      </c>
      <c r="D170" t="inlineStr">
        <is>
          <t>ISIC 49T53</t>
        </is>
      </c>
      <c r="E170" t="n">
        <v>0.4781643011829615</v>
      </c>
      <c r="F170" t="inlineStr">
        <is>
          <t>BEA 2024 output share (default)</t>
        </is>
      </c>
      <c r="G170" t="n">
        <v>0.4781643011829615</v>
      </c>
    </row>
    <row r="171">
      <c r="A171" t="inlineStr">
        <is>
          <t>SoESCaOMCbIC-capital.csv</t>
        </is>
      </c>
      <c r="B171" t="inlineStr">
        <is>
          <t>lignite</t>
        </is>
      </c>
      <c r="C171" t="inlineStr">
        <is>
          <t>ISIC 50</t>
        </is>
      </c>
      <c r="D171" t="inlineStr">
        <is>
          <t>ISIC 49T53</t>
        </is>
      </c>
      <c r="E171" t="n">
        <v>0.04258639396614965</v>
      </c>
      <c r="F171" t="inlineStr">
        <is>
          <t>BEA 2024 output share (default)</t>
        </is>
      </c>
      <c r="G171" t="n">
        <v>0.04258639396614965</v>
      </c>
    </row>
    <row r="172">
      <c r="A172" t="inlineStr">
        <is>
          <t>SoESCaOMCbIC-capital.csv</t>
        </is>
      </c>
      <c r="B172" t="inlineStr">
        <is>
          <t>lignite</t>
        </is>
      </c>
      <c r="C172" t="inlineStr">
        <is>
          <t>ISIC 51</t>
        </is>
      </c>
      <c r="D172" t="inlineStr">
        <is>
          <t>ISIC 49T53</t>
        </is>
      </c>
      <c r="E172" t="n">
        <v>0.1808024634415262</v>
      </c>
      <c r="F172" t="inlineStr">
        <is>
          <t>BEA 2024 output share (default)</t>
        </is>
      </c>
      <c r="G172" t="n">
        <v>0.1808024634415262</v>
      </c>
    </row>
    <row r="173">
      <c r="A173" t="inlineStr">
        <is>
          <t>SoESCaOMCbIC-capital.csv</t>
        </is>
      </c>
      <c r="B173" t="inlineStr">
        <is>
          <t>lignite</t>
        </is>
      </c>
      <c r="C173" t="inlineStr">
        <is>
          <t>ISIC 52</t>
        </is>
      </c>
      <c r="D173" t="inlineStr">
        <is>
          <t>ISIC 49T53</t>
        </is>
      </c>
      <c r="E173" t="n">
        <v>0.2139060571318126</v>
      </c>
      <c r="F173" t="inlineStr">
        <is>
          <t>BEA 2024 output share (default)</t>
        </is>
      </c>
      <c r="G173" t="n">
        <v>0.2139060571318126</v>
      </c>
    </row>
    <row r="174">
      <c r="A174" t="inlineStr">
        <is>
          <t>SoESCaOMCbIC-capital.csv</t>
        </is>
      </c>
      <c r="B174" t="inlineStr">
        <is>
          <t>lignite</t>
        </is>
      </c>
      <c r="C174" t="inlineStr">
        <is>
          <t>ISIC 53</t>
        </is>
      </c>
      <c r="D174" t="inlineStr">
        <is>
          <t>ISIC 49T53</t>
        </is>
      </c>
      <c r="E174" t="n">
        <v>0.08454078427755009</v>
      </c>
      <c r="F174" t="inlineStr">
        <is>
          <t>BEA 2024 output share (default)</t>
        </is>
      </c>
      <c r="G174" t="n">
        <v>0.08454078427755009</v>
      </c>
    </row>
    <row r="175">
      <c r="A175" t="inlineStr">
        <is>
          <t>SoESCaOMCbIC-capital.csv</t>
        </is>
      </c>
      <c r="B175" t="inlineStr">
        <is>
          <t>lignite</t>
        </is>
      </c>
      <c r="C175" t="inlineStr">
        <is>
          <t>ISIC 69T75</t>
        </is>
      </c>
      <c r="D175" t="inlineStr">
        <is>
          <t>ISIC 69T82</t>
        </is>
      </c>
      <c r="E175" t="n">
        <v>1</v>
      </c>
      <c r="F175" t="inlineStr">
        <is>
          <t>semantic override</t>
        </is>
      </c>
      <c r="G175" t="n">
        <v>0.7298219447914125</v>
      </c>
    </row>
    <row r="176">
      <c r="A176" t="inlineStr">
        <is>
          <t>SoESCaOMCbIC-capital.csv</t>
        </is>
      </c>
      <c r="B176" t="inlineStr">
        <is>
          <t>lignite</t>
        </is>
      </c>
      <c r="C176" t="inlineStr">
        <is>
          <t>ISIC 77T82</t>
        </is>
      </c>
      <c r="D176" t="inlineStr">
        <is>
          <t>ISIC 69T82</t>
        </is>
      </c>
      <c r="E176" t="n">
        <v>0</v>
      </c>
      <c r="F176" t="inlineStr">
        <is>
          <t>semantic override</t>
        </is>
      </c>
      <c r="G176" t="n">
        <v>0.2701780552085875</v>
      </c>
    </row>
    <row r="177">
      <c r="A177" t="inlineStr">
        <is>
          <t>SoESCaOMCbIC-capital.csv</t>
        </is>
      </c>
      <c r="B177" t="inlineStr">
        <is>
          <t>lignite</t>
        </is>
      </c>
      <c r="C177" t="inlineStr">
        <is>
          <t>ISIC 90T93</t>
        </is>
      </c>
      <c r="D177" t="inlineStr">
        <is>
          <t>ISIC 90T96</t>
        </is>
      </c>
      <c r="E177" t="n">
        <v>0.4216249514352275</v>
      </c>
      <c r="F177" t="inlineStr">
        <is>
          <t>BEA 2024 output share (default)</t>
        </is>
      </c>
      <c r="G177" t="n">
        <v>0.4216249514352275</v>
      </c>
    </row>
    <row r="178">
      <c r="A178" t="inlineStr">
        <is>
          <t>SoESCaOMCbIC-capital.csv</t>
        </is>
      </c>
      <c r="B178" t="inlineStr">
        <is>
          <t>lignite</t>
        </is>
      </c>
      <c r="C178" t="inlineStr">
        <is>
          <t>ISIC 94T96</t>
        </is>
      </c>
      <c r="D178" t="inlineStr">
        <is>
          <t>ISIC 90T96</t>
        </is>
      </c>
      <c r="E178" t="n">
        <v>0.5783750485647725</v>
      </c>
      <c r="F178" t="inlineStr">
        <is>
          <t>BEA 2024 output share (default)</t>
        </is>
      </c>
      <c r="G178" t="n">
        <v>0.5783750485647725</v>
      </c>
    </row>
    <row r="179">
      <c r="A179" t="inlineStr">
        <is>
          <t>SoESCaOMCbIC-capital.csv</t>
        </is>
      </c>
      <c r="B179" t="inlineStr">
        <is>
          <t>lignite w CCS</t>
        </is>
      </c>
      <c r="C179" t="inlineStr">
        <is>
          <t>ISIC 01</t>
        </is>
      </c>
      <c r="D179" t="inlineStr">
        <is>
          <t>ISIC 01T03</t>
        </is>
      </c>
      <c r="E179" t="n">
        <v>0.9429986826432329</v>
      </c>
      <c r="F179" t="inlineStr">
        <is>
          <t>BEA 2024 output share (default)</t>
        </is>
      </c>
      <c r="G179" t="n">
        <v>0.9429986826432329</v>
      </c>
    </row>
    <row r="180">
      <c r="A180" t="inlineStr">
        <is>
          <t>SoESCaOMCbIC-capital.csv</t>
        </is>
      </c>
      <c r="B180" t="inlineStr">
        <is>
          <t>lignite w CCS</t>
        </is>
      </c>
      <c r="C180" t="inlineStr">
        <is>
          <t>ISIC 02</t>
        </is>
      </c>
      <c r="D180" t="inlineStr">
        <is>
          <t>ISIC 01T03</t>
        </is>
      </c>
      <c r="E180" t="n">
        <v>0.04176573136965662</v>
      </c>
      <c r="F180" t="inlineStr">
        <is>
          <t>BEA 2024 output share (default)</t>
        </is>
      </c>
      <c r="G180" t="n">
        <v>0.04176573136965662</v>
      </c>
    </row>
    <row r="181">
      <c r="A181" t="inlineStr">
        <is>
          <t>SoESCaOMCbIC-capital.csv</t>
        </is>
      </c>
      <c r="B181" t="inlineStr">
        <is>
          <t>lignite w CCS</t>
        </is>
      </c>
      <c r="C181" t="inlineStr">
        <is>
          <t>ISIC 03</t>
        </is>
      </c>
      <c r="D181" t="inlineStr">
        <is>
          <t>ISIC 01T03</t>
        </is>
      </c>
      <c r="E181" t="n">
        <v>0.01523558598711041</v>
      </c>
      <c r="F181" t="inlineStr">
        <is>
          <t>BEA 2024 output share (default)</t>
        </is>
      </c>
      <c r="G181" t="n">
        <v>0.01523558598711041</v>
      </c>
    </row>
    <row r="182">
      <c r="A182" t="inlineStr">
        <is>
          <t>SoESCaOMCbIC-capital.csv</t>
        </is>
      </c>
      <c r="B182" t="inlineStr">
        <is>
          <t>lignite w CCS</t>
        </is>
      </c>
      <c r="C182" t="inlineStr">
        <is>
          <t>ISIC 07</t>
        </is>
      </c>
      <c r="D182" t="inlineStr">
        <is>
          <t>ISIC 07T08</t>
        </is>
      </c>
      <c r="E182" t="n">
        <v>0.4327368836123752</v>
      </c>
      <c r="F182" t="inlineStr">
        <is>
          <t>BEA 2024 output share (default)</t>
        </is>
      </c>
      <c r="G182" t="n">
        <v>0.4327368836123752</v>
      </c>
    </row>
    <row r="183">
      <c r="A183" t="inlineStr">
        <is>
          <t>SoESCaOMCbIC-capital.csv</t>
        </is>
      </c>
      <c r="B183" t="inlineStr">
        <is>
          <t>lignite w CCS</t>
        </is>
      </c>
      <c r="C183" t="inlineStr">
        <is>
          <t>ISIC 08</t>
        </is>
      </c>
      <c r="D183" t="inlineStr">
        <is>
          <t>ISIC 07T08</t>
        </is>
      </c>
      <c r="E183" t="n">
        <v>0.5672631163876248</v>
      </c>
      <c r="F183" t="inlineStr">
        <is>
          <t>BEA 2024 output share (default)</t>
        </is>
      </c>
      <c r="G183" t="n">
        <v>0.5672631163876248</v>
      </c>
    </row>
    <row r="184">
      <c r="A184" t="inlineStr">
        <is>
          <t>SoESCaOMCbIC-capital.csv</t>
        </is>
      </c>
      <c r="B184" t="inlineStr">
        <is>
          <t>lignite w CCS</t>
        </is>
      </c>
      <c r="C184" t="inlineStr">
        <is>
          <t>ISIC 301</t>
        </is>
      </c>
      <c r="D184" t="inlineStr">
        <is>
          <t>ISIC 30</t>
        </is>
      </c>
      <c r="E184" t="n">
        <v>0.1171368722490322</v>
      </c>
      <c r="F184" t="inlineStr">
        <is>
          <t>BEA 2024 output share (default)</t>
        </is>
      </c>
      <c r="G184" t="n">
        <v>0.1171368722490322</v>
      </c>
    </row>
    <row r="185">
      <c r="A185" t="inlineStr">
        <is>
          <t>SoESCaOMCbIC-capital.csv</t>
        </is>
      </c>
      <c r="B185" t="inlineStr">
        <is>
          <t>lignite w CCS</t>
        </is>
      </c>
      <c r="C185" t="inlineStr">
        <is>
          <t>ISIC 302T309</t>
        </is>
      </c>
      <c r="D185" t="inlineStr">
        <is>
          <t>ISIC 30</t>
        </is>
      </c>
      <c r="E185" t="n">
        <v>0.8828631277509678</v>
      </c>
      <c r="F185" t="inlineStr">
        <is>
          <t>BEA 2024 output share (default)</t>
        </is>
      </c>
      <c r="G185" t="n">
        <v>0.8828631277509678</v>
      </c>
    </row>
    <row r="186">
      <c r="A186" t="inlineStr">
        <is>
          <t>SoESCaOMCbIC-capital.csv</t>
        </is>
      </c>
      <c r="B186" t="inlineStr">
        <is>
          <t>lignite w CCS</t>
        </is>
      </c>
      <c r="C186" t="inlineStr">
        <is>
          <t>ISIC 49</t>
        </is>
      </c>
      <c r="D186" t="inlineStr">
        <is>
          <t>ISIC 49T53</t>
        </is>
      </c>
      <c r="E186" t="n">
        <v>0.4781643011829615</v>
      </c>
      <c r="F186" t="inlineStr">
        <is>
          <t>BEA 2024 output share (default)</t>
        </is>
      </c>
      <c r="G186" t="n">
        <v>0.4781643011829615</v>
      </c>
    </row>
    <row r="187">
      <c r="A187" t="inlineStr">
        <is>
          <t>SoESCaOMCbIC-capital.csv</t>
        </is>
      </c>
      <c r="B187" t="inlineStr">
        <is>
          <t>lignite w CCS</t>
        </is>
      </c>
      <c r="C187" t="inlineStr">
        <is>
          <t>ISIC 50</t>
        </is>
      </c>
      <c r="D187" t="inlineStr">
        <is>
          <t>ISIC 49T53</t>
        </is>
      </c>
      <c r="E187" t="n">
        <v>0.04258639396614965</v>
      </c>
      <c r="F187" t="inlineStr">
        <is>
          <t>BEA 2024 output share (default)</t>
        </is>
      </c>
      <c r="G187" t="n">
        <v>0.04258639396614965</v>
      </c>
    </row>
    <row r="188">
      <c r="A188" t="inlineStr">
        <is>
          <t>SoESCaOMCbIC-capital.csv</t>
        </is>
      </c>
      <c r="B188" t="inlineStr">
        <is>
          <t>lignite w CCS</t>
        </is>
      </c>
      <c r="C188" t="inlineStr">
        <is>
          <t>ISIC 51</t>
        </is>
      </c>
      <c r="D188" t="inlineStr">
        <is>
          <t>ISIC 49T53</t>
        </is>
      </c>
      <c r="E188" t="n">
        <v>0.1808024634415262</v>
      </c>
      <c r="F188" t="inlineStr">
        <is>
          <t>BEA 2024 output share (default)</t>
        </is>
      </c>
      <c r="G188" t="n">
        <v>0.1808024634415262</v>
      </c>
    </row>
    <row r="189">
      <c r="A189" t="inlineStr">
        <is>
          <t>SoESCaOMCbIC-capital.csv</t>
        </is>
      </c>
      <c r="B189" t="inlineStr">
        <is>
          <t>lignite w CCS</t>
        </is>
      </c>
      <c r="C189" t="inlineStr">
        <is>
          <t>ISIC 52</t>
        </is>
      </c>
      <c r="D189" t="inlineStr">
        <is>
          <t>ISIC 49T53</t>
        </is>
      </c>
      <c r="E189" t="n">
        <v>0.2139060571318126</v>
      </c>
      <c r="F189" t="inlineStr">
        <is>
          <t>BEA 2024 output share (default)</t>
        </is>
      </c>
      <c r="G189" t="n">
        <v>0.2139060571318126</v>
      </c>
    </row>
    <row r="190">
      <c r="A190" t="inlineStr">
        <is>
          <t>SoESCaOMCbIC-capital.csv</t>
        </is>
      </c>
      <c r="B190" t="inlineStr">
        <is>
          <t>lignite w CCS</t>
        </is>
      </c>
      <c r="C190" t="inlineStr">
        <is>
          <t>ISIC 53</t>
        </is>
      </c>
      <c r="D190" t="inlineStr">
        <is>
          <t>ISIC 49T53</t>
        </is>
      </c>
      <c r="E190" t="n">
        <v>0.08454078427755009</v>
      </c>
      <c r="F190" t="inlineStr">
        <is>
          <t>BEA 2024 output share (default)</t>
        </is>
      </c>
      <c r="G190" t="n">
        <v>0.08454078427755009</v>
      </c>
    </row>
    <row r="191">
      <c r="A191" t="inlineStr">
        <is>
          <t>SoESCaOMCbIC-capital.csv</t>
        </is>
      </c>
      <c r="B191" t="inlineStr">
        <is>
          <t>lignite w CCS</t>
        </is>
      </c>
      <c r="C191" t="inlineStr">
        <is>
          <t>ISIC 69T75</t>
        </is>
      </c>
      <c r="D191" t="inlineStr">
        <is>
          <t>ISIC 69T82</t>
        </is>
      </c>
      <c r="E191" t="n">
        <v>1</v>
      </c>
      <c r="F191" t="inlineStr">
        <is>
          <t>semantic override</t>
        </is>
      </c>
      <c r="G191" t="n">
        <v>0.7298219447914125</v>
      </c>
    </row>
    <row r="192">
      <c r="A192" t="inlineStr">
        <is>
          <t>SoESCaOMCbIC-capital.csv</t>
        </is>
      </c>
      <c r="B192" t="inlineStr">
        <is>
          <t>lignite w CCS</t>
        </is>
      </c>
      <c r="C192" t="inlineStr">
        <is>
          <t>ISIC 77T82</t>
        </is>
      </c>
      <c r="D192" t="inlineStr">
        <is>
          <t>ISIC 69T82</t>
        </is>
      </c>
      <c r="E192" t="n">
        <v>0</v>
      </c>
      <c r="F192" t="inlineStr">
        <is>
          <t>semantic override</t>
        </is>
      </c>
      <c r="G192" t="n">
        <v>0.2701780552085875</v>
      </c>
    </row>
    <row r="193">
      <c r="A193" t="inlineStr">
        <is>
          <t>SoESCaOMCbIC-capital.csv</t>
        </is>
      </c>
      <c r="B193" t="inlineStr">
        <is>
          <t>lignite w CCS</t>
        </is>
      </c>
      <c r="C193" t="inlineStr">
        <is>
          <t>ISIC 90T93</t>
        </is>
      </c>
      <c r="D193" t="inlineStr">
        <is>
          <t>ISIC 90T96</t>
        </is>
      </c>
      <c r="E193" t="n">
        <v>0.4216249514352275</v>
      </c>
      <c r="F193" t="inlineStr">
        <is>
          <t>BEA 2024 output share (default)</t>
        </is>
      </c>
      <c r="G193" t="n">
        <v>0.4216249514352275</v>
      </c>
    </row>
    <row r="194">
      <c r="A194" t="inlineStr">
        <is>
          <t>SoESCaOMCbIC-capital.csv</t>
        </is>
      </c>
      <c r="B194" t="inlineStr">
        <is>
          <t>lignite w CCS</t>
        </is>
      </c>
      <c r="C194" t="inlineStr">
        <is>
          <t>ISIC 94T96</t>
        </is>
      </c>
      <c r="D194" t="inlineStr">
        <is>
          <t>ISIC 90T96</t>
        </is>
      </c>
      <c r="E194" t="n">
        <v>0.5783750485647725</v>
      </c>
      <c r="F194" t="inlineStr">
        <is>
          <t>BEA 2024 output share (default)</t>
        </is>
      </c>
      <c r="G194" t="n">
        <v>0.5783750485647725</v>
      </c>
    </row>
    <row r="195">
      <c r="A195" t="inlineStr">
        <is>
          <t>SoESCaOMCbIC-capital.csv</t>
        </is>
      </c>
      <c r="B195" t="inlineStr">
        <is>
          <t>municipal solid waste</t>
        </is>
      </c>
      <c r="C195" t="inlineStr">
        <is>
          <t>ISIC 01</t>
        </is>
      </c>
      <c r="D195" t="inlineStr">
        <is>
          <t>ISIC 01T03</t>
        </is>
      </c>
      <c r="E195" t="n">
        <v>0.9429986826432329</v>
      </c>
      <c r="F195" t="inlineStr">
        <is>
          <t>BEA 2024 output share (default)</t>
        </is>
      </c>
      <c r="G195" t="n">
        <v>0.9429986826432329</v>
      </c>
    </row>
    <row r="196">
      <c r="A196" t="inlineStr">
        <is>
          <t>SoESCaOMCbIC-capital.csv</t>
        </is>
      </c>
      <c r="B196" t="inlineStr">
        <is>
          <t>municipal solid waste</t>
        </is>
      </c>
      <c r="C196" t="inlineStr">
        <is>
          <t>ISIC 02</t>
        </is>
      </c>
      <c r="D196" t="inlineStr">
        <is>
          <t>ISIC 01T03</t>
        </is>
      </c>
      <c r="E196" t="n">
        <v>0.04176573136965662</v>
      </c>
      <c r="F196" t="inlineStr">
        <is>
          <t>BEA 2024 output share (default)</t>
        </is>
      </c>
      <c r="G196" t="n">
        <v>0.04176573136965662</v>
      </c>
    </row>
    <row r="197">
      <c r="A197" t="inlineStr">
        <is>
          <t>SoESCaOMCbIC-capital.csv</t>
        </is>
      </c>
      <c r="B197" t="inlineStr">
        <is>
          <t>municipal solid waste</t>
        </is>
      </c>
      <c r="C197" t="inlineStr">
        <is>
          <t>ISIC 03</t>
        </is>
      </c>
      <c r="D197" t="inlineStr">
        <is>
          <t>ISIC 01T03</t>
        </is>
      </c>
      <c r="E197" t="n">
        <v>0.01523558598711041</v>
      </c>
      <c r="F197" t="inlineStr">
        <is>
          <t>BEA 2024 output share (default)</t>
        </is>
      </c>
      <c r="G197" t="n">
        <v>0.01523558598711041</v>
      </c>
    </row>
    <row r="198">
      <c r="A198" t="inlineStr">
        <is>
          <t>SoESCaOMCbIC-capital.csv</t>
        </is>
      </c>
      <c r="B198" t="inlineStr">
        <is>
          <t>municipal solid waste</t>
        </is>
      </c>
      <c r="C198" t="inlineStr">
        <is>
          <t>ISIC 07</t>
        </is>
      </c>
      <c r="D198" t="inlineStr">
        <is>
          <t>ISIC 07T08</t>
        </is>
      </c>
      <c r="E198" t="n">
        <v>0.4327368836123752</v>
      </c>
      <c r="F198" t="inlineStr">
        <is>
          <t>BEA 2024 output share (default)</t>
        </is>
      </c>
      <c r="G198" t="n">
        <v>0.4327368836123752</v>
      </c>
    </row>
    <row r="199">
      <c r="A199" t="inlineStr">
        <is>
          <t>SoESCaOMCbIC-capital.csv</t>
        </is>
      </c>
      <c r="B199" t="inlineStr">
        <is>
          <t>municipal solid waste</t>
        </is>
      </c>
      <c r="C199" t="inlineStr">
        <is>
          <t>ISIC 08</t>
        </is>
      </c>
      <c r="D199" t="inlineStr">
        <is>
          <t>ISIC 07T08</t>
        </is>
      </c>
      <c r="E199" t="n">
        <v>0.5672631163876248</v>
      </c>
      <c r="F199" t="inlineStr">
        <is>
          <t>BEA 2024 output share (default)</t>
        </is>
      </c>
      <c r="G199" t="n">
        <v>0.5672631163876248</v>
      </c>
    </row>
    <row r="200">
      <c r="A200" t="inlineStr">
        <is>
          <t>SoESCaOMCbIC-capital.csv</t>
        </is>
      </c>
      <c r="B200" t="inlineStr">
        <is>
          <t>municipal solid waste</t>
        </is>
      </c>
      <c r="C200" t="inlineStr">
        <is>
          <t>ISIC 301</t>
        </is>
      </c>
      <c r="D200" t="inlineStr">
        <is>
          <t>ISIC 30</t>
        </is>
      </c>
      <c r="E200" t="n">
        <v>0.1171368722490322</v>
      </c>
      <c r="F200" t="inlineStr">
        <is>
          <t>BEA 2024 output share (default)</t>
        </is>
      </c>
      <c r="G200" t="n">
        <v>0.1171368722490322</v>
      </c>
    </row>
    <row r="201">
      <c r="A201" t="inlineStr">
        <is>
          <t>SoESCaOMCbIC-capital.csv</t>
        </is>
      </c>
      <c r="B201" t="inlineStr">
        <is>
          <t>municipal solid waste</t>
        </is>
      </c>
      <c r="C201" t="inlineStr">
        <is>
          <t>ISIC 302T309</t>
        </is>
      </c>
      <c r="D201" t="inlineStr">
        <is>
          <t>ISIC 30</t>
        </is>
      </c>
      <c r="E201" t="n">
        <v>0.8828631277509678</v>
      </c>
      <c r="F201" t="inlineStr">
        <is>
          <t>BEA 2024 output share (default)</t>
        </is>
      </c>
      <c r="G201" t="n">
        <v>0.8828631277509678</v>
      </c>
    </row>
    <row r="202">
      <c r="A202" t="inlineStr">
        <is>
          <t>SoESCaOMCbIC-capital.csv</t>
        </is>
      </c>
      <c r="B202" t="inlineStr">
        <is>
          <t>municipal solid waste</t>
        </is>
      </c>
      <c r="C202" t="inlineStr">
        <is>
          <t>ISIC 49</t>
        </is>
      </c>
      <c r="D202" t="inlineStr">
        <is>
          <t>ISIC 49T53</t>
        </is>
      </c>
      <c r="E202" t="n">
        <v>0.4781643011829615</v>
      </c>
      <c r="F202" t="inlineStr">
        <is>
          <t>BEA 2024 output share (default)</t>
        </is>
      </c>
      <c r="G202" t="n">
        <v>0.4781643011829615</v>
      </c>
    </row>
    <row r="203">
      <c r="A203" t="inlineStr">
        <is>
          <t>SoESCaOMCbIC-capital.csv</t>
        </is>
      </c>
      <c r="B203" t="inlineStr">
        <is>
          <t>municipal solid waste</t>
        </is>
      </c>
      <c r="C203" t="inlineStr">
        <is>
          <t>ISIC 50</t>
        </is>
      </c>
      <c r="D203" t="inlineStr">
        <is>
          <t>ISIC 49T53</t>
        </is>
      </c>
      <c r="E203" t="n">
        <v>0.04258639396614965</v>
      </c>
      <c r="F203" t="inlineStr">
        <is>
          <t>BEA 2024 output share (default)</t>
        </is>
      </c>
      <c r="G203" t="n">
        <v>0.04258639396614965</v>
      </c>
    </row>
    <row r="204">
      <c r="A204" t="inlineStr">
        <is>
          <t>SoESCaOMCbIC-capital.csv</t>
        </is>
      </c>
      <c r="B204" t="inlineStr">
        <is>
          <t>municipal solid waste</t>
        </is>
      </c>
      <c r="C204" t="inlineStr">
        <is>
          <t>ISIC 51</t>
        </is>
      </c>
      <c r="D204" t="inlineStr">
        <is>
          <t>ISIC 49T53</t>
        </is>
      </c>
      <c r="E204" t="n">
        <v>0.1808024634415262</v>
      </c>
      <c r="F204" t="inlineStr">
        <is>
          <t>BEA 2024 output share (default)</t>
        </is>
      </c>
      <c r="G204" t="n">
        <v>0.1808024634415262</v>
      </c>
    </row>
    <row r="205">
      <c r="A205" t="inlineStr">
        <is>
          <t>SoESCaOMCbIC-capital.csv</t>
        </is>
      </c>
      <c r="B205" t="inlineStr">
        <is>
          <t>municipal solid waste</t>
        </is>
      </c>
      <c r="C205" t="inlineStr">
        <is>
          <t>ISIC 52</t>
        </is>
      </c>
      <c r="D205" t="inlineStr">
        <is>
          <t>ISIC 49T53</t>
        </is>
      </c>
      <c r="E205" t="n">
        <v>0.2139060571318126</v>
      </c>
      <c r="F205" t="inlineStr">
        <is>
          <t>BEA 2024 output share (default)</t>
        </is>
      </c>
      <c r="G205" t="n">
        <v>0.2139060571318126</v>
      </c>
    </row>
    <row r="206">
      <c r="A206" t="inlineStr">
        <is>
          <t>SoESCaOMCbIC-capital.csv</t>
        </is>
      </c>
      <c r="B206" t="inlineStr">
        <is>
          <t>municipal solid waste</t>
        </is>
      </c>
      <c r="C206" t="inlineStr">
        <is>
          <t>ISIC 53</t>
        </is>
      </c>
      <c r="D206" t="inlineStr">
        <is>
          <t>ISIC 49T53</t>
        </is>
      </c>
      <c r="E206" t="n">
        <v>0.08454078427755009</v>
      </c>
      <c r="F206" t="inlineStr">
        <is>
          <t>BEA 2024 output share (default)</t>
        </is>
      </c>
      <c r="G206" t="n">
        <v>0.08454078427755009</v>
      </c>
    </row>
    <row r="207">
      <c r="A207" t="inlineStr">
        <is>
          <t>SoESCaOMCbIC-capital.csv</t>
        </is>
      </c>
      <c r="B207" t="inlineStr">
        <is>
          <t>municipal solid waste</t>
        </is>
      </c>
      <c r="C207" t="inlineStr">
        <is>
          <t>ISIC 69T75</t>
        </is>
      </c>
      <c r="D207" t="inlineStr">
        <is>
          <t>ISIC 69T82</t>
        </is>
      </c>
      <c r="E207" t="n">
        <v>1</v>
      </c>
      <c r="F207" t="inlineStr">
        <is>
          <t>semantic override</t>
        </is>
      </c>
      <c r="G207" t="n">
        <v>0.7298219447914125</v>
      </c>
    </row>
    <row r="208">
      <c r="A208" t="inlineStr">
        <is>
          <t>SoESCaOMCbIC-capital.csv</t>
        </is>
      </c>
      <c r="B208" t="inlineStr">
        <is>
          <t>municipal solid waste</t>
        </is>
      </c>
      <c r="C208" t="inlineStr">
        <is>
          <t>ISIC 77T82</t>
        </is>
      </c>
      <c r="D208" t="inlineStr">
        <is>
          <t>ISIC 69T82</t>
        </is>
      </c>
      <c r="E208" t="n">
        <v>0</v>
      </c>
      <c r="F208" t="inlineStr">
        <is>
          <t>semantic override</t>
        </is>
      </c>
      <c r="G208" t="n">
        <v>0.2701780552085875</v>
      </c>
    </row>
    <row r="209">
      <c r="A209" t="inlineStr">
        <is>
          <t>SoESCaOMCbIC-capital.csv</t>
        </is>
      </c>
      <c r="B209" t="inlineStr">
        <is>
          <t>municipal solid waste</t>
        </is>
      </c>
      <c r="C209" t="inlineStr">
        <is>
          <t>ISIC 90T93</t>
        </is>
      </c>
      <c r="D209" t="inlineStr">
        <is>
          <t>ISIC 90T96</t>
        </is>
      </c>
      <c r="E209" t="n">
        <v>0.4216249514352275</v>
      </c>
      <c r="F209" t="inlineStr">
        <is>
          <t>BEA 2024 output share (default)</t>
        </is>
      </c>
      <c r="G209" t="n">
        <v>0.4216249514352275</v>
      </c>
    </row>
    <row r="210">
      <c r="A210" t="inlineStr">
        <is>
          <t>SoESCaOMCbIC-capital.csv</t>
        </is>
      </c>
      <c r="B210" t="inlineStr">
        <is>
          <t>municipal solid waste</t>
        </is>
      </c>
      <c r="C210" t="inlineStr">
        <is>
          <t>ISIC 94T96</t>
        </is>
      </c>
      <c r="D210" t="inlineStr">
        <is>
          <t>ISIC 90T96</t>
        </is>
      </c>
      <c r="E210" t="n">
        <v>0.5783750485647725</v>
      </c>
      <c r="F210" t="inlineStr">
        <is>
          <t>BEA 2024 output share (default)</t>
        </is>
      </c>
      <c r="G210" t="n">
        <v>0.5783750485647725</v>
      </c>
    </row>
    <row r="211">
      <c r="A211" t="inlineStr">
        <is>
          <t>SoESCaOMCbIC-capital.csv</t>
        </is>
      </c>
      <c r="B211" t="inlineStr">
        <is>
          <t>natural gas combined cycle</t>
        </is>
      </c>
      <c r="C211" t="inlineStr">
        <is>
          <t>ISIC 01</t>
        </is>
      </c>
      <c r="D211" t="inlineStr">
        <is>
          <t>ISIC 01T03</t>
        </is>
      </c>
      <c r="E211" t="n">
        <v>0.9429986826432329</v>
      </c>
      <c r="F211" t="inlineStr">
        <is>
          <t>BEA 2024 output share (default)</t>
        </is>
      </c>
      <c r="G211" t="n">
        <v>0.9429986826432329</v>
      </c>
    </row>
    <row r="212">
      <c r="A212" t="inlineStr">
        <is>
          <t>SoESCaOMCbIC-capital.csv</t>
        </is>
      </c>
      <c r="B212" t="inlineStr">
        <is>
          <t>natural gas combined cycle</t>
        </is>
      </c>
      <c r="C212" t="inlineStr">
        <is>
          <t>ISIC 02</t>
        </is>
      </c>
      <c r="D212" t="inlineStr">
        <is>
          <t>ISIC 01T03</t>
        </is>
      </c>
      <c r="E212" t="n">
        <v>0.04176573136965662</v>
      </c>
      <c r="F212" t="inlineStr">
        <is>
          <t>BEA 2024 output share (default)</t>
        </is>
      </c>
      <c r="G212" t="n">
        <v>0.04176573136965662</v>
      </c>
    </row>
    <row r="213">
      <c r="A213" t="inlineStr">
        <is>
          <t>SoESCaOMCbIC-capital.csv</t>
        </is>
      </c>
      <c r="B213" t="inlineStr">
        <is>
          <t>natural gas combined cycle</t>
        </is>
      </c>
      <c r="C213" t="inlineStr">
        <is>
          <t>ISIC 03</t>
        </is>
      </c>
      <c r="D213" t="inlineStr">
        <is>
          <t>ISIC 01T03</t>
        </is>
      </c>
      <c r="E213" t="n">
        <v>0.01523558598711041</v>
      </c>
      <c r="F213" t="inlineStr">
        <is>
          <t>BEA 2024 output share (default)</t>
        </is>
      </c>
      <c r="G213" t="n">
        <v>0.01523558598711041</v>
      </c>
    </row>
    <row r="214">
      <c r="A214" t="inlineStr">
        <is>
          <t>SoESCaOMCbIC-capital.csv</t>
        </is>
      </c>
      <c r="B214" t="inlineStr">
        <is>
          <t>natural gas combined cycle</t>
        </is>
      </c>
      <c r="C214" t="inlineStr">
        <is>
          <t>ISIC 07</t>
        </is>
      </c>
      <c r="D214" t="inlineStr">
        <is>
          <t>ISIC 07T08</t>
        </is>
      </c>
      <c r="E214" t="n">
        <v>0.4327368836123752</v>
      </c>
      <c r="F214" t="inlineStr">
        <is>
          <t>BEA 2024 output share (default)</t>
        </is>
      </c>
      <c r="G214" t="n">
        <v>0.4327368836123752</v>
      </c>
    </row>
    <row r="215">
      <c r="A215" t="inlineStr">
        <is>
          <t>SoESCaOMCbIC-capital.csv</t>
        </is>
      </c>
      <c r="B215" t="inlineStr">
        <is>
          <t>natural gas combined cycle</t>
        </is>
      </c>
      <c r="C215" t="inlineStr">
        <is>
          <t>ISIC 08</t>
        </is>
      </c>
      <c r="D215" t="inlineStr">
        <is>
          <t>ISIC 07T08</t>
        </is>
      </c>
      <c r="E215" t="n">
        <v>0.5672631163876248</v>
      </c>
      <c r="F215" t="inlineStr">
        <is>
          <t>BEA 2024 output share (default)</t>
        </is>
      </c>
      <c r="G215" t="n">
        <v>0.5672631163876248</v>
      </c>
    </row>
    <row r="216">
      <c r="A216" t="inlineStr">
        <is>
          <t>SoESCaOMCbIC-capital.csv</t>
        </is>
      </c>
      <c r="B216" t="inlineStr">
        <is>
          <t>natural gas combined cycle</t>
        </is>
      </c>
      <c r="C216" t="inlineStr">
        <is>
          <t>ISIC 301</t>
        </is>
      </c>
      <c r="D216" t="inlineStr">
        <is>
          <t>ISIC 30</t>
        </is>
      </c>
      <c r="E216" t="n">
        <v>0.1171368722490322</v>
      </c>
      <c r="F216" t="inlineStr">
        <is>
          <t>BEA 2024 output share (default)</t>
        </is>
      </c>
      <c r="G216" t="n">
        <v>0.1171368722490322</v>
      </c>
    </row>
    <row r="217">
      <c r="A217" t="inlineStr">
        <is>
          <t>SoESCaOMCbIC-capital.csv</t>
        </is>
      </c>
      <c r="B217" t="inlineStr">
        <is>
          <t>natural gas combined cycle</t>
        </is>
      </c>
      <c r="C217" t="inlineStr">
        <is>
          <t>ISIC 302T309</t>
        </is>
      </c>
      <c r="D217" t="inlineStr">
        <is>
          <t>ISIC 30</t>
        </is>
      </c>
      <c r="E217" t="n">
        <v>0.8828631277509678</v>
      </c>
      <c r="F217" t="inlineStr">
        <is>
          <t>BEA 2024 output share (default)</t>
        </is>
      </c>
      <c r="G217" t="n">
        <v>0.8828631277509678</v>
      </c>
    </row>
    <row r="218">
      <c r="A218" t="inlineStr">
        <is>
          <t>SoESCaOMCbIC-capital.csv</t>
        </is>
      </c>
      <c r="B218" t="inlineStr">
        <is>
          <t>natural gas combined cycle</t>
        </is>
      </c>
      <c r="C218" t="inlineStr">
        <is>
          <t>ISIC 49</t>
        </is>
      </c>
      <c r="D218" t="inlineStr">
        <is>
          <t>ISIC 49T53</t>
        </is>
      </c>
      <c r="E218" t="n">
        <v>0.4781643011829615</v>
      </c>
      <c r="F218" t="inlineStr">
        <is>
          <t>BEA 2024 output share (default)</t>
        </is>
      </c>
      <c r="G218" t="n">
        <v>0.4781643011829615</v>
      </c>
    </row>
    <row r="219">
      <c r="A219" t="inlineStr">
        <is>
          <t>SoESCaOMCbIC-capital.csv</t>
        </is>
      </c>
      <c r="B219" t="inlineStr">
        <is>
          <t>natural gas combined cycle</t>
        </is>
      </c>
      <c r="C219" t="inlineStr">
        <is>
          <t>ISIC 50</t>
        </is>
      </c>
      <c r="D219" t="inlineStr">
        <is>
          <t>ISIC 49T53</t>
        </is>
      </c>
      <c r="E219" t="n">
        <v>0.04258639396614965</v>
      </c>
      <c r="F219" t="inlineStr">
        <is>
          <t>BEA 2024 output share (default)</t>
        </is>
      </c>
      <c r="G219" t="n">
        <v>0.04258639396614965</v>
      </c>
    </row>
    <row r="220">
      <c r="A220" t="inlineStr">
        <is>
          <t>SoESCaOMCbIC-capital.csv</t>
        </is>
      </c>
      <c r="B220" t="inlineStr">
        <is>
          <t>natural gas combined cycle</t>
        </is>
      </c>
      <c r="C220" t="inlineStr">
        <is>
          <t>ISIC 51</t>
        </is>
      </c>
      <c r="D220" t="inlineStr">
        <is>
          <t>ISIC 49T53</t>
        </is>
      </c>
      <c r="E220" t="n">
        <v>0.1808024634415262</v>
      </c>
      <c r="F220" t="inlineStr">
        <is>
          <t>BEA 2024 output share (default)</t>
        </is>
      </c>
      <c r="G220" t="n">
        <v>0.1808024634415262</v>
      </c>
    </row>
    <row r="221">
      <c r="A221" t="inlineStr">
        <is>
          <t>SoESCaOMCbIC-capital.csv</t>
        </is>
      </c>
      <c r="B221" t="inlineStr">
        <is>
          <t>natural gas combined cycle</t>
        </is>
      </c>
      <c r="C221" t="inlineStr">
        <is>
          <t>ISIC 52</t>
        </is>
      </c>
      <c r="D221" t="inlineStr">
        <is>
          <t>ISIC 49T53</t>
        </is>
      </c>
      <c r="E221" t="n">
        <v>0.2139060571318126</v>
      </c>
      <c r="F221" t="inlineStr">
        <is>
          <t>BEA 2024 output share (default)</t>
        </is>
      </c>
      <c r="G221" t="n">
        <v>0.2139060571318126</v>
      </c>
    </row>
    <row r="222">
      <c r="A222" t="inlineStr">
        <is>
          <t>SoESCaOMCbIC-capital.csv</t>
        </is>
      </c>
      <c r="B222" t="inlineStr">
        <is>
          <t>natural gas combined cycle</t>
        </is>
      </c>
      <c r="C222" t="inlineStr">
        <is>
          <t>ISIC 53</t>
        </is>
      </c>
      <c r="D222" t="inlineStr">
        <is>
          <t>ISIC 49T53</t>
        </is>
      </c>
      <c r="E222" t="n">
        <v>0.08454078427755009</v>
      </c>
      <c r="F222" t="inlineStr">
        <is>
          <t>BEA 2024 output share (default)</t>
        </is>
      </c>
      <c r="G222" t="n">
        <v>0.08454078427755009</v>
      </c>
    </row>
    <row r="223">
      <c r="A223" t="inlineStr">
        <is>
          <t>SoESCaOMCbIC-capital.csv</t>
        </is>
      </c>
      <c r="B223" t="inlineStr">
        <is>
          <t>natural gas combined cycle</t>
        </is>
      </c>
      <c r="C223" t="inlineStr">
        <is>
          <t>ISIC 69T75</t>
        </is>
      </c>
      <c r="D223" t="inlineStr">
        <is>
          <t>ISIC 69T82</t>
        </is>
      </c>
      <c r="E223" t="n">
        <v>1</v>
      </c>
      <c r="F223" t="inlineStr">
        <is>
          <t>semantic override</t>
        </is>
      </c>
      <c r="G223" t="n">
        <v>0.7298219447914125</v>
      </c>
    </row>
    <row r="224">
      <c r="A224" t="inlineStr">
        <is>
          <t>SoESCaOMCbIC-capital.csv</t>
        </is>
      </c>
      <c r="B224" t="inlineStr">
        <is>
          <t>natural gas combined cycle</t>
        </is>
      </c>
      <c r="C224" t="inlineStr">
        <is>
          <t>ISIC 77T82</t>
        </is>
      </c>
      <c r="D224" t="inlineStr">
        <is>
          <t>ISIC 69T82</t>
        </is>
      </c>
      <c r="E224" t="n">
        <v>0</v>
      </c>
      <c r="F224" t="inlineStr">
        <is>
          <t>semantic override</t>
        </is>
      </c>
      <c r="G224" t="n">
        <v>0.2701780552085875</v>
      </c>
    </row>
    <row r="225">
      <c r="A225" t="inlineStr">
        <is>
          <t>SoESCaOMCbIC-capital.csv</t>
        </is>
      </c>
      <c r="B225" t="inlineStr">
        <is>
          <t>natural gas combined cycle</t>
        </is>
      </c>
      <c r="C225" t="inlineStr">
        <is>
          <t>ISIC 90T93</t>
        </is>
      </c>
      <c r="D225" t="inlineStr">
        <is>
          <t>ISIC 90T96</t>
        </is>
      </c>
      <c r="E225" t="n">
        <v>0.4216249514352275</v>
      </c>
      <c r="F225" t="inlineStr">
        <is>
          <t>BEA 2024 output share (default)</t>
        </is>
      </c>
      <c r="G225" t="n">
        <v>0.4216249514352275</v>
      </c>
    </row>
    <row r="226">
      <c r="A226" t="inlineStr">
        <is>
          <t>SoESCaOMCbIC-capital.csv</t>
        </is>
      </c>
      <c r="B226" t="inlineStr">
        <is>
          <t>natural gas combined cycle</t>
        </is>
      </c>
      <c r="C226" t="inlineStr">
        <is>
          <t>ISIC 94T96</t>
        </is>
      </c>
      <c r="D226" t="inlineStr">
        <is>
          <t>ISIC 90T96</t>
        </is>
      </c>
      <c r="E226" t="n">
        <v>0.5783750485647725</v>
      </c>
      <c r="F226" t="inlineStr">
        <is>
          <t>BEA 2024 output share (default)</t>
        </is>
      </c>
      <c r="G226" t="n">
        <v>0.5783750485647725</v>
      </c>
    </row>
    <row r="227">
      <c r="A227" t="inlineStr">
        <is>
          <t>SoESCaOMCbIC-capital.csv</t>
        </is>
      </c>
      <c r="B227" t="inlineStr">
        <is>
          <t>natural gas combined cycle w CCS</t>
        </is>
      </c>
      <c r="C227" t="inlineStr">
        <is>
          <t>ISIC 01</t>
        </is>
      </c>
      <c r="D227" t="inlineStr">
        <is>
          <t>ISIC 01T03</t>
        </is>
      </c>
      <c r="E227" t="n">
        <v>0.9429986826432329</v>
      </c>
      <c r="F227" t="inlineStr">
        <is>
          <t>BEA 2024 output share (default)</t>
        </is>
      </c>
      <c r="G227" t="n">
        <v>0.9429986826432329</v>
      </c>
    </row>
    <row r="228">
      <c r="A228" t="inlineStr">
        <is>
          <t>SoESCaOMCbIC-capital.csv</t>
        </is>
      </c>
      <c r="B228" t="inlineStr">
        <is>
          <t>natural gas combined cycle w CCS</t>
        </is>
      </c>
      <c r="C228" t="inlineStr">
        <is>
          <t>ISIC 02</t>
        </is>
      </c>
      <c r="D228" t="inlineStr">
        <is>
          <t>ISIC 01T03</t>
        </is>
      </c>
      <c r="E228" t="n">
        <v>0.04176573136965662</v>
      </c>
      <c r="F228" t="inlineStr">
        <is>
          <t>BEA 2024 output share (default)</t>
        </is>
      </c>
      <c r="G228" t="n">
        <v>0.04176573136965662</v>
      </c>
    </row>
    <row r="229">
      <c r="A229" t="inlineStr">
        <is>
          <t>SoESCaOMCbIC-capital.csv</t>
        </is>
      </c>
      <c r="B229" t="inlineStr">
        <is>
          <t>natural gas combined cycle w CCS</t>
        </is>
      </c>
      <c r="C229" t="inlineStr">
        <is>
          <t>ISIC 03</t>
        </is>
      </c>
      <c r="D229" t="inlineStr">
        <is>
          <t>ISIC 01T03</t>
        </is>
      </c>
      <c r="E229" t="n">
        <v>0.01523558598711041</v>
      </c>
      <c r="F229" t="inlineStr">
        <is>
          <t>BEA 2024 output share (default)</t>
        </is>
      </c>
      <c r="G229" t="n">
        <v>0.01523558598711041</v>
      </c>
    </row>
    <row r="230">
      <c r="A230" t="inlineStr">
        <is>
          <t>SoESCaOMCbIC-capital.csv</t>
        </is>
      </c>
      <c r="B230" t="inlineStr">
        <is>
          <t>natural gas combined cycle w CCS</t>
        </is>
      </c>
      <c r="C230" t="inlineStr">
        <is>
          <t>ISIC 07</t>
        </is>
      </c>
      <c r="D230" t="inlineStr">
        <is>
          <t>ISIC 07T08</t>
        </is>
      </c>
      <c r="E230" t="n">
        <v>0.4327368836123752</v>
      </c>
      <c r="F230" t="inlineStr">
        <is>
          <t>BEA 2024 output share (default)</t>
        </is>
      </c>
      <c r="G230" t="n">
        <v>0.4327368836123752</v>
      </c>
    </row>
    <row r="231">
      <c r="A231" t="inlineStr">
        <is>
          <t>SoESCaOMCbIC-capital.csv</t>
        </is>
      </c>
      <c r="B231" t="inlineStr">
        <is>
          <t>natural gas combined cycle w CCS</t>
        </is>
      </c>
      <c r="C231" t="inlineStr">
        <is>
          <t>ISIC 08</t>
        </is>
      </c>
      <c r="D231" t="inlineStr">
        <is>
          <t>ISIC 07T08</t>
        </is>
      </c>
      <c r="E231" t="n">
        <v>0.5672631163876248</v>
      </c>
      <c r="F231" t="inlineStr">
        <is>
          <t>BEA 2024 output share (default)</t>
        </is>
      </c>
      <c r="G231" t="n">
        <v>0.5672631163876248</v>
      </c>
    </row>
    <row r="232">
      <c r="A232" t="inlineStr">
        <is>
          <t>SoESCaOMCbIC-capital.csv</t>
        </is>
      </c>
      <c r="B232" t="inlineStr">
        <is>
          <t>natural gas combined cycle w CCS</t>
        </is>
      </c>
      <c r="C232" t="inlineStr">
        <is>
          <t>ISIC 301</t>
        </is>
      </c>
      <c r="D232" t="inlineStr">
        <is>
          <t>ISIC 30</t>
        </is>
      </c>
      <c r="E232" t="n">
        <v>0.1171368722490322</v>
      </c>
      <c r="F232" t="inlineStr">
        <is>
          <t>BEA 2024 output share (default)</t>
        </is>
      </c>
      <c r="G232" t="n">
        <v>0.1171368722490322</v>
      </c>
    </row>
    <row r="233">
      <c r="A233" t="inlineStr">
        <is>
          <t>SoESCaOMCbIC-capital.csv</t>
        </is>
      </c>
      <c r="B233" t="inlineStr">
        <is>
          <t>natural gas combined cycle w CCS</t>
        </is>
      </c>
      <c r="C233" t="inlineStr">
        <is>
          <t>ISIC 302T309</t>
        </is>
      </c>
      <c r="D233" t="inlineStr">
        <is>
          <t>ISIC 30</t>
        </is>
      </c>
      <c r="E233" t="n">
        <v>0.8828631277509678</v>
      </c>
      <c r="F233" t="inlineStr">
        <is>
          <t>BEA 2024 output share (default)</t>
        </is>
      </c>
      <c r="G233" t="n">
        <v>0.8828631277509678</v>
      </c>
    </row>
    <row r="234">
      <c r="A234" t="inlineStr">
        <is>
          <t>SoESCaOMCbIC-capital.csv</t>
        </is>
      </c>
      <c r="B234" t="inlineStr">
        <is>
          <t>natural gas combined cycle w CCS</t>
        </is>
      </c>
      <c r="C234" t="inlineStr">
        <is>
          <t>ISIC 49</t>
        </is>
      </c>
      <c r="D234" t="inlineStr">
        <is>
          <t>ISIC 49T53</t>
        </is>
      </c>
      <c r="E234" t="n">
        <v>0.4781643011829615</v>
      </c>
      <c r="F234" t="inlineStr">
        <is>
          <t>BEA 2024 output share (default)</t>
        </is>
      </c>
      <c r="G234" t="n">
        <v>0.4781643011829615</v>
      </c>
    </row>
    <row r="235">
      <c r="A235" t="inlineStr">
        <is>
          <t>SoESCaOMCbIC-capital.csv</t>
        </is>
      </c>
      <c r="B235" t="inlineStr">
        <is>
          <t>natural gas combined cycle w CCS</t>
        </is>
      </c>
      <c r="C235" t="inlineStr">
        <is>
          <t>ISIC 50</t>
        </is>
      </c>
      <c r="D235" t="inlineStr">
        <is>
          <t>ISIC 49T53</t>
        </is>
      </c>
      <c r="E235" t="n">
        <v>0.04258639396614965</v>
      </c>
      <c r="F235" t="inlineStr">
        <is>
          <t>BEA 2024 output share (default)</t>
        </is>
      </c>
      <c r="G235" t="n">
        <v>0.04258639396614965</v>
      </c>
    </row>
    <row r="236">
      <c r="A236" t="inlineStr">
        <is>
          <t>SoESCaOMCbIC-capital.csv</t>
        </is>
      </c>
      <c r="B236" t="inlineStr">
        <is>
          <t>natural gas combined cycle w CCS</t>
        </is>
      </c>
      <c r="C236" t="inlineStr">
        <is>
          <t>ISIC 51</t>
        </is>
      </c>
      <c r="D236" t="inlineStr">
        <is>
          <t>ISIC 49T53</t>
        </is>
      </c>
      <c r="E236" t="n">
        <v>0.1808024634415262</v>
      </c>
      <c r="F236" t="inlineStr">
        <is>
          <t>BEA 2024 output share (default)</t>
        </is>
      </c>
      <c r="G236" t="n">
        <v>0.1808024634415262</v>
      </c>
    </row>
    <row r="237">
      <c r="A237" t="inlineStr">
        <is>
          <t>SoESCaOMCbIC-capital.csv</t>
        </is>
      </c>
      <c r="B237" t="inlineStr">
        <is>
          <t>natural gas combined cycle w CCS</t>
        </is>
      </c>
      <c r="C237" t="inlineStr">
        <is>
          <t>ISIC 52</t>
        </is>
      </c>
      <c r="D237" t="inlineStr">
        <is>
          <t>ISIC 49T53</t>
        </is>
      </c>
      <c r="E237" t="n">
        <v>0.2139060571318126</v>
      </c>
      <c r="F237" t="inlineStr">
        <is>
          <t>BEA 2024 output share (default)</t>
        </is>
      </c>
      <c r="G237" t="n">
        <v>0.2139060571318126</v>
      </c>
    </row>
    <row r="238">
      <c r="A238" t="inlineStr">
        <is>
          <t>SoESCaOMCbIC-capital.csv</t>
        </is>
      </c>
      <c r="B238" t="inlineStr">
        <is>
          <t>natural gas combined cycle w CCS</t>
        </is>
      </c>
      <c r="C238" t="inlineStr">
        <is>
          <t>ISIC 53</t>
        </is>
      </c>
      <c r="D238" t="inlineStr">
        <is>
          <t>ISIC 49T53</t>
        </is>
      </c>
      <c r="E238" t="n">
        <v>0.08454078427755009</v>
      </c>
      <c r="F238" t="inlineStr">
        <is>
          <t>BEA 2024 output share (default)</t>
        </is>
      </c>
      <c r="G238" t="n">
        <v>0.08454078427755009</v>
      </c>
    </row>
    <row r="239">
      <c r="A239" t="inlineStr">
        <is>
          <t>SoESCaOMCbIC-capital.csv</t>
        </is>
      </c>
      <c r="B239" t="inlineStr">
        <is>
          <t>natural gas combined cycle w CCS</t>
        </is>
      </c>
      <c r="C239" t="inlineStr">
        <is>
          <t>ISIC 69T75</t>
        </is>
      </c>
      <c r="D239" t="inlineStr">
        <is>
          <t>ISIC 69T82</t>
        </is>
      </c>
      <c r="E239" t="n">
        <v>1</v>
      </c>
      <c r="F239" t="inlineStr">
        <is>
          <t>semantic override</t>
        </is>
      </c>
      <c r="G239" t="n">
        <v>0.7298219447914125</v>
      </c>
    </row>
    <row r="240">
      <c r="A240" t="inlineStr">
        <is>
          <t>SoESCaOMCbIC-capital.csv</t>
        </is>
      </c>
      <c r="B240" t="inlineStr">
        <is>
          <t>natural gas combined cycle w CCS</t>
        </is>
      </c>
      <c r="C240" t="inlineStr">
        <is>
          <t>ISIC 77T82</t>
        </is>
      </c>
      <c r="D240" t="inlineStr">
        <is>
          <t>ISIC 69T82</t>
        </is>
      </c>
      <c r="E240" t="n">
        <v>0</v>
      </c>
      <c r="F240" t="inlineStr">
        <is>
          <t>semantic override</t>
        </is>
      </c>
      <c r="G240" t="n">
        <v>0.2701780552085875</v>
      </c>
    </row>
    <row r="241">
      <c r="A241" t="inlineStr">
        <is>
          <t>SoESCaOMCbIC-capital.csv</t>
        </is>
      </c>
      <c r="B241" t="inlineStr">
        <is>
          <t>natural gas combined cycle w CCS</t>
        </is>
      </c>
      <c r="C241" t="inlineStr">
        <is>
          <t>ISIC 90T93</t>
        </is>
      </c>
      <c r="D241" t="inlineStr">
        <is>
          <t>ISIC 90T96</t>
        </is>
      </c>
      <c r="E241" t="n">
        <v>0.4216249514352275</v>
      </c>
      <c r="F241" t="inlineStr">
        <is>
          <t>BEA 2024 output share (default)</t>
        </is>
      </c>
      <c r="G241" t="n">
        <v>0.4216249514352275</v>
      </c>
    </row>
    <row r="242">
      <c r="A242" t="inlineStr">
        <is>
          <t>SoESCaOMCbIC-capital.csv</t>
        </is>
      </c>
      <c r="B242" t="inlineStr">
        <is>
          <t>natural gas combined cycle w CCS</t>
        </is>
      </c>
      <c r="C242" t="inlineStr">
        <is>
          <t>ISIC 94T96</t>
        </is>
      </c>
      <c r="D242" t="inlineStr">
        <is>
          <t>ISIC 90T96</t>
        </is>
      </c>
      <c r="E242" t="n">
        <v>0.5783750485647725</v>
      </c>
      <c r="F242" t="inlineStr">
        <is>
          <t>BEA 2024 output share (default)</t>
        </is>
      </c>
      <c r="G242" t="n">
        <v>0.5783750485647725</v>
      </c>
    </row>
    <row r="243">
      <c r="A243" t="inlineStr">
        <is>
          <t>SoESCaOMCbIC-capital.csv</t>
        </is>
      </c>
      <c r="B243" t="inlineStr">
        <is>
          <t>natural gas peaker</t>
        </is>
      </c>
      <c r="C243" t="inlineStr">
        <is>
          <t>ISIC 01</t>
        </is>
      </c>
      <c r="D243" t="inlineStr">
        <is>
          <t>ISIC 01T03</t>
        </is>
      </c>
      <c r="E243" t="n">
        <v>0.9429986826432329</v>
      </c>
      <c r="F243" t="inlineStr">
        <is>
          <t>BEA 2024 output share (default)</t>
        </is>
      </c>
      <c r="G243" t="n">
        <v>0.9429986826432329</v>
      </c>
    </row>
    <row r="244">
      <c r="A244" t="inlineStr">
        <is>
          <t>SoESCaOMCbIC-capital.csv</t>
        </is>
      </c>
      <c r="B244" t="inlineStr">
        <is>
          <t>natural gas peaker</t>
        </is>
      </c>
      <c r="C244" t="inlineStr">
        <is>
          <t>ISIC 02</t>
        </is>
      </c>
      <c r="D244" t="inlineStr">
        <is>
          <t>ISIC 01T03</t>
        </is>
      </c>
      <c r="E244" t="n">
        <v>0.04176573136965662</v>
      </c>
      <c r="F244" t="inlineStr">
        <is>
          <t>BEA 2024 output share (default)</t>
        </is>
      </c>
      <c r="G244" t="n">
        <v>0.04176573136965662</v>
      </c>
    </row>
    <row r="245">
      <c r="A245" t="inlineStr">
        <is>
          <t>SoESCaOMCbIC-capital.csv</t>
        </is>
      </c>
      <c r="B245" t="inlineStr">
        <is>
          <t>natural gas peaker</t>
        </is>
      </c>
      <c r="C245" t="inlineStr">
        <is>
          <t>ISIC 03</t>
        </is>
      </c>
      <c r="D245" t="inlineStr">
        <is>
          <t>ISIC 01T03</t>
        </is>
      </c>
      <c r="E245" t="n">
        <v>0.01523558598711041</v>
      </c>
      <c r="F245" t="inlineStr">
        <is>
          <t>BEA 2024 output share (default)</t>
        </is>
      </c>
      <c r="G245" t="n">
        <v>0.01523558598711041</v>
      </c>
    </row>
    <row r="246">
      <c r="A246" t="inlineStr">
        <is>
          <t>SoESCaOMCbIC-capital.csv</t>
        </is>
      </c>
      <c r="B246" t="inlineStr">
        <is>
          <t>natural gas peaker</t>
        </is>
      </c>
      <c r="C246" t="inlineStr">
        <is>
          <t>ISIC 07</t>
        </is>
      </c>
      <c r="D246" t="inlineStr">
        <is>
          <t>ISIC 07T08</t>
        </is>
      </c>
      <c r="E246" t="n">
        <v>0.4327368836123752</v>
      </c>
      <c r="F246" t="inlineStr">
        <is>
          <t>BEA 2024 output share (default)</t>
        </is>
      </c>
      <c r="G246" t="n">
        <v>0.4327368836123752</v>
      </c>
    </row>
    <row r="247">
      <c r="A247" t="inlineStr">
        <is>
          <t>SoESCaOMCbIC-capital.csv</t>
        </is>
      </c>
      <c r="B247" t="inlineStr">
        <is>
          <t>natural gas peaker</t>
        </is>
      </c>
      <c r="C247" t="inlineStr">
        <is>
          <t>ISIC 08</t>
        </is>
      </c>
      <c r="D247" t="inlineStr">
        <is>
          <t>ISIC 07T08</t>
        </is>
      </c>
      <c r="E247" t="n">
        <v>0.5672631163876248</v>
      </c>
      <c r="F247" t="inlineStr">
        <is>
          <t>BEA 2024 output share (default)</t>
        </is>
      </c>
      <c r="G247" t="n">
        <v>0.5672631163876248</v>
      </c>
    </row>
    <row r="248">
      <c r="A248" t="inlineStr">
        <is>
          <t>SoESCaOMCbIC-capital.csv</t>
        </is>
      </c>
      <c r="B248" t="inlineStr">
        <is>
          <t>natural gas peaker</t>
        </is>
      </c>
      <c r="C248" t="inlineStr">
        <is>
          <t>ISIC 301</t>
        </is>
      </c>
      <c r="D248" t="inlineStr">
        <is>
          <t>ISIC 30</t>
        </is>
      </c>
      <c r="E248" t="n">
        <v>0.1171368722490322</v>
      </c>
      <c r="F248" t="inlineStr">
        <is>
          <t>BEA 2024 output share (default)</t>
        </is>
      </c>
      <c r="G248" t="n">
        <v>0.1171368722490322</v>
      </c>
    </row>
    <row r="249">
      <c r="A249" t="inlineStr">
        <is>
          <t>SoESCaOMCbIC-capital.csv</t>
        </is>
      </c>
      <c r="B249" t="inlineStr">
        <is>
          <t>natural gas peaker</t>
        </is>
      </c>
      <c r="C249" t="inlineStr">
        <is>
          <t>ISIC 302T309</t>
        </is>
      </c>
      <c r="D249" t="inlineStr">
        <is>
          <t>ISIC 30</t>
        </is>
      </c>
      <c r="E249" t="n">
        <v>0.8828631277509678</v>
      </c>
      <c r="F249" t="inlineStr">
        <is>
          <t>BEA 2024 output share (default)</t>
        </is>
      </c>
      <c r="G249" t="n">
        <v>0.8828631277509678</v>
      </c>
    </row>
    <row r="250">
      <c r="A250" t="inlineStr">
        <is>
          <t>SoESCaOMCbIC-capital.csv</t>
        </is>
      </c>
      <c r="B250" t="inlineStr">
        <is>
          <t>natural gas peaker</t>
        </is>
      </c>
      <c r="C250" t="inlineStr">
        <is>
          <t>ISIC 49</t>
        </is>
      </c>
      <c r="D250" t="inlineStr">
        <is>
          <t>ISIC 49T53</t>
        </is>
      </c>
      <c r="E250" t="n">
        <v>0.4781643011829615</v>
      </c>
      <c r="F250" t="inlineStr">
        <is>
          <t>BEA 2024 output share (default)</t>
        </is>
      </c>
      <c r="G250" t="n">
        <v>0.4781643011829615</v>
      </c>
    </row>
    <row r="251">
      <c r="A251" t="inlineStr">
        <is>
          <t>SoESCaOMCbIC-capital.csv</t>
        </is>
      </c>
      <c r="B251" t="inlineStr">
        <is>
          <t>natural gas peaker</t>
        </is>
      </c>
      <c r="C251" t="inlineStr">
        <is>
          <t>ISIC 50</t>
        </is>
      </c>
      <c r="D251" t="inlineStr">
        <is>
          <t>ISIC 49T53</t>
        </is>
      </c>
      <c r="E251" t="n">
        <v>0.04258639396614965</v>
      </c>
      <c r="F251" t="inlineStr">
        <is>
          <t>BEA 2024 output share (default)</t>
        </is>
      </c>
      <c r="G251" t="n">
        <v>0.04258639396614965</v>
      </c>
    </row>
    <row r="252">
      <c r="A252" t="inlineStr">
        <is>
          <t>SoESCaOMCbIC-capital.csv</t>
        </is>
      </c>
      <c r="B252" t="inlineStr">
        <is>
          <t>natural gas peaker</t>
        </is>
      </c>
      <c r="C252" t="inlineStr">
        <is>
          <t>ISIC 51</t>
        </is>
      </c>
      <c r="D252" t="inlineStr">
        <is>
          <t>ISIC 49T53</t>
        </is>
      </c>
      <c r="E252" t="n">
        <v>0.1808024634415262</v>
      </c>
      <c r="F252" t="inlineStr">
        <is>
          <t>BEA 2024 output share (default)</t>
        </is>
      </c>
      <c r="G252" t="n">
        <v>0.1808024634415262</v>
      </c>
    </row>
    <row r="253">
      <c r="A253" t="inlineStr">
        <is>
          <t>SoESCaOMCbIC-capital.csv</t>
        </is>
      </c>
      <c r="B253" t="inlineStr">
        <is>
          <t>natural gas peaker</t>
        </is>
      </c>
      <c r="C253" t="inlineStr">
        <is>
          <t>ISIC 52</t>
        </is>
      </c>
      <c r="D253" t="inlineStr">
        <is>
          <t>ISIC 49T53</t>
        </is>
      </c>
      <c r="E253" t="n">
        <v>0.2139060571318126</v>
      </c>
      <c r="F253" t="inlineStr">
        <is>
          <t>BEA 2024 output share (default)</t>
        </is>
      </c>
      <c r="G253" t="n">
        <v>0.2139060571318126</v>
      </c>
    </row>
    <row r="254">
      <c r="A254" t="inlineStr">
        <is>
          <t>SoESCaOMCbIC-capital.csv</t>
        </is>
      </c>
      <c r="B254" t="inlineStr">
        <is>
          <t>natural gas peaker</t>
        </is>
      </c>
      <c r="C254" t="inlineStr">
        <is>
          <t>ISIC 53</t>
        </is>
      </c>
      <c r="D254" t="inlineStr">
        <is>
          <t>ISIC 49T53</t>
        </is>
      </c>
      <c r="E254" t="n">
        <v>0.08454078427755009</v>
      </c>
      <c r="F254" t="inlineStr">
        <is>
          <t>BEA 2024 output share (default)</t>
        </is>
      </c>
      <c r="G254" t="n">
        <v>0.08454078427755009</v>
      </c>
    </row>
    <row r="255">
      <c r="A255" t="inlineStr">
        <is>
          <t>SoESCaOMCbIC-capital.csv</t>
        </is>
      </c>
      <c r="B255" t="inlineStr">
        <is>
          <t>natural gas peaker</t>
        </is>
      </c>
      <c r="C255" t="inlineStr">
        <is>
          <t>ISIC 69T75</t>
        </is>
      </c>
      <c r="D255" t="inlineStr">
        <is>
          <t>ISIC 69T82</t>
        </is>
      </c>
      <c r="E255" t="n">
        <v>1</v>
      </c>
      <c r="F255" t="inlineStr">
        <is>
          <t>semantic override</t>
        </is>
      </c>
      <c r="G255" t="n">
        <v>0.7298219447914125</v>
      </c>
    </row>
    <row r="256">
      <c r="A256" t="inlineStr">
        <is>
          <t>SoESCaOMCbIC-capital.csv</t>
        </is>
      </c>
      <c r="B256" t="inlineStr">
        <is>
          <t>natural gas peaker</t>
        </is>
      </c>
      <c r="C256" t="inlineStr">
        <is>
          <t>ISIC 77T82</t>
        </is>
      </c>
      <c r="D256" t="inlineStr">
        <is>
          <t>ISIC 69T82</t>
        </is>
      </c>
      <c r="E256" t="n">
        <v>0</v>
      </c>
      <c r="F256" t="inlineStr">
        <is>
          <t>semantic override</t>
        </is>
      </c>
      <c r="G256" t="n">
        <v>0.2701780552085875</v>
      </c>
    </row>
    <row r="257">
      <c r="A257" t="inlineStr">
        <is>
          <t>SoESCaOMCbIC-capital.csv</t>
        </is>
      </c>
      <c r="B257" t="inlineStr">
        <is>
          <t>natural gas peaker</t>
        </is>
      </c>
      <c r="C257" t="inlineStr">
        <is>
          <t>ISIC 90T93</t>
        </is>
      </c>
      <c r="D257" t="inlineStr">
        <is>
          <t>ISIC 90T96</t>
        </is>
      </c>
      <c r="E257" t="n">
        <v>0.4216249514352275</v>
      </c>
      <c r="F257" t="inlineStr">
        <is>
          <t>BEA 2024 output share (default)</t>
        </is>
      </c>
      <c r="G257" t="n">
        <v>0.4216249514352275</v>
      </c>
    </row>
    <row r="258">
      <c r="A258" t="inlineStr">
        <is>
          <t>SoESCaOMCbIC-capital.csv</t>
        </is>
      </c>
      <c r="B258" t="inlineStr">
        <is>
          <t>natural gas peaker</t>
        </is>
      </c>
      <c r="C258" t="inlineStr">
        <is>
          <t>ISIC 94T96</t>
        </is>
      </c>
      <c r="D258" t="inlineStr">
        <is>
          <t>ISIC 90T96</t>
        </is>
      </c>
      <c r="E258" t="n">
        <v>0.5783750485647725</v>
      </c>
      <c r="F258" t="inlineStr">
        <is>
          <t>BEA 2024 output share (default)</t>
        </is>
      </c>
      <c r="G258" t="n">
        <v>0.5783750485647725</v>
      </c>
    </row>
    <row r="259">
      <c r="A259" t="inlineStr">
        <is>
          <t>SoESCaOMCbIC-capital.csv</t>
        </is>
      </c>
      <c r="B259" t="inlineStr">
        <is>
          <t>natural gas steam turbine</t>
        </is>
      </c>
      <c r="C259" t="inlineStr">
        <is>
          <t>ISIC 01</t>
        </is>
      </c>
      <c r="D259" t="inlineStr">
        <is>
          <t>ISIC 01T03</t>
        </is>
      </c>
      <c r="E259" t="n">
        <v>0.9429986826432329</v>
      </c>
      <c r="F259" t="inlineStr">
        <is>
          <t>BEA 2024 output share (default)</t>
        </is>
      </c>
      <c r="G259" t="n">
        <v>0.9429986826432329</v>
      </c>
    </row>
    <row r="260">
      <c r="A260" t="inlineStr">
        <is>
          <t>SoESCaOMCbIC-capital.csv</t>
        </is>
      </c>
      <c r="B260" t="inlineStr">
        <is>
          <t>natural gas steam turbine</t>
        </is>
      </c>
      <c r="C260" t="inlineStr">
        <is>
          <t>ISIC 02</t>
        </is>
      </c>
      <c r="D260" t="inlineStr">
        <is>
          <t>ISIC 01T03</t>
        </is>
      </c>
      <c r="E260" t="n">
        <v>0.04176573136965662</v>
      </c>
      <c r="F260" t="inlineStr">
        <is>
          <t>BEA 2024 output share (default)</t>
        </is>
      </c>
      <c r="G260" t="n">
        <v>0.04176573136965662</v>
      </c>
    </row>
    <row r="261">
      <c r="A261" t="inlineStr">
        <is>
          <t>SoESCaOMCbIC-capital.csv</t>
        </is>
      </c>
      <c r="B261" t="inlineStr">
        <is>
          <t>natural gas steam turbine</t>
        </is>
      </c>
      <c r="C261" t="inlineStr">
        <is>
          <t>ISIC 03</t>
        </is>
      </c>
      <c r="D261" t="inlineStr">
        <is>
          <t>ISIC 01T03</t>
        </is>
      </c>
      <c r="E261" t="n">
        <v>0.01523558598711041</v>
      </c>
      <c r="F261" t="inlineStr">
        <is>
          <t>BEA 2024 output share (default)</t>
        </is>
      </c>
      <c r="G261" t="n">
        <v>0.01523558598711041</v>
      </c>
    </row>
    <row r="262">
      <c r="A262" t="inlineStr">
        <is>
          <t>SoESCaOMCbIC-capital.csv</t>
        </is>
      </c>
      <c r="B262" t="inlineStr">
        <is>
          <t>natural gas steam turbine</t>
        </is>
      </c>
      <c r="C262" t="inlineStr">
        <is>
          <t>ISIC 07</t>
        </is>
      </c>
      <c r="D262" t="inlineStr">
        <is>
          <t>ISIC 07T08</t>
        </is>
      </c>
      <c r="E262" t="n">
        <v>0.4327368836123752</v>
      </c>
      <c r="F262" t="inlineStr">
        <is>
          <t>BEA 2024 output share (default)</t>
        </is>
      </c>
      <c r="G262" t="n">
        <v>0.4327368836123752</v>
      </c>
    </row>
    <row r="263">
      <c r="A263" t="inlineStr">
        <is>
          <t>SoESCaOMCbIC-capital.csv</t>
        </is>
      </c>
      <c r="B263" t="inlineStr">
        <is>
          <t>natural gas steam turbine</t>
        </is>
      </c>
      <c r="C263" t="inlineStr">
        <is>
          <t>ISIC 08</t>
        </is>
      </c>
      <c r="D263" t="inlineStr">
        <is>
          <t>ISIC 07T08</t>
        </is>
      </c>
      <c r="E263" t="n">
        <v>0.5672631163876248</v>
      </c>
      <c r="F263" t="inlineStr">
        <is>
          <t>BEA 2024 output share (default)</t>
        </is>
      </c>
      <c r="G263" t="n">
        <v>0.5672631163876248</v>
      </c>
    </row>
    <row r="264">
      <c r="A264" t="inlineStr">
        <is>
          <t>SoESCaOMCbIC-capital.csv</t>
        </is>
      </c>
      <c r="B264" t="inlineStr">
        <is>
          <t>natural gas steam turbine</t>
        </is>
      </c>
      <c r="C264" t="inlineStr">
        <is>
          <t>ISIC 301</t>
        </is>
      </c>
      <c r="D264" t="inlineStr">
        <is>
          <t>ISIC 30</t>
        </is>
      </c>
      <c r="E264" t="n">
        <v>0.1171368722490322</v>
      </c>
      <c r="F264" t="inlineStr">
        <is>
          <t>BEA 2024 output share (default)</t>
        </is>
      </c>
      <c r="G264" t="n">
        <v>0.1171368722490322</v>
      </c>
    </row>
    <row r="265">
      <c r="A265" t="inlineStr">
        <is>
          <t>SoESCaOMCbIC-capital.csv</t>
        </is>
      </c>
      <c r="B265" t="inlineStr">
        <is>
          <t>natural gas steam turbine</t>
        </is>
      </c>
      <c r="C265" t="inlineStr">
        <is>
          <t>ISIC 302T309</t>
        </is>
      </c>
      <c r="D265" t="inlineStr">
        <is>
          <t>ISIC 30</t>
        </is>
      </c>
      <c r="E265" t="n">
        <v>0.8828631277509678</v>
      </c>
      <c r="F265" t="inlineStr">
        <is>
          <t>BEA 2024 output share (default)</t>
        </is>
      </c>
      <c r="G265" t="n">
        <v>0.8828631277509678</v>
      </c>
    </row>
    <row r="266">
      <c r="A266" t="inlineStr">
        <is>
          <t>SoESCaOMCbIC-capital.csv</t>
        </is>
      </c>
      <c r="B266" t="inlineStr">
        <is>
          <t>natural gas steam turbine</t>
        </is>
      </c>
      <c r="C266" t="inlineStr">
        <is>
          <t>ISIC 49</t>
        </is>
      </c>
      <c r="D266" t="inlineStr">
        <is>
          <t>ISIC 49T53</t>
        </is>
      </c>
      <c r="E266" t="n">
        <v>0.4781643011829615</v>
      </c>
      <c r="F266" t="inlineStr">
        <is>
          <t>BEA 2024 output share (default)</t>
        </is>
      </c>
      <c r="G266" t="n">
        <v>0.4781643011829615</v>
      </c>
    </row>
    <row r="267">
      <c r="A267" t="inlineStr">
        <is>
          <t>SoESCaOMCbIC-capital.csv</t>
        </is>
      </c>
      <c r="B267" t="inlineStr">
        <is>
          <t>natural gas steam turbine</t>
        </is>
      </c>
      <c r="C267" t="inlineStr">
        <is>
          <t>ISIC 50</t>
        </is>
      </c>
      <c r="D267" t="inlineStr">
        <is>
          <t>ISIC 49T53</t>
        </is>
      </c>
      <c r="E267" t="n">
        <v>0.04258639396614965</v>
      </c>
      <c r="F267" t="inlineStr">
        <is>
          <t>BEA 2024 output share (default)</t>
        </is>
      </c>
      <c r="G267" t="n">
        <v>0.04258639396614965</v>
      </c>
    </row>
    <row r="268">
      <c r="A268" t="inlineStr">
        <is>
          <t>SoESCaOMCbIC-capital.csv</t>
        </is>
      </c>
      <c r="B268" t="inlineStr">
        <is>
          <t>natural gas steam turbine</t>
        </is>
      </c>
      <c r="C268" t="inlineStr">
        <is>
          <t>ISIC 51</t>
        </is>
      </c>
      <c r="D268" t="inlineStr">
        <is>
          <t>ISIC 49T53</t>
        </is>
      </c>
      <c r="E268" t="n">
        <v>0.1808024634415262</v>
      </c>
      <c r="F268" t="inlineStr">
        <is>
          <t>BEA 2024 output share (default)</t>
        </is>
      </c>
      <c r="G268" t="n">
        <v>0.1808024634415262</v>
      </c>
    </row>
    <row r="269">
      <c r="A269" t="inlineStr">
        <is>
          <t>SoESCaOMCbIC-capital.csv</t>
        </is>
      </c>
      <c r="B269" t="inlineStr">
        <is>
          <t>natural gas steam turbine</t>
        </is>
      </c>
      <c r="C269" t="inlineStr">
        <is>
          <t>ISIC 52</t>
        </is>
      </c>
      <c r="D269" t="inlineStr">
        <is>
          <t>ISIC 49T53</t>
        </is>
      </c>
      <c r="E269" t="n">
        <v>0.2139060571318126</v>
      </c>
      <c r="F269" t="inlineStr">
        <is>
          <t>BEA 2024 output share (default)</t>
        </is>
      </c>
      <c r="G269" t="n">
        <v>0.2139060571318126</v>
      </c>
    </row>
    <row r="270">
      <c r="A270" t="inlineStr">
        <is>
          <t>SoESCaOMCbIC-capital.csv</t>
        </is>
      </c>
      <c r="B270" t="inlineStr">
        <is>
          <t>natural gas steam turbine</t>
        </is>
      </c>
      <c r="C270" t="inlineStr">
        <is>
          <t>ISIC 53</t>
        </is>
      </c>
      <c r="D270" t="inlineStr">
        <is>
          <t>ISIC 49T53</t>
        </is>
      </c>
      <c r="E270" t="n">
        <v>0.08454078427755009</v>
      </c>
      <c r="F270" t="inlineStr">
        <is>
          <t>BEA 2024 output share (default)</t>
        </is>
      </c>
      <c r="G270" t="n">
        <v>0.08454078427755009</v>
      </c>
    </row>
    <row r="271">
      <c r="A271" t="inlineStr">
        <is>
          <t>SoESCaOMCbIC-capital.csv</t>
        </is>
      </c>
      <c r="B271" t="inlineStr">
        <is>
          <t>natural gas steam turbine</t>
        </is>
      </c>
      <c r="C271" t="inlineStr">
        <is>
          <t>ISIC 69T75</t>
        </is>
      </c>
      <c r="D271" t="inlineStr">
        <is>
          <t>ISIC 69T82</t>
        </is>
      </c>
      <c r="E271" t="n">
        <v>1</v>
      </c>
      <c r="F271" t="inlineStr">
        <is>
          <t>semantic override</t>
        </is>
      </c>
      <c r="G271" t="n">
        <v>0.7298219447914125</v>
      </c>
    </row>
    <row r="272">
      <c r="A272" t="inlineStr">
        <is>
          <t>SoESCaOMCbIC-capital.csv</t>
        </is>
      </c>
      <c r="B272" t="inlineStr">
        <is>
          <t>natural gas steam turbine</t>
        </is>
      </c>
      <c r="C272" t="inlineStr">
        <is>
          <t>ISIC 77T82</t>
        </is>
      </c>
      <c r="D272" t="inlineStr">
        <is>
          <t>ISIC 69T82</t>
        </is>
      </c>
      <c r="E272" t="n">
        <v>0</v>
      </c>
      <c r="F272" t="inlineStr">
        <is>
          <t>semantic override</t>
        </is>
      </c>
      <c r="G272" t="n">
        <v>0.2701780552085875</v>
      </c>
    </row>
    <row r="273">
      <c r="A273" t="inlineStr">
        <is>
          <t>SoESCaOMCbIC-capital.csv</t>
        </is>
      </c>
      <c r="B273" t="inlineStr">
        <is>
          <t>natural gas steam turbine</t>
        </is>
      </c>
      <c r="C273" t="inlineStr">
        <is>
          <t>ISIC 90T93</t>
        </is>
      </c>
      <c r="D273" t="inlineStr">
        <is>
          <t>ISIC 90T96</t>
        </is>
      </c>
      <c r="E273" t="n">
        <v>0.4216249514352275</v>
      </c>
      <c r="F273" t="inlineStr">
        <is>
          <t>BEA 2024 output share (default)</t>
        </is>
      </c>
      <c r="G273" t="n">
        <v>0.4216249514352275</v>
      </c>
    </row>
    <row r="274">
      <c r="A274" t="inlineStr">
        <is>
          <t>SoESCaOMCbIC-capital.csv</t>
        </is>
      </c>
      <c r="B274" t="inlineStr">
        <is>
          <t>natural gas steam turbine</t>
        </is>
      </c>
      <c r="C274" t="inlineStr">
        <is>
          <t>ISIC 94T96</t>
        </is>
      </c>
      <c r="D274" t="inlineStr">
        <is>
          <t>ISIC 90T96</t>
        </is>
      </c>
      <c r="E274" t="n">
        <v>0.5783750485647725</v>
      </c>
      <c r="F274" t="inlineStr">
        <is>
          <t>BEA 2024 output share (default)</t>
        </is>
      </c>
      <c r="G274" t="n">
        <v>0.5783750485647725</v>
      </c>
    </row>
    <row r="275">
      <c r="A275" t="inlineStr">
        <is>
          <t>SoESCaOMCbIC-capital.csv</t>
        </is>
      </c>
      <c r="B275" t="inlineStr">
        <is>
          <t>nuclear</t>
        </is>
      </c>
      <c r="C275" t="inlineStr">
        <is>
          <t>ISIC 01</t>
        </is>
      </c>
      <c r="D275" t="inlineStr">
        <is>
          <t>ISIC 01T03</t>
        </is>
      </c>
      <c r="E275" t="n">
        <v>0.9429986826432329</v>
      </c>
      <c r="F275" t="inlineStr">
        <is>
          <t>BEA 2024 output share (default)</t>
        </is>
      </c>
      <c r="G275" t="n">
        <v>0.9429986826432329</v>
      </c>
    </row>
    <row r="276">
      <c r="A276" t="inlineStr">
        <is>
          <t>SoESCaOMCbIC-capital.csv</t>
        </is>
      </c>
      <c r="B276" t="inlineStr">
        <is>
          <t>nuclear</t>
        </is>
      </c>
      <c r="C276" t="inlineStr">
        <is>
          <t>ISIC 02</t>
        </is>
      </c>
      <c r="D276" t="inlineStr">
        <is>
          <t>ISIC 01T03</t>
        </is>
      </c>
      <c r="E276" t="n">
        <v>0.04176573136965662</v>
      </c>
      <c r="F276" t="inlineStr">
        <is>
          <t>BEA 2024 output share (default)</t>
        </is>
      </c>
      <c r="G276" t="n">
        <v>0.04176573136965662</v>
      </c>
    </row>
    <row r="277">
      <c r="A277" t="inlineStr">
        <is>
          <t>SoESCaOMCbIC-capital.csv</t>
        </is>
      </c>
      <c r="B277" t="inlineStr">
        <is>
          <t>nuclear</t>
        </is>
      </c>
      <c r="C277" t="inlineStr">
        <is>
          <t>ISIC 03</t>
        </is>
      </c>
      <c r="D277" t="inlineStr">
        <is>
          <t>ISIC 01T03</t>
        </is>
      </c>
      <c r="E277" t="n">
        <v>0.01523558598711041</v>
      </c>
      <c r="F277" t="inlineStr">
        <is>
          <t>BEA 2024 output share (default)</t>
        </is>
      </c>
      <c r="G277" t="n">
        <v>0.01523558598711041</v>
      </c>
    </row>
    <row r="278">
      <c r="A278" t="inlineStr">
        <is>
          <t>SoESCaOMCbIC-capital.csv</t>
        </is>
      </c>
      <c r="B278" t="inlineStr">
        <is>
          <t>nuclear</t>
        </is>
      </c>
      <c r="C278" t="inlineStr">
        <is>
          <t>ISIC 07</t>
        </is>
      </c>
      <c r="D278" t="inlineStr">
        <is>
          <t>ISIC 07T08</t>
        </is>
      </c>
      <c r="E278" t="n">
        <v>0.4327368836123752</v>
      </c>
      <c r="F278" t="inlineStr">
        <is>
          <t>BEA 2024 output share (default)</t>
        </is>
      </c>
      <c r="G278" t="n">
        <v>0.4327368836123752</v>
      </c>
    </row>
    <row r="279">
      <c r="A279" t="inlineStr">
        <is>
          <t>SoESCaOMCbIC-capital.csv</t>
        </is>
      </c>
      <c r="B279" t="inlineStr">
        <is>
          <t>nuclear</t>
        </is>
      </c>
      <c r="C279" t="inlineStr">
        <is>
          <t>ISIC 08</t>
        </is>
      </c>
      <c r="D279" t="inlineStr">
        <is>
          <t>ISIC 07T08</t>
        </is>
      </c>
      <c r="E279" t="n">
        <v>0.5672631163876248</v>
      </c>
      <c r="F279" t="inlineStr">
        <is>
          <t>BEA 2024 output share (default)</t>
        </is>
      </c>
      <c r="G279" t="n">
        <v>0.5672631163876248</v>
      </c>
    </row>
    <row r="280">
      <c r="A280" t="inlineStr">
        <is>
          <t>SoESCaOMCbIC-capital.csv</t>
        </is>
      </c>
      <c r="B280" t="inlineStr">
        <is>
          <t>nuclear</t>
        </is>
      </c>
      <c r="C280" t="inlineStr">
        <is>
          <t>ISIC 301</t>
        </is>
      </c>
      <c r="D280" t="inlineStr">
        <is>
          <t>ISIC 30</t>
        </is>
      </c>
      <c r="E280" t="n">
        <v>0.1171368722490322</v>
      </c>
      <c r="F280" t="inlineStr">
        <is>
          <t>BEA 2024 output share (default)</t>
        </is>
      </c>
      <c r="G280" t="n">
        <v>0.1171368722490322</v>
      </c>
    </row>
    <row r="281">
      <c r="A281" t="inlineStr">
        <is>
          <t>SoESCaOMCbIC-capital.csv</t>
        </is>
      </c>
      <c r="B281" t="inlineStr">
        <is>
          <t>nuclear</t>
        </is>
      </c>
      <c r="C281" t="inlineStr">
        <is>
          <t>ISIC 302T309</t>
        </is>
      </c>
      <c r="D281" t="inlineStr">
        <is>
          <t>ISIC 30</t>
        </is>
      </c>
      <c r="E281" t="n">
        <v>0.8828631277509678</v>
      </c>
      <c r="F281" t="inlineStr">
        <is>
          <t>BEA 2024 output share (default)</t>
        </is>
      </c>
      <c r="G281" t="n">
        <v>0.8828631277509678</v>
      </c>
    </row>
    <row r="282">
      <c r="A282" t="inlineStr">
        <is>
          <t>SoESCaOMCbIC-capital.csv</t>
        </is>
      </c>
      <c r="B282" t="inlineStr">
        <is>
          <t>nuclear</t>
        </is>
      </c>
      <c r="C282" t="inlineStr">
        <is>
          <t>ISIC 49</t>
        </is>
      </c>
      <c r="D282" t="inlineStr">
        <is>
          <t>ISIC 49T53</t>
        </is>
      </c>
      <c r="E282" t="n">
        <v>0.4781643011829615</v>
      </c>
      <c r="F282" t="inlineStr">
        <is>
          <t>BEA 2024 output share (default)</t>
        </is>
      </c>
      <c r="G282" t="n">
        <v>0.4781643011829615</v>
      </c>
    </row>
    <row r="283">
      <c r="A283" t="inlineStr">
        <is>
          <t>SoESCaOMCbIC-capital.csv</t>
        </is>
      </c>
      <c r="B283" t="inlineStr">
        <is>
          <t>nuclear</t>
        </is>
      </c>
      <c r="C283" t="inlineStr">
        <is>
          <t>ISIC 50</t>
        </is>
      </c>
      <c r="D283" t="inlineStr">
        <is>
          <t>ISIC 49T53</t>
        </is>
      </c>
      <c r="E283" t="n">
        <v>0.04258639396614965</v>
      </c>
      <c r="F283" t="inlineStr">
        <is>
          <t>BEA 2024 output share (default)</t>
        </is>
      </c>
      <c r="G283" t="n">
        <v>0.04258639396614965</v>
      </c>
    </row>
    <row r="284">
      <c r="A284" t="inlineStr">
        <is>
          <t>SoESCaOMCbIC-capital.csv</t>
        </is>
      </c>
      <c r="B284" t="inlineStr">
        <is>
          <t>nuclear</t>
        </is>
      </c>
      <c r="C284" t="inlineStr">
        <is>
          <t>ISIC 51</t>
        </is>
      </c>
      <c r="D284" t="inlineStr">
        <is>
          <t>ISIC 49T53</t>
        </is>
      </c>
      <c r="E284" t="n">
        <v>0.1808024634415262</v>
      </c>
      <c r="F284" t="inlineStr">
        <is>
          <t>BEA 2024 output share (default)</t>
        </is>
      </c>
      <c r="G284" t="n">
        <v>0.1808024634415262</v>
      </c>
    </row>
    <row r="285">
      <c r="A285" t="inlineStr">
        <is>
          <t>SoESCaOMCbIC-capital.csv</t>
        </is>
      </c>
      <c r="B285" t="inlineStr">
        <is>
          <t>nuclear</t>
        </is>
      </c>
      <c r="C285" t="inlineStr">
        <is>
          <t>ISIC 52</t>
        </is>
      </c>
      <c r="D285" t="inlineStr">
        <is>
          <t>ISIC 49T53</t>
        </is>
      </c>
      <c r="E285" t="n">
        <v>0.2139060571318126</v>
      </c>
      <c r="F285" t="inlineStr">
        <is>
          <t>BEA 2024 output share (default)</t>
        </is>
      </c>
      <c r="G285" t="n">
        <v>0.2139060571318126</v>
      </c>
    </row>
    <row r="286">
      <c r="A286" t="inlineStr">
        <is>
          <t>SoESCaOMCbIC-capital.csv</t>
        </is>
      </c>
      <c r="B286" t="inlineStr">
        <is>
          <t>nuclear</t>
        </is>
      </c>
      <c r="C286" t="inlineStr">
        <is>
          <t>ISIC 53</t>
        </is>
      </c>
      <c r="D286" t="inlineStr">
        <is>
          <t>ISIC 49T53</t>
        </is>
      </c>
      <c r="E286" t="n">
        <v>0.08454078427755009</v>
      </c>
      <c r="F286" t="inlineStr">
        <is>
          <t>BEA 2024 output share (default)</t>
        </is>
      </c>
      <c r="G286" t="n">
        <v>0.08454078427755009</v>
      </c>
    </row>
    <row r="287">
      <c r="A287" t="inlineStr">
        <is>
          <t>SoESCaOMCbIC-capital.csv</t>
        </is>
      </c>
      <c r="B287" t="inlineStr">
        <is>
          <t>nuclear</t>
        </is>
      </c>
      <c r="C287" t="inlineStr">
        <is>
          <t>ISIC 69T75</t>
        </is>
      </c>
      <c r="D287" t="inlineStr">
        <is>
          <t>ISIC 69T82</t>
        </is>
      </c>
      <c r="E287" t="n">
        <v>1</v>
      </c>
      <c r="F287" t="inlineStr">
        <is>
          <t>semantic override</t>
        </is>
      </c>
      <c r="G287" t="n">
        <v>0.7298219447914125</v>
      </c>
    </row>
    <row r="288">
      <c r="A288" t="inlineStr">
        <is>
          <t>SoESCaOMCbIC-capital.csv</t>
        </is>
      </c>
      <c r="B288" t="inlineStr">
        <is>
          <t>nuclear</t>
        </is>
      </c>
      <c r="C288" t="inlineStr">
        <is>
          <t>ISIC 77T82</t>
        </is>
      </c>
      <c r="D288" t="inlineStr">
        <is>
          <t>ISIC 69T82</t>
        </is>
      </c>
      <c r="E288" t="n">
        <v>0</v>
      </c>
      <c r="F288" t="inlineStr">
        <is>
          <t>semantic override</t>
        </is>
      </c>
      <c r="G288" t="n">
        <v>0.2701780552085875</v>
      </c>
    </row>
    <row r="289">
      <c r="A289" t="inlineStr">
        <is>
          <t>SoESCaOMCbIC-capital.csv</t>
        </is>
      </c>
      <c r="B289" t="inlineStr">
        <is>
          <t>nuclear</t>
        </is>
      </c>
      <c r="C289" t="inlineStr">
        <is>
          <t>ISIC 90T93</t>
        </is>
      </c>
      <c r="D289" t="inlineStr">
        <is>
          <t>ISIC 90T96</t>
        </is>
      </c>
      <c r="E289" t="n">
        <v>0.4216249514352275</v>
      </c>
      <c r="F289" t="inlineStr">
        <is>
          <t>BEA 2024 output share (default)</t>
        </is>
      </c>
      <c r="G289" t="n">
        <v>0.4216249514352275</v>
      </c>
    </row>
    <row r="290">
      <c r="A290" t="inlineStr">
        <is>
          <t>SoESCaOMCbIC-capital.csv</t>
        </is>
      </c>
      <c r="B290" t="inlineStr">
        <is>
          <t>nuclear</t>
        </is>
      </c>
      <c r="C290" t="inlineStr">
        <is>
          <t>ISIC 94T96</t>
        </is>
      </c>
      <c r="D290" t="inlineStr">
        <is>
          <t>ISIC 90T96</t>
        </is>
      </c>
      <c r="E290" t="n">
        <v>0.5783750485647725</v>
      </c>
      <c r="F290" t="inlineStr">
        <is>
          <t>BEA 2024 output share (default)</t>
        </is>
      </c>
      <c r="G290" t="n">
        <v>0.5783750485647725</v>
      </c>
    </row>
    <row r="291">
      <c r="A291" t="inlineStr">
        <is>
          <t>SoESCaOMCbIC-capital.csv</t>
        </is>
      </c>
      <c r="B291" t="inlineStr">
        <is>
          <t>offshore wind</t>
        </is>
      </c>
      <c r="C291" t="inlineStr">
        <is>
          <t>ISIC 01</t>
        </is>
      </c>
      <c r="D291" t="inlineStr">
        <is>
          <t>ISIC 01T03</t>
        </is>
      </c>
      <c r="E291" t="n">
        <v>0.9429986826432329</v>
      </c>
      <c r="F291" t="inlineStr">
        <is>
          <t>BEA 2024 output share (default)</t>
        </is>
      </c>
      <c r="G291" t="n">
        <v>0.9429986826432329</v>
      </c>
    </row>
    <row r="292">
      <c r="A292" t="inlineStr">
        <is>
          <t>SoESCaOMCbIC-capital.csv</t>
        </is>
      </c>
      <c r="B292" t="inlineStr">
        <is>
          <t>offshore wind</t>
        </is>
      </c>
      <c r="C292" t="inlineStr">
        <is>
          <t>ISIC 02</t>
        </is>
      </c>
      <c r="D292" t="inlineStr">
        <is>
          <t>ISIC 01T03</t>
        </is>
      </c>
      <c r="E292" t="n">
        <v>0.04176573136965662</v>
      </c>
      <c r="F292" t="inlineStr">
        <is>
          <t>BEA 2024 output share (default)</t>
        </is>
      </c>
      <c r="G292" t="n">
        <v>0.04176573136965662</v>
      </c>
    </row>
    <row r="293">
      <c r="A293" t="inlineStr">
        <is>
          <t>SoESCaOMCbIC-capital.csv</t>
        </is>
      </c>
      <c r="B293" t="inlineStr">
        <is>
          <t>offshore wind</t>
        </is>
      </c>
      <c r="C293" t="inlineStr">
        <is>
          <t>ISIC 03</t>
        </is>
      </c>
      <c r="D293" t="inlineStr">
        <is>
          <t>ISIC 01T03</t>
        </is>
      </c>
      <c r="E293" t="n">
        <v>0.01523558598711041</v>
      </c>
      <c r="F293" t="inlineStr">
        <is>
          <t>BEA 2024 output share (default)</t>
        </is>
      </c>
      <c r="G293" t="n">
        <v>0.01523558598711041</v>
      </c>
    </row>
    <row r="294">
      <c r="A294" t="inlineStr">
        <is>
          <t>SoESCaOMCbIC-capital.csv</t>
        </is>
      </c>
      <c r="B294" t="inlineStr">
        <is>
          <t>offshore wind</t>
        </is>
      </c>
      <c r="C294" t="inlineStr">
        <is>
          <t>ISIC 07</t>
        </is>
      </c>
      <c r="D294" t="inlineStr">
        <is>
          <t>ISIC 07T08</t>
        </is>
      </c>
      <c r="E294" t="n">
        <v>0.4327368836123752</v>
      </c>
      <c r="F294" t="inlineStr">
        <is>
          <t>BEA 2024 output share (default)</t>
        </is>
      </c>
      <c r="G294" t="n">
        <v>0.4327368836123752</v>
      </c>
    </row>
    <row r="295">
      <c r="A295" t="inlineStr">
        <is>
          <t>SoESCaOMCbIC-capital.csv</t>
        </is>
      </c>
      <c r="B295" t="inlineStr">
        <is>
          <t>offshore wind</t>
        </is>
      </c>
      <c r="C295" t="inlineStr">
        <is>
          <t>ISIC 08</t>
        </is>
      </c>
      <c r="D295" t="inlineStr">
        <is>
          <t>ISIC 07T08</t>
        </is>
      </c>
      <c r="E295" t="n">
        <v>0.5672631163876248</v>
      </c>
      <c r="F295" t="inlineStr">
        <is>
          <t>BEA 2024 output share (default)</t>
        </is>
      </c>
      <c r="G295" t="n">
        <v>0.5672631163876248</v>
      </c>
    </row>
    <row r="296">
      <c r="A296" t="inlineStr">
        <is>
          <t>SoESCaOMCbIC-capital.csv</t>
        </is>
      </c>
      <c r="B296" t="inlineStr">
        <is>
          <t>offshore wind</t>
        </is>
      </c>
      <c r="C296" t="inlineStr">
        <is>
          <t>ISIC 301</t>
        </is>
      </c>
      <c r="D296" t="inlineStr">
        <is>
          <t>ISIC 30</t>
        </is>
      </c>
      <c r="E296" t="n">
        <v>0.1171368722490322</v>
      </c>
      <c r="F296" t="inlineStr">
        <is>
          <t>BEA 2024 output share (default)</t>
        </is>
      </c>
      <c r="G296" t="n">
        <v>0.1171368722490322</v>
      </c>
    </row>
    <row r="297">
      <c r="A297" t="inlineStr">
        <is>
          <t>SoESCaOMCbIC-capital.csv</t>
        </is>
      </c>
      <c r="B297" t="inlineStr">
        <is>
          <t>offshore wind</t>
        </is>
      </c>
      <c r="C297" t="inlineStr">
        <is>
          <t>ISIC 302T309</t>
        </is>
      </c>
      <c r="D297" t="inlineStr">
        <is>
          <t>ISIC 30</t>
        </is>
      </c>
      <c r="E297" t="n">
        <v>0.8828631277509678</v>
      </c>
      <c r="F297" t="inlineStr">
        <is>
          <t>BEA 2024 output share (default)</t>
        </is>
      </c>
      <c r="G297" t="n">
        <v>0.8828631277509678</v>
      </c>
    </row>
    <row r="298">
      <c r="A298" t="inlineStr">
        <is>
          <t>SoESCaOMCbIC-capital.csv</t>
        </is>
      </c>
      <c r="B298" t="inlineStr">
        <is>
          <t>offshore wind</t>
        </is>
      </c>
      <c r="C298" t="inlineStr">
        <is>
          <t>ISIC 49</t>
        </is>
      </c>
      <c r="D298" t="inlineStr">
        <is>
          <t>ISIC 49T53</t>
        </is>
      </c>
      <c r="E298" t="n">
        <v>0.4781643011829615</v>
      </c>
      <c r="F298" t="inlineStr">
        <is>
          <t>BEA 2024 output share (default)</t>
        </is>
      </c>
      <c r="G298" t="n">
        <v>0.4781643011829615</v>
      </c>
    </row>
    <row r="299">
      <c r="A299" t="inlineStr">
        <is>
          <t>SoESCaOMCbIC-capital.csv</t>
        </is>
      </c>
      <c r="B299" t="inlineStr">
        <is>
          <t>offshore wind</t>
        </is>
      </c>
      <c r="C299" t="inlineStr">
        <is>
          <t>ISIC 50</t>
        </is>
      </c>
      <c r="D299" t="inlineStr">
        <is>
          <t>ISIC 49T53</t>
        </is>
      </c>
      <c r="E299" t="n">
        <v>0.04258639396614965</v>
      </c>
      <c r="F299" t="inlineStr">
        <is>
          <t>BEA 2024 output share (default)</t>
        </is>
      </c>
      <c r="G299" t="n">
        <v>0.04258639396614965</v>
      </c>
    </row>
    <row r="300">
      <c r="A300" t="inlineStr">
        <is>
          <t>SoESCaOMCbIC-capital.csv</t>
        </is>
      </c>
      <c r="B300" t="inlineStr">
        <is>
          <t>offshore wind</t>
        </is>
      </c>
      <c r="C300" t="inlineStr">
        <is>
          <t>ISIC 51</t>
        </is>
      </c>
      <c r="D300" t="inlineStr">
        <is>
          <t>ISIC 49T53</t>
        </is>
      </c>
      <c r="E300" t="n">
        <v>0.1808024634415262</v>
      </c>
      <c r="F300" t="inlineStr">
        <is>
          <t>BEA 2024 output share (default)</t>
        </is>
      </c>
      <c r="G300" t="n">
        <v>0.1808024634415262</v>
      </c>
    </row>
    <row r="301">
      <c r="A301" t="inlineStr">
        <is>
          <t>SoESCaOMCbIC-capital.csv</t>
        </is>
      </c>
      <c r="B301" t="inlineStr">
        <is>
          <t>offshore wind</t>
        </is>
      </c>
      <c r="C301" t="inlineStr">
        <is>
          <t>ISIC 52</t>
        </is>
      </c>
      <c r="D301" t="inlineStr">
        <is>
          <t>ISIC 49T53</t>
        </is>
      </c>
      <c r="E301" t="n">
        <v>0.2139060571318126</v>
      </c>
      <c r="F301" t="inlineStr">
        <is>
          <t>BEA 2024 output share (default)</t>
        </is>
      </c>
      <c r="G301" t="n">
        <v>0.2139060571318126</v>
      </c>
    </row>
    <row r="302">
      <c r="A302" t="inlineStr">
        <is>
          <t>SoESCaOMCbIC-capital.csv</t>
        </is>
      </c>
      <c r="B302" t="inlineStr">
        <is>
          <t>offshore wind</t>
        </is>
      </c>
      <c r="C302" t="inlineStr">
        <is>
          <t>ISIC 53</t>
        </is>
      </c>
      <c r="D302" t="inlineStr">
        <is>
          <t>ISIC 49T53</t>
        </is>
      </c>
      <c r="E302" t="n">
        <v>0.08454078427755009</v>
      </c>
      <c r="F302" t="inlineStr">
        <is>
          <t>BEA 2024 output share (default)</t>
        </is>
      </c>
      <c r="G302" t="n">
        <v>0.08454078427755009</v>
      </c>
    </row>
    <row r="303">
      <c r="A303" t="inlineStr">
        <is>
          <t>SoESCaOMCbIC-capital.csv</t>
        </is>
      </c>
      <c r="B303" t="inlineStr">
        <is>
          <t>offshore wind</t>
        </is>
      </c>
      <c r="C303" t="inlineStr">
        <is>
          <t>ISIC 69T75</t>
        </is>
      </c>
      <c r="D303" t="inlineStr">
        <is>
          <t>ISIC 69T82</t>
        </is>
      </c>
      <c r="E303" t="n">
        <v>1</v>
      </c>
      <c r="F303" t="inlineStr">
        <is>
          <t>semantic override</t>
        </is>
      </c>
      <c r="G303" t="n">
        <v>0.7298219447914125</v>
      </c>
    </row>
    <row r="304">
      <c r="A304" t="inlineStr">
        <is>
          <t>SoESCaOMCbIC-capital.csv</t>
        </is>
      </c>
      <c r="B304" t="inlineStr">
        <is>
          <t>offshore wind</t>
        </is>
      </c>
      <c r="C304" t="inlineStr">
        <is>
          <t>ISIC 77T82</t>
        </is>
      </c>
      <c r="D304" t="inlineStr">
        <is>
          <t>ISIC 69T82</t>
        </is>
      </c>
      <c r="E304" t="n">
        <v>0</v>
      </c>
      <c r="F304" t="inlineStr">
        <is>
          <t>semantic override</t>
        </is>
      </c>
      <c r="G304" t="n">
        <v>0.2701780552085875</v>
      </c>
    </row>
    <row r="305">
      <c r="A305" t="inlineStr">
        <is>
          <t>SoESCaOMCbIC-capital.csv</t>
        </is>
      </c>
      <c r="B305" t="inlineStr">
        <is>
          <t>offshore wind</t>
        </is>
      </c>
      <c r="C305" t="inlineStr">
        <is>
          <t>ISIC 90T93</t>
        </is>
      </c>
      <c r="D305" t="inlineStr">
        <is>
          <t>ISIC 90T96</t>
        </is>
      </c>
      <c r="E305" t="n">
        <v>0.4216249514352275</v>
      </c>
      <c r="F305" t="inlineStr">
        <is>
          <t>BEA 2024 output share (default)</t>
        </is>
      </c>
      <c r="G305" t="n">
        <v>0.4216249514352275</v>
      </c>
    </row>
    <row r="306">
      <c r="A306" t="inlineStr">
        <is>
          <t>SoESCaOMCbIC-capital.csv</t>
        </is>
      </c>
      <c r="B306" t="inlineStr">
        <is>
          <t>offshore wind</t>
        </is>
      </c>
      <c r="C306" t="inlineStr">
        <is>
          <t>ISIC 94T96</t>
        </is>
      </c>
      <c r="D306" t="inlineStr">
        <is>
          <t>ISIC 90T96</t>
        </is>
      </c>
      <c r="E306" t="n">
        <v>0.5783750485647725</v>
      </c>
      <c r="F306" t="inlineStr">
        <is>
          <t>BEA 2024 output share (default)</t>
        </is>
      </c>
      <c r="G306" t="n">
        <v>0.5783750485647725</v>
      </c>
    </row>
    <row r="307">
      <c r="A307" t="inlineStr">
        <is>
          <t>SoESCaOMCbIC-capital.csv</t>
        </is>
      </c>
      <c r="B307" t="inlineStr">
        <is>
          <t>petroleum</t>
        </is>
      </c>
      <c r="C307" t="inlineStr">
        <is>
          <t>ISIC 01</t>
        </is>
      </c>
      <c r="D307" t="inlineStr">
        <is>
          <t>ISIC 01T03</t>
        </is>
      </c>
      <c r="E307" t="n">
        <v>0.9429986826432329</v>
      </c>
      <c r="F307" t="inlineStr">
        <is>
          <t>BEA 2024 output share (default)</t>
        </is>
      </c>
      <c r="G307" t="n">
        <v>0.9429986826432329</v>
      </c>
    </row>
    <row r="308">
      <c r="A308" t="inlineStr">
        <is>
          <t>SoESCaOMCbIC-capital.csv</t>
        </is>
      </c>
      <c r="B308" t="inlineStr">
        <is>
          <t>petroleum</t>
        </is>
      </c>
      <c r="C308" t="inlineStr">
        <is>
          <t>ISIC 02</t>
        </is>
      </c>
      <c r="D308" t="inlineStr">
        <is>
          <t>ISIC 01T03</t>
        </is>
      </c>
      <c r="E308" t="n">
        <v>0.04176573136965662</v>
      </c>
      <c r="F308" t="inlineStr">
        <is>
          <t>BEA 2024 output share (default)</t>
        </is>
      </c>
      <c r="G308" t="n">
        <v>0.04176573136965662</v>
      </c>
    </row>
    <row r="309">
      <c r="A309" t="inlineStr">
        <is>
          <t>SoESCaOMCbIC-capital.csv</t>
        </is>
      </c>
      <c r="B309" t="inlineStr">
        <is>
          <t>petroleum</t>
        </is>
      </c>
      <c r="C309" t="inlineStr">
        <is>
          <t>ISIC 03</t>
        </is>
      </c>
      <c r="D309" t="inlineStr">
        <is>
          <t>ISIC 01T03</t>
        </is>
      </c>
      <c r="E309" t="n">
        <v>0.01523558598711041</v>
      </c>
      <c r="F309" t="inlineStr">
        <is>
          <t>BEA 2024 output share (default)</t>
        </is>
      </c>
      <c r="G309" t="n">
        <v>0.01523558598711041</v>
      </c>
    </row>
    <row r="310">
      <c r="A310" t="inlineStr">
        <is>
          <t>SoESCaOMCbIC-capital.csv</t>
        </is>
      </c>
      <c r="B310" t="inlineStr">
        <is>
          <t>petroleum</t>
        </is>
      </c>
      <c r="C310" t="inlineStr">
        <is>
          <t>ISIC 07</t>
        </is>
      </c>
      <c r="D310" t="inlineStr">
        <is>
          <t>ISIC 07T08</t>
        </is>
      </c>
      <c r="E310" t="n">
        <v>0.4327368836123752</v>
      </c>
      <c r="F310" t="inlineStr">
        <is>
          <t>BEA 2024 output share (default)</t>
        </is>
      </c>
      <c r="G310" t="n">
        <v>0.4327368836123752</v>
      </c>
    </row>
    <row r="311">
      <c r="A311" t="inlineStr">
        <is>
          <t>SoESCaOMCbIC-capital.csv</t>
        </is>
      </c>
      <c r="B311" t="inlineStr">
        <is>
          <t>petroleum</t>
        </is>
      </c>
      <c r="C311" t="inlineStr">
        <is>
          <t>ISIC 08</t>
        </is>
      </c>
      <c r="D311" t="inlineStr">
        <is>
          <t>ISIC 07T08</t>
        </is>
      </c>
      <c r="E311" t="n">
        <v>0.5672631163876248</v>
      </c>
      <c r="F311" t="inlineStr">
        <is>
          <t>BEA 2024 output share (default)</t>
        </is>
      </c>
      <c r="G311" t="n">
        <v>0.5672631163876248</v>
      </c>
    </row>
    <row r="312">
      <c r="A312" t="inlineStr">
        <is>
          <t>SoESCaOMCbIC-capital.csv</t>
        </is>
      </c>
      <c r="B312" t="inlineStr">
        <is>
          <t>petroleum</t>
        </is>
      </c>
      <c r="C312" t="inlineStr">
        <is>
          <t>ISIC 301</t>
        </is>
      </c>
      <c r="D312" t="inlineStr">
        <is>
          <t>ISIC 30</t>
        </is>
      </c>
      <c r="E312" t="n">
        <v>0.1171368722490322</v>
      </c>
      <c r="F312" t="inlineStr">
        <is>
          <t>BEA 2024 output share (default)</t>
        </is>
      </c>
      <c r="G312" t="n">
        <v>0.1171368722490322</v>
      </c>
    </row>
    <row r="313">
      <c r="A313" t="inlineStr">
        <is>
          <t>SoESCaOMCbIC-capital.csv</t>
        </is>
      </c>
      <c r="B313" t="inlineStr">
        <is>
          <t>petroleum</t>
        </is>
      </c>
      <c r="C313" t="inlineStr">
        <is>
          <t>ISIC 302T309</t>
        </is>
      </c>
      <c r="D313" t="inlineStr">
        <is>
          <t>ISIC 30</t>
        </is>
      </c>
      <c r="E313" t="n">
        <v>0.8828631277509678</v>
      </c>
      <c r="F313" t="inlineStr">
        <is>
          <t>BEA 2024 output share (default)</t>
        </is>
      </c>
      <c r="G313" t="n">
        <v>0.8828631277509678</v>
      </c>
    </row>
    <row r="314">
      <c r="A314" t="inlineStr">
        <is>
          <t>SoESCaOMCbIC-capital.csv</t>
        </is>
      </c>
      <c r="B314" t="inlineStr">
        <is>
          <t>petroleum</t>
        </is>
      </c>
      <c r="C314" t="inlineStr">
        <is>
          <t>ISIC 49</t>
        </is>
      </c>
      <c r="D314" t="inlineStr">
        <is>
          <t>ISIC 49T53</t>
        </is>
      </c>
      <c r="E314" t="n">
        <v>0.4781643011829615</v>
      </c>
      <c r="F314" t="inlineStr">
        <is>
          <t>BEA 2024 output share (default)</t>
        </is>
      </c>
      <c r="G314" t="n">
        <v>0.4781643011829615</v>
      </c>
    </row>
    <row r="315">
      <c r="A315" t="inlineStr">
        <is>
          <t>SoESCaOMCbIC-capital.csv</t>
        </is>
      </c>
      <c r="B315" t="inlineStr">
        <is>
          <t>petroleum</t>
        </is>
      </c>
      <c r="C315" t="inlineStr">
        <is>
          <t>ISIC 50</t>
        </is>
      </c>
      <c r="D315" t="inlineStr">
        <is>
          <t>ISIC 49T53</t>
        </is>
      </c>
      <c r="E315" t="n">
        <v>0.04258639396614965</v>
      </c>
      <c r="F315" t="inlineStr">
        <is>
          <t>BEA 2024 output share (default)</t>
        </is>
      </c>
      <c r="G315" t="n">
        <v>0.04258639396614965</v>
      </c>
    </row>
    <row r="316">
      <c r="A316" t="inlineStr">
        <is>
          <t>SoESCaOMCbIC-capital.csv</t>
        </is>
      </c>
      <c r="B316" t="inlineStr">
        <is>
          <t>petroleum</t>
        </is>
      </c>
      <c r="C316" t="inlineStr">
        <is>
          <t>ISIC 51</t>
        </is>
      </c>
      <c r="D316" t="inlineStr">
        <is>
          <t>ISIC 49T53</t>
        </is>
      </c>
      <c r="E316" t="n">
        <v>0.1808024634415262</v>
      </c>
      <c r="F316" t="inlineStr">
        <is>
          <t>BEA 2024 output share (default)</t>
        </is>
      </c>
      <c r="G316" t="n">
        <v>0.1808024634415262</v>
      </c>
    </row>
    <row r="317">
      <c r="A317" t="inlineStr">
        <is>
          <t>SoESCaOMCbIC-capital.csv</t>
        </is>
      </c>
      <c r="B317" t="inlineStr">
        <is>
          <t>petroleum</t>
        </is>
      </c>
      <c r="C317" t="inlineStr">
        <is>
          <t>ISIC 52</t>
        </is>
      </c>
      <c r="D317" t="inlineStr">
        <is>
          <t>ISIC 49T53</t>
        </is>
      </c>
      <c r="E317" t="n">
        <v>0.2139060571318126</v>
      </c>
      <c r="F317" t="inlineStr">
        <is>
          <t>BEA 2024 output share (default)</t>
        </is>
      </c>
      <c r="G317" t="n">
        <v>0.2139060571318126</v>
      </c>
    </row>
    <row r="318">
      <c r="A318" t="inlineStr">
        <is>
          <t>SoESCaOMCbIC-capital.csv</t>
        </is>
      </c>
      <c r="B318" t="inlineStr">
        <is>
          <t>petroleum</t>
        </is>
      </c>
      <c r="C318" t="inlineStr">
        <is>
          <t>ISIC 53</t>
        </is>
      </c>
      <c r="D318" t="inlineStr">
        <is>
          <t>ISIC 49T53</t>
        </is>
      </c>
      <c r="E318" t="n">
        <v>0.08454078427755009</v>
      </c>
      <c r="F318" t="inlineStr">
        <is>
          <t>BEA 2024 output share (default)</t>
        </is>
      </c>
      <c r="G318" t="n">
        <v>0.08454078427755009</v>
      </c>
    </row>
    <row r="319">
      <c r="A319" t="inlineStr">
        <is>
          <t>SoESCaOMCbIC-capital.csv</t>
        </is>
      </c>
      <c r="B319" t="inlineStr">
        <is>
          <t>petroleum</t>
        </is>
      </c>
      <c r="C319" t="inlineStr">
        <is>
          <t>ISIC 69T75</t>
        </is>
      </c>
      <c r="D319" t="inlineStr">
        <is>
          <t>ISIC 69T82</t>
        </is>
      </c>
      <c r="E319" t="n">
        <v>1</v>
      </c>
      <c r="F319" t="inlineStr">
        <is>
          <t>semantic override</t>
        </is>
      </c>
      <c r="G319" t="n">
        <v>0.7298219447914125</v>
      </c>
    </row>
    <row r="320">
      <c r="A320" t="inlineStr">
        <is>
          <t>SoESCaOMCbIC-capital.csv</t>
        </is>
      </c>
      <c r="B320" t="inlineStr">
        <is>
          <t>petroleum</t>
        </is>
      </c>
      <c r="C320" t="inlineStr">
        <is>
          <t>ISIC 77T82</t>
        </is>
      </c>
      <c r="D320" t="inlineStr">
        <is>
          <t>ISIC 69T82</t>
        </is>
      </c>
      <c r="E320" t="n">
        <v>0</v>
      </c>
      <c r="F320" t="inlineStr">
        <is>
          <t>semantic override</t>
        </is>
      </c>
      <c r="G320" t="n">
        <v>0.2701780552085875</v>
      </c>
    </row>
    <row r="321">
      <c r="A321" t="inlineStr">
        <is>
          <t>SoESCaOMCbIC-capital.csv</t>
        </is>
      </c>
      <c r="B321" t="inlineStr">
        <is>
          <t>petroleum</t>
        </is>
      </c>
      <c r="C321" t="inlineStr">
        <is>
          <t>ISIC 90T93</t>
        </is>
      </c>
      <c r="D321" t="inlineStr">
        <is>
          <t>ISIC 90T96</t>
        </is>
      </c>
      <c r="E321" t="n">
        <v>0.4216249514352275</v>
      </c>
      <c r="F321" t="inlineStr">
        <is>
          <t>BEA 2024 output share (default)</t>
        </is>
      </c>
      <c r="G321" t="n">
        <v>0.4216249514352275</v>
      </c>
    </row>
    <row r="322">
      <c r="A322" t="inlineStr">
        <is>
          <t>SoESCaOMCbIC-capital.csv</t>
        </is>
      </c>
      <c r="B322" t="inlineStr">
        <is>
          <t>petroleum</t>
        </is>
      </c>
      <c r="C322" t="inlineStr">
        <is>
          <t>ISIC 94T96</t>
        </is>
      </c>
      <c r="D322" t="inlineStr">
        <is>
          <t>ISIC 90T96</t>
        </is>
      </c>
      <c r="E322" t="n">
        <v>0.5783750485647725</v>
      </c>
      <c r="F322" t="inlineStr">
        <is>
          <t>BEA 2024 output share (default)</t>
        </is>
      </c>
      <c r="G322" t="n">
        <v>0.5783750485647725</v>
      </c>
    </row>
    <row r="323">
      <c r="A323" t="inlineStr">
        <is>
          <t>SoESCaOMCbIC-capital.csv</t>
        </is>
      </c>
      <c r="B323" t="inlineStr">
        <is>
          <t>small modular reactor</t>
        </is>
      </c>
      <c r="C323" t="inlineStr">
        <is>
          <t>ISIC 01</t>
        </is>
      </c>
      <c r="D323" t="inlineStr">
        <is>
          <t>ISIC 01T03</t>
        </is>
      </c>
      <c r="E323" t="n">
        <v>0.9429986826432329</v>
      </c>
      <c r="F323" t="inlineStr">
        <is>
          <t>BEA 2024 output share (default)</t>
        </is>
      </c>
      <c r="G323" t="n">
        <v>0.9429986826432329</v>
      </c>
    </row>
    <row r="324">
      <c r="A324" t="inlineStr">
        <is>
          <t>SoESCaOMCbIC-capital.csv</t>
        </is>
      </c>
      <c r="B324" t="inlineStr">
        <is>
          <t>small modular reactor</t>
        </is>
      </c>
      <c r="C324" t="inlineStr">
        <is>
          <t>ISIC 02</t>
        </is>
      </c>
      <c r="D324" t="inlineStr">
        <is>
          <t>ISIC 01T03</t>
        </is>
      </c>
      <c r="E324" t="n">
        <v>0.04176573136965662</v>
      </c>
      <c r="F324" t="inlineStr">
        <is>
          <t>BEA 2024 output share (default)</t>
        </is>
      </c>
      <c r="G324" t="n">
        <v>0.04176573136965662</v>
      </c>
    </row>
    <row r="325">
      <c r="A325" t="inlineStr">
        <is>
          <t>SoESCaOMCbIC-capital.csv</t>
        </is>
      </c>
      <c r="B325" t="inlineStr">
        <is>
          <t>small modular reactor</t>
        </is>
      </c>
      <c r="C325" t="inlineStr">
        <is>
          <t>ISIC 03</t>
        </is>
      </c>
      <c r="D325" t="inlineStr">
        <is>
          <t>ISIC 01T03</t>
        </is>
      </c>
      <c r="E325" t="n">
        <v>0.01523558598711041</v>
      </c>
      <c r="F325" t="inlineStr">
        <is>
          <t>BEA 2024 output share (default)</t>
        </is>
      </c>
      <c r="G325" t="n">
        <v>0.01523558598711041</v>
      </c>
    </row>
    <row r="326">
      <c r="A326" t="inlineStr">
        <is>
          <t>SoESCaOMCbIC-capital.csv</t>
        </is>
      </c>
      <c r="B326" t="inlineStr">
        <is>
          <t>small modular reactor</t>
        </is>
      </c>
      <c r="C326" t="inlineStr">
        <is>
          <t>ISIC 07</t>
        </is>
      </c>
      <c r="D326" t="inlineStr">
        <is>
          <t>ISIC 07T08</t>
        </is>
      </c>
      <c r="E326" t="n">
        <v>0.4327368836123752</v>
      </c>
      <c r="F326" t="inlineStr">
        <is>
          <t>BEA 2024 output share (default)</t>
        </is>
      </c>
      <c r="G326" t="n">
        <v>0.4327368836123752</v>
      </c>
    </row>
    <row r="327">
      <c r="A327" t="inlineStr">
        <is>
          <t>SoESCaOMCbIC-capital.csv</t>
        </is>
      </c>
      <c r="B327" t="inlineStr">
        <is>
          <t>small modular reactor</t>
        </is>
      </c>
      <c r="C327" t="inlineStr">
        <is>
          <t>ISIC 08</t>
        </is>
      </c>
      <c r="D327" t="inlineStr">
        <is>
          <t>ISIC 07T08</t>
        </is>
      </c>
      <c r="E327" t="n">
        <v>0.5672631163876248</v>
      </c>
      <c r="F327" t="inlineStr">
        <is>
          <t>BEA 2024 output share (default)</t>
        </is>
      </c>
      <c r="G327" t="n">
        <v>0.5672631163876248</v>
      </c>
    </row>
    <row r="328">
      <c r="A328" t="inlineStr">
        <is>
          <t>SoESCaOMCbIC-capital.csv</t>
        </is>
      </c>
      <c r="B328" t="inlineStr">
        <is>
          <t>small modular reactor</t>
        </is>
      </c>
      <c r="C328" t="inlineStr">
        <is>
          <t>ISIC 301</t>
        </is>
      </c>
      <c r="D328" t="inlineStr">
        <is>
          <t>ISIC 30</t>
        </is>
      </c>
      <c r="E328" t="n">
        <v>0.1171368722490322</v>
      </c>
      <c r="F328" t="inlineStr">
        <is>
          <t>BEA 2024 output share (default)</t>
        </is>
      </c>
      <c r="G328" t="n">
        <v>0.1171368722490322</v>
      </c>
    </row>
    <row r="329">
      <c r="A329" t="inlineStr">
        <is>
          <t>SoESCaOMCbIC-capital.csv</t>
        </is>
      </c>
      <c r="B329" t="inlineStr">
        <is>
          <t>small modular reactor</t>
        </is>
      </c>
      <c r="C329" t="inlineStr">
        <is>
          <t>ISIC 302T309</t>
        </is>
      </c>
      <c r="D329" t="inlineStr">
        <is>
          <t>ISIC 30</t>
        </is>
      </c>
      <c r="E329" t="n">
        <v>0.8828631277509678</v>
      </c>
      <c r="F329" t="inlineStr">
        <is>
          <t>BEA 2024 output share (default)</t>
        </is>
      </c>
      <c r="G329" t="n">
        <v>0.8828631277509678</v>
      </c>
    </row>
    <row r="330">
      <c r="A330" t="inlineStr">
        <is>
          <t>SoESCaOMCbIC-capital.csv</t>
        </is>
      </c>
      <c r="B330" t="inlineStr">
        <is>
          <t>small modular reactor</t>
        </is>
      </c>
      <c r="C330" t="inlineStr">
        <is>
          <t>ISIC 49</t>
        </is>
      </c>
      <c r="D330" t="inlineStr">
        <is>
          <t>ISIC 49T53</t>
        </is>
      </c>
      <c r="E330" t="n">
        <v>0.4781643011829615</v>
      </c>
      <c r="F330" t="inlineStr">
        <is>
          <t>BEA 2024 output share (default)</t>
        </is>
      </c>
      <c r="G330" t="n">
        <v>0.4781643011829615</v>
      </c>
    </row>
    <row r="331">
      <c r="A331" t="inlineStr">
        <is>
          <t>SoESCaOMCbIC-capital.csv</t>
        </is>
      </c>
      <c r="B331" t="inlineStr">
        <is>
          <t>small modular reactor</t>
        </is>
      </c>
      <c r="C331" t="inlineStr">
        <is>
          <t>ISIC 50</t>
        </is>
      </c>
      <c r="D331" t="inlineStr">
        <is>
          <t>ISIC 49T53</t>
        </is>
      </c>
      <c r="E331" t="n">
        <v>0.04258639396614965</v>
      </c>
      <c r="F331" t="inlineStr">
        <is>
          <t>BEA 2024 output share (default)</t>
        </is>
      </c>
      <c r="G331" t="n">
        <v>0.04258639396614965</v>
      </c>
    </row>
    <row r="332">
      <c r="A332" t="inlineStr">
        <is>
          <t>SoESCaOMCbIC-capital.csv</t>
        </is>
      </c>
      <c r="B332" t="inlineStr">
        <is>
          <t>small modular reactor</t>
        </is>
      </c>
      <c r="C332" t="inlineStr">
        <is>
          <t>ISIC 51</t>
        </is>
      </c>
      <c r="D332" t="inlineStr">
        <is>
          <t>ISIC 49T53</t>
        </is>
      </c>
      <c r="E332" t="n">
        <v>0.1808024634415262</v>
      </c>
      <c r="F332" t="inlineStr">
        <is>
          <t>BEA 2024 output share (default)</t>
        </is>
      </c>
      <c r="G332" t="n">
        <v>0.1808024634415262</v>
      </c>
    </row>
    <row r="333">
      <c r="A333" t="inlineStr">
        <is>
          <t>SoESCaOMCbIC-capital.csv</t>
        </is>
      </c>
      <c r="B333" t="inlineStr">
        <is>
          <t>small modular reactor</t>
        </is>
      </c>
      <c r="C333" t="inlineStr">
        <is>
          <t>ISIC 52</t>
        </is>
      </c>
      <c r="D333" t="inlineStr">
        <is>
          <t>ISIC 49T53</t>
        </is>
      </c>
      <c r="E333" t="n">
        <v>0.2139060571318126</v>
      </c>
      <c r="F333" t="inlineStr">
        <is>
          <t>BEA 2024 output share (default)</t>
        </is>
      </c>
      <c r="G333" t="n">
        <v>0.2139060571318126</v>
      </c>
    </row>
    <row r="334">
      <c r="A334" t="inlineStr">
        <is>
          <t>SoESCaOMCbIC-capital.csv</t>
        </is>
      </c>
      <c r="B334" t="inlineStr">
        <is>
          <t>small modular reactor</t>
        </is>
      </c>
      <c r="C334" t="inlineStr">
        <is>
          <t>ISIC 53</t>
        </is>
      </c>
      <c r="D334" t="inlineStr">
        <is>
          <t>ISIC 49T53</t>
        </is>
      </c>
      <c r="E334" t="n">
        <v>0.08454078427755009</v>
      </c>
      <c r="F334" t="inlineStr">
        <is>
          <t>BEA 2024 output share (default)</t>
        </is>
      </c>
      <c r="G334" t="n">
        <v>0.08454078427755009</v>
      </c>
    </row>
    <row r="335">
      <c r="A335" t="inlineStr">
        <is>
          <t>SoESCaOMCbIC-capital.csv</t>
        </is>
      </c>
      <c r="B335" t="inlineStr">
        <is>
          <t>small modular reactor</t>
        </is>
      </c>
      <c r="C335" t="inlineStr">
        <is>
          <t>ISIC 69T75</t>
        </is>
      </c>
      <c r="D335" t="inlineStr">
        <is>
          <t>ISIC 69T82</t>
        </is>
      </c>
      <c r="E335" t="n">
        <v>1</v>
      </c>
      <c r="F335" t="inlineStr">
        <is>
          <t>semantic override</t>
        </is>
      </c>
      <c r="G335" t="n">
        <v>0.7298219447914125</v>
      </c>
    </row>
    <row r="336">
      <c r="A336" t="inlineStr">
        <is>
          <t>SoESCaOMCbIC-capital.csv</t>
        </is>
      </c>
      <c r="B336" t="inlineStr">
        <is>
          <t>small modular reactor</t>
        </is>
      </c>
      <c r="C336" t="inlineStr">
        <is>
          <t>ISIC 77T82</t>
        </is>
      </c>
      <c r="D336" t="inlineStr">
        <is>
          <t>ISIC 69T82</t>
        </is>
      </c>
      <c r="E336" t="n">
        <v>0</v>
      </c>
      <c r="F336" t="inlineStr">
        <is>
          <t>semantic override</t>
        </is>
      </c>
      <c r="G336" t="n">
        <v>0.2701780552085875</v>
      </c>
    </row>
    <row r="337">
      <c r="A337" t="inlineStr">
        <is>
          <t>SoESCaOMCbIC-capital.csv</t>
        </is>
      </c>
      <c r="B337" t="inlineStr">
        <is>
          <t>small modular reactor</t>
        </is>
      </c>
      <c r="C337" t="inlineStr">
        <is>
          <t>ISIC 90T93</t>
        </is>
      </c>
      <c r="D337" t="inlineStr">
        <is>
          <t>ISIC 90T96</t>
        </is>
      </c>
      <c r="E337" t="n">
        <v>0.4216249514352275</v>
      </c>
      <c r="F337" t="inlineStr">
        <is>
          <t>BEA 2024 output share (default)</t>
        </is>
      </c>
      <c r="G337" t="n">
        <v>0.4216249514352275</v>
      </c>
    </row>
    <row r="338">
      <c r="A338" t="inlineStr">
        <is>
          <t>SoESCaOMCbIC-capital.csv</t>
        </is>
      </c>
      <c r="B338" t="inlineStr">
        <is>
          <t>small modular reactor</t>
        </is>
      </c>
      <c r="C338" t="inlineStr">
        <is>
          <t>ISIC 94T96</t>
        </is>
      </c>
      <c r="D338" t="inlineStr">
        <is>
          <t>ISIC 90T96</t>
        </is>
      </c>
      <c r="E338" t="n">
        <v>0.5783750485647725</v>
      </c>
      <c r="F338" t="inlineStr">
        <is>
          <t>BEA 2024 output share (default)</t>
        </is>
      </c>
      <c r="G338" t="n">
        <v>0.5783750485647725</v>
      </c>
    </row>
    <row r="339">
      <c r="A339" t="inlineStr">
        <is>
          <t>SoESCaOMCbIC-capital.csv</t>
        </is>
      </c>
      <c r="B339" t="inlineStr">
        <is>
          <t>solar PV</t>
        </is>
      </c>
      <c r="C339" t="inlineStr">
        <is>
          <t>ISIC 01</t>
        </is>
      </c>
      <c r="D339" t="inlineStr">
        <is>
          <t>ISIC 01T03</t>
        </is>
      </c>
      <c r="E339" t="n">
        <v>0.9429986826432329</v>
      </c>
      <c r="F339" t="inlineStr">
        <is>
          <t>BEA 2024 output share (default)</t>
        </is>
      </c>
      <c r="G339" t="n">
        <v>0.9429986826432329</v>
      </c>
    </row>
    <row r="340">
      <c r="A340" t="inlineStr">
        <is>
          <t>SoESCaOMCbIC-capital.csv</t>
        </is>
      </c>
      <c r="B340" t="inlineStr">
        <is>
          <t>solar PV</t>
        </is>
      </c>
      <c r="C340" t="inlineStr">
        <is>
          <t>ISIC 02</t>
        </is>
      </c>
      <c r="D340" t="inlineStr">
        <is>
          <t>ISIC 01T03</t>
        </is>
      </c>
      <c r="E340" t="n">
        <v>0.04176573136965662</v>
      </c>
      <c r="F340" t="inlineStr">
        <is>
          <t>BEA 2024 output share (default)</t>
        </is>
      </c>
      <c r="G340" t="n">
        <v>0.04176573136965662</v>
      </c>
    </row>
    <row r="341">
      <c r="A341" t="inlineStr">
        <is>
          <t>SoESCaOMCbIC-capital.csv</t>
        </is>
      </c>
      <c r="B341" t="inlineStr">
        <is>
          <t>solar PV</t>
        </is>
      </c>
      <c r="C341" t="inlineStr">
        <is>
          <t>ISIC 03</t>
        </is>
      </c>
      <c r="D341" t="inlineStr">
        <is>
          <t>ISIC 01T03</t>
        </is>
      </c>
      <c r="E341" t="n">
        <v>0.01523558598711041</v>
      </c>
      <c r="F341" t="inlineStr">
        <is>
          <t>BEA 2024 output share (default)</t>
        </is>
      </c>
      <c r="G341" t="n">
        <v>0.01523558598711041</v>
      </c>
    </row>
    <row r="342">
      <c r="A342" t="inlineStr">
        <is>
          <t>SoESCaOMCbIC-capital.csv</t>
        </is>
      </c>
      <c r="B342" t="inlineStr">
        <is>
          <t>solar PV</t>
        </is>
      </c>
      <c r="C342" t="inlineStr">
        <is>
          <t>ISIC 07</t>
        </is>
      </c>
      <c r="D342" t="inlineStr">
        <is>
          <t>ISIC 07T08</t>
        </is>
      </c>
      <c r="E342" t="n">
        <v>0.4327368836123752</v>
      </c>
      <c r="F342" t="inlineStr">
        <is>
          <t>BEA 2024 output share (default)</t>
        </is>
      </c>
      <c r="G342" t="n">
        <v>0.4327368836123752</v>
      </c>
    </row>
    <row r="343">
      <c r="A343" t="inlineStr">
        <is>
          <t>SoESCaOMCbIC-capital.csv</t>
        </is>
      </c>
      <c r="B343" t="inlineStr">
        <is>
          <t>solar PV</t>
        </is>
      </c>
      <c r="C343" t="inlineStr">
        <is>
          <t>ISIC 08</t>
        </is>
      </c>
      <c r="D343" t="inlineStr">
        <is>
          <t>ISIC 07T08</t>
        </is>
      </c>
      <c r="E343" t="n">
        <v>0.5672631163876248</v>
      </c>
      <c r="F343" t="inlineStr">
        <is>
          <t>BEA 2024 output share (default)</t>
        </is>
      </c>
      <c r="G343" t="n">
        <v>0.5672631163876248</v>
      </c>
    </row>
    <row r="344">
      <c r="A344" t="inlineStr">
        <is>
          <t>SoESCaOMCbIC-capital.csv</t>
        </is>
      </c>
      <c r="B344" t="inlineStr">
        <is>
          <t>solar PV</t>
        </is>
      </c>
      <c r="C344" t="inlineStr">
        <is>
          <t>ISIC 301</t>
        </is>
      </c>
      <c r="D344" t="inlineStr">
        <is>
          <t>ISIC 30</t>
        </is>
      </c>
      <c r="E344" t="n">
        <v>0.1171368722490322</v>
      </c>
      <c r="F344" t="inlineStr">
        <is>
          <t>BEA 2024 output share (default)</t>
        </is>
      </c>
      <c r="G344" t="n">
        <v>0.1171368722490322</v>
      </c>
    </row>
    <row r="345">
      <c r="A345" t="inlineStr">
        <is>
          <t>SoESCaOMCbIC-capital.csv</t>
        </is>
      </c>
      <c r="B345" t="inlineStr">
        <is>
          <t>solar PV</t>
        </is>
      </c>
      <c r="C345" t="inlineStr">
        <is>
          <t>ISIC 302T309</t>
        </is>
      </c>
      <c r="D345" t="inlineStr">
        <is>
          <t>ISIC 30</t>
        </is>
      </c>
      <c r="E345" t="n">
        <v>0.8828631277509678</v>
      </c>
      <c r="F345" t="inlineStr">
        <is>
          <t>BEA 2024 output share (default)</t>
        </is>
      </c>
      <c r="G345" t="n">
        <v>0.8828631277509678</v>
      </c>
    </row>
    <row r="346">
      <c r="A346" t="inlineStr">
        <is>
          <t>SoESCaOMCbIC-capital.csv</t>
        </is>
      </c>
      <c r="B346" t="inlineStr">
        <is>
          <t>solar PV</t>
        </is>
      </c>
      <c r="C346" t="inlineStr">
        <is>
          <t>ISIC 49</t>
        </is>
      </c>
      <c r="D346" t="inlineStr">
        <is>
          <t>ISIC 49T53</t>
        </is>
      </c>
      <c r="E346" t="n">
        <v>0.4781643011829615</v>
      </c>
      <c r="F346" t="inlineStr">
        <is>
          <t>BEA 2024 output share (default)</t>
        </is>
      </c>
      <c r="G346" t="n">
        <v>0.4781643011829615</v>
      </c>
    </row>
    <row r="347">
      <c r="A347" t="inlineStr">
        <is>
          <t>SoESCaOMCbIC-capital.csv</t>
        </is>
      </c>
      <c r="B347" t="inlineStr">
        <is>
          <t>solar PV</t>
        </is>
      </c>
      <c r="C347" t="inlineStr">
        <is>
          <t>ISIC 50</t>
        </is>
      </c>
      <c r="D347" t="inlineStr">
        <is>
          <t>ISIC 49T53</t>
        </is>
      </c>
      <c r="E347" t="n">
        <v>0.04258639396614965</v>
      </c>
      <c r="F347" t="inlineStr">
        <is>
          <t>BEA 2024 output share (default)</t>
        </is>
      </c>
      <c r="G347" t="n">
        <v>0.04258639396614965</v>
      </c>
    </row>
    <row r="348">
      <c r="A348" t="inlineStr">
        <is>
          <t>SoESCaOMCbIC-capital.csv</t>
        </is>
      </c>
      <c r="B348" t="inlineStr">
        <is>
          <t>solar PV</t>
        </is>
      </c>
      <c r="C348" t="inlineStr">
        <is>
          <t>ISIC 51</t>
        </is>
      </c>
      <c r="D348" t="inlineStr">
        <is>
          <t>ISIC 49T53</t>
        </is>
      </c>
      <c r="E348" t="n">
        <v>0.1808024634415262</v>
      </c>
      <c r="F348" t="inlineStr">
        <is>
          <t>BEA 2024 output share (default)</t>
        </is>
      </c>
      <c r="G348" t="n">
        <v>0.1808024634415262</v>
      </c>
    </row>
    <row r="349">
      <c r="A349" t="inlineStr">
        <is>
          <t>SoESCaOMCbIC-capital.csv</t>
        </is>
      </c>
      <c r="B349" t="inlineStr">
        <is>
          <t>solar PV</t>
        </is>
      </c>
      <c r="C349" t="inlineStr">
        <is>
          <t>ISIC 52</t>
        </is>
      </c>
      <c r="D349" t="inlineStr">
        <is>
          <t>ISIC 49T53</t>
        </is>
      </c>
      <c r="E349" t="n">
        <v>0.2139060571318126</v>
      </c>
      <c r="F349" t="inlineStr">
        <is>
          <t>BEA 2024 output share (default)</t>
        </is>
      </c>
      <c r="G349" t="n">
        <v>0.2139060571318126</v>
      </c>
    </row>
    <row r="350">
      <c r="A350" t="inlineStr">
        <is>
          <t>SoESCaOMCbIC-capital.csv</t>
        </is>
      </c>
      <c r="B350" t="inlineStr">
        <is>
          <t>solar PV</t>
        </is>
      </c>
      <c r="C350" t="inlineStr">
        <is>
          <t>ISIC 53</t>
        </is>
      </c>
      <c r="D350" t="inlineStr">
        <is>
          <t>ISIC 49T53</t>
        </is>
      </c>
      <c r="E350" t="n">
        <v>0.08454078427755009</v>
      </c>
      <c r="F350" t="inlineStr">
        <is>
          <t>BEA 2024 output share (default)</t>
        </is>
      </c>
      <c r="G350" t="n">
        <v>0.08454078427755009</v>
      </c>
    </row>
    <row r="351">
      <c r="A351" t="inlineStr">
        <is>
          <t>SoESCaOMCbIC-capital.csv</t>
        </is>
      </c>
      <c r="B351" t="inlineStr">
        <is>
          <t>solar PV</t>
        </is>
      </c>
      <c r="C351" t="inlineStr">
        <is>
          <t>ISIC 69T75</t>
        </is>
      </c>
      <c r="D351" t="inlineStr">
        <is>
          <t>ISIC 69T82</t>
        </is>
      </c>
      <c r="E351" t="n">
        <v>1</v>
      </c>
      <c r="F351" t="inlineStr">
        <is>
          <t>semantic override</t>
        </is>
      </c>
      <c r="G351" t="n">
        <v>0.7298219447914125</v>
      </c>
    </row>
    <row r="352">
      <c r="A352" t="inlineStr">
        <is>
          <t>SoESCaOMCbIC-capital.csv</t>
        </is>
      </c>
      <c r="B352" t="inlineStr">
        <is>
          <t>solar PV</t>
        </is>
      </c>
      <c r="C352" t="inlineStr">
        <is>
          <t>ISIC 77T82</t>
        </is>
      </c>
      <c r="D352" t="inlineStr">
        <is>
          <t>ISIC 69T82</t>
        </is>
      </c>
      <c r="E352" t="n">
        <v>0</v>
      </c>
      <c r="F352" t="inlineStr">
        <is>
          <t>semantic override</t>
        </is>
      </c>
      <c r="G352" t="n">
        <v>0.2701780552085875</v>
      </c>
    </row>
    <row r="353">
      <c r="A353" t="inlineStr">
        <is>
          <t>SoESCaOMCbIC-capital.csv</t>
        </is>
      </c>
      <c r="B353" t="inlineStr">
        <is>
          <t>solar PV</t>
        </is>
      </c>
      <c r="C353" t="inlineStr">
        <is>
          <t>ISIC 90T93</t>
        </is>
      </c>
      <c r="D353" t="inlineStr">
        <is>
          <t>ISIC 90T96</t>
        </is>
      </c>
      <c r="E353" t="n">
        <v>0.4216249514352275</v>
      </c>
      <c r="F353" t="inlineStr">
        <is>
          <t>BEA 2024 output share (default)</t>
        </is>
      </c>
      <c r="G353" t="n">
        <v>0.4216249514352275</v>
      </c>
    </row>
    <row r="354">
      <c r="A354" t="inlineStr">
        <is>
          <t>SoESCaOMCbIC-capital.csv</t>
        </is>
      </c>
      <c r="B354" t="inlineStr">
        <is>
          <t>solar PV</t>
        </is>
      </c>
      <c r="C354" t="inlineStr">
        <is>
          <t>ISIC 94T96</t>
        </is>
      </c>
      <c r="D354" t="inlineStr">
        <is>
          <t>ISIC 90T96</t>
        </is>
      </c>
      <c r="E354" t="n">
        <v>0.5783750485647725</v>
      </c>
      <c r="F354" t="inlineStr">
        <is>
          <t>BEA 2024 output share (default)</t>
        </is>
      </c>
      <c r="G354" t="n">
        <v>0.5783750485647725</v>
      </c>
    </row>
    <row r="355">
      <c r="A355" t="inlineStr">
        <is>
          <t>SoESCaOMCbIC-capital.csv</t>
        </is>
      </c>
      <c r="B355" t="inlineStr">
        <is>
          <t>solar thermal</t>
        </is>
      </c>
      <c r="C355" t="inlineStr">
        <is>
          <t>ISIC 01</t>
        </is>
      </c>
      <c r="D355" t="inlineStr">
        <is>
          <t>ISIC 01T03</t>
        </is>
      </c>
      <c r="E355" t="n">
        <v>0.9429986826432329</v>
      </c>
      <c r="F355" t="inlineStr">
        <is>
          <t>BEA 2024 output share (default)</t>
        </is>
      </c>
      <c r="G355" t="n">
        <v>0.9429986826432329</v>
      </c>
    </row>
    <row r="356">
      <c r="A356" t="inlineStr">
        <is>
          <t>SoESCaOMCbIC-capital.csv</t>
        </is>
      </c>
      <c r="B356" t="inlineStr">
        <is>
          <t>solar thermal</t>
        </is>
      </c>
      <c r="C356" t="inlineStr">
        <is>
          <t>ISIC 02</t>
        </is>
      </c>
      <c r="D356" t="inlineStr">
        <is>
          <t>ISIC 01T03</t>
        </is>
      </c>
      <c r="E356" t="n">
        <v>0.04176573136965662</v>
      </c>
      <c r="F356" t="inlineStr">
        <is>
          <t>BEA 2024 output share (default)</t>
        </is>
      </c>
      <c r="G356" t="n">
        <v>0.04176573136965662</v>
      </c>
    </row>
    <row r="357">
      <c r="A357" t="inlineStr">
        <is>
          <t>SoESCaOMCbIC-capital.csv</t>
        </is>
      </c>
      <c r="B357" t="inlineStr">
        <is>
          <t>solar thermal</t>
        </is>
      </c>
      <c r="C357" t="inlineStr">
        <is>
          <t>ISIC 03</t>
        </is>
      </c>
      <c r="D357" t="inlineStr">
        <is>
          <t>ISIC 01T03</t>
        </is>
      </c>
      <c r="E357" t="n">
        <v>0.01523558598711041</v>
      </c>
      <c r="F357" t="inlineStr">
        <is>
          <t>BEA 2024 output share (default)</t>
        </is>
      </c>
      <c r="G357" t="n">
        <v>0.01523558598711041</v>
      </c>
    </row>
    <row r="358">
      <c r="A358" t="inlineStr">
        <is>
          <t>SoESCaOMCbIC-capital.csv</t>
        </is>
      </c>
      <c r="B358" t="inlineStr">
        <is>
          <t>solar thermal</t>
        </is>
      </c>
      <c r="C358" t="inlineStr">
        <is>
          <t>ISIC 07</t>
        </is>
      </c>
      <c r="D358" t="inlineStr">
        <is>
          <t>ISIC 07T08</t>
        </is>
      </c>
      <c r="E358" t="n">
        <v>0.4327368836123752</v>
      </c>
      <c r="F358" t="inlineStr">
        <is>
          <t>BEA 2024 output share (default)</t>
        </is>
      </c>
      <c r="G358" t="n">
        <v>0.4327368836123752</v>
      </c>
    </row>
    <row r="359">
      <c r="A359" t="inlineStr">
        <is>
          <t>SoESCaOMCbIC-capital.csv</t>
        </is>
      </c>
      <c r="B359" t="inlineStr">
        <is>
          <t>solar thermal</t>
        </is>
      </c>
      <c r="C359" t="inlineStr">
        <is>
          <t>ISIC 08</t>
        </is>
      </c>
      <c r="D359" t="inlineStr">
        <is>
          <t>ISIC 07T08</t>
        </is>
      </c>
      <c r="E359" t="n">
        <v>0.5672631163876248</v>
      </c>
      <c r="F359" t="inlineStr">
        <is>
          <t>BEA 2024 output share (default)</t>
        </is>
      </c>
      <c r="G359" t="n">
        <v>0.5672631163876248</v>
      </c>
    </row>
    <row r="360">
      <c r="A360" t="inlineStr">
        <is>
          <t>SoESCaOMCbIC-capital.csv</t>
        </is>
      </c>
      <c r="B360" t="inlineStr">
        <is>
          <t>solar thermal</t>
        </is>
      </c>
      <c r="C360" t="inlineStr">
        <is>
          <t>ISIC 301</t>
        </is>
      </c>
      <c r="D360" t="inlineStr">
        <is>
          <t>ISIC 30</t>
        </is>
      </c>
      <c r="E360" t="n">
        <v>0.1171368722490322</v>
      </c>
      <c r="F360" t="inlineStr">
        <is>
          <t>BEA 2024 output share (default)</t>
        </is>
      </c>
      <c r="G360" t="n">
        <v>0.1171368722490322</v>
      </c>
    </row>
    <row r="361">
      <c r="A361" t="inlineStr">
        <is>
          <t>SoESCaOMCbIC-capital.csv</t>
        </is>
      </c>
      <c r="B361" t="inlineStr">
        <is>
          <t>solar thermal</t>
        </is>
      </c>
      <c r="C361" t="inlineStr">
        <is>
          <t>ISIC 302T309</t>
        </is>
      </c>
      <c r="D361" t="inlineStr">
        <is>
          <t>ISIC 30</t>
        </is>
      </c>
      <c r="E361" t="n">
        <v>0.8828631277509678</v>
      </c>
      <c r="F361" t="inlineStr">
        <is>
          <t>BEA 2024 output share (default)</t>
        </is>
      </c>
      <c r="G361" t="n">
        <v>0.8828631277509678</v>
      </c>
    </row>
    <row r="362">
      <c r="A362" t="inlineStr">
        <is>
          <t>SoESCaOMCbIC-capital.csv</t>
        </is>
      </c>
      <c r="B362" t="inlineStr">
        <is>
          <t>solar thermal</t>
        </is>
      </c>
      <c r="C362" t="inlineStr">
        <is>
          <t>ISIC 49</t>
        </is>
      </c>
      <c r="D362" t="inlineStr">
        <is>
          <t>ISIC 49T53</t>
        </is>
      </c>
      <c r="E362" t="n">
        <v>0.4781643011829615</v>
      </c>
      <c r="F362" t="inlineStr">
        <is>
          <t>BEA 2024 output share (default)</t>
        </is>
      </c>
      <c r="G362" t="n">
        <v>0.4781643011829615</v>
      </c>
    </row>
    <row r="363">
      <c r="A363" t="inlineStr">
        <is>
          <t>SoESCaOMCbIC-capital.csv</t>
        </is>
      </c>
      <c r="B363" t="inlineStr">
        <is>
          <t>solar thermal</t>
        </is>
      </c>
      <c r="C363" t="inlineStr">
        <is>
          <t>ISIC 50</t>
        </is>
      </c>
      <c r="D363" t="inlineStr">
        <is>
          <t>ISIC 49T53</t>
        </is>
      </c>
      <c r="E363" t="n">
        <v>0.04258639396614965</v>
      </c>
      <c r="F363" t="inlineStr">
        <is>
          <t>BEA 2024 output share (default)</t>
        </is>
      </c>
      <c r="G363" t="n">
        <v>0.04258639396614965</v>
      </c>
    </row>
    <row r="364">
      <c r="A364" t="inlineStr">
        <is>
          <t>SoESCaOMCbIC-capital.csv</t>
        </is>
      </c>
      <c r="B364" t="inlineStr">
        <is>
          <t>solar thermal</t>
        </is>
      </c>
      <c r="C364" t="inlineStr">
        <is>
          <t>ISIC 51</t>
        </is>
      </c>
      <c r="D364" t="inlineStr">
        <is>
          <t>ISIC 49T53</t>
        </is>
      </c>
      <c r="E364" t="n">
        <v>0.1808024634415262</v>
      </c>
      <c r="F364" t="inlineStr">
        <is>
          <t>BEA 2024 output share (default)</t>
        </is>
      </c>
      <c r="G364" t="n">
        <v>0.1808024634415262</v>
      </c>
    </row>
    <row r="365">
      <c r="A365" t="inlineStr">
        <is>
          <t>SoESCaOMCbIC-capital.csv</t>
        </is>
      </c>
      <c r="B365" t="inlineStr">
        <is>
          <t>solar thermal</t>
        </is>
      </c>
      <c r="C365" t="inlineStr">
        <is>
          <t>ISIC 52</t>
        </is>
      </c>
      <c r="D365" t="inlineStr">
        <is>
          <t>ISIC 49T53</t>
        </is>
      </c>
      <c r="E365" t="n">
        <v>0.2139060571318126</v>
      </c>
      <c r="F365" t="inlineStr">
        <is>
          <t>BEA 2024 output share (default)</t>
        </is>
      </c>
      <c r="G365" t="n">
        <v>0.2139060571318126</v>
      </c>
    </row>
    <row r="366">
      <c r="A366" t="inlineStr">
        <is>
          <t>SoESCaOMCbIC-capital.csv</t>
        </is>
      </c>
      <c r="B366" t="inlineStr">
        <is>
          <t>solar thermal</t>
        </is>
      </c>
      <c r="C366" t="inlineStr">
        <is>
          <t>ISIC 53</t>
        </is>
      </c>
      <c r="D366" t="inlineStr">
        <is>
          <t>ISIC 49T53</t>
        </is>
      </c>
      <c r="E366" t="n">
        <v>0.08454078427755009</v>
      </c>
      <c r="F366" t="inlineStr">
        <is>
          <t>BEA 2024 output share (default)</t>
        </is>
      </c>
      <c r="G366" t="n">
        <v>0.08454078427755009</v>
      </c>
    </row>
    <row r="367">
      <c r="A367" t="inlineStr">
        <is>
          <t>SoESCaOMCbIC-capital.csv</t>
        </is>
      </c>
      <c r="B367" t="inlineStr">
        <is>
          <t>solar thermal</t>
        </is>
      </c>
      <c r="C367" t="inlineStr">
        <is>
          <t>ISIC 69T75</t>
        </is>
      </c>
      <c r="D367" t="inlineStr">
        <is>
          <t>ISIC 69T82</t>
        </is>
      </c>
      <c r="E367" t="n">
        <v>1</v>
      </c>
      <c r="F367" t="inlineStr">
        <is>
          <t>semantic override</t>
        </is>
      </c>
      <c r="G367" t="n">
        <v>0.7298219447914125</v>
      </c>
    </row>
    <row r="368">
      <c r="A368" t="inlineStr">
        <is>
          <t>SoESCaOMCbIC-capital.csv</t>
        </is>
      </c>
      <c r="B368" t="inlineStr">
        <is>
          <t>solar thermal</t>
        </is>
      </c>
      <c r="C368" t="inlineStr">
        <is>
          <t>ISIC 77T82</t>
        </is>
      </c>
      <c r="D368" t="inlineStr">
        <is>
          <t>ISIC 69T82</t>
        </is>
      </c>
      <c r="E368" t="n">
        <v>0</v>
      </c>
      <c r="F368" t="inlineStr">
        <is>
          <t>semantic override</t>
        </is>
      </c>
      <c r="G368" t="n">
        <v>0.2701780552085875</v>
      </c>
    </row>
    <row r="369">
      <c r="A369" t="inlineStr">
        <is>
          <t>SoESCaOMCbIC-capital.csv</t>
        </is>
      </c>
      <c r="B369" t="inlineStr">
        <is>
          <t>solar thermal</t>
        </is>
      </c>
      <c r="C369" t="inlineStr">
        <is>
          <t>ISIC 90T93</t>
        </is>
      </c>
      <c r="D369" t="inlineStr">
        <is>
          <t>ISIC 90T96</t>
        </is>
      </c>
      <c r="E369" t="n">
        <v>0.4216249514352275</v>
      </c>
      <c r="F369" t="inlineStr">
        <is>
          <t>BEA 2024 output share (default)</t>
        </is>
      </c>
      <c r="G369" t="n">
        <v>0.4216249514352275</v>
      </c>
    </row>
    <row r="370">
      <c r="A370" t="inlineStr">
        <is>
          <t>SoESCaOMCbIC-capital.csv</t>
        </is>
      </c>
      <c r="B370" t="inlineStr">
        <is>
          <t>solar thermal</t>
        </is>
      </c>
      <c r="C370" t="inlineStr">
        <is>
          <t>ISIC 94T96</t>
        </is>
      </c>
      <c r="D370" t="inlineStr">
        <is>
          <t>ISIC 90T96</t>
        </is>
      </c>
      <c r="E370" t="n">
        <v>0.5783750485647725</v>
      </c>
      <c r="F370" t="inlineStr">
        <is>
          <t>BEA 2024 output share (default)</t>
        </is>
      </c>
      <c r="G370" t="n">
        <v>0.5783750485647725</v>
      </c>
    </row>
    <row r="371">
      <c r="A371" t="inlineStr">
        <is>
          <t>SoESCaOMCbIC-capital.csv</t>
        </is>
      </c>
      <c r="B371" t="inlineStr">
        <is>
          <t>wind</t>
        </is>
      </c>
      <c r="C371" t="inlineStr">
        <is>
          <t>ISIC 01</t>
        </is>
      </c>
      <c r="D371" t="inlineStr">
        <is>
          <t>ISIC 01T03</t>
        </is>
      </c>
      <c r="E371" t="n">
        <v>0.9429986826432329</v>
      </c>
      <c r="F371" t="inlineStr">
        <is>
          <t>BEA 2024 output share (default)</t>
        </is>
      </c>
      <c r="G371" t="n">
        <v>0.9429986826432329</v>
      </c>
    </row>
    <row r="372">
      <c r="A372" t="inlineStr">
        <is>
          <t>SoESCaOMCbIC-capital.csv</t>
        </is>
      </c>
      <c r="B372" t="inlineStr">
        <is>
          <t>wind</t>
        </is>
      </c>
      <c r="C372" t="inlineStr">
        <is>
          <t>ISIC 02</t>
        </is>
      </c>
      <c r="D372" t="inlineStr">
        <is>
          <t>ISIC 01T03</t>
        </is>
      </c>
      <c r="E372" t="n">
        <v>0.04176573136965662</v>
      </c>
      <c r="F372" t="inlineStr">
        <is>
          <t>BEA 2024 output share (default)</t>
        </is>
      </c>
      <c r="G372" t="n">
        <v>0.04176573136965662</v>
      </c>
    </row>
    <row r="373">
      <c r="A373" t="inlineStr">
        <is>
          <t>SoESCaOMCbIC-capital.csv</t>
        </is>
      </c>
      <c r="B373" t="inlineStr">
        <is>
          <t>wind</t>
        </is>
      </c>
      <c r="C373" t="inlineStr">
        <is>
          <t>ISIC 03</t>
        </is>
      </c>
      <c r="D373" t="inlineStr">
        <is>
          <t>ISIC 01T03</t>
        </is>
      </c>
      <c r="E373" t="n">
        <v>0.01523558598711041</v>
      </c>
      <c r="F373" t="inlineStr">
        <is>
          <t>BEA 2024 output share (default)</t>
        </is>
      </c>
      <c r="G373" t="n">
        <v>0.01523558598711041</v>
      </c>
    </row>
    <row r="374">
      <c r="A374" t="inlineStr">
        <is>
          <t>SoESCaOMCbIC-capital.csv</t>
        </is>
      </c>
      <c r="B374" t="inlineStr">
        <is>
          <t>wind</t>
        </is>
      </c>
      <c r="C374" t="inlineStr">
        <is>
          <t>ISIC 07</t>
        </is>
      </c>
      <c r="D374" t="inlineStr">
        <is>
          <t>ISIC 07T08</t>
        </is>
      </c>
      <c r="E374" t="n">
        <v>0.4327368836123752</v>
      </c>
      <c r="F374" t="inlineStr">
        <is>
          <t>BEA 2024 output share (default)</t>
        </is>
      </c>
      <c r="G374" t="n">
        <v>0.4327368836123752</v>
      </c>
    </row>
    <row r="375">
      <c r="A375" t="inlineStr">
        <is>
          <t>SoESCaOMCbIC-capital.csv</t>
        </is>
      </c>
      <c r="B375" t="inlineStr">
        <is>
          <t>wind</t>
        </is>
      </c>
      <c r="C375" t="inlineStr">
        <is>
          <t>ISIC 08</t>
        </is>
      </c>
      <c r="D375" t="inlineStr">
        <is>
          <t>ISIC 07T08</t>
        </is>
      </c>
      <c r="E375" t="n">
        <v>0.5672631163876248</v>
      </c>
      <c r="F375" t="inlineStr">
        <is>
          <t>BEA 2024 output share (default)</t>
        </is>
      </c>
      <c r="G375" t="n">
        <v>0.5672631163876248</v>
      </c>
    </row>
    <row r="376">
      <c r="A376" t="inlineStr">
        <is>
          <t>SoESCaOMCbIC-capital.csv</t>
        </is>
      </c>
      <c r="B376" t="inlineStr">
        <is>
          <t>wind</t>
        </is>
      </c>
      <c r="C376" t="inlineStr">
        <is>
          <t>ISIC 301</t>
        </is>
      </c>
      <c r="D376" t="inlineStr">
        <is>
          <t>ISIC 30</t>
        </is>
      </c>
      <c r="E376" t="n">
        <v>0.1171368722490322</v>
      </c>
      <c r="F376" t="inlineStr">
        <is>
          <t>BEA 2024 output share (default)</t>
        </is>
      </c>
      <c r="G376" t="n">
        <v>0.1171368722490322</v>
      </c>
    </row>
    <row r="377">
      <c r="A377" t="inlineStr">
        <is>
          <t>SoESCaOMCbIC-capital.csv</t>
        </is>
      </c>
      <c r="B377" t="inlineStr">
        <is>
          <t>wind</t>
        </is>
      </c>
      <c r="C377" t="inlineStr">
        <is>
          <t>ISIC 302T309</t>
        </is>
      </c>
      <c r="D377" t="inlineStr">
        <is>
          <t>ISIC 30</t>
        </is>
      </c>
      <c r="E377" t="n">
        <v>0.8828631277509678</v>
      </c>
      <c r="F377" t="inlineStr">
        <is>
          <t>BEA 2024 output share (default)</t>
        </is>
      </c>
      <c r="G377" t="n">
        <v>0.8828631277509678</v>
      </c>
    </row>
    <row r="378">
      <c r="A378" t="inlineStr">
        <is>
          <t>SoESCaOMCbIC-capital.csv</t>
        </is>
      </c>
      <c r="B378" t="inlineStr">
        <is>
          <t>wind</t>
        </is>
      </c>
      <c r="C378" t="inlineStr">
        <is>
          <t>ISIC 49</t>
        </is>
      </c>
      <c r="D378" t="inlineStr">
        <is>
          <t>ISIC 49T53</t>
        </is>
      </c>
      <c r="E378" t="n">
        <v>0.4781643011829615</v>
      </c>
      <c r="F378" t="inlineStr">
        <is>
          <t>BEA 2024 output share (default)</t>
        </is>
      </c>
      <c r="G378" t="n">
        <v>0.4781643011829615</v>
      </c>
    </row>
    <row r="379">
      <c r="A379" t="inlineStr">
        <is>
          <t>SoESCaOMCbIC-capital.csv</t>
        </is>
      </c>
      <c r="B379" t="inlineStr">
        <is>
          <t>wind</t>
        </is>
      </c>
      <c r="C379" t="inlineStr">
        <is>
          <t>ISIC 50</t>
        </is>
      </c>
      <c r="D379" t="inlineStr">
        <is>
          <t>ISIC 49T53</t>
        </is>
      </c>
      <c r="E379" t="n">
        <v>0.04258639396614965</v>
      </c>
      <c r="F379" t="inlineStr">
        <is>
          <t>BEA 2024 output share (default)</t>
        </is>
      </c>
      <c r="G379" t="n">
        <v>0.04258639396614965</v>
      </c>
    </row>
    <row r="380">
      <c r="A380" t="inlineStr">
        <is>
          <t>SoESCaOMCbIC-capital.csv</t>
        </is>
      </c>
      <c r="B380" t="inlineStr">
        <is>
          <t>wind</t>
        </is>
      </c>
      <c r="C380" t="inlineStr">
        <is>
          <t>ISIC 51</t>
        </is>
      </c>
      <c r="D380" t="inlineStr">
        <is>
          <t>ISIC 49T53</t>
        </is>
      </c>
      <c r="E380" t="n">
        <v>0.1808024634415262</v>
      </c>
      <c r="F380" t="inlineStr">
        <is>
          <t>BEA 2024 output share (default)</t>
        </is>
      </c>
      <c r="G380" t="n">
        <v>0.1808024634415262</v>
      </c>
    </row>
    <row r="381">
      <c r="A381" t="inlineStr">
        <is>
          <t>SoESCaOMCbIC-capital.csv</t>
        </is>
      </c>
      <c r="B381" t="inlineStr">
        <is>
          <t>wind</t>
        </is>
      </c>
      <c r="C381" t="inlineStr">
        <is>
          <t>ISIC 52</t>
        </is>
      </c>
      <c r="D381" t="inlineStr">
        <is>
          <t>ISIC 49T53</t>
        </is>
      </c>
      <c r="E381" t="n">
        <v>0.2139060571318126</v>
      </c>
      <c r="F381" t="inlineStr">
        <is>
          <t>BEA 2024 output share (default)</t>
        </is>
      </c>
      <c r="G381" t="n">
        <v>0.2139060571318126</v>
      </c>
    </row>
    <row r="382">
      <c r="A382" t="inlineStr">
        <is>
          <t>SoESCaOMCbIC-capital.csv</t>
        </is>
      </c>
      <c r="B382" t="inlineStr">
        <is>
          <t>wind</t>
        </is>
      </c>
      <c r="C382" t="inlineStr">
        <is>
          <t>ISIC 53</t>
        </is>
      </c>
      <c r="D382" t="inlineStr">
        <is>
          <t>ISIC 49T53</t>
        </is>
      </c>
      <c r="E382" t="n">
        <v>0.08454078427755009</v>
      </c>
      <c r="F382" t="inlineStr">
        <is>
          <t>BEA 2024 output share (default)</t>
        </is>
      </c>
      <c r="G382" t="n">
        <v>0.08454078427755009</v>
      </c>
    </row>
    <row r="383">
      <c r="A383" t="inlineStr">
        <is>
          <t>SoESCaOMCbIC-capital.csv</t>
        </is>
      </c>
      <c r="B383" t="inlineStr">
        <is>
          <t>wind</t>
        </is>
      </c>
      <c r="C383" t="inlineStr">
        <is>
          <t>ISIC 69T75</t>
        </is>
      </c>
      <c r="D383" t="inlineStr">
        <is>
          <t>ISIC 69T82</t>
        </is>
      </c>
      <c r="E383" t="n">
        <v>1</v>
      </c>
      <c r="F383" t="inlineStr">
        <is>
          <t>semantic override</t>
        </is>
      </c>
      <c r="G383" t="n">
        <v>0.7298219447914125</v>
      </c>
    </row>
    <row r="384">
      <c r="A384" t="inlineStr">
        <is>
          <t>SoESCaOMCbIC-capital.csv</t>
        </is>
      </c>
      <c r="B384" t="inlineStr">
        <is>
          <t>wind</t>
        </is>
      </c>
      <c r="C384" t="inlineStr">
        <is>
          <t>ISIC 77T82</t>
        </is>
      </c>
      <c r="D384" t="inlineStr">
        <is>
          <t>ISIC 69T82</t>
        </is>
      </c>
      <c r="E384" t="n">
        <v>0</v>
      </c>
      <c r="F384" t="inlineStr">
        <is>
          <t>semantic override</t>
        </is>
      </c>
      <c r="G384" t="n">
        <v>0.2701780552085875</v>
      </c>
    </row>
    <row r="385">
      <c r="A385" t="inlineStr">
        <is>
          <t>SoESCaOMCbIC-capital.csv</t>
        </is>
      </c>
      <c r="B385" t="inlineStr">
        <is>
          <t>wind</t>
        </is>
      </c>
      <c r="C385" t="inlineStr">
        <is>
          <t>ISIC 90T93</t>
        </is>
      </c>
      <c r="D385" t="inlineStr">
        <is>
          <t>ISIC 90T96</t>
        </is>
      </c>
      <c r="E385" t="n">
        <v>0.4216249514352275</v>
      </c>
      <c r="F385" t="inlineStr">
        <is>
          <t>BEA 2024 output share (default)</t>
        </is>
      </c>
      <c r="G385" t="n">
        <v>0.4216249514352275</v>
      </c>
    </row>
    <row r="386">
      <c r="A386" t="inlineStr">
        <is>
          <t>SoESCaOMCbIC-capital.csv</t>
        </is>
      </c>
      <c r="B386" t="inlineStr">
        <is>
          <t>wind</t>
        </is>
      </c>
      <c r="C386" t="inlineStr">
        <is>
          <t>ISIC 94T96</t>
        </is>
      </c>
      <c r="D386" t="inlineStr">
        <is>
          <t>ISIC 90T96</t>
        </is>
      </c>
      <c r="E386" t="n">
        <v>0.5783750485647725</v>
      </c>
      <c r="F386" t="inlineStr">
        <is>
          <t>BEA 2024 output share (default)</t>
        </is>
      </c>
      <c r="G386" t="n">
        <v>0.5783750485647725</v>
      </c>
    </row>
    <row r="387">
      <c r="A387" t="inlineStr">
        <is>
          <t>SoESCaOMCbIC-fixedOM.csv</t>
        </is>
      </c>
      <c r="B387" t="inlineStr">
        <is>
          <t>biomass</t>
        </is>
      </c>
      <c r="C387" t="inlineStr">
        <is>
          <t>ISIC 01</t>
        </is>
      </c>
      <c r="D387" t="inlineStr">
        <is>
          <t>ISIC 01T03</t>
        </is>
      </c>
      <c r="E387" t="n">
        <v>0.9429986826432329</v>
      </c>
      <c r="F387" t="inlineStr">
        <is>
          <t>BEA 2024 output share (default)</t>
        </is>
      </c>
      <c r="G387" t="n">
        <v>0.9429986826432329</v>
      </c>
    </row>
    <row r="388">
      <c r="A388" t="inlineStr">
        <is>
          <t>SoESCaOMCbIC-fixedOM.csv</t>
        </is>
      </c>
      <c r="B388" t="inlineStr">
        <is>
          <t>biomass</t>
        </is>
      </c>
      <c r="C388" t="inlineStr">
        <is>
          <t>ISIC 02</t>
        </is>
      </c>
      <c r="D388" t="inlineStr">
        <is>
          <t>ISIC 01T03</t>
        </is>
      </c>
      <c r="E388" t="n">
        <v>0.04176573136965662</v>
      </c>
      <c r="F388" t="inlineStr">
        <is>
          <t>BEA 2024 output share (default)</t>
        </is>
      </c>
      <c r="G388" t="n">
        <v>0.04176573136965662</v>
      </c>
    </row>
    <row r="389">
      <c r="A389" t="inlineStr">
        <is>
          <t>SoESCaOMCbIC-fixedOM.csv</t>
        </is>
      </c>
      <c r="B389" t="inlineStr">
        <is>
          <t>biomass</t>
        </is>
      </c>
      <c r="C389" t="inlineStr">
        <is>
          <t>ISIC 03</t>
        </is>
      </c>
      <c r="D389" t="inlineStr">
        <is>
          <t>ISIC 01T03</t>
        </is>
      </c>
      <c r="E389" t="n">
        <v>0.01523558598711041</v>
      </c>
      <c r="F389" t="inlineStr">
        <is>
          <t>BEA 2024 output share (default)</t>
        </is>
      </c>
      <c r="G389" t="n">
        <v>0.01523558598711041</v>
      </c>
    </row>
    <row r="390">
      <c r="A390" t="inlineStr">
        <is>
          <t>SoESCaOMCbIC-fixedOM.csv</t>
        </is>
      </c>
      <c r="B390" t="inlineStr">
        <is>
          <t>biomass</t>
        </is>
      </c>
      <c r="C390" t="inlineStr">
        <is>
          <t>ISIC 07</t>
        </is>
      </c>
      <c r="D390" t="inlineStr">
        <is>
          <t>ISIC 07T08</t>
        </is>
      </c>
      <c r="E390" t="n">
        <v>0.4327368836123752</v>
      </c>
      <c r="F390" t="inlineStr">
        <is>
          <t>BEA 2024 output share (default)</t>
        </is>
      </c>
      <c r="G390" t="n">
        <v>0.4327368836123752</v>
      </c>
    </row>
    <row r="391">
      <c r="A391" t="inlineStr">
        <is>
          <t>SoESCaOMCbIC-fixedOM.csv</t>
        </is>
      </c>
      <c r="B391" t="inlineStr">
        <is>
          <t>biomass</t>
        </is>
      </c>
      <c r="C391" t="inlineStr">
        <is>
          <t>ISIC 08</t>
        </is>
      </c>
      <c r="D391" t="inlineStr">
        <is>
          <t>ISIC 07T08</t>
        </is>
      </c>
      <c r="E391" t="n">
        <v>0.5672631163876248</v>
      </c>
      <c r="F391" t="inlineStr">
        <is>
          <t>BEA 2024 output share (default)</t>
        </is>
      </c>
      <c r="G391" t="n">
        <v>0.5672631163876248</v>
      </c>
    </row>
    <row r="392">
      <c r="A392" t="inlineStr">
        <is>
          <t>SoESCaOMCbIC-fixedOM.csv</t>
        </is>
      </c>
      <c r="B392" t="inlineStr">
        <is>
          <t>biomass</t>
        </is>
      </c>
      <c r="C392" t="inlineStr">
        <is>
          <t>ISIC 301</t>
        </is>
      </c>
      <c r="D392" t="inlineStr">
        <is>
          <t>ISIC 30</t>
        </is>
      </c>
      <c r="E392" t="n">
        <v>0.1171368722490322</v>
      </c>
      <c r="F392" t="inlineStr">
        <is>
          <t>BEA 2024 output share (default)</t>
        </is>
      </c>
      <c r="G392" t="n">
        <v>0.1171368722490322</v>
      </c>
    </row>
    <row r="393">
      <c r="A393" t="inlineStr">
        <is>
          <t>SoESCaOMCbIC-fixedOM.csv</t>
        </is>
      </c>
      <c r="B393" t="inlineStr">
        <is>
          <t>biomass</t>
        </is>
      </c>
      <c r="C393" t="inlineStr">
        <is>
          <t>ISIC 302T309</t>
        </is>
      </c>
      <c r="D393" t="inlineStr">
        <is>
          <t>ISIC 30</t>
        </is>
      </c>
      <c r="E393" t="n">
        <v>0.8828631277509678</v>
      </c>
      <c r="F393" t="inlineStr">
        <is>
          <t>BEA 2024 output share (default)</t>
        </is>
      </c>
      <c r="G393" t="n">
        <v>0.8828631277509678</v>
      </c>
    </row>
    <row r="394">
      <c r="A394" t="inlineStr">
        <is>
          <t>SoESCaOMCbIC-fixedOM.csv</t>
        </is>
      </c>
      <c r="B394" t="inlineStr">
        <is>
          <t>biomass</t>
        </is>
      </c>
      <c r="C394" t="inlineStr">
        <is>
          <t>ISIC 49</t>
        </is>
      </c>
      <c r="D394" t="inlineStr">
        <is>
          <t>ISIC 49T53</t>
        </is>
      </c>
      <c r="E394" t="n">
        <v>0.4781643011829615</v>
      </c>
      <c r="F394" t="inlineStr">
        <is>
          <t>BEA 2024 output share (default)</t>
        </is>
      </c>
      <c r="G394" t="n">
        <v>0.4781643011829615</v>
      </c>
    </row>
    <row r="395">
      <c r="A395" t="inlineStr">
        <is>
          <t>SoESCaOMCbIC-fixedOM.csv</t>
        </is>
      </c>
      <c r="B395" t="inlineStr">
        <is>
          <t>biomass</t>
        </is>
      </c>
      <c r="C395" t="inlineStr">
        <is>
          <t>ISIC 50</t>
        </is>
      </c>
      <c r="D395" t="inlineStr">
        <is>
          <t>ISIC 49T53</t>
        </is>
      </c>
      <c r="E395" t="n">
        <v>0.04258639396614965</v>
      </c>
      <c r="F395" t="inlineStr">
        <is>
          <t>BEA 2024 output share (default)</t>
        </is>
      </c>
      <c r="G395" t="n">
        <v>0.04258639396614965</v>
      </c>
    </row>
    <row r="396">
      <c r="A396" t="inlineStr">
        <is>
          <t>SoESCaOMCbIC-fixedOM.csv</t>
        </is>
      </c>
      <c r="B396" t="inlineStr">
        <is>
          <t>biomass</t>
        </is>
      </c>
      <c r="C396" t="inlineStr">
        <is>
          <t>ISIC 51</t>
        </is>
      </c>
      <c r="D396" t="inlineStr">
        <is>
          <t>ISIC 49T53</t>
        </is>
      </c>
      <c r="E396" t="n">
        <v>0.1808024634415262</v>
      </c>
      <c r="F396" t="inlineStr">
        <is>
          <t>BEA 2024 output share (default)</t>
        </is>
      </c>
      <c r="G396" t="n">
        <v>0.1808024634415262</v>
      </c>
    </row>
    <row r="397">
      <c r="A397" t="inlineStr">
        <is>
          <t>SoESCaOMCbIC-fixedOM.csv</t>
        </is>
      </c>
      <c r="B397" t="inlineStr">
        <is>
          <t>biomass</t>
        </is>
      </c>
      <c r="C397" t="inlineStr">
        <is>
          <t>ISIC 52</t>
        </is>
      </c>
      <c r="D397" t="inlineStr">
        <is>
          <t>ISIC 49T53</t>
        </is>
      </c>
      <c r="E397" t="n">
        <v>0.2139060571318126</v>
      </c>
      <c r="F397" t="inlineStr">
        <is>
          <t>BEA 2024 output share (default)</t>
        </is>
      </c>
      <c r="G397" t="n">
        <v>0.2139060571318126</v>
      </c>
    </row>
    <row r="398">
      <c r="A398" t="inlineStr">
        <is>
          <t>SoESCaOMCbIC-fixedOM.csv</t>
        </is>
      </c>
      <c r="B398" t="inlineStr">
        <is>
          <t>biomass</t>
        </is>
      </c>
      <c r="C398" t="inlineStr">
        <is>
          <t>ISIC 53</t>
        </is>
      </c>
      <c r="D398" t="inlineStr">
        <is>
          <t>ISIC 49T53</t>
        </is>
      </c>
      <c r="E398" t="n">
        <v>0.08454078427755009</v>
      </c>
      <c r="F398" t="inlineStr">
        <is>
          <t>BEA 2024 output share (default)</t>
        </is>
      </c>
      <c r="G398" t="n">
        <v>0.08454078427755009</v>
      </c>
    </row>
    <row r="399">
      <c r="A399" t="inlineStr">
        <is>
          <t>SoESCaOMCbIC-fixedOM.csv</t>
        </is>
      </c>
      <c r="B399" t="inlineStr">
        <is>
          <t>biomass</t>
        </is>
      </c>
      <c r="C399" t="inlineStr">
        <is>
          <t>ISIC 69T75</t>
        </is>
      </c>
      <c r="D399" t="inlineStr">
        <is>
          <t>ISIC 69T82</t>
        </is>
      </c>
      <c r="E399" t="n">
        <v>1</v>
      </c>
      <c r="F399" t="inlineStr">
        <is>
          <t>semantic override</t>
        </is>
      </c>
      <c r="G399" t="n">
        <v>0.7298219447914125</v>
      </c>
    </row>
    <row r="400">
      <c r="A400" t="inlineStr">
        <is>
          <t>SoESCaOMCbIC-fixedOM.csv</t>
        </is>
      </c>
      <c r="B400" t="inlineStr">
        <is>
          <t>biomass</t>
        </is>
      </c>
      <c r="C400" t="inlineStr">
        <is>
          <t>ISIC 77T82</t>
        </is>
      </c>
      <c r="D400" t="inlineStr">
        <is>
          <t>ISIC 69T82</t>
        </is>
      </c>
      <c r="E400" t="n">
        <v>0</v>
      </c>
      <c r="F400" t="inlineStr">
        <is>
          <t>semantic override</t>
        </is>
      </c>
      <c r="G400" t="n">
        <v>0.2701780552085875</v>
      </c>
    </row>
    <row r="401">
      <c r="A401" t="inlineStr">
        <is>
          <t>SoESCaOMCbIC-fixedOM.csv</t>
        </is>
      </c>
      <c r="B401" t="inlineStr">
        <is>
          <t>biomass</t>
        </is>
      </c>
      <c r="C401" t="inlineStr">
        <is>
          <t>ISIC 90T93</t>
        </is>
      </c>
      <c r="D401" t="inlineStr">
        <is>
          <t>ISIC 90T96</t>
        </is>
      </c>
      <c r="E401" t="n">
        <v>0.4216249514352275</v>
      </c>
      <c r="F401" t="inlineStr">
        <is>
          <t>BEA 2024 output share (default)</t>
        </is>
      </c>
      <c r="G401" t="n">
        <v>0.4216249514352275</v>
      </c>
    </row>
    <row r="402">
      <c r="A402" t="inlineStr">
        <is>
          <t>SoESCaOMCbIC-fixedOM.csv</t>
        </is>
      </c>
      <c r="B402" t="inlineStr">
        <is>
          <t>biomass</t>
        </is>
      </c>
      <c r="C402" t="inlineStr">
        <is>
          <t>ISIC 94T96</t>
        </is>
      </c>
      <c r="D402" t="inlineStr">
        <is>
          <t>ISIC 90T96</t>
        </is>
      </c>
      <c r="E402" t="n">
        <v>0.5783750485647725</v>
      </c>
      <c r="F402" t="inlineStr">
        <is>
          <t>BEA 2024 output share (default)</t>
        </is>
      </c>
      <c r="G402" t="n">
        <v>0.5783750485647725</v>
      </c>
    </row>
    <row r="403">
      <c r="A403" t="inlineStr">
        <is>
          <t>SoESCaOMCbIC-fixedOM.csv</t>
        </is>
      </c>
      <c r="B403" t="inlineStr">
        <is>
          <t>biomass w CCS</t>
        </is>
      </c>
      <c r="C403" t="inlineStr">
        <is>
          <t>ISIC 01</t>
        </is>
      </c>
      <c r="D403" t="inlineStr">
        <is>
          <t>ISIC 01T03</t>
        </is>
      </c>
      <c r="E403" t="n">
        <v>0.9429986826432329</v>
      </c>
      <c r="F403" t="inlineStr">
        <is>
          <t>BEA 2024 output share (default)</t>
        </is>
      </c>
      <c r="G403" t="n">
        <v>0.9429986826432329</v>
      </c>
    </row>
    <row r="404">
      <c r="A404" t="inlineStr">
        <is>
          <t>SoESCaOMCbIC-fixedOM.csv</t>
        </is>
      </c>
      <c r="B404" t="inlineStr">
        <is>
          <t>biomass w CCS</t>
        </is>
      </c>
      <c r="C404" t="inlineStr">
        <is>
          <t>ISIC 02</t>
        </is>
      </c>
      <c r="D404" t="inlineStr">
        <is>
          <t>ISIC 01T03</t>
        </is>
      </c>
      <c r="E404" t="n">
        <v>0.04176573136965662</v>
      </c>
      <c r="F404" t="inlineStr">
        <is>
          <t>BEA 2024 output share (default)</t>
        </is>
      </c>
      <c r="G404" t="n">
        <v>0.04176573136965662</v>
      </c>
    </row>
    <row r="405">
      <c r="A405" t="inlineStr">
        <is>
          <t>SoESCaOMCbIC-fixedOM.csv</t>
        </is>
      </c>
      <c r="B405" t="inlineStr">
        <is>
          <t>biomass w CCS</t>
        </is>
      </c>
      <c r="C405" t="inlineStr">
        <is>
          <t>ISIC 03</t>
        </is>
      </c>
      <c r="D405" t="inlineStr">
        <is>
          <t>ISIC 01T03</t>
        </is>
      </c>
      <c r="E405" t="n">
        <v>0.01523558598711041</v>
      </c>
      <c r="F405" t="inlineStr">
        <is>
          <t>BEA 2024 output share (default)</t>
        </is>
      </c>
      <c r="G405" t="n">
        <v>0.01523558598711041</v>
      </c>
    </row>
    <row r="406">
      <c r="A406" t="inlineStr">
        <is>
          <t>SoESCaOMCbIC-fixedOM.csv</t>
        </is>
      </c>
      <c r="B406" t="inlineStr">
        <is>
          <t>biomass w CCS</t>
        </is>
      </c>
      <c r="C406" t="inlineStr">
        <is>
          <t>ISIC 07</t>
        </is>
      </c>
      <c r="D406" t="inlineStr">
        <is>
          <t>ISIC 07T08</t>
        </is>
      </c>
      <c r="E406" t="n">
        <v>0.4327368836123752</v>
      </c>
      <c r="F406" t="inlineStr">
        <is>
          <t>BEA 2024 output share (default)</t>
        </is>
      </c>
      <c r="G406" t="n">
        <v>0.4327368836123752</v>
      </c>
    </row>
    <row r="407">
      <c r="A407" t="inlineStr">
        <is>
          <t>SoESCaOMCbIC-fixedOM.csv</t>
        </is>
      </c>
      <c r="B407" t="inlineStr">
        <is>
          <t>biomass w CCS</t>
        </is>
      </c>
      <c r="C407" t="inlineStr">
        <is>
          <t>ISIC 08</t>
        </is>
      </c>
      <c r="D407" t="inlineStr">
        <is>
          <t>ISIC 07T08</t>
        </is>
      </c>
      <c r="E407" t="n">
        <v>0.5672631163876248</v>
      </c>
      <c r="F407" t="inlineStr">
        <is>
          <t>BEA 2024 output share (default)</t>
        </is>
      </c>
      <c r="G407" t="n">
        <v>0.5672631163876248</v>
      </c>
    </row>
    <row r="408">
      <c r="A408" t="inlineStr">
        <is>
          <t>SoESCaOMCbIC-fixedOM.csv</t>
        </is>
      </c>
      <c r="B408" t="inlineStr">
        <is>
          <t>biomass w CCS</t>
        </is>
      </c>
      <c r="C408" t="inlineStr">
        <is>
          <t>ISIC 301</t>
        </is>
      </c>
      <c r="D408" t="inlineStr">
        <is>
          <t>ISIC 30</t>
        </is>
      </c>
      <c r="E408" t="n">
        <v>0.1171368722490322</v>
      </c>
      <c r="F408" t="inlineStr">
        <is>
          <t>BEA 2024 output share (default)</t>
        </is>
      </c>
      <c r="G408" t="n">
        <v>0.1171368722490322</v>
      </c>
    </row>
    <row r="409">
      <c r="A409" t="inlineStr">
        <is>
          <t>SoESCaOMCbIC-fixedOM.csv</t>
        </is>
      </c>
      <c r="B409" t="inlineStr">
        <is>
          <t>biomass w CCS</t>
        </is>
      </c>
      <c r="C409" t="inlineStr">
        <is>
          <t>ISIC 302T309</t>
        </is>
      </c>
      <c r="D409" t="inlineStr">
        <is>
          <t>ISIC 30</t>
        </is>
      </c>
      <c r="E409" t="n">
        <v>0.8828631277509678</v>
      </c>
      <c r="F409" t="inlineStr">
        <is>
          <t>BEA 2024 output share (default)</t>
        </is>
      </c>
      <c r="G409" t="n">
        <v>0.8828631277509678</v>
      </c>
    </row>
    <row r="410">
      <c r="A410" t="inlineStr">
        <is>
          <t>SoESCaOMCbIC-fixedOM.csv</t>
        </is>
      </c>
      <c r="B410" t="inlineStr">
        <is>
          <t>biomass w CCS</t>
        </is>
      </c>
      <c r="C410" t="inlineStr">
        <is>
          <t>ISIC 49</t>
        </is>
      </c>
      <c r="D410" t="inlineStr">
        <is>
          <t>ISIC 49T53</t>
        </is>
      </c>
      <c r="E410" t="n">
        <v>0.4781643011829615</v>
      </c>
      <c r="F410" t="inlineStr">
        <is>
          <t>BEA 2024 output share (default)</t>
        </is>
      </c>
      <c r="G410" t="n">
        <v>0.4781643011829615</v>
      </c>
    </row>
    <row r="411">
      <c r="A411" t="inlineStr">
        <is>
          <t>SoESCaOMCbIC-fixedOM.csv</t>
        </is>
      </c>
      <c r="B411" t="inlineStr">
        <is>
          <t>biomass w CCS</t>
        </is>
      </c>
      <c r="C411" t="inlineStr">
        <is>
          <t>ISIC 50</t>
        </is>
      </c>
      <c r="D411" t="inlineStr">
        <is>
          <t>ISIC 49T53</t>
        </is>
      </c>
      <c r="E411" t="n">
        <v>0.04258639396614965</v>
      </c>
      <c r="F411" t="inlineStr">
        <is>
          <t>BEA 2024 output share (default)</t>
        </is>
      </c>
      <c r="G411" t="n">
        <v>0.04258639396614965</v>
      </c>
    </row>
    <row r="412">
      <c r="A412" t="inlineStr">
        <is>
          <t>SoESCaOMCbIC-fixedOM.csv</t>
        </is>
      </c>
      <c r="B412" t="inlineStr">
        <is>
          <t>biomass w CCS</t>
        </is>
      </c>
      <c r="C412" t="inlineStr">
        <is>
          <t>ISIC 51</t>
        </is>
      </c>
      <c r="D412" t="inlineStr">
        <is>
          <t>ISIC 49T53</t>
        </is>
      </c>
      <c r="E412" t="n">
        <v>0.1808024634415262</v>
      </c>
      <c r="F412" t="inlineStr">
        <is>
          <t>BEA 2024 output share (default)</t>
        </is>
      </c>
      <c r="G412" t="n">
        <v>0.1808024634415262</v>
      </c>
    </row>
    <row r="413">
      <c r="A413" t="inlineStr">
        <is>
          <t>SoESCaOMCbIC-fixedOM.csv</t>
        </is>
      </c>
      <c r="B413" t="inlineStr">
        <is>
          <t>biomass w CCS</t>
        </is>
      </c>
      <c r="C413" t="inlineStr">
        <is>
          <t>ISIC 52</t>
        </is>
      </c>
      <c r="D413" t="inlineStr">
        <is>
          <t>ISIC 49T53</t>
        </is>
      </c>
      <c r="E413" t="n">
        <v>0.2139060571318126</v>
      </c>
      <c r="F413" t="inlineStr">
        <is>
          <t>BEA 2024 output share (default)</t>
        </is>
      </c>
      <c r="G413" t="n">
        <v>0.2139060571318126</v>
      </c>
    </row>
    <row r="414">
      <c r="A414" t="inlineStr">
        <is>
          <t>SoESCaOMCbIC-fixedOM.csv</t>
        </is>
      </c>
      <c r="B414" t="inlineStr">
        <is>
          <t>biomass w CCS</t>
        </is>
      </c>
      <c r="C414" t="inlineStr">
        <is>
          <t>ISIC 53</t>
        </is>
      </c>
      <c r="D414" t="inlineStr">
        <is>
          <t>ISIC 49T53</t>
        </is>
      </c>
      <c r="E414" t="n">
        <v>0.08454078427755009</v>
      </c>
      <c r="F414" t="inlineStr">
        <is>
          <t>BEA 2024 output share (default)</t>
        </is>
      </c>
      <c r="G414" t="n">
        <v>0.08454078427755009</v>
      </c>
    </row>
    <row r="415">
      <c r="A415" t="inlineStr">
        <is>
          <t>SoESCaOMCbIC-fixedOM.csv</t>
        </is>
      </c>
      <c r="B415" t="inlineStr">
        <is>
          <t>biomass w CCS</t>
        </is>
      </c>
      <c r="C415" t="inlineStr">
        <is>
          <t>ISIC 69T75</t>
        </is>
      </c>
      <c r="D415" t="inlineStr">
        <is>
          <t>ISIC 69T82</t>
        </is>
      </c>
      <c r="E415" t="n">
        <v>1</v>
      </c>
      <c r="F415" t="inlineStr">
        <is>
          <t>semantic override</t>
        </is>
      </c>
      <c r="G415" t="n">
        <v>0.7298219447914125</v>
      </c>
    </row>
    <row r="416">
      <c r="A416" t="inlineStr">
        <is>
          <t>SoESCaOMCbIC-fixedOM.csv</t>
        </is>
      </c>
      <c r="B416" t="inlineStr">
        <is>
          <t>biomass w CCS</t>
        </is>
      </c>
      <c r="C416" t="inlineStr">
        <is>
          <t>ISIC 77T82</t>
        </is>
      </c>
      <c r="D416" t="inlineStr">
        <is>
          <t>ISIC 69T82</t>
        </is>
      </c>
      <c r="E416" t="n">
        <v>0</v>
      </c>
      <c r="F416" t="inlineStr">
        <is>
          <t>semantic override</t>
        </is>
      </c>
      <c r="G416" t="n">
        <v>0.2701780552085875</v>
      </c>
    </row>
    <row r="417">
      <c r="A417" t="inlineStr">
        <is>
          <t>SoESCaOMCbIC-fixedOM.csv</t>
        </is>
      </c>
      <c r="B417" t="inlineStr">
        <is>
          <t>biomass w CCS</t>
        </is>
      </c>
      <c r="C417" t="inlineStr">
        <is>
          <t>ISIC 90T93</t>
        </is>
      </c>
      <c r="D417" t="inlineStr">
        <is>
          <t>ISIC 90T96</t>
        </is>
      </c>
      <c r="E417" t="n">
        <v>0.4216249514352275</v>
      </c>
      <c r="F417" t="inlineStr">
        <is>
          <t>BEA 2024 output share (default)</t>
        </is>
      </c>
      <c r="G417" t="n">
        <v>0.4216249514352275</v>
      </c>
    </row>
    <row r="418">
      <c r="A418" t="inlineStr">
        <is>
          <t>SoESCaOMCbIC-fixedOM.csv</t>
        </is>
      </c>
      <c r="B418" t="inlineStr">
        <is>
          <t>biomass w CCS</t>
        </is>
      </c>
      <c r="C418" t="inlineStr">
        <is>
          <t>ISIC 94T96</t>
        </is>
      </c>
      <c r="D418" t="inlineStr">
        <is>
          <t>ISIC 90T96</t>
        </is>
      </c>
      <c r="E418" t="n">
        <v>0.5783750485647725</v>
      </c>
      <c r="F418" t="inlineStr">
        <is>
          <t>BEA 2024 output share (default)</t>
        </is>
      </c>
      <c r="G418" t="n">
        <v>0.5783750485647725</v>
      </c>
    </row>
    <row r="419">
      <c r="A419" t="inlineStr">
        <is>
          <t>SoESCaOMCbIC-fixedOM.csv</t>
        </is>
      </c>
      <c r="B419" t="inlineStr">
        <is>
          <t>crude oil</t>
        </is>
      </c>
      <c r="C419" t="inlineStr">
        <is>
          <t>ISIC 01</t>
        </is>
      </c>
      <c r="D419" t="inlineStr">
        <is>
          <t>ISIC 01T03</t>
        </is>
      </c>
      <c r="E419" t="n">
        <v>0.9429986826432329</v>
      </c>
      <c r="F419" t="inlineStr">
        <is>
          <t>BEA 2024 output share (default)</t>
        </is>
      </c>
      <c r="G419" t="n">
        <v>0.9429986826432329</v>
      </c>
    </row>
    <row r="420">
      <c r="A420" t="inlineStr">
        <is>
          <t>SoESCaOMCbIC-fixedOM.csv</t>
        </is>
      </c>
      <c r="B420" t="inlineStr">
        <is>
          <t>crude oil</t>
        </is>
      </c>
      <c r="C420" t="inlineStr">
        <is>
          <t>ISIC 02</t>
        </is>
      </c>
      <c r="D420" t="inlineStr">
        <is>
          <t>ISIC 01T03</t>
        </is>
      </c>
      <c r="E420" t="n">
        <v>0.04176573136965662</v>
      </c>
      <c r="F420" t="inlineStr">
        <is>
          <t>BEA 2024 output share (default)</t>
        </is>
      </c>
      <c r="G420" t="n">
        <v>0.04176573136965662</v>
      </c>
    </row>
    <row r="421">
      <c r="A421" t="inlineStr">
        <is>
          <t>SoESCaOMCbIC-fixedOM.csv</t>
        </is>
      </c>
      <c r="B421" t="inlineStr">
        <is>
          <t>crude oil</t>
        </is>
      </c>
      <c r="C421" t="inlineStr">
        <is>
          <t>ISIC 03</t>
        </is>
      </c>
      <c r="D421" t="inlineStr">
        <is>
          <t>ISIC 01T03</t>
        </is>
      </c>
      <c r="E421" t="n">
        <v>0.01523558598711041</v>
      </c>
      <c r="F421" t="inlineStr">
        <is>
          <t>BEA 2024 output share (default)</t>
        </is>
      </c>
      <c r="G421" t="n">
        <v>0.01523558598711041</v>
      </c>
    </row>
    <row r="422">
      <c r="A422" t="inlineStr">
        <is>
          <t>SoESCaOMCbIC-fixedOM.csv</t>
        </is>
      </c>
      <c r="B422" t="inlineStr">
        <is>
          <t>crude oil</t>
        </is>
      </c>
      <c r="C422" t="inlineStr">
        <is>
          <t>ISIC 07</t>
        </is>
      </c>
      <c r="D422" t="inlineStr">
        <is>
          <t>ISIC 07T08</t>
        </is>
      </c>
      <c r="E422" t="n">
        <v>0.4327368836123752</v>
      </c>
      <c r="F422" t="inlineStr">
        <is>
          <t>BEA 2024 output share (default)</t>
        </is>
      </c>
      <c r="G422" t="n">
        <v>0.4327368836123752</v>
      </c>
    </row>
    <row r="423">
      <c r="A423" t="inlineStr">
        <is>
          <t>SoESCaOMCbIC-fixedOM.csv</t>
        </is>
      </c>
      <c r="B423" t="inlineStr">
        <is>
          <t>crude oil</t>
        </is>
      </c>
      <c r="C423" t="inlineStr">
        <is>
          <t>ISIC 08</t>
        </is>
      </c>
      <c r="D423" t="inlineStr">
        <is>
          <t>ISIC 07T08</t>
        </is>
      </c>
      <c r="E423" t="n">
        <v>0.5672631163876248</v>
      </c>
      <c r="F423" t="inlineStr">
        <is>
          <t>BEA 2024 output share (default)</t>
        </is>
      </c>
      <c r="G423" t="n">
        <v>0.5672631163876248</v>
      </c>
    </row>
    <row r="424">
      <c r="A424" t="inlineStr">
        <is>
          <t>SoESCaOMCbIC-fixedOM.csv</t>
        </is>
      </c>
      <c r="B424" t="inlineStr">
        <is>
          <t>crude oil</t>
        </is>
      </c>
      <c r="C424" t="inlineStr">
        <is>
          <t>ISIC 301</t>
        </is>
      </c>
      <c r="D424" t="inlineStr">
        <is>
          <t>ISIC 30</t>
        </is>
      </c>
      <c r="E424" t="n">
        <v>0.1171368722490322</v>
      </c>
      <c r="F424" t="inlineStr">
        <is>
          <t>BEA 2024 output share (default)</t>
        </is>
      </c>
      <c r="G424" t="n">
        <v>0.1171368722490322</v>
      </c>
    </row>
    <row r="425">
      <c r="A425" t="inlineStr">
        <is>
          <t>SoESCaOMCbIC-fixedOM.csv</t>
        </is>
      </c>
      <c r="B425" t="inlineStr">
        <is>
          <t>crude oil</t>
        </is>
      </c>
      <c r="C425" t="inlineStr">
        <is>
          <t>ISIC 302T309</t>
        </is>
      </c>
      <c r="D425" t="inlineStr">
        <is>
          <t>ISIC 30</t>
        </is>
      </c>
      <c r="E425" t="n">
        <v>0.8828631277509678</v>
      </c>
      <c r="F425" t="inlineStr">
        <is>
          <t>BEA 2024 output share (default)</t>
        </is>
      </c>
      <c r="G425" t="n">
        <v>0.8828631277509678</v>
      </c>
    </row>
    <row r="426">
      <c r="A426" t="inlineStr">
        <is>
          <t>SoESCaOMCbIC-fixedOM.csv</t>
        </is>
      </c>
      <c r="B426" t="inlineStr">
        <is>
          <t>crude oil</t>
        </is>
      </c>
      <c r="C426" t="inlineStr">
        <is>
          <t>ISIC 49</t>
        </is>
      </c>
      <c r="D426" t="inlineStr">
        <is>
          <t>ISIC 49T53</t>
        </is>
      </c>
      <c r="E426" t="n">
        <v>0.4781643011829615</v>
      </c>
      <c r="F426" t="inlineStr">
        <is>
          <t>BEA 2024 output share (default)</t>
        </is>
      </c>
      <c r="G426" t="n">
        <v>0.4781643011829615</v>
      </c>
    </row>
    <row r="427">
      <c r="A427" t="inlineStr">
        <is>
          <t>SoESCaOMCbIC-fixedOM.csv</t>
        </is>
      </c>
      <c r="B427" t="inlineStr">
        <is>
          <t>crude oil</t>
        </is>
      </c>
      <c r="C427" t="inlineStr">
        <is>
          <t>ISIC 50</t>
        </is>
      </c>
      <c r="D427" t="inlineStr">
        <is>
          <t>ISIC 49T53</t>
        </is>
      </c>
      <c r="E427" t="n">
        <v>0.04258639396614965</v>
      </c>
      <c r="F427" t="inlineStr">
        <is>
          <t>BEA 2024 output share (default)</t>
        </is>
      </c>
      <c r="G427" t="n">
        <v>0.04258639396614965</v>
      </c>
    </row>
    <row r="428">
      <c r="A428" t="inlineStr">
        <is>
          <t>SoESCaOMCbIC-fixedOM.csv</t>
        </is>
      </c>
      <c r="B428" t="inlineStr">
        <is>
          <t>crude oil</t>
        </is>
      </c>
      <c r="C428" t="inlineStr">
        <is>
          <t>ISIC 51</t>
        </is>
      </c>
      <c r="D428" t="inlineStr">
        <is>
          <t>ISIC 49T53</t>
        </is>
      </c>
      <c r="E428" t="n">
        <v>0.1808024634415262</v>
      </c>
      <c r="F428" t="inlineStr">
        <is>
          <t>BEA 2024 output share (default)</t>
        </is>
      </c>
      <c r="G428" t="n">
        <v>0.1808024634415262</v>
      </c>
    </row>
    <row r="429">
      <c r="A429" t="inlineStr">
        <is>
          <t>SoESCaOMCbIC-fixedOM.csv</t>
        </is>
      </c>
      <c r="B429" t="inlineStr">
        <is>
          <t>crude oil</t>
        </is>
      </c>
      <c r="C429" t="inlineStr">
        <is>
          <t>ISIC 52</t>
        </is>
      </c>
      <c r="D429" t="inlineStr">
        <is>
          <t>ISIC 49T53</t>
        </is>
      </c>
      <c r="E429" t="n">
        <v>0.2139060571318126</v>
      </c>
      <c r="F429" t="inlineStr">
        <is>
          <t>BEA 2024 output share (default)</t>
        </is>
      </c>
      <c r="G429" t="n">
        <v>0.2139060571318126</v>
      </c>
    </row>
    <row r="430">
      <c r="A430" t="inlineStr">
        <is>
          <t>SoESCaOMCbIC-fixedOM.csv</t>
        </is>
      </c>
      <c r="B430" t="inlineStr">
        <is>
          <t>crude oil</t>
        </is>
      </c>
      <c r="C430" t="inlineStr">
        <is>
          <t>ISIC 53</t>
        </is>
      </c>
      <c r="D430" t="inlineStr">
        <is>
          <t>ISIC 49T53</t>
        </is>
      </c>
      <c r="E430" t="n">
        <v>0.08454078427755009</v>
      </c>
      <c r="F430" t="inlineStr">
        <is>
          <t>BEA 2024 output share (default)</t>
        </is>
      </c>
      <c r="G430" t="n">
        <v>0.08454078427755009</v>
      </c>
    </row>
    <row r="431">
      <c r="A431" t="inlineStr">
        <is>
          <t>SoESCaOMCbIC-fixedOM.csv</t>
        </is>
      </c>
      <c r="B431" t="inlineStr">
        <is>
          <t>crude oil</t>
        </is>
      </c>
      <c r="C431" t="inlineStr">
        <is>
          <t>ISIC 69T75</t>
        </is>
      </c>
      <c r="D431" t="inlineStr">
        <is>
          <t>ISIC 69T82</t>
        </is>
      </c>
      <c r="E431" t="n">
        <v>1</v>
      </c>
      <c r="F431" t="inlineStr">
        <is>
          <t>semantic override</t>
        </is>
      </c>
      <c r="G431" t="n">
        <v>0.7298219447914125</v>
      </c>
    </row>
    <row r="432">
      <c r="A432" t="inlineStr">
        <is>
          <t>SoESCaOMCbIC-fixedOM.csv</t>
        </is>
      </c>
      <c r="B432" t="inlineStr">
        <is>
          <t>crude oil</t>
        </is>
      </c>
      <c r="C432" t="inlineStr">
        <is>
          <t>ISIC 77T82</t>
        </is>
      </c>
      <c r="D432" t="inlineStr">
        <is>
          <t>ISIC 69T82</t>
        </is>
      </c>
      <c r="E432" t="n">
        <v>0</v>
      </c>
      <c r="F432" t="inlineStr">
        <is>
          <t>semantic override</t>
        </is>
      </c>
      <c r="G432" t="n">
        <v>0.2701780552085875</v>
      </c>
    </row>
    <row r="433">
      <c r="A433" t="inlineStr">
        <is>
          <t>SoESCaOMCbIC-fixedOM.csv</t>
        </is>
      </c>
      <c r="B433" t="inlineStr">
        <is>
          <t>crude oil</t>
        </is>
      </c>
      <c r="C433" t="inlineStr">
        <is>
          <t>ISIC 90T93</t>
        </is>
      </c>
      <c r="D433" t="inlineStr">
        <is>
          <t>ISIC 90T96</t>
        </is>
      </c>
      <c r="E433" t="n">
        <v>0.4216249514352275</v>
      </c>
      <c r="F433" t="inlineStr">
        <is>
          <t>BEA 2024 output share (default)</t>
        </is>
      </c>
      <c r="G433" t="n">
        <v>0.4216249514352275</v>
      </c>
    </row>
    <row r="434">
      <c r="A434" t="inlineStr">
        <is>
          <t>SoESCaOMCbIC-fixedOM.csv</t>
        </is>
      </c>
      <c r="B434" t="inlineStr">
        <is>
          <t>crude oil</t>
        </is>
      </c>
      <c r="C434" t="inlineStr">
        <is>
          <t>ISIC 94T96</t>
        </is>
      </c>
      <c r="D434" t="inlineStr">
        <is>
          <t>ISIC 90T96</t>
        </is>
      </c>
      <c r="E434" t="n">
        <v>0.5783750485647725</v>
      </c>
      <c r="F434" t="inlineStr">
        <is>
          <t>BEA 2024 output share (default)</t>
        </is>
      </c>
      <c r="G434" t="n">
        <v>0.5783750485647725</v>
      </c>
    </row>
    <row r="435">
      <c r="A435" t="inlineStr">
        <is>
          <t>SoESCaOMCbIC-fixedOM.csv</t>
        </is>
      </c>
      <c r="B435" t="inlineStr">
        <is>
          <t>geothermal</t>
        </is>
      </c>
      <c r="C435" t="inlineStr">
        <is>
          <t>ISIC 01</t>
        </is>
      </c>
      <c r="D435" t="inlineStr">
        <is>
          <t>ISIC 01T03</t>
        </is>
      </c>
      <c r="E435" t="n">
        <v>0.9429986826432329</v>
      </c>
      <c r="F435" t="inlineStr">
        <is>
          <t>BEA 2024 output share (default)</t>
        </is>
      </c>
      <c r="G435" t="n">
        <v>0.9429986826432329</v>
      </c>
    </row>
    <row r="436">
      <c r="A436" t="inlineStr">
        <is>
          <t>SoESCaOMCbIC-fixedOM.csv</t>
        </is>
      </c>
      <c r="B436" t="inlineStr">
        <is>
          <t>geothermal</t>
        </is>
      </c>
      <c r="C436" t="inlineStr">
        <is>
          <t>ISIC 02</t>
        </is>
      </c>
      <c r="D436" t="inlineStr">
        <is>
          <t>ISIC 01T03</t>
        </is>
      </c>
      <c r="E436" t="n">
        <v>0.04176573136965662</v>
      </c>
      <c r="F436" t="inlineStr">
        <is>
          <t>BEA 2024 output share (default)</t>
        </is>
      </c>
      <c r="G436" t="n">
        <v>0.04176573136965662</v>
      </c>
    </row>
    <row r="437">
      <c r="A437" t="inlineStr">
        <is>
          <t>SoESCaOMCbIC-fixedOM.csv</t>
        </is>
      </c>
      <c r="B437" t="inlineStr">
        <is>
          <t>geothermal</t>
        </is>
      </c>
      <c r="C437" t="inlineStr">
        <is>
          <t>ISIC 03</t>
        </is>
      </c>
      <c r="D437" t="inlineStr">
        <is>
          <t>ISIC 01T03</t>
        </is>
      </c>
      <c r="E437" t="n">
        <v>0.01523558598711041</v>
      </c>
      <c r="F437" t="inlineStr">
        <is>
          <t>BEA 2024 output share (default)</t>
        </is>
      </c>
      <c r="G437" t="n">
        <v>0.01523558598711041</v>
      </c>
    </row>
    <row r="438">
      <c r="A438" t="inlineStr">
        <is>
          <t>SoESCaOMCbIC-fixedOM.csv</t>
        </is>
      </c>
      <c r="B438" t="inlineStr">
        <is>
          <t>geothermal</t>
        </is>
      </c>
      <c r="C438" t="inlineStr">
        <is>
          <t>ISIC 07</t>
        </is>
      </c>
      <c r="D438" t="inlineStr">
        <is>
          <t>ISIC 07T08</t>
        </is>
      </c>
      <c r="E438" t="n">
        <v>0.4327368836123752</v>
      </c>
      <c r="F438" t="inlineStr">
        <is>
          <t>BEA 2024 output share (default)</t>
        </is>
      </c>
      <c r="G438" t="n">
        <v>0.4327368836123752</v>
      </c>
    </row>
    <row r="439">
      <c r="A439" t="inlineStr">
        <is>
          <t>SoESCaOMCbIC-fixedOM.csv</t>
        </is>
      </c>
      <c r="B439" t="inlineStr">
        <is>
          <t>geothermal</t>
        </is>
      </c>
      <c r="C439" t="inlineStr">
        <is>
          <t>ISIC 08</t>
        </is>
      </c>
      <c r="D439" t="inlineStr">
        <is>
          <t>ISIC 07T08</t>
        </is>
      </c>
      <c r="E439" t="n">
        <v>0.5672631163876248</v>
      </c>
      <c r="F439" t="inlineStr">
        <is>
          <t>BEA 2024 output share (default)</t>
        </is>
      </c>
      <c r="G439" t="n">
        <v>0.5672631163876248</v>
      </c>
    </row>
    <row r="440">
      <c r="A440" t="inlineStr">
        <is>
          <t>SoESCaOMCbIC-fixedOM.csv</t>
        </is>
      </c>
      <c r="B440" t="inlineStr">
        <is>
          <t>geothermal</t>
        </is>
      </c>
      <c r="C440" t="inlineStr">
        <is>
          <t>ISIC 301</t>
        </is>
      </c>
      <c r="D440" t="inlineStr">
        <is>
          <t>ISIC 30</t>
        </is>
      </c>
      <c r="E440" t="n">
        <v>0.1171368722490322</v>
      </c>
      <c r="F440" t="inlineStr">
        <is>
          <t>BEA 2024 output share (default)</t>
        </is>
      </c>
      <c r="G440" t="n">
        <v>0.1171368722490322</v>
      </c>
    </row>
    <row r="441">
      <c r="A441" t="inlineStr">
        <is>
          <t>SoESCaOMCbIC-fixedOM.csv</t>
        </is>
      </c>
      <c r="B441" t="inlineStr">
        <is>
          <t>geothermal</t>
        </is>
      </c>
      <c r="C441" t="inlineStr">
        <is>
          <t>ISIC 302T309</t>
        </is>
      </c>
      <c r="D441" t="inlineStr">
        <is>
          <t>ISIC 30</t>
        </is>
      </c>
      <c r="E441" t="n">
        <v>0.8828631277509678</v>
      </c>
      <c r="F441" t="inlineStr">
        <is>
          <t>BEA 2024 output share (default)</t>
        </is>
      </c>
      <c r="G441" t="n">
        <v>0.8828631277509678</v>
      </c>
    </row>
    <row r="442">
      <c r="A442" t="inlineStr">
        <is>
          <t>SoESCaOMCbIC-fixedOM.csv</t>
        </is>
      </c>
      <c r="B442" t="inlineStr">
        <is>
          <t>geothermal</t>
        </is>
      </c>
      <c r="C442" t="inlineStr">
        <is>
          <t>ISIC 49</t>
        </is>
      </c>
      <c r="D442" t="inlineStr">
        <is>
          <t>ISIC 49T53</t>
        </is>
      </c>
      <c r="E442" t="n">
        <v>0.4781643011829615</v>
      </c>
      <c r="F442" t="inlineStr">
        <is>
          <t>BEA 2024 output share (default)</t>
        </is>
      </c>
      <c r="G442" t="n">
        <v>0.4781643011829615</v>
      </c>
    </row>
    <row r="443">
      <c r="A443" t="inlineStr">
        <is>
          <t>SoESCaOMCbIC-fixedOM.csv</t>
        </is>
      </c>
      <c r="B443" t="inlineStr">
        <is>
          <t>geothermal</t>
        </is>
      </c>
      <c r="C443" t="inlineStr">
        <is>
          <t>ISIC 50</t>
        </is>
      </c>
      <c r="D443" t="inlineStr">
        <is>
          <t>ISIC 49T53</t>
        </is>
      </c>
      <c r="E443" t="n">
        <v>0.04258639396614965</v>
      </c>
      <c r="F443" t="inlineStr">
        <is>
          <t>BEA 2024 output share (default)</t>
        </is>
      </c>
      <c r="G443" t="n">
        <v>0.04258639396614965</v>
      </c>
    </row>
    <row r="444">
      <c r="A444" t="inlineStr">
        <is>
          <t>SoESCaOMCbIC-fixedOM.csv</t>
        </is>
      </c>
      <c r="B444" t="inlineStr">
        <is>
          <t>geothermal</t>
        </is>
      </c>
      <c r="C444" t="inlineStr">
        <is>
          <t>ISIC 51</t>
        </is>
      </c>
      <c r="D444" t="inlineStr">
        <is>
          <t>ISIC 49T53</t>
        </is>
      </c>
      <c r="E444" t="n">
        <v>0.1808024634415262</v>
      </c>
      <c r="F444" t="inlineStr">
        <is>
          <t>BEA 2024 output share (default)</t>
        </is>
      </c>
      <c r="G444" t="n">
        <v>0.1808024634415262</v>
      </c>
    </row>
    <row r="445">
      <c r="A445" t="inlineStr">
        <is>
          <t>SoESCaOMCbIC-fixedOM.csv</t>
        </is>
      </c>
      <c r="B445" t="inlineStr">
        <is>
          <t>geothermal</t>
        </is>
      </c>
      <c r="C445" t="inlineStr">
        <is>
          <t>ISIC 52</t>
        </is>
      </c>
      <c r="D445" t="inlineStr">
        <is>
          <t>ISIC 49T53</t>
        </is>
      </c>
      <c r="E445" t="n">
        <v>0.2139060571318126</v>
      </c>
      <c r="F445" t="inlineStr">
        <is>
          <t>BEA 2024 output share (default)</t>
        </is>
      </c>
      <c r="G445" t="n">
        <v>0.2139060571318126</v>
      </c>
    </row>
    <row r="446">
      <c r="A446" t="inlineStr">
        <is>
          <t>SoESCaOMCbIC-fixedOM.csv</t>
        </is>
      </c>
      <c r="B446" t="inlineStr">
        <is>
          <t>geothermal</t>
        </is>
      </c>
      <c r="C446" t="inlineStr">
        <is>
          <t>ISIC 53</t>
        </is>
      </c>
      <c r="D446" t="inlineStr">
        <is>
          <t>ISIC 49T53</t>
        </is>
      </c>
      <c r="E446" t="n">
        <v>0.08454078427755009</v>
      </c>
      <c r="F446" t="inlineStr">
        <is>
          <t>BEA 2024 output share (default)</t>
        </is>
      </c>
      <c r="G446" t="n">
        <v>0.08454078427755009</v>
      </c>
    </row>
    <row r="447">
      <c r="A447" t="inlineStr">
        <is>
          <t>SoESCaOMCbIC-fixedOM.csv</t>
        </is>
      </c>
      <c r="B447" t="inlineStr">
        <is>
          <t>geothermal</t>
        </is>
      </c>
      <c r="C447" t="inlineStr">
        <is>
          <t>ISIC 69T75</t>
        </is>
      </c>
      <c r="D447" t="inlineStr">
        <is>
          <t>ISIC 69T82</t>
        </is>
      </c>
      <c r="E447" t="n">
        <v>1</v>
      </c>
      <c r="F447" t="inlineStr">
        <is>
          <t>semantic override</t>
        </is>
      </c>
      <c r="G447" t="n">
        <v>0.7298219447914125</v>
      </c>
    </row>
    <row r="448">
      <c r="A448" t="inlineStr">
        <is>
          <t>SoESCaOMCbIC-fixedOM.csv</t>
        </is>
      </c>
      <c r="B448" t="inlineStr">
        <is>
          <t>geothermal</t>
        </is>
      </c>
      <c r="C448" t="inlineStr">
        <is>
          <t>ISIC 77T82</t>
        </is>
      </c>
      <c r="D448" t="inlineStr">
        <is>
          <t>ISIC 69T82</t>
        </is>
      </c>
      <c r="E448" t="n">
        <v>0</v>
      </c>
      <c r="F448" t="inlineStr">
        <is>
          <t>semantic override</t>
        </is>
      </c>
      <c r="G448" t="n">
        <v>0.2701780552085875</v>
      </c>
    </row>
    <row r="449">
      <c r="A449" t="inlineStr">
        <is>
          <t>SoESCaOMCbIC-fixedOM.csv</t>
        </is>
      </c>
      <c r="B449" t="inlineStr">
        <is>
          <t>geothermal</t>
        </is>
      </c>
      <c r="C449" t="inlineStr">
        <is>
          <t>ISIC 90T93</t>
        </is>
      </c>
      <c r="D449" t="inlineStr">
        <is>
          <t>ISIC 90T96</t>
        </is>
      </c>
      <c r="E449" t="n">
        <v>0.4216249514352275</v>
      </c>
      <c r="F449" t="inlineStr">
        <is>
          <t>BEA 2024 output share (default)</t>
        </is>
      </c>
      <c r="G449" t="n">
        <v>0.4216249514352275</v>
      </c>
    </row>
    <row r="450">
      <c r="A450" t="inlineStr">
        <is>
          <t>SoESCaOMCbIC-fixedOM.csv</t>
        </is>
      </c>
      <c r="B450" t="inlineStr">
        <is>
          <t>geothermal</t>
        </is>
      </c>
      <c r="C450" t="inlineStr">
        <is>
          <t>ISIC 94T96</t>
        </is>
      </c>
      <c r="D450" t="inlineStr">
        <is>
          <t>ISIC 90T96</t>
        </is>
      </c>
      <c r="E450" t="n">
        <v>0.5783750485647725</v>
      </c>
      <c r="F450" t="inlineStr">
        <is>
          <t>BEA 2024 output share (default)</t>
        </is>
      </c>
      <c r="G450" t="n">
        <v>0.5783750485647725</v>
      </c>
    </row>
    <row r="451">
      <c r="A451" t="inlineStr">
        <is>
          <t>SoESCaOMCbIC-fixedOM.csv</t>
        </is>
      </c>
      <c r="B451" t="inlineStr">
        <is>
          <t>hard coal</t>
        </is>
      </c>
      <c r="C451" t="inlineStr">
        <is>
          <t>ISIC 01</t>
        </is>
      </c>
      <c r="D451" t="inlineStr">
        <is>
          <t>ISIC 01T03</t>
        </is>
      </c>
      <c r="E451" t="n">
        <v>0.9429986826432329</v>
      </c>
      <c r="F451" t="inlineStr">
        <is>
          <t>BEA 2024 output share (default)</t>
        </is>
      </c>
      <c r="G451" t="n">
        <v>0.9429986826432329</v>
      </c>
    </row>
    <row r="452">
      <c r="A452" t="inlineStr">
        <is>
          <t>SoESCaOMCbIC-fixedOM.csv</t>
        </is>
      </c>
      <c r="B452" t="inlineStr">
        <is>
          <t>hard coal</t>
        </is>
      </c>
      <c r="C452" t="inlineStr">
        <is>
          <t>ISIC 02</t>
        </is>
      </c>
      <c r="D452" t="inlineStr">
        <is>
          <t>ISIC 01T03</t>
        </is>
      </c>
      <c r="E452" t="n">
        <v>0.04176573136965662</v>
      </c>
      <c r="F452" t="inlineStr">
        <is>
          <t>BEA 2024 output share (default)</t>
        </is>
      </c>
      <c r="G452" t="n">
        <v>0.04176573136965662</v>
      </c>
    </row>
    <row r="453">
      <c r="A453" t="inlineStr">
        <is>
          <t>SoESCaOMCbIC-fixedOM.csv</t>
        </is>
      </c>
      <c r="B453" t="inlineStr">
        <is>
          <t>hard coal</t>
        </is>
      </c>
      <c r="C453" t="inlineStr">
        <is>
          <t>ISIC 03</t>
        </is>
      </c>
      <c r="D453" t="inlineStr">
        <is>
          <t>ISIC 01T03</t>
        </is>
      </c>
      <c r="E453" t="n">
        <v>0.01523558598711041</v>
      </c>
      <c r="F453" t="inlineStr">
        <is>
          <t>BEA 2024 output share (default)</t>
        </is>
      </c>
      <c r="G453" t="n">
        <v>0.01523558598711041</v>
      </c>
    </row>
    <row r="454">
      <c r="A454" t="inlineStr">
        <is>
          <t>SoESCaOMCbIC-fixedOM.csv</t>
        </is>
      </c>
      <c r="B454" t="inlineStr">
        <is>
          <t>hard coal</t>
        </is>
      </c>
      <c r="C454" t="inlineStr">
        <is>
          <t>ISIC 07</t>
        </is>
      </c>
      <c r="D454" t="inlineStr">
        <is>
          <t>ISIC 07T08</t>
        </is>
      </c>
      <c r="E454" t="n">
        <v>0.4327368836123752</v>
      </c>
      <c r="F454" t="inlineStr">
        <is>
          <t>BEA 2024 output share (default)</t>
        </is>
      </c>
      <c r="G454" t="n">
        <v>0.4327368836123752</v>
      </c>
    </row>
    <row r="455">
      <c r="A455" t="inlineStr">
        <is>
          <t>SoESCaOMCbIC-fixedOM.csv</t>
        </is>
      </c>
      <c r="B455" t="inlineStr">
        <is>
          <t>hard coal</t>
        </is>
      </c>
      <c r="C455" t="inlineStr">
        <is>
          <t>ISIC 08</t>
        </is>
      </c>
      <c r="D455" t="inlineStr">
        <is>
          <t>ISIC 07T08</t>
        </is>
      </c>
      <c r="E455" t="n">
        <v>0.5672631163876248</v>
      </c>
      <c r="F455" t="inlineStr">
        <is>
          <t>BEA 2024 output share (default)</t>
        </is>
      </c>
      <c r="G455" t="n">
        <v>0.5672631163876248</v>
      </c>
    </row>
    <row r="456">
      <c r="A456" t="inlineStr">
        <is>
          <t>SoESCaOMCbIC-fixedOM.csv</t>
        </is>
      </c>
      <c r="B456" t="inlineStr">
        <is>
          <t>hard coal</t>
        </is>
      </c>
      <c r="C456" t="inlineStr">
        <is>
          <t>ISIC 301</t>
        </is>
      </c>
      <c r="D456" t="inlineStr">
        <is>
          <t>ISIC 30</t>
        </is>
      </c>
      <c r="E456" t="n">
        <v>0.1171368722490322</v>
      </c>
      <c r="F456" t="inlineStr">
        <is>
          <t>BEA 2024 output share (default)</t>
        </is>
      </c>
      <c r="G456" t="n">
        <v>0.1171368722490322</v>
      </c>
    </row>
    <row r="457">
      <c r="A457" t="inlineStr">
        <is>
          <t>SoESCaOMCbIC-fixedOM.csv</t>
        </is>
      </c>
      <c r="B457" t="inlineStr">
        <is>
          <t>hard coal</t>
        </is>
      </c>
      <c r="C457" t="inlineStr">
        <is>
          <t>ISIC 302T309</t>
        </is>
      </c>
      <c r="D457" t="inlineStr">
        <is>
          <t>ISIC 30</t>
        </is>
      </c>
      <c r="E457" t="n">
        <v>0.8828631277509678</v>
      </c>
      <c r="F457" t="inlineStr">
        <is>
          <t>BEA 2024 output share (default)</t>
        </is>
      </c>
      <c r="G457" t="n">
        <v>0.8828631277509678</v>
      </c>
    </row>
    <row r="458">
      <c r="A458" t="inlineStr">
        <is>
          <t>SoESCaOMCbIC-fixedOM.csv</t>
        </is>
      </c>
      <c r="B458" t="inlineStr">
        <is>
          <t>hard coal</t>
        </is>
      </c>
      <c r="C458" t="inlineStr">
        <is>
          <t>ISIC 49</t>
        </is>
      </c>
      <c r="D458" t="inlineStr">
        <is>
          <t>ISIC 49T53</t>
        </is>
      </c>
      <c r="E458" t="n">
        <v>0.4781643011829615</v>
      </c>
      <c r="F458" t="inlineStr">
        <is>
          <t>BEA 2024 output share (default)</t>
        </is>
      </c>
      <c r="G458" t="n">
        <v>0.4781643011829615</v>
      </c>
    </row>
    <row r="459">
      <c r="A459" t="inlineStr">
        <is>
          <t>SoESCaOMCbIC-fixedOM.csv</t>
        </is>
      </c>
      <c r="B459" t="inlineStr">
        <is>
          <t>hard coal</t>
        </is>
      </c>
      <c r="C459" t="inlineStr">
        <is>
          <t>ISIC 50</t>
        </is>
      </c>
      <c r="D459" t="inlineStr">
        <is>
          <t>ISIC 49T53</t>
        </is>
      </c>
      <c r="E459" t="n">
        <v>0.04258639396614965</v>
      </c>
      <c r="F459" t="inlineStr">
        <is>
          <t>BEA 2024 output share (default)</t>
        </is>
      </c>
      <c r="G459" t="n">
        <v>0.04258639396614965</v>
      </c>
    </row>
    <row r="460">
      <c r="A460" t="inlineStr">
        <is>
          <t>SoESCaOMCbIC-fixedOM.csv</t>
        </is>
      </c>
      <c r="B460" t="inlineStr">
        <is>
          <t>hard coal</t>
        </is>
      </c>
      <c r="C460" t="inlineStr">
        <is>
          <t>ISIC 51</t>
        </is>
      </c>
      <c r="D460" t="inlineStr">
        <is>
          <t>ISIC 49T53</t>
        </is>
      </c>
      <c r="E460" t="n">
        <v>0.1808024634415262</v>
      </c>
      <c r="F460" t="inlineStr">
        <is>
          <t>BEA 2024 output share (default)</t>
        </is>
      </c>
      <c r="G460" t="n">
        <v>0.1808024634415262</v>
      </c>
    </row>
    <row r="461">
      <c r="A461" t="inlineStr">
        <is>
          <t>SoESCaOMCbIC-fixedOM.csv</t>
        </is>
      </c>
      <c r="B461" t="inlineStr">
        <is>
          <t>hard coal</t>
        </is>
      </c>
      <c r="C461" t="inlineStr">
        <is>
          <t>ISIC 52</t>
        </is>
      </c>
      <c r="D461" t="inlineStr">
        <is>
          <t>ISIC 49T53</t>
        </is>
      </c>
      <c r="E461" t="n">
        <v>0.2139060571318126</v>
      </c>
      <c r="F461" t="inlineStr">
        <is>
          <t>BEA 2024 output share (default)</t>
        </is>
      </c>
      <c r="G461" t="n">
        <v>0.2139060571318126</v>
      </c>
    </row>
    <row r="462">
      <c r="A462" t="inlineStr">
        <is>
          <t>SoESCaOMCbIC-fixedOM.csv</t>
        </is>
      </c>
      <c r="B462" t="inlineStr">
        <is>
          <t>hard coal</t>
        </is>
      </c>
      <c r="C462" t="inlineStr">
        <is>
          <t>ISIC 53</t>
        </is>
      </c>
      <c r="D462" t="inlineStr">
        <is>
          <t>ISIC 49T53</t>
        </is>
      </c>
      <c r="E462" t="n">
        <v>0.08454078427755009</v>
      </c>
      <c r="F462" t="inlineStr">
        <is>
          <t>BEA 2024 output share (default)</t>
        </is>
      </c>
      <c r="G462" t="n">
        <v>0.08454078427755009</v>
      </c>
    </row>
    <row r="463">
      <c r="A463" t="inlineStr">
        <is>
          <t>SoESCaOMCbIC-fixedOM.csv</t>
        </is>
      </c>
      <c r="B463" t="inlineStr">
        <is>
          <t>hard coal</t>
        </is>
      </c>
      <c r="C463" t="inlineStr">
        <is>
          <t>ISIC 69T75</t>
        </is>
      </c>
      <c r="D463" t="inlineStr">
        <is>
          <t>ISIC 69T82</t>
        </is>
      </c>
      <c r="E463" t="n">
        <v>1</v>
      </c>
      <c r="F463" t="inlineStr">
        <is>
          <t>semantic override</t>
        </is>
      </c>
      <c r="G463" t="n">
        <v>0.7298219447914125</v>
      </c>
    </row>
    <row r="464">
      <c r="A464" t="inlineStr">
        <is>
          <t>SoESCaOMCbIC-fixedOM.csv</t>
        </is>
      </c>
      <c r="B464" t="inlineStr">
        <is>
          <t>hard coal</t>
        </is>
      </c>
      <c r="C464" t="inlineStr">
        <is>
          <t>ISIC 77T82</t>
        </is>
      </c>
      <c r="D464" t="inlineStr">
        <is>
          <t>ISIC 69T82</t>
        </is>
      </c>
      <c r="E464" t="n">
        <v>0</v>
      </c>
      <c r="F464" t="inlineStr">
        <is>
          <t>semantic override</t>
        </is>
      </c>
      <c r="G464" t="n">
        <v>0.2701780552085875</v>
      </c>
    </row>
    <row r="465">
      <c r="A465" t="inlineStr">
        <is>
          <t>SoESCaOMCbIC-fixedOM.csv</t>
        </is>
      </c>
      <c r="B465" t="inlineStr">
        <is>
          <t>hard coal</t>
        </is>
      </c>
      <c r="C465" t="inlineStr">
        <is>
          <t>ISIC 90T93</t>
        </is>
      </c>
      <c r="D465" t="inlineStr">
        <is>
          <t>ISIC 90T96</t>
        </is>
      </c>
      <c r="E465" t="n">
        <v>0.4216249514352275</v>
      </c>
      <c r="F465" t="inlineStr">
        <is>
          <t>BEA 2024 output share (default)</t>
        </is>
      </c>
      <c r="G465" t="n">
        <v>0.4216249514352275</v>
      </c>
    </row>
    <row r="466">
      <c r="A466" t="inlineStr">
        <is>
          <t>SoESCaOMCbIC-fixedOM.csv</t>
        </is>
      </c>
      <c r="B466" t="inlineStr">
        <is>
          <t>hard coal</t>
        </is>
      </c>
      <c r="C466" t="inlineStr">
        <is>
          <t>ISIC 94T96</t>
        </is>
      </c>
      <c r="D466" t="inlineStr">
        <is>
          <t>ISIC 90T96</t>
        </is>
      </c>
      <c r="E466" t="n">
        <v>0.5783750485647725</v>
      </c>
      <c r="F466" t="inlineStr">
        <is>
          <t>BEA 2024 output share (default)</t>
        </is>
      </c>
      <c r="G466" t="n">
        <v>0.5783750485647725</v>
      </c>
    </row>
    <row r="467">
      <c r="A467" t="inlineStr">
        <is>
          <t>SoESCaOMCbIC-fixedOM.csv</t>
        </is>
      </c>
      <c r="B467" t="inlineStr">
        <is>
          <t>hard coal w CCS</t>
        </is>
      </c>
      <c r="C467" t="inlineStr">
        <is>
          <t>ISIC 01</t>
        </is>
      </c>
      <c r="D467" t="inlineStr">
        <is>
          <t>ISIC 01T03</t>
        </is>
      </c>
      <c r="E467" t="n">
        <v>0.9429986826432329</v>
      </c>
      <c r="F467" t="inlineStr">
        <is>
          <t>BEA 2024 output share (default)</t>
        </is>
      </c>
      <c r="G467" t="n">
        <v>0.9429986826432329</v>
      </c>
    </row>
    <row r="468">
      <c r="A468" t="inlineStr">
        <is>
          <t>SoESCaOMCbIC-fixedOM.csv</t>
        </is>
      </c>
      <c r="B468" t="inlineStr">
        <is>
          <t>hard coal w CCS</t>
        </is>
      </c>
      <c r="C468" t="inlineStr">
        <is>
          <t>ISIC 02</t>
        </is>
      </c>
      <c r="D468" t="inlineStr">
        <is>
          <t>ISIC 01T03</t>
        </is>
      </c>
      <c r="E468" t="n">
        <v>0.04176573136965662</v>
      </c>
      <c r="F468" t="inlineStr">
        <is>
          <t>BEA 2024 output share (default)</t>
        </is>
      </c>
      <c r="G468" t="n">
        <v>0.04176573136965662</v>
      </c>
    </row>
    <row r="469">
      <c r="A469" t="inlineStr">
        <is>
          <t>SoESCaOMCbIC-fixedOM.csv</t>
        </is>
      </c>
      <c r="B469" t="inlineStr">
        <is>
          <t>hard coal w CCS</t>
        </is>
      </c>
      <c r="C469" t="inlineStr">
        <is>
          <t>ISIC 03</t>
        </is>
      </c>
      <c r="D469" t="inlineStr">
        <is>
          <t>ISIC 01T03</t>
        </is>
      </c>
      <c r="E469" t="n">
        <v>0.01523558598711041</v>
      </c>
      <c r="F469" t="inlineStr">
        <is>
          <t>BEA 2024 output share (default)</t>
        </is>
      </c>
      <c r="G469" t="n">
        <v>0.01523558598711041</v>
      </c>
    </row>
    <row r="470">
      <c r="A470" t="inlineStr">
        <is>
          <t>SoESCaOMCbIC-fixedOM.csv</t>
        </is>
      </c>
      <c r="B470" t="inlineStr">
        <is>
          <t>hard coal w CCS</t>
        </is>
      </c>
      <c r="C470" t="inlineStr">
        <is>
          <t>ISIC 07</t>
        </is>
      </c>
      <c r="D470" t="inlineStr">
        <is>
          <t>ISIC 07T08</t>
        </is>
      </c>
      <c r="E470" t="n">
        <v>0.4327368836123752</v>
      </c>
      <c r="F470" t="inlineStr">
        <is>
          <t>BEA 2024 output share (default)</t>
        </is>
      </c>
      <c r="G470" t="n">
        <v>0.4327368836123752</v>
      </c>
    </row>
    <row r="471">
      <c r="A471" t="inlineStr">
        <is>
          <t>SoESCaOMCbIC-fixedOM.csv</t>
        </is>
      </c>
      <c r="B471" t="inlineStr">
        <is>
          <t>hard coal w CCS</t>
        </is>
      </c>
      <c r="C471" t="inlineStr">
        <is>
          <t>ISIC 08</t>
        </is>
      </c>
      <c r="D471" t="inlineStr">
        <is>
          <t>ISIC 07T08</t>
        </is>
      </c>
      <c r="E471" t="n">
        <v>0.5672631163876248</v>
      </c>
      <c r="F471" t="inlineStr">
        <is>
          <t>BEA 2024 output share (default)</t>
        </is>
      </c>
      <c r="G471" t="n">
        <v>0.5672631163876248</v>
      </c>
    </row>
    <row r="472">
      <c r="A472" t="inlineStr">
        <is>
          <t>SoESCaOMCbIC-fixedOM.csv</t>
        </is>
      </c>
      <c r="B472" t="inlineStr">
        <is>
          <t>hard coal w CCS</t>
        </is>
      </c>
      <c r="C472" t="inlineStr">
        <is>
          <t>ISIC 301</t>
        </is>
      </c>
      <c r="D472" t="inlineStr">
        <is>
          <t>ISIC 30</t>
        </is>
      </c>
      <c r="E472" t="n">
        <v>0.1171368722490322</v>
      </c>
      <c r="F472" t="inlineStr">
        <is>
          <t>BEA 2024 output share (default)</t>
        </is>
      </c>
      <c r="G472" t="n">
        <v>0.1171368722490322</v>
      </c>
    </row>
    <row r="473">
      <c r="A473" t="inlineStr">
        <is>
          <t>SoESCaOMCbIC-fixedOM.csv</t>
        </is>
      </c>
      <c r="B473" t="inlineStr">
        <is>
          <t>hard coal w CCS</t>
        </is>
      </c>
      <c r="C473" t="inlineStr">
        <is>
          <t>ISIC 302T309</t>
        </is>
      </c>
      <c r="D473" t="inlineStr">
        <is>
          <t>ISIC 30</t>
        </is>
      </c>
      <c r="E473" t="n">
        <v>0.8828631277509678</v>
      </c>
      <c r="F473" t="inlineStr">
        <is>
          <t>BEA 2024 output share (default)</t>
        </is>
      </c>
      <c r="G473" t="n">
        <v>0.8828631277509678</v>
      </c>
    </row>
    <row r="474">
      <c r="A474" t="inlineStr">
        <is>
          <t>SoESCaOMCbIC-fixedOM.csv</t>
        </is>
      </c>
      <c r="B474" t="inlineStr">
        <is>
          <t>hard coal w CCS</t>
        </is>
      </c>
      <c r="C474" t="inlineStr">
        <is>
          <t>ISIC 49</t>
        </is>
      </c>
      <c r="D474" t="inlineStr">
        <is>
          <t>ISIC 49T53</t>
        </is>
      </c>
      <c r="E474" t="n">
        <v>0.4781643011829615</v>
      </c>
      <c r="F474" t="inlineStr">
        <is>
          <t>BEA 2024 output share (default)</t>
        </is>
      </c>
      <c r="G474" t="n">
        <v>0.4781643011829615</v>
      </c>
    </row>
    <row r="475">
      <c r="A475" t="inlineStr">
        <is>
          <t>SoESCaOMCbIC-fixedOM.csv</t>
        </is>
      </c>
      <c r="B475" t="inlineStr">
        <is>
          <t>hard coal w CCS</t>
        </is>
      </c>
      <c r="C475" t="inlineStr">
        <is>
          <t>ISIC 50</t>
        </is>
      </c>
      <c r="D475" t="inlineStr">
        <is>
          <t>ISIC 49T53</t>
        </is>
      </c>
      <c r="E475" t="n">
        <v>0.04258639396614965</v>
      </c>
      <c r="F475" t="inlineStr">
        <is>
          <t>BEA 2024 output share (default)</t>
        </is>
      </c>
      <c r="G475" t="n">
        <v>0.04258639396614965</v>
      </c>
    </row>
    <row r="476">
      <c r="A476" t="inlineStr">
        <is>
          <t>SoESCaOMCbIC-fixedOM.csv</t>
        </is>
      </c>
      <c r="B476" t="inlineStr">
        <is>
          <t>hard coal w CCS</t>
        </is>
      </c>
      <c r="C476" t="inlineStr">
        <is>
          <t>ISIC 51</t>
        </is>
      </c>
      <c r="D476" t="inlineStr">
        <is>
          <t>ISIC 49T53</t>
        </is>
      </c>
      <c r="E476" t="n">
        <v>0.1808024634415262</v>
      </c>
      <c r="F476" t="inlineStr">
        <is>
          <t>BEA 2024 output share (default)</t>
        </is>
      </c>
      <c r="G476" t="n">
        <v>0.1808024634415262</v>
      </c>
    </row>
    <row r="477">
      <c r="A477" t="inlineStr">
        <is>
          <t>SoESCaOMCbIC-fixedOM.csv</t>
        </is>
      </c>
      <c r="B477" t="inlineStr">
        <is>
          <t>hard coal w CCS</t>
        </is>
      </c>
      <c r="C477" t="inlineStr">
        <is>
          <t>ISIC 52</t>
        </is>
      </c>
      <c r="D477" t="inlineStr">
        <is>
          <t>ISIC 49T53</t>
        </is>
      </c>
      <c r="E477" t="n">
        <v>0.2139060571318126</v>
      </c>
      <c r="F477" t="inlineStr">
        <is>
          <t>BEA 2024 output share (default)</t>
        </is>
      </c>
      <c r="G477" t="n">
        <v>0.2139060571318126</v>
      </c>
    </row>
    <row r="478">
      <c r="A478" t="inlineStr">
        <is>
          <t>SoESCaOMCbIC-fixedOM.csv</t>
        </is>
      </c>
      <c r="B478" t="inlineStr">
        <is>
          <t>hard coal w CCS</t>
        </is>
      </c>
      <c r="C478" t="inlineStr">
        <is>
          <t>ISIC 53</t>
        </is>
      </c>
      <c r="D478" t="inlineStr">
        <is>
          <t>ISIC 49T53</t>
        </is>
      </c>
      <c r="E478" t="n">
        <v>0.08454078427755009</v>
      </c>
      <c r="F478" t="inlineStr">
        <is>
          <t>BEA 2024 output share (default)</t>
        </is>
      </c>
      <c r="G478" t="n">
        <v>0.08454078427755009</v>
      </c>
    </row>
    <row r="479">
      <c r="A479" t="inlineStr">
        <is>
          <t>SoESCaOMCbIC-fixedOM.csv</t>
        </is>
      </c>
      <c r="B479" t="inlineStr">
        <is>
          <t>hard coal w CCS</t>
        </is>
      </c>
      <c r="C479" t="inlineStr">
        <is>
          <t>ISIC 69T75</t>
        </is>
      </c>
      <c r="D479" t="inlineStr">
        <is>
          <t>ISIC 69T82</t>
        </is>
      </c>
      <c r="E479" t="n">
        <v>1</v>
      </c>
      <c r="F479" t="inlineStr">
        <is>
          <t>semantic override</t>
        </is>
      </c>
      <c r="G479" t="n">
        <v>0.7298219447914125</v>
      </c>
    </row>
    <row r="480">
      <c r="A480" t="inlineStr">
        <is>
          <t>SoESCaOMCbIC-fixedOM.csv</t>
        </is>
      </c>
      <c r="B480" t="inlineStr">
        <is>
          <t>hard coal w CCS</t>
        </is>
      </c>
      <c r="C480" t="inlineStr">
        <is>
          <t>ISIC 77T82</t>
        </is>
      </c>
      <c r="D480" t="inlineStr">
        <is>
          <t>ISIC 69T82</t>
        </is>
      </c>
      <c r="E480" t="n">
        <v>0</v>
      </c>
      <c r="F480" t="inlineStr">
        <is>
          <t>semantic override</t>
        </is>
      </c>
      <c r="G480" t="n">
        <v>0.2701780552085875</v>
      </c>
    </row>
    <row r="481">
      <c r="A481" t="inlineStr">
        <is>
          <t>SoESCaOMCbIC-fixedOM.csv</t>
        </is>
      </c>
      <c r="B481" t="inlineStr">
        <is>
          <t>hard coal w CCS</t>
        </is>
      </c>
      <c r="C481" t="inlineStr">
        <is>
          <t>ISIC 90T93</t>
        </is>
      </c>
      <c r="D481" t="inlineStr">
        <is>
          <t>ISIC 90T96</t>
        </is>
      </c>
      <c r="E481" t="n">
        <v>0.4216249514352275</v>
      </c>
      <c r="F481" t="inlineStr">
        <is>
          <t>BEA 2024 output share (default)</t>
        </is>
      </c>
      <c r="G481" t="n">
        <v>0.4216249514352275</v>
      </c>
    </row>
    <row r="482">
      <c r="A482" t="inlineStr">
        <is>
          <t>SoESCaOMCbIC-fixedOM.csv</t>
        </is>
      </c>
      <c r="B482" t="inlineStr">
        <is>
          <t>hard coal w CCS</t>
        </is>
      </c>
      <c r="C482" t="inlineStr">
        <is>
          <t>ISIC 94T96</t>
        </is>
      </c>
      <c r="D482" t="inlineStr">
        <is>
          <t>ISIC 90T96</t>
        </is>
      </c>
      <c r="E482" t="n">
        <v>0.5783750485647725</v>
      </c>
      <c r="F482" t="inlineStr">
        <is>
          <t>BEA 2024 output share (default)</t>
        </is>
      </c>
      <c r="G482" t="n">
        <v>0.5783750485647725</v>
      </c>
    </row>
    <row r="483">
      <c r="A483" t="inlineStr">
        <is>
          <t>SoESCaOMCbIC-fixedOM.csv</t>
        </is>
      </c>
      <c r="B483" t="inlineStr">
        <is>
          <t>heavy or residual fuel oil</t>
        </is>
      </c>
      <c r="C483" t="inlineStr">
        <is>
          <t>ISIC 01</t>
        </is>
      </c>
      <c r="D483" t="inlineStr">
        <is>
          <t>ISIC 01T03</t>
        </is>
      </c>
      <c r="E483" t="n">
        <v>0.9429986826432329</v>
      </c>
      <c r="F483" t="inlineStr">
        <is>
          <t>BEA 2024 output share (default)</t>
        </is>
      </c>
      <c r="G483" t="n">
        <v>0.9429986826432329</v>
      </c>
    </row>
    <row r="484">
      <c r="A484" t="inlineStr">
        <is>
          <t>SoESCaOMCbIC-fixedOM.csv</t>
        </is>
      </c>
      <c r="B484" t="inlineStr">
        <is>
          <t>heavy or residual fuel oil</t>
        </is>
      </c>
      <c r="C484" t="inlineStr">
        <is>
          <t>ISIC 02</t>
        </is>
      </c>
      <c r="D484" t="inlineStr">
        <is>
          <t>ISIC 01T03</t>
        </is>
      </c>
      <c r="E484" t="n">
        <v>0.04176573136965662</v>
      </c>
      <c r="F484" t="inlineStr">
        <is>
          <t>BEA 2024 output share (default)</t>
        </is>
      </c>
      <c r="G484" t="n">
        <v>0.04176573136965662</v>
      </c>
    </row>
    <row r="485">
      <c r="A485" t="inlineStr">
        <is>
          <t>SoESCaOMCbIC-fixedOM.csv</t>
        </is>
      </c>
      <c r="B485" t="inlineStr">
        <is>
          <t>heavy or residual fuel oil</t>
        </is>
      </c>
      <c r="C485" t="inlineStr">
        <is>
          <t>ISIC 03</t>
        </is>
      </c>
      <c r="D485" t="inlineStr">
        <is>
          <t>ISIC 01T03</t>
        </is>
      </c>
      <c r="E485" t="n">
        <v>0.01523558598711041</v>
      </c>
      <c r="F485" t="inlineStr">
        <is>
          <t>BEA 2024 output share (default)</t>
        </is>
      </c>
      <c r="G485" t="n">
        <v>0.01523558598711041</v>
      </c>
    </row>
    <row r="486">
      <c r="A486" t="inlineStr">
        <is>
          <t>SoESCaOMCbIC-fixedOM.csv</t>
        </is>
      </c>
      <c r="B486" t="inlineStr">
        <is>
          <t>heavy or residual fuel oil</t>
        </is>
      </c>
      <c r="C486" t="inlineStr">
        <is>
          <t>ISIC 07</t>
        </is>
      </c>
      <c r="D486" t="inlineStr">
        <is>
          <t>ISIC 07T08</t>
        </is>
      </c>
      <c r="E486" t="n">
        <v>0.4327368836123752</v>
      </c>
      <c r="F486" t="inlineStr">
        <is>
          <t>BEA 2024 output share (default)</t>
        </is>
      </c>
      <c r="G486" t="n">
        <v>0.4327368836123752</v>
      </c>
    </row>
    <row r="487">
      <c r="A487" t="inlineStr">
        <is>
          <t>SoESCaOMCbIC-fixedOM.csv</t>
        </is>
      </c>
      <c r="B487" t="inlineStr">
        <is>
          <t>heavy or residual fuel oil</t>
        </is>
      </c>
      <c r="C487" t="inlineStr">
        <is>
          <t>ISIC 08</t>
        </is>
      </c>
      <c r="D487" t="inlineStr">
        <is>
          <t>ISIC 07T08</t>
        </is>
      </c>
      <c r="E487" t="n">
        <v>0.5672631163876248</v>
      </c>
      <c r="F487" t="inlineStr">
        <is>
          <t>BEA 2024 output share (default)</t>
        </is>
      </c>
      <c r="G487" t="n">
        <v>0.5672631163876248</v>
      </c>
    </row>
    <row r="488">
      <c r="A488" t="inlineStr">
        <is>
          <t>SoESCaOMCbIC-fixedOM.csv</t>
        </is>
      </c>
      <c r="B488" t="inlineStr">
        <is>
          <t>heavy or residual fuel oil</t>
        </is>
      </c>
      <c r="C488" t="inlineStr">
        <is>
          <t>ISIC 301</t>
        </is>
      </c>
      <c r="D488" t="inlineStr">
        <is>
          <t>ISIC 30</t>
        </is>
      </c>
      <c r="E488" t="n">
        <v>0.1171368722490322</v>
      </c>
      <c r="F488" t="inlineStr">
        <is>
          <t>BEA 2024 output share (default)</t>
        </is>
      </c>
      <c r="G488" t="n">
        <v>0.1171368722490322</v>
      </c>
    </row>
    <row r="489">
      <c r="A489" t="inlineStr">
        <is>
          <t>SoESCaOMCbIC-fixedOM.csv</t>
        </is>
      </c>
      <c r="B489" t="inlineStr">
        <is>
          <t>heavy or residual fuel oil</t>
        </is>
      </c>
      <c r="C489" t="inlineStr">
        <is>
          <t>ISIC 302T309</t>
        </is>
      </c>
      <c r="D489" t="inlineStr">
        <is>
          <t>ISIC 30</t>
        </is>
      </c>
      <c r="E489" t="n">
        <v>0.8828631277509678</v>
      </c>
      <c r="F489" t="inlineStr">
        <is>
          <t>BEA 2024 output share (default)</t>
        </is>
      </c>
      <c r="G489" t="n">
        <v>0.8828631277509678</v>
      </c>
    </row>
    <row r="490">
      <c r="A490" t="inlineStr">
        <is>
          <t>SoESCaOMCbIC-fixedOM.csv</t>
        </is>
      </c>
      <c r="B490" t="inlineStr">
        <is>
          <t>heavy or residual fuel oil</t>
        </is>
      </c>
      <c r="C490" t="inlineStr">
        <is>
          <t>ISIC 49</t>
        </is>
      </c>
      <c r="D490" t="inlineStr">
        <is>
          <t>ISIC 49T53</t>
        </is>
      </c>
      <c r="E490" t="n">
        <v>0.4781643011829615</v>
      </c>
      <c r="F490" t="inlineStr">
        <is>
          <t>BEA 2024 output share (default)</t>
        </is>
      </c>
      <c r="G490" t="n">
        <v>0.4781643011829615</v>
      </c>
    </row>
    <row r="491">
      <c r="A491" t="inlineStr">
        <is>
          <t>SoESCaOMCbIC-fixedOM.csv</t>
        </is>
      </c>
      <c r="B491" t="inlineStr">
        <is>
          <t>heavy or residual fuel oil</t>
        </is>
      </c>
      <c r="C491" t="inlineStr">
        <is>
          <t>ISIC 50</t>
        </is>
      </c>
      <c r="D491" t="inlineStr">
        <is>
          <t>ISIC 49T53</t>
        </is>
      </c>
      <c r="E491" t="n">
        <v>0.04258639396614965</v>
      </c>
      <c r="F491" t="inlineStr">
        <is>
          <t>BEA 2024 output share (default)</t>
        </is>
      </c>
      <c r="G491" t="n">
        <v>0.04258639396614965</v>
      </c>
    </row>
    <row r="492">
      <c r="A492" t="inlineStr">
        <is>
          <t>SoESCaOMCbIC-fixedOM.csv</t>
        </is>
      </c>
      <c r="B492" t="inlineStr">
        <is>
          <t>heavy or residual fuel oil</t>
        </is>
      </c>
      <c r="C492" t="inlineStr">
        <is>
          <t>ISIC 51</t>
        </is>
      </c>
      <c r="D492" t="inlineStr">
        <is>
          <t>ISIC 49T53</t>
        </is>
      </c>
      <c r="E492" t="n">
        <v>0.1808024634415262</v>
      </c>
      <c r="F492" t="inlineStr">
        <is>
          <t>BEA 2024 output share (default)</t>
        </is>
      </c>
      <c r="G492" t="n">
        <v>0.1808024634415262</v>
      </c>
    </row>
    <row r="493">
      <c r="A493" t="inlineStr">
        <is>
          <t>SoESCaOMCbIC-fixedOM.csv</t>
        </is>
      </c>
      <c r="B493" t="inlineStr">
        <is>
          <t>heavy or residual fuel oil</t>
        </is>
      </c>
      <c r="C493" t="inlineStr">
        <is>
          <t>ISIC 52</t>
        </is>
      </c>
      <c r="D493" t="inlineStr">
        <is>
          <t>ISIC 49T53</t>
        </is>
      </c>
      <c r="E493" t="n">
        <v>0.2139060571318126</v>
      </c>
      <c r="F493" t="inlineStr">
        <is>
          <t>BEA 2024 output share (default)</t>
        </is>
      </c>
      <c r="G493" t="n">
        <v>0.2139060571318126</v>
      </c>
    </row>
    <row r="494">
      <c r="A494" t="inlineStr">
        <is>
          <t>SoESCaOMCbIC-fixedOM.csv</t>
        </is>
      </c>
      <c r="B494" t="inlineStr">
        <is>
          <t>heavy or residual fuel oil</t>
        </is>
      </c>
      <c r="C494" t="inlineStr">
        <is>
          <t>ISIC 53</t>
        </is>
      </c>
      <c r="D494" t="inlineStr">
        <is>
          <t>ISIC 49T53</t>
        </is>
      </c>
      <c r="E494" t="n">
        <v>0.08454078427755009</v>
      </c>
      <c r="F494" t="inlineStr">
        <is>
          <t>BEA 2024 output share (default)</t>
        </is>
      </c>
      <c r="G494" t="n">
        <v>0.08454078427755009</v>
      </c>
    </row>
    <row r="495">
      <c r="A495" t="inlineStr">
        <is>
          <t>SoESCaOMCbIC-fixedOM.csv</t>
        </is>
      </c>
      <c r="B495" t="inlineStr">
        <is>
          <t>heavy or residual fuel oil</t>
        </is>
      </c>
      <c r="C495" t="inlineStr">
        <is>
          <t>ISIC 69T75</t>
        </is>
      </c>
      <c r="D495" t="inlineStr">
        <is>
          <t>ISIC 69T82</t>
        </is>
      </c>
      <c r="E495" t="n">
        <v>1</v>
      </c>
      <c r="F495" t="inlineStr">
        <is>
          <t>semantic override</t>
        </is>
      </c>
      <c r="G495" t="n">
        <v>0.7298219447914125</v>
      </c>
    </row>
    <row r="496">
      <c r="A496" t="inlineStr">
        <is>
          <t>SoESCaOMCbIC-fixedOM.csv</t>
        </is>
      </c>
      <c r="B496" t="inlineStr">
        <is>
          <t>heavy or residual fuel oil</t>
        </is>
      </c>
      <c r="C496" t="inlineStr">
        <is>
          <t>ISIC 77T82</t>
        </is>
      </c>
      <c r="D496" t="inlineStr">
        <is>
          <t>ISIC 69T82</t>
        </is>
      </c>
      <c r="E496" t="n">
        <v>0</v>
      </c>
      <c r="F496" t="inlineStr">
        <is>
          <t>semantic override</t>
        </is>
      </c>
      <c r="G496" t="n">
        <v>0.2701780552085875</v>
      </c>
    </row>
    <row r="497">
      <c r="A497" t="inlineStr">
        <is>
          <t>SoESCaOMCbIC-fixedOM.csv</t>
        </is>
      </c>
      <c r="B497" t="inlineStr">
        <is>
          <t>heavy or residual fuel oil</t>
        </is>
      </c>
      <c r="C497" t="inlineStr">
        <is>
          <t>ISIC 90T93</t>
        </is>
      </c>
      <c r="D497" t="inlineStr">
        <is>
          <t>ISIC 90T96</t>
        </is>
      </c>
      <c r="E497" t="n">
        <v>0.4216249514352275</v>
      </c>
      <c r="F497" t="inlineStr">
        <is>
          <t>BEA 2024 output share (default)</t>
        </is>
      </c>
      <c r="G497" t="n">
        <v>0.4216249514352275</v>
      </c>
    </row>
    <row r="498">
      <c r="A498" t="inlineStr">
        <is>
          <t>SoESCaOMCbIC-fixedOM.csv</t>
        </is>
      </c>
      <c r="B498" t="inlineStr">
        <is>
          <t>heavy or residual fuel oil</t>
        </is>
      </c>
      <c r="C498" t="inlineStr">
        <is>
          <t>ISIC 94T96</t>
        </is>
      </c>
      <c r="D498" t="inlineStr">
        <is>
          <t>ISIC 90T96</t>
        </is>
      </c>
      <c r="E498" t="n">
        <v>0.5783750485647725</v>
      </c>
      <c r="F498" t="inlineStr">
        <is>
          <t>BEA 2024 output share (default)</t>
        </is>
      </c>
      <c r="G498" t="n">
        <v>0.5783750485647725</v>
      </c>
    </row>
    <row r="499">
      <c r="A499" t="inlineStr">
        <is>
          <t>SoESCaOMCbIC-fixedOM.csv</t>
        </is>
      </c>
      <c r="B499" t="inlineStr">
        <is>
          <t>hydro</t>
        </is>
      </c>
      <c r="C499" t="inlineStr">
        <is>
          <t>ISIC 01</t>
        </is>
      </c>
      <c r="D499" t="inlineStr">
        <is>
          <t>ISIC 01T03</t>
        </is>
      </c>
      <c r="E499" t="n">
        <v>0.9429986826432329</v>
      </c>
      <c r="F499" t="inlineStr">
        <is>
          <t>BEA 2024 output share (default)</t>
        </is>
      </c>
      <c r="G499" t="n">
        <v>0.9429986826432329</v>
      </c>
    </row>
    <row r="500">
      <c r="A500" t="inlineStr">
        <is>
          <t>SoESCaOMCbIC-fixedOM.csv</t>
        </is>
      </c>
      <c r="B500" t="inlineStr">
        <is>
          <t>hydro</t>
        </is>
      </c>
      <c r="C500" t="inlineStr">
        <is>
          <t>ISIC 02</t>
        </is>
      </c>
      <c r="D500" t="inlineStr">
        <is>
          <t>ISIC 01T03</t>
        </is>
      </c>
      <c r="E500" t="n">
        <v>0.04176573136965662</v>
      </c>
      <c r="F500" t="inlineStr">
        <is>
          <t>BEA 2024 output share (default)</t>
        </is>
      </c>
      <c r="G500" t="n">
        <v>0.04176573136965662</v>
      </c>
    </row>
    <row r="501">
      <c r="A501" t="inlineStr">
        <is>
          <t>SoESCaOMCbIC-fixedOM.csv</t>
        </is>
      </c>
      <c r="B501" t="inlineStr">
        <is>
          <t>hydro</t>
        </is>
      </c>
      <c r="C501" t="inlineStr">
        <is>
          <t>ISIC 03</t>
        </is>
      </c>
      <c r="D501" t="inlineStr">
        <is>
          <t>ISIC 01T03</t>
        </is>
      </c>
      <c r="E501" t="n">
        <v>0.01523558598711041</v>
      </c>
      <c r="F501" t="inlineStr">
        <is>
          <t>BEA 2024 output share (default)</t>
        </is>
      </c>
      <c r="G501" t="n">
        <v>0.01523558598711041</v>
      </c>
    </row>
    <row r="502">
      <c r="A502" t="inlineStr">
        <is>
          <t>SoESCaOMCbIC-fixedOM.csv</t>
        </is>
      </c>
      <c r="B502" t="inlineStr">
        <is>
          <t>hydro</t>
        </is>
      </c>
      <c r="C502" t="inlineStr">
        <is>
          <t>ISIC 07</t>
        </is>
      </c>
      <c r="D502" t="inlineStr">
        <is>
          <t>ISIC 07T08</t>
        </is>
      </c>
      <c r="E502" t="n">
        <v>0.4327368836123752</v>
      </c>
      <c r="F502" t="inlineStr">
        <is>
          <t>BEA 2024 output share (default)</t>
        </is>
      </c>
      <c r="G502" t="n">
        <v>0.4327368836123752</v>
      </c>
    </row>
    <row r="503">
      <c r="A503" t="inlineStr">
        <is>
          <t>SoESCaOMCbIC-fixedOM.csv</t>
        </is>
      </c>
      <c r="B503" t="inlineStr">
        <is>
          <t>hydro</t>
        </is>
      </c>
      <c r="C503" t="inlineStr">
        <is>
          <t>ISIC 08</t>
        </is>
      </c>
      <c r="D503" t="inlineStr">
        <is>
          <t>ISIC 07T08</t>
        </is>
      </c>
      <c r="E503" t="n">
        <v>0.5672631163876248</v>
      </c>
      <c r="F503" t="inlineStr">
        <is>
          <t>BEA 2024 output share (default)</t>
        </is>
      </c>
      <c r="G503" t="n">
        <v>0.5672631163876248</v>
      </c>
    </row>
    <row r="504">
      <c r="A504" t="inlineStr">
        <is>
          <t>SoESCaOMCbIC-fixedOM.csv</t>
        </is>
      </c>
      <c r="B504" t="inlineStr">
        <is>
          <t>hydro</t>
        </is>
      </c>
      <c r="C504" t="inlineStr">
        <is>
          <t>ISIC 301</t>
        </is>
      </c>
      <c r="D504" t="inlineStr">
        <is>
          <t>ISIC 30</t>
        </is>
      </c>
      <c r="E504" t="n">
        <v>0.1171368722490322</v>
      </c>
      <c r="F504" t="inlineStr">
        <is>
          <t>BEA 2024 output share (default)</t>
        </is>
      </c>
      <c r="G504" t="n">
        <v>0.1171368722490322</v>
      </c>
    </row>
    <row r="505">
      <c r="A505" t="inlineStr">
        <is>
          <t>SoESCaOMCbIC-fixedOM.csv</t>
        </is>
      </c>
      <c r="B505" t="inlineStr">
        <is>
          <t>hydro</t>
        </is>
      </c>
      <c r="C505" t="inlineStr">
        <is>
          <t>ISIC 302T309</t>
        </is>
      </c>
      <c r="D505" t="inlineStr">
        <is>
          <t>ISIC 30</t>
        </is>
      </c>
      <c r="E505" t="n">
        <v>0.8828631277509678</v>
      </c>
      <c r="F505" t="inlineStr">
        <is>
          <t>BEA 2024 output share (default)</t>
        </is>
      </c>
      <c r="G505" t="n">
        <v>0.8828631277509678</v>
      </c>
    </row>
    <row r="506">
      <c r="A506" t="inlineStr">
        <is>
          <t>SoESCaOMCbIC-fixedOM.csv</t>
        </is>
      </c>
      <c r="B506" t="inlineStr">
        <is>
          <t>hydro</t>
        </is>
      </c>
      <c r="C506" t="inlineStr">
        <is>
          <t>ISIC 49</t>
        </is>
      </c>
      <c r="D506" t="inlineStr">
        <is>
          <t>ISIC 49T53</t>
        </is>
      </c>
      <c r="E506" t="n">
        <v>0.4781643011829615</v>
      </c>
      <c r="F506" t="inlineStr">
        <is>
          <t>BEA 2024 output share (default)</t>
        </is>
      </c>
      <c r="G506" t="n">
        <v>0.4781643011829615</v>
      </c>
    </row>
    <row r="507">
      <c r="A507" t="inlineStr">
        <is>
          <t>SoESCaOMCbIC-fixedOM.csv</t>
        </is>
      </c>
      <c r="B507" t="inlineStr">
        <is>
          <t>hydro</t>
        </is>
      </c>
      <c r="C507" t="inlineStr">
        <is>
          <t>ISIC 50</t>
        </is>
      </c>
      <c r="D507" t="inlineStr">
        <is>
          <t>ISIC 49T53</t>
        </is>
      </c>
      <c r="E507" t="n">
        <v>0.04258639396614965</v>
      </c>
      <c r="F507" t="inlineStr">
        <is>
          <t>BEA 2024 output share (default)</t>
        </is>
      </c>
      <c r="G507" t="n">
        <v>0.04258639396614965</v>
      </c>
    </row>
    <row r="508">
      <c r="A508" t="inlineStr">
        <is>
          <t>SoESCaOMCbIC-fixedOM.csv</t>
        </is>
      </c>
      <c r="B508" t="inlineStr">
        <is>
          <t>hydro</t>
        </is>
      </c>
      <c r="C508" t="inlineStr">
        <is>
          <t>ISIC 51</t>
        </is>
      </c>
      <c r="D508" t="inlineStr">
        <is>
          <t>ISIC 49T53</t>
        </is>
      </c>
      <c r="E508" t="n">
        <v>0.1808024634415262</v>
      </c>
      <c r="F508" t="inlineStr">
        <is>
          <t>BEA 2024 output share (default)</t>
        </is>
      </c>
      <c r="G508" t="n">
        <v>0.1808024634415262</v>
      </c>
    </row>
    <row r="509">
      <c r="A509" t="inlineStr">
        <is>
          <t>SoESCaOMCbIC-fixedOM.csv</t>
        </is>
      </c>
      <c r="B509" t="inlineStr">
        <is>
          <t>hydro</t>
        </is>
      </c>
      <c r="C509" t="inlineStr">
        <is>
          <t>ISIC 52</t>
        </is>
      </c>
      <c r="D509" t="inlineStr">
        <is>
          <t>ISIC 49T53</t>
        </is>
      </c>
      <c r="E509" t="n">
        <v>0.2139060571318126</v>
      </c>
      <c r="F509" t="inlineStr">
        <is>
          <t>BEA 2024 output share (default)</t>
        </is>
      </c>
      <c r="G509" t="n">
        <v>0.2139060571318126</v>
      </c>
    </row>
    <row r="510">
      <c r="A510" t="inlineStr">
        <is>
          <t>SoESCaOMCbIC-fixedOM.csv</t>
        </is>
      </c>
      <c r="B510" t="inlineStr">
        <is>
          <t>hydro</t>
        </is>
      </c>
      <c r="C510" t="inlineStr">
        <is>
          <t>ISIC 53</t>
        </is>
      </c>
      <c r="D510" t="inlineStr">
        <is>
          <t>ISIC 49T53</t>
        </is>
      </c>
      <c r="E510" t="n">
        <v>0.08454078427755009</v>
      </c>
      <c r="F510" t="inlineStr">
        <is>
          <t>BEA 2024 output share (default)</t>
        </is>
      </c>
      <c r="G510" t="n">
        <v>0.08454078427755009</v>
      </c>
    </row>
    <row r="511">
      <c r="A511" t="inlineStr">
        <is>
          <t>SoESCaOMCbIC-fixedOM.csv</t>
        </is>
      </c>
      <c r="B511" t="inlineStr">
        <is>
          <t>hydro</t>
        </is>
      </c>
      <c r="C511" t="inlineStr">
        <is>
          <t>ISIC 69T75</t>
        </is>
      </c>
      <c r="D511" t="inlineStr">
        <is>
          <t>ISIC 69T82</t>
        </is>
      </c>
      <c r="E511" t="n">
        <v>1</v>
      </c>
      <c r="F511" t="inlineStr">
        <is>
          <t>semantic override</t>
        </is>
      </c>
      <c r="G511" t="n">
        <v>0.7298219447914125</v>
      </c>
    </row>
    <row r="512">
      <c r="A512" t="inlineStr">
        <is>
          <t>SoESCaOMCbIC-fixedOM.csv</t>
        </is>
      </c>
      <c r="B512" t="inlineStr">
        <is>
          <t>hydro</t>
        </is>
      </c>
      <c r="C512" t="inlineStr">
        <is>
          <t>ISIC 77T82</t>
        </is>
      </c>
      <c r="D512" t="inlineStr">
        <is>
          <t>ISIC 69T82</t>
        </is>
      </c>
      <c r="E512" t="n">
        <v>0</v>
      </c>
      <c r="F512" t="inlineStr">
        <is>
          <t>semantic override</t>
        </is>
      </c>
      <c r="G512" t="n">
        <v>0.2701780552085875</v>
      </c>
    </row>
    <row r="513">
      <c r="A513" t="inlineStr">
        <is>
          <t>SoESCaOMCbIC-fixedOM.csv</t>
        </is>
      </c>
      <c r="B513" t="inlineStr">
        <is>
          <t>hydro</t>
        </is>
      </c>
      <c r="C513" t="inlineStr">
        <is>
          <t>ISIC 90T93</t>
        </is>
      </c>
      <c r="D513" t="inlineStr">
        <is>
          <t>ISIC 90T96</t>
        </is>
      </c>
      <c r="E513" t="n">
        <v>0.4216249514352275</v>
      </c>
      <c r="F513" t="inlineStr">
        <is>
          <t>BEA 2024 output share (default)</t>
        </is>
      </c>
      <c r="G513" t="n">
        <v>0.4216249514352275</v>
      </c>
    </row>
    <row r="514">
      <c r="A514" t="inlineStr">
        <is>
          <t>SoESCaOMCbIC-fixedOM.csv</t>
        </is>
      </c>
      <c r="B514" t="inlineStr">
        <is>
          <t>hydro</t>
        </is>
      </c>
      <c r="C514" t="inlineStr">
        <is>
          <t>ISIC 94T96</t>
        </is>
      </c>
      <c r="D514" t="inlineStr">
        <is>
          <t>ISIC 90T96</t>
        </is>
      </c>
      <c r="E514" t="n">
        <v>0.5783750485647725</v>
      </c>
      <c r="F514" t="inlineStr">
        <is>
          <t>BEA 2024 output share (default)</t>
        </is>
      </c>
      <c r="G514" t="n">
        <v>0.5783750485647725</v>
      </c>
    </row>
    <row r="515">
      <c r="A515" t="inlineStr">
        <is>
          <t>SoESCaOMCbIC-fixedOM.csv</t>
        </is>
      </c>
      <c r="B515" t="inlineStr">
        <is>
          <t>hydrogen combined cycle</t>
        </is>
      </c>
      <c r="C515" t="inlineStr">
        <is>
          <t>ISIC 01</t>
        </is>
      </c>
      <c r="D515" t="inlineStr">
        <is>
          <t>ISIC 01T03</t>
        </is>
      </c>
      <c r="E515" t="n">
        <v>0.9429986826432329</v>
      </c>
      <c r="F515" t="inlineStr">
        <is>
          <t>BEA 2024 output share (default)</t>
        </is>
      </c>
      <c r="G515" t="n">
        <v>0.9429986826432329</v>
      </c>
    </row>
    <row r="516">
      <c r="A516" t="inlineStr">
        <is>
          <t>SoESCaOMCbIC-fixedOM.csv</t>
        </is>
      </c>
      <c r="B516" t="inlineStr">
        <is>
          <t>hydrogen combined cycle</t>
        </is>
      </c>
      <c r="C516" t="inlineStr">
        <is>
          <t>ISIC 02</t>
        </is>
      </c>
      <c r="D516" t="inlineStr">
        <is>
          <t>ISIC 01T03</t>
        </is>
      </c>
      <c r="E516" t="n">
        <v>0.04176573136965662</v>
      </c>
      <c r="F516" t="inlineStr">
        <is>
          <t>BEA 2024 output share (default)</t>
        </is>
      </c>
      <c r="G516" t="n">
        <v>0.04176573136965662</v>
      </c>
    </row>
    <row r="517">
      <c r="A517" t="inlineStr">
        <is>
          <t>SoESCaOMCbIC-fixedOM.csv</t>
        </is>
      </c>
      <c r="B517" t="inlineStr">
        <is>
          <t>hydrogen combined cycle</t>
        </is>
      </c>
      <c r="C517" t="inlineStr">
        <is>
          <t>ISIC 03</t>
        </is>
      </c>
      <c r="D517" t="inlineStr">
        <is>
          <t>ISIC 01T03</t>
        </is>
      </c>
      <c r="E517" t="n">
        <v>0.01523558598711041</v>
      </c>
      <c r="F517" t="inlineStr">
        <is>
          <t>BEA 2024 output share (default)</t>
        </is>
      </c>
      <c r="G517" t="n">
        <v>0.01523558598711041</v>
      </c>
    </row>
    <row r="518">
      <c r="A518" t="inlineStr">
        <is>
          <t>SoESCaOMCbIC-fixedOM.csv</t>
        </is>
      </c>
      <c r="B518" t="inlineStr">
        <is>
          <t>hydrogen combined cycle</t>
        </is>
      </c>
      <c r="C518" t="inlineStr">
        <is>
          <t>ISIC 07</t>
        </is>
      </c>
      <c r="D518" t="inlineStr">
        <is>
          <t>ISIC 07T08</t>
        </is>
      </c>
      <c r="E518" t="n">
        <v>0.4327368836123752</v>
      </c>
      <c r="F518" t="inlineStr">
        <is>
          <t>BEA 2024 output share (default)</t>
        </is>
      </c>
      <c r="G518" t="n">
        <v>0.4327368836123752</v>
      </c>
    </row>
    <row r="519">
      <c r="A519" t="inlineStr">
        <is>
          <t>SoESCaOMCbIC-fixedOM.csv</t>
        </is>
      </c>
      <c r="B519" t="inlineStr">
        <is>
          <t>hydrogen combined cycle</t>
        </is>
      </c>
      <c r="C519" t="inlineStr">
        <is>
          <t>ISIC 08</t>
        </is>
      </c>
      <c r="D519" t="inlineStr">
        <is>
          <t>ISIC 07T08</t>
        </is>
      </c>
      <c r="E519" t="n">
        <v>0.5672631163876248</v>
      </c>
      <c r="F519" t="inlineStr">
        <is>
          <t>BEA 2024 output share (default)</t>
        </is>
      </c>
      <c r="G519" t="n">
        <v>0.5672631163876248</v>
      </c>
    </row>
    <row r="520">
      <c r="A520" t="inlineStr">
        <is>
          <t>SoESCaOMCbIC-fixedOM.csv</t>
        </is>
      </c>
      <c r="B520" t="inlineStr">
        <is>
          <t>hydrogen combined cycle</t>
        </is>
      </c>
      <c r="C520" t="inlineStr">
        <is>
          <t>ISIC 301</t>
        </is>
      </c>
      <c r="D520" t="inlineStr">
        <is>
          <t>ISIC 30</t>
        </is>
      </c>
      <c r="E520" t="n">
        <v>0.1171368722490322</v>
      </c>
      <c r="F520" t="inlineStr">
        <is>
          <t>BEA 2024 output share (default)</t>
        </is>
      </c>
      <c r="G520" t="n">
        <v>0.1171368722490322</v>
      </c>
    </row>
    <row r="521">
      <c r="A521" t="inlineStr">
        <is>
          <t>SoESCaOMCbIC-fixedOM.csv</t>
        </is>
      </c>
      <c r="B521" t="inlineStr">
        <is>
          <t>hydrogen combined cycle</t>
        </is>
      </c>
      <c r="C521" t="inlineStr">
        <is>
          <t>ISIC 302T309</t>
        </is>
      </c>
      <c r="D521" t="inlineStr">
        <is>
          <t>ISIC 30</t>
        </is>
      </c>
      <c r="E521" t="n">
        <v>0.8828631277509678</v>
      </c>
      <c r="F521" t="inlineStr">
        <is>
          <t>BEA 2024 output share (default)</t>
        </is>
      </c>
      <c r="G521" t="n">
        <v>0.8828631277509678</v>
      </c>
    </row>
    <row r="522">
      <c r="A522" t="inlineStr">
        <is>
          <t>SoESCaOMCbIC-fixedOM.csv</t>
        </is>
      </c>
      <c r="B522" t="inlineStr">
        <is>
          <t>hydrogen combined cycle</t>
        </is>
      </c>
      <c r="C522" t="inlineStr">
        <is>
          <t>ISIC 49</t>
        </is>
      </c>
      <c r="D522" t="inlineStr">
        <is>
          <t>ISIC 49T53</t>
        </is>
      </c>
      <c r="E522" t="n">
        <v>0.4781643011829615</v>
      </c>
      <c r="F522" t="inlineStr">
        <is>
          <t>BEA 2024 output share (default)</t>
        </is>
      </c>
      <c r="G522" t="n">
        <v>0.4781643011829615</v>
      </c>
    </row>
    <row r="523">
      <c r="A523" t="inlineStr">
        <is>
          <t>SoESCaOMCbIC-fixedOM.csv</t>
        </is>
      </c>
      <c r="B523" t="inlineStr">
        <is>
          <t>hydrogen combined cycle</t>
        </is>
      </c>
      <c r="C523" t="inlineStr">
        <is>
          <t>ISIC 50</t>
        </is>
      </c>
      <c r="D523" t="inlineStr">
        <is>
          <t>ISIC 49T53</t>
        </is>
      </c>
      <c r="E523" t="n">
        <v>0.04258639396614965</v>
      </c>
      <c r="F523" t="inlineStr">
        <is>
          <t>BEA 2024 output share (default)</t>
        </is>
      </c>
      <c r="G523" t="n">
        <v>0.04258639396614965</v>
      </c>
    </row>
    <row r="524">
      <c r="A524" t="inlineStr">
        <is>
          <t>SoESCaOMCbIC-fixedOM.csv</t>
        </is>
      </c>
      <c r="B524" t="inlineStr">
        <is>
          <t>hydrogen combined cycle</t>
        </is>
      </c>
      <c r="C524" t="inlineStr">
        <is>
          <t>ISIC 51</t>
        </is>
      </c>
      <c r="D524" t="inlineStr">
        <is>
          <t>ISIC 49T53</t>
        </is>
      </c>
      <c r="E524" t="n">
        <v>0.1808024634415262</v>
      </c>
      <c r="F524" t="inlineStr">
        <is>
          <t>BEA 2024 output share (default)</t>
        </is>
      </c>
      <c r="G524" t="n">
        <v>0.1808024634415262</v>
      </c>
    </row>
    <row r="525">
      <c r="A525" t="inlineStr">
        <is>
          <t>SoESCaOMCbIC-fixedOM.csv</t>
        </is>
      </c>
      <c r="B525" t="inlineStr">
        <is>
          <t>hydrogen combined cycle</t>
        </is>
      </c>
      <c r="C525" t="inlineStr">
        <is>
          <t>ISIC 52</t>
        </is>
      </c>
      <c r="D525" t="inlineStr">
        <is>
          <t>ISIC 49T53</t>
        </is>
      </c>
      <c r="E525" t="n">
        <v>0.2139060571318126</v>
      </c>
      <c r="F525" t="inlineStr">
        <is>
          <t>BEA 2024 output share (default)</t>
        </is>
      </c>
      <c r="G525" t="n">
        <v>0.2139060571318126</v>
      </c>
    </row>
    <row r="526">
      <c r="A526" t="inlineStr">
        <is>
          <t>SoESCaOMCbIC-fixedOM.csv</t>
        </is>
      </c>
      <c r="B526" t="inlineStr">
        <is>
          <t>hydrogen combined cycle</t>
        </is>
      </c>
      <c r="C526" t="inlineStr">
        <is>
          <t>ISIC 53</t>
        </is>
      </c>
      <c r="D526" t="inlineStr">
        <is>
          <t>ISIC 49T53</t>
        </is>
      </c>
      <c r="E526" t="n">
        <v>0.08454078427755009</v>
      </c>
      <c r="F526" t="inlineStr">
        <is>
          <t>BEA 2024 output share (default)</t>
        </is>
      </c>
      <c r="G526" t="n">
        <v>0.08454078427755009</v>
      </c>
    </row>
    <row r="527">
      <c r="A527" t="inlineStr">
        <is>
          <t>SoESCaOMCbIC-fixedOM.csv</t>
        </is>
      </c>
      <c r="B527" t="inlineStr">
        <is>
          <t>hydrogen combined cycle</t>
        </is>
      </c>
      <c r="C527" t="inlineStr">
        <is>
          <t>ISIC 69T75</t>
        </is>
      </c>
      <c r="D527" t="inlineStr">
        <is>
          <t>ISIC 69T82</t>
        </is>
      </c>
      <c r="E527" t="n">
        <v>1</v>
      </c>
      <c r="F527" t="inlineStr">
        <is>
          <t>semantic override</t>
        </is>
      </c>
      <c r="G527" t="n">
        <v>0.7298219447914125</v>
      </c>
    </row>
    <row r="528">
      <c r="A528" t="inlineStr">
        <is>
          <t>SoESCaOMCbIC-fixedOM.csv</t>
        </is>
      </c>
      <c r="B528" t="inlineStr">
        <is>
          <t>hydrogen combined cycle</t>
        </is>
      </c>
      <c r="C528" t="inlineStr">
        <is>
          <t>ISIC 77T82</t>
        </is>
      </c>
      <c r="D528" t="inlineStr">
        <is>
          <t>ISIC 69T82</t>
        </is>
      </c>
      <c r="E528" t="n">
        <v>0</v>
      </c>
      <c r="F528" t="inlineStr">
        <is>
          <t>semantic override</t>
        </is>
      </c>
      <c r="G528" t="n">
        <v>0.2701780552085875</v>
      </c>
    </row>
    <row r="529">
      <c r="A529" t="inlineStr">
        <is>
          <t>SoESCaOMCbIC-fixedOM.csv</t>
        </is>
      </c>
      <c r="B529" t="inlineStr">
        <is>
          <t>hydrogen combined cycle</t>
        </is>
      </c>
      <c r="C529" t="inlineStr">
        <is>
          <t>ISIC 90T93</t>
        </is>
      </c>
      <c r="D529" t="inlineStr">
        <is>
          <t>ISIC 90T96</t>
        </is>
      </c>
      <c r="E529" t="n">
        <v>0.4216249514352275</v>
      </c>
      <c r="F529" t="inlineStr">
        <is>
          <t>BEA 2024 output share (default)</t>
        </is>
      </c>
      <c r="G529" t="n">
        <v>0.4216249514352275</v>
      </c>
    </row>
    <row r="530">
      <c r="A530" t="inlineStr">
        <is>
          <t>SoESCaOMCbIC-fixedOM.csv</t>
        </is>
      </c>
      <c r="B530" t="inlineStr">
        <is>
          <t>hydrogen combined cycle</t>
        </is>
      </c>
      <c r="C530" t="inlineStr">
        <is>
          <t>ISIC 94T96</t>
        </is>
      </c>
      <c r="D530" t="inlineStr">
        <is>
          <t>ISIC 90T96</t>
        </is>
      </c>
      <c r="E530" t="n">
        <v>0.5783750485647725</v>
      </c>
      <c r="F530" t="inlineStr">
        <is>
          <t>BEA 2024 output share (default)</t>
        </is>
      </c>
      <c r="G530" t="n">
        <v>0.5783750485647725</v>
      </c>
    </row>
    <row r="531">
      <c r="A531" t="inlineStr">
        <is>
          <t>SoESCaOMCbIC-fixedOM.csv</t>
        </is>
      </c>
      <c r="B531" t="inlineStr">
        <is>
          <t>hydrogen combustion turbine</t>
        </is>
      </c>
      <c r="C531" t="inlineStr">
        <is>
          <t>ISIC 01</t>
        </is>
      </c>
      <c r="D531" t="inlineStr">
        <is>
          <t>ISIC 01T03</t>
        </is>
      </c>
      <c r="E531" t="n">
        <v>0.9429986826432329</v>
      </c>
      <c r="F531" t="inlineStr">
        <is>
          <t>BEA 2024 output share (default)</t>
        </is>
      </c>
      <c r="G531" t="n">
        <v>0.9429986826432329</v>
      </c>
    </row>
    <row r="532">
      <c r="A532" t="inlineStr">
        <is>
          <t>SoESCaOMCbIC-fixedOM.csv</t>
        </is>
      </c>
      <c r="B532" t="inlineStr">
        <is>
          <t>hydrogen combustion turbine</t>
        </is>
      </c>
      <c r="C532" t="inlineStr">
        <is>
          <t>ISIC 02</t>
        </is>
      </c>
      <c r="D532" t="inlineStr">
        <is>
          <t>ISIC 01T03</t>
        </is>
      </c>
      <c r="E532" t="n">
        <v>0.04176573136965662</v>
      </c>
      <c r="F532" t="inlineStr">
        <is>
          <t>BEA 2024 output share (default)</t>
        </is>
      </c>
      <c r="G532" t="n">
        <v>0.04176573136965662</v>
      </c>
    </row>
    <row r="533">
      <c r="A533" t="inlineStr">
        <is>
          <t>SoESCaOMCbIC-fixedOM.csv</t>
        </is>
      </c>
      <c r="B533" t="inlineStr">
        <is>
          <t>hydrogen combustion turbine</t>
        </is>
      </c>
      <c r="C533" t="inlineStr">
        <is>
          <t>ISIC 03</t>
        </is>
      </c>
      <c r="D533" t="inlineStr">
        <is>
          <t>ISIC 01T03</t>
        </is>
      </c>
      <c r="E533" t="n">
        <v>0.01523558598711041</v>
      </c>
      <c r="F533" t="inlineStr">
        <is>
          <t>BEA 2024 output share (default)</t>
        </is>
      </c>
      <c r="G533" t="n">
        <v>0.01523558598711041</v>
      </c>
    </row>
    <row r="534">
      <c r="A534" t="inlineStr">
        <is>
          <t>SoESCaOMCbIC-fixedOM.csv</t>
        </is>
      </c>
      <c r="B534" t="inlineStr">
        <is>
          <t>hydrogen combustion turbine</t>
        </is>
      </c>
      <c r="C534" t="inlineStr">
        <is>
          <t>ISIC 07</t>
        </is>
      </c>
      <c r="D534" t="inlineStr">
        <is>
          <t>ISIC 07T08</t>
        </is>
      </c>
      <c r="E534" t="n">
        <v>0.4327368836123752</v>
      </c>
      <c r="F534" t="inlineStr">
        <is>
          <t>BEA 2024 output share (default)</t>
        </is>
      </c>
      <c r="G534" t="n">
        <v>0.4327368836123752</v>
      </c>
    </row>
    <row r="535">
      <c r="A535" t="inlineStr">
        <is>
          <t>SoESCaOMCbIC-fixedOM.csv</t>
        </is>
      </c>
      <c r="B535" t="inlineStr">
        <is>
          <t>hydrogen combustion turbine</t>
        </is>
      </c>
      <c r="C535" t="inlineStr">
        <is>
          <t>ISIC 08</t>
        </is>
      </c>
      <c r="D535" t="inlineStr">
        <is>
          <t>ISIC 07T08</t>
        </is>
      </c>
      <c r="E535" t="n">
        <v>0.5672631163876248</v>
      </c>
      <c r="F535" t="inlineStr">
        <is>
          <t>BEA 2024 output share (default)</t>
        </is>
      </c>
      <c r="G535" t="n">
        <v>0.5672631163876248</v>
      </c>
    </row>
    <row r="536">
      <c r="A536" t="inlineStr">
        <is>
          <t>SoESCaOMCbIC-fixedOM.csv</t>
        </is>
      </c>
      <c r="B536" t="inlineStr">
        <is>
          <t>hydrogen combustion turbine</t>
        </is>
      </c>
      <c r="C536" t="inlineStr">
        <is>
          <t>ISIC 301</t>
        </is>
      </c>
      <c r="D536" t="inlineStr">
        <is>
          <t>ISIC 30</t>
        </is>
      </c>
      <c r="E536" t="n">
        <v>0.1171368722490322</v>
      </c>
      <c r="F536" t="inlineStr">
        <is>
          <t>BEA 2024 output share (default)</t>
        </is>
      </c>
      <c r="G536" t="n">
        <v>0.1171368722490322</v>
      </c>
    </row>
    <row r="537">
      <c r="A537" t="inlineStr">
        <is>
          <t>SoESCaOMCbIC-fixedOM.csv</t>
        </is>
      </c>
      <c r="B537" t="inlineStr">
        <is>
          <t>hydrogen combustion turbine</t>
        </is>
      </c>
      <c r="C537" t="inlineStr">
        <is>
          <t>ISIC 302T309</t>
        </is>
      </c>
      <c r="D537" t="inlineStr">
        <is>
          <t>ISIC 30</t>
        </is>
      </c>
      <c r="E537" t="n">
        <v>0.8828631277509678</v>
      </c>
      <c r="F537" t="inlineStr">
        <is>
          <t>BEA 2024 output share (default)</t>
        </is>
      </c>
      <c r="G537" t="n">
        <v>0.8828631277509678</v>
      </c>
    </row>
    <row r="538">
      <c r="A538" t="inlineStr">
        <is>
          <t>SoESCaOMCbIC-fixedOM.csv</t>
        </is>
      </c>
      <c r="B538" t="inlineStr">
        <is>
          <t>hydrogen combustion turbine</t>
        </is>
      </c>
      <c r="C538" t="inlineStr">
        <is>
          <t>ISIC 49</t>
        </is>
      </c>
      <c r="D538" t="inlineStr">
        <is>
          <t>ISIC 49T53</t>
        </is>
      </c>
      <c r="E538" t="n">
        <v>0.4781643011829615</v>
      </c>
      <c r="F538" t="inlineStr">
        <is>
          <t>BEA 2024 output share (default)</t>
        </is>
      </c>
      <c r="G538" t="n">
        <v>0.4781643011829615</v>
      </c>
    </row>
    <row r="539">
      <c r="A539" t="inlineStr">
        <is>
          <t>SoESCaOMCbIC-fixedOM.csv</t>
        </is>
      </c>
      <c r="B539" t="inlineStr">
        <is>
          <t>hydrogen combustion turbine</t>
        </is>
      </c>
      <c r="C539" t="inlineStr">
        <is>
          <t>ISIC 50</t>
        </is>
      </c>
      <c r="D539" t="inlineStr">
        <is>
          <t>ISIC 49T53</t>
        </is>
      </c>
      <c r="E539" t="n">
        <v>0.04258639396614965</v>
      </c>
      <c r="F539" t="inlineStr">
        <is>
          <t>BEA 2024 output share (default)</t>
        </is>
      </c>
      <c r="G539" t="n">
        <v>0.04258639396614965</v>
      </c>
    </row>
    <row r="540">
      <c r="A540" t="inlineStr">
        <is>
          <t>SoESCaOMCbIC-fixedOM.csv</t>
        </is>
      </c>
      <c r="B540" t="inlineStr">
        <is>
          <t>hydrogen combustion turbine</t>
        </is>
      </c>
      <c r="C540" t="inlineStr">
        <is>
          <t>ISIC 51</t>
        </is>
      </c>
      <c r="D540" t="inlineStr">
        <is>
          <t>ISIC 49T53</t>
        </is>
      </c>
      <c r="E540" t="n">
        <v>0.1808024634415262</v>
      </c>
      <c r="F540" t="inlineStr">
        <is>
          <t>BEA 2024 output share (default)</t>
        </is>
      </c>
      <c r="G540" t="n">
        <v>0.1808024634415262</v>
      </c>
    </row>
    <row r="541">
      <c r="A541" t="inlineStr">
        <is>
          <t>SoESCaOMCbIC-fixedOM.csv</t>
        </is>
      </c>
      <c r="B541" t="inlineStr">
        <is>
          <t>hydrogen combustion turbine</t>
        </is>
      </c>
      <c r="C541" t="inlineStr">
        <is>
          <t>ISIC 52</t>
        </is>
      </c>
      <c r="D541" t="inlineStr">
        <is>
          <t>ISIC 49T53</t>
        </is>
      </c>
      <c r="E541" t="n">
        <v>0.2139060571318126</v>
      </c>
      <c r="F541" t="inlineStr">
        <is>
          <t>BEA 2024 output share (default)</t>
        </is>
      </c>
      <c r="G541" t="n">
        <v>0.2139060571318126</v>
      </c>
    </row>
    <row r="542">
      <c r="A542" t="inlineStr">
        <is>
          <t>SoESCaOMCbIC-fixedOM.csv</t>
        </is>
      </c>
      <c r="B542" t="inlineStr">
        <is>
          <t>hydrogen combustion turbine</t>
        </is>
      </c>
      <c r="C542" t="inlineStr">
        <is>
          <t>ISIC 53</t>
        </is>
      </c>
      <c r="D542" t="inlineStr">
        <is>
          <t>ISIC 49T53</t>
        </is>
      </c>
      <c r="E542" t="n">
        <v>0.08454078427755009</v>
      </c>
      <c r="F542" t="inlineStr">
        <is>
          <t>BEA 2024 output share (default)</t>
        </is>
      </c>
      <c r="G542" t="n">
        <v>0.08454078427755009</v>
      </c>
    </row>
    <row r="543">
      <c r="A543" t="inlineStr">
        <is>
          <t>SoESCaOMCbIC-fixedOM.csv</t>
        </is>
      </c>
      <c r="B543" t="inlineStr">
        <is>
          <t>hydrogen combustion turbine</t>
        </is>
      </c>
      <c r="C543" t="inlineStr">
        <is>
          <t>ISIC 69T75</t>
        </is>
      </c>
      <c r="D543" t="inlineStr">
        <is>
          <t>ISIC 69T82</t>
        </is>
      </c>
      <c r="E543" t="n">
        <v>1</v>
      </c>
      <c r="F543" t="inlineStr">
        <is>
          <t>semantic override</t>
        </is>
      </c>
      <c r="G543" t="n">
        <v>0.7298219447914125</v>
      </c>
    </row>
    <row r="544">
      <c r="A544" t="inlineStr">
        <is>
          <t>SoESCaOMCbIC-fixedOM.csv</t>
        </is>
      </c>
      <c r="B544" t="inlineStr">
        <is>
          <t>hydrogen combustion turbine</t>
        </is>
      </c>
      <c r="C544" t="inlineStr">
        <is>
          <t>ISIC 77T82</t>
        </is>
      </c>
      <c r="D544" t="inlineStr">
        <is>
          <t>ISIC 69T82</t>
        </is>
      </c>
      <c r="E544" t="n">
        <v>0</v>
      </c>
      <c r="F544" t="inlineStr">
        <is>
          <t>semantic override</t>
        </is>
      </c>
      <c r="G544" t="n">
        <v>0.2701780552085875</v>
      </c>
    </row>
    <row r="545">
      <c r="A545" t="inlineStr">
        <is>
          <t>SoESCaOMCbIC-fixedOM.csv</t>
        </is>
      </c>
      <c r="B545" t="inlineStr">
        <is>
          <t>hydrogen combustion turbine</t>
        </is>
      </c>
      <c r="C545" t="inlineStr">
        <is>
          <t>ISIC 90T93</t>
        </is>
      </c>
      <c r="D545" t="inlineStr">
        <is>
          <t>ISIC 90T96</t>
        </is>
      </c>
      <c r="E545" t="n">
        <v>0.4216249514352275</v>
      </c>
      <c r="F545" t="inlineStr">
        <is>
          <t>BEA 2024 output share (default)</t>
        </is>
      </c>
      <c r="G545" t="n">
        <v>0.4216249514352275</v>
      </c>
    </row>
    <row r="546">
      <c r="A546" t="inlineStr">
        <is>
          <t>SoESCaOMCbIC-fixedOM.csv</t>
        </is>
      </c>
      <c r="B546" t="inlineStr">
        <is>
          <t>hydrogen combustion turbine</t>
        </is>
      </c>
      <c r="C546" t="inlineStr">
        <is>
          <t>ISIC 94T96</t>
        </is>
      </c>
      <c r="D546" t="inlineStr">
        <is>
          <t>ISIC 90T96</t>
        </is>
      </c>
      <c r="E546" t="n">
        <v>0.5783750485647725</v>
      </c>
      <c r="F546" t="inlineStr">
        <is>
          <t>BEA 2024 output share (default)</t>
        </is>
      </c>
      <c r="G546" t="n">
        <v>0.5783750485647725</v>
      </c>
    </row>
    <row r="547">
      <c r="A547" t="inlineStr">
        <is>
          <t>SoESCaOMCbIC-fixedOM.csv</t>
        </is>
      </c>
      <c r="B547" t="inlineStr">
        <is>
          <t>lignite</t>
        </is>
      </c>
      <c r="C547" t="inlineStr">
        <is>
          <t>ISIC 01</t>
        </is>
      </c>
      <c r="D547" t="inlineStr">
        <is>
          <t>ISIC 01T03</t>
        </is>
      </c>
      <c r="E547" t="n">
        <v>0.9429986826432329</v>
      </c>
      <c r="F547" t="inlineStr">
        <is>
          <t>BEA 2024 output share (default)</t>
        </is>
      </c>
      <c r="G547" t="n">
        <v>0.9429986826432329</v>
      </c>
    </row>
    <row r="548">
      <c r="A548" t="inlineStr">
        <is>
          <t>SoESCaOMCbIC-fixedOM.csv</t>
        </is>
      </c>
      <c r="B548" t="inlineStr">
        <is>
          <t>lignite</t>
        </is>
      </c>
      <c r="C548" t="inlineStr">
        <is>
          <t>ISIC 02</t>
        </is>
      </c>
      <c r="D548" t="inlineStr">
        <is>
          <t>ISIC 01T03</t>
        </is>
      </c>
      <c r="E548" t="n">
        <v>0.04176573136965662</v>
      </c>
      <c r="F548" t="inlineStr">
        <is>
          <t>BEA 2024 output share (default)</t>
        </is>
      </c>
      <c r="G548" t="n">
        <v>0.04176573136965662</v>
      </c>
    </row>
    <row r="549">
      <c r="A549" t="inlineStr">
        <is>
          <t>SoESCaOMCbIC-fixedOM.csv</t>
        </is>
      </c>
      <c r="B549" t="inlineStr">
        <is>
          <t>lignite</t>
        </is>
      </c>
      <c r="C549" t="inlineStr">
        <is>
          <t>ISIC 03</t>
        </is>
      </c>
      <c r="D549" t="inlineStr">
        <is>
          <t>ISIC 01T03</t>
        </is>
      </c>
      <c r="E549" t="n">
        <v>0.01523558598711041</v>
      </c>
      <c r="F549" t="inlineStr">
        <is>
          <t>BEA 2024 output share (default)</t>
        </is>
      </c>
      <c r="G549" t="n">
        <v>0.01523558598711041</v>
      </c>
    </row>
    <row r="550">
      <c r="A550" t="inlineStr">
        <is>
          <t>SoESCaOMCbIC-fixedOM.csv</t>
        </is>
      </c>
      <c r="B550" t="inlineStr">
        <is>
          <t>lignite</t>
        </is>
      </c>
      <c r="C550" t="inlineStr">
        <is>
          <t>ISIC 07</t>
        </is>
      </c>
      <c r="D550" t="inlineStr">
        <is>
          <t>ISIC 07T08</t>
        </is>
      </c>
      <c r="E550" t="n">
        <v>0.4327368836123752</v>
      </c>
      <c r="F550" t="inlineStr">
        <is>
          <t>BEA 2024 output share (default)</t>
        </is>
      </c>
      <c r="G550" t="n">
        <v>0.4327368836123752</v>
      </c>
    </row>
    <row r="551">
      <c r="A551" t="inlineStr">
        <is>
          <t>SoESCaOMCbIC-fixedOM.csv</t>
        </is>
      </c>
      <c r="B551" t="inlineStr">
        <is>
          <t>lignite</t>
        </is>
      </c>
      <c r="C551" t="inlineStr">
        <is>
          <t>ISIC 08</t>
        </is>
      </c>
      <c r="D551" t="inlineStr">
        <is>
          <t>ISIC 07T08</t>
        </is>
      </c>
      <c r="E551" t="n">
        <v>0.5672631163876248</v>
      </c>
      <c r="F551" t="inlineStr">
        <is>
          <t>BEA 2024 output share (default)</t>
        </is>
      </c>
      <c r="G551" t="n">
        <v>0.5672631163876248</v>
      </c>
    </row>
    <row r="552">
      <c r="A552" t="inlineStr">
        <is>
          <t>SoESCaOMCbIC-fixedOM.csv</t>
        </is>
      </c>
      <c r="B552" t="inlineStr">
        <is>
          <t>lignite</t>
        </is>
      </c>
      <c r="C552" t="inlineStr">
        <is>
          <t>ISIC 301</t>
        </is>
      </c>
      <c r="D552" t="inlineStr">
        <is>
          <t>ISIC 30</t>
        </is>
      </c>
      <c r="E552" t="n">
        <v>0.1171368722490322</v>
      </c>
      <c r="F552" t="inlineStr">
        <is>
          <t>BEA 2024 output share (default)</t>
        </is>
      </c>
      <c r="G552" t="n">
        <v>0.1171368722490322</v>
      </c>
    </row>
    <row r="553">
      <c r="A553" t="inlineStr">
        <is>
          <t>SoESCaOMCbIC-fixedOM.csv</t>
        </is>
      </c>
      <c r="B553" t="inlineStr">
        <is>
          <t>lignite</t>
        </is>
      </c>
      <c r="C553" t="inlineStr">
        <is>
          <t>ISIC 302T309</t>
        </is>
      </c>
      <c r="D553" t="inlineStr">
        <is>
          <t>ISIC 30</t>
        </is>
      </c>
      <c r="E553" t="n">
        <v>0.8828631277509678</v>
      </c>
      <c r="F553" t="inlineStr">
        <is>
          <t>BEA 2024 output share (default)</t>
        </is>
      </c>
      <c r="G553" t="n">
        <v>0.8828631277509678</v>
      </c>
    </row>
    <row r="554">
      <c r="A554" t="inlineStr">
        <is>
          <t>SoESCaOMCbIC-fixedOM.csv</t>
        </is>
      </c>
      <c r="B554" t="inlineStr">
        <is>
          <t>lignite</t>
        </is>
      </c>
      <c r="C554" t="inlineStr">
        <is>
          <t>ISIC 49</t>
        </is>
      </c>
      <c r="D554" t="inlineStr">
        <is>
          <t>ISIC 49T53</t>
        </is>
      </c>
      <c r="E554" t="n">
        <v>0.4781643011829615</v>
      </c>
      <c r="F554" t="inlineStr">
        <is>
          <t>BEA 2024 output share (default)</t>
        </is>
      </c>
      <c r="G554" t="n">
        <v>0.4781643011829615</v>
      </c>
    </row>
    <row r="555">
      <c r="A555" t="inlineStr">
        <is>
          <t>SoESCaOMCbIC-fixedOM.csv</t>
        </is>
      </c>
      <c r="B555" t="inlineStr">
        <is>
          <t>lignite</t>
        </is>
      </c>
      <c r="C555" t="inlineStr">
        <is>
          <t>ISIC 50</t>
        </is>
      </c>
      <c r="D555" t="inlineStr">
        <is>
          <t>ISIC 49T53</t>
        </is>
      </c>
      <c r="E555" t="n">
        <v>0.04258639396614965</v>
      </c>
      <c r="F555" t="inlineStr">
        <is>
          <t>BEA 2024 output share (default)</t>
        </is>
      </c>
      <c r="G555" t="n">
        <v>0.04258639396614965</v>
      </c>
    </row>
    <row r="556">
      <c r="A556" t="inlineStr">
        <is>
          <t>SoESCaOMCbIC-fixedOM.csv</t>
        </is>
      </c>
      <c r="B556" t="inlineStr">
        <is>
          <t>lignite</t>
        </is>
      </c>
      <c r="C556" t="inlineStr">
        <is>
          <t>ISIC 51</t>
        </is>
      </c>
      <c r="D556" t="inlineStr">
        <is>
          <t>ISIC 49T53</t>
        </is>
      </c>
      <c r="E556" t="n">
        <v>0.1808024634415262</v>
      </c>
      <c r="F556" t="inlineStr">
        <is>
          <t>BEA 2024 output share (default)</t>
        </is>
      </c>
      <c r="G556" t="n">
        <v>0.1808024634415262</v>
      </c>
    </row>
    <row r="557">
      <c r="A557" t="inlineStr">
        <is>
          <t>SoESCaOMCbIC-fixedOM.csv</t>
        </is>
      </c>
      <c r="B557" t="inlineStr">
        <is>
          <t>lignite</t>
        </is>
      </c>
      <c r="C557" t="inlineStr">
        <is>
          <t>ISIC 52</t>
        </is>
      </c>
      <c r="D557" t="inlineStr">
        <is>
          <t>ISIC 49T53</t>
        </is>
      </c>
      <c r="E557" t="n">
        <v>0.2139060571318126</v>
      </c>
      <c r="F557" t="inlineStr">
        <is>
          <t>BEA 2024 output share (default)</t>
        </is>
      </c>
      <c r="G557" t="n">
        <v>0.2139060571318126</v>
      </c>
    </row>
    <row r="558">
      <c r="A558" t="inlineStr">
        <is>
          <t>SoESCaOMCbIC-fixedOM.csv</t>
        </is>
      </c>
      <c r="B558" t="inlineStr">
        <is>
          <t>lignite</t>
        </is>
      </c>
      <c r="C558" t="inlineStr">
        <is>
          <t>ISIC 53</t>
        </is>
      </c>
      <c r="D558" t="inlineStr">
        <is>
          <t>ISIC 49T53</t>
        </is>
      </c>
      <c r="E558" t="n">
        <v>0.08454078427755009</v>
      </c>
      <c r="F558" t="inlineStr">
        <is>
          <t>BEA 2024 output share (default)</t>
        </is>
      </c>
      <c r="G558" t="n">
        <v>0.08454078427755009</v>
      </c>
    </row>
    <row r="559">
      <c r="A559" t="inlineStr">
        <is>
          <t>SoESCaOMCbIC-fixedOM.csv</t>
        </is>
      </c>
      <c r="B559" t="inlineStr">
        <is>
          <t>lignite</t>
        </is>
      </c>
      <c r="C559" t="inlineStr">
        <is>
          <t>ISIC 69T75</t>
        </is>
      </c>
      <c r="D559" t="inlineStr">
        <is>
          <t>ISIC 69T82</t>
        </is>
      </c>
      <c r="E559" t="n">
        <v>1</v>
      </c>
      <c r="F559" t="inlineStr">
        <is>
          <t>semantic override</t>
        </is>
      </c>
      <c r="G559" t="n">
        <v>0.7298219447914125</v>
      </c>
    </row>
    <row r="560">
      <c r="A560" t="inlineStr">
        <is>
          <t>SoESCaOMCbIC-fixedOM.csv</t>
        </is>
      </c>
      <c r="B560" t="inlineStr">
        <is>
          <t>lignite</t>
        </is>
      </c>
      <c r="C560" t="inlineStr">
        <is>
          <t>ISIC 77T82</t>
        </is>
      </c>
      <c r="D560" t="inlineStr">
        <is>
          <t>ISIC 69T82</t>
        </is>
      </c>
      <c r="E560" t="n">
        <v>0</v>
      </c>
      <c r="F560" t="inlineStr">
        <is>
          <t>semantic override</t>
        </is>
      </c>
      <c r="G560" t="n">
        <v>0.2701780552085875</v>
      </c>
    </row>
    <row r="561">
      <c r="A561" t="inlineStr">
        <is>
          <t>SoESCaOMCbIC-fixedOM.csv</t>
        </is>
      </c>
      <c r="B561" t="inlineStr">
        <is>
          <t>lignite</t>
        </is>
      </c>
      <c r="C561" t="inlineStr">
        <is>
          <t>ISIC 90T93</t>
        </is>
      </c>
      <c r="D561" t="inlineStr">
        <is>
          <t>ISIC 90T96</t>
        </is>
      </c>
      <c r="E561" t="n">
        <v>0.4216249514352275</v>
      </c>
      <c r="F561" t="inlineStr">
        <is>
          <t>BEA 2024 output share (default)</t>
        </is>
      </c>
      <c r="G561" t="n">
        <v>0.4216249514352275</v>
      </c>
    </row>
    <row r="562">
      <c r="A562" t="inlineStr">
        <is>
          <t>SoESCaOMCbIC-fixedOM.csv</t>
        </is>
      </c>
      <c r="B562" t="inlineStr">
        <is>
          <t>lignite</t>
        </is>
      </c>
      <c r="C562" t="inlineStr">
        <is>
          <t>ISIC 94T96</t>
        </is>
      </c>
      <c r="D562" t="inlineStr">
        <is>
          <t>ISIC 90T96</t>
        </is>
      </c>
      <c r="E562" t="n">
        <v>0.5783750485647725</v>
      </c>
      <c r="F562" t="inlineStr">
        <is>
          <t>BEA 2024 output share (default)</t>
        </is>
      </c>
      <c r="G562" t="n">
        <v>0.5783750485647725</v>
      </c>
    </row>
    <row r="563">
      <c r="A563" t="inlineStr">
        <is>
          <t>SoESCaOMCbIC-fixedOM.csv</t>
        </is>
      </c>
      <c r="B563" t="inlineStr">
        <is>
          <t>lignite w CCS</t>
        </is>
      </c>
      <c r="C563" t="inlineStr">
        <is>
          <t>ISIC 01</t>
        </is>
      </c>
      <c r="D563" t="inlineStr">
        <is>
          <t>ISIC 01T03</t>
        </is>
      </c>
      <c r="E563" t="n">
        <v>0.9429986826432329</v>
      </c>
      <c r="F563" t="inlineStr">
        <is>
          <t>BEA 2024 output share (default)</t>
        </is>
      </c>
      <c r="G563" t="n">
        <v>0.9429986826432329</v>
      </c>
    </row>
    <row r="564">
      <c r="A564" t="inlineStr">
        <is>
          <t>SoESCaOMCbIC-fixedOM.csv</t>
        </is>
      </c>
      <c r="B564" t="inlineStr">
        <is>
          <t>lignite w CCS</t>
        </is>
      </c>
      <c r="C564" t="inlineStr">
        <is>
          <t>ISIC 02</t>
        </is>
      </c>
      <c r="D564" t="inlineStr">
        <is>
          <t>ISIC 01T03</t>
        </is>
      </c>
      <c r="E564" t="n">
        <v>0.04176573136965662</v>
      </c>
      <c r="F564" t="inlineStr">
        <is>
          <t>BEA 2024 output share (default)</t>
        </is>
      </c>
      <c r="G564" t="n">
        <v>0.04176573136965662</v>
      </c>
    </row>
    <row r="565">
      <c r="A565" t="inlineStr">
        <is>
          <t>SoESCaOMCbIC-fixedOM.csv</t>
        </is>
      </c>
      <c r="B565" t="inlineStr">
        <is>
          <t>lignite w CCS</t>
        </is>
      </c>
      <c r="C565" t="inlineStr">
        <is>
          <t>ISIC 03</t>
        </is>
      </c>
      <c r="D565" t="inlineStr">
        <is>
          <t>ISIC 01T03</t>
        </is>
      </c>
      <c r="E565" t="n">
        <v>0.01523558598711041</v>
      </c>
      <c r="F565" t="inlineStr">
        <is>
          <t>BEA 2024 output share (default)</t>
        </is>
      </c>
      <c r="G565" t="n">
        <v>0.01523558598711041</v>
      </c>
    </row>
    <row r="566">
      <c r="A566" t="inlineStr">
        <is>
          <t>SoESCaOMCbIC-fixedOM.csv</t>
        </is>
      </c>
      <c r="B566" t="inlineStr">
        <is>
          <t>lignite w CCS</t>
        </is>
      </c>
      <c r="C566" t="inlineStr">
        <is>
          <t>ISIC 07</t>
        </is>
      </c>
      <c r="D566" t="inlineStr">
        <is>
          <t>ISIC 07T08</t>
        </is>
      </c>
      <c r="E566" t="n">
        <v>0.4327368836123752</v>
      </c>
      <c r="F566" t="inlineStr">
        <is>
          <t>BEA 2024 output share (default)</t>
        </is>
      </c>
      <c r="G566" t="n">
        <v>0.4327368836123752</v>
      </c>
    </row>
    <row r="567">
      <c r="A567" t="inlineStr">
        <is>
          <t>SoESCaOMCbIC-fixedOM.csv</t>
        </is>
      </c>
      <c r="B567" t="inlineStr">
        <is>
          <t>lignite w CCS</t>
        </is>
      </c>
      <c r="C567" t="inlineStr">
        <is>
          <t>ISIC 08</t>
        </is>
      </c>
      <c r="D567" t="inlineStr">
        <is>
          <t>ISIC 07T08</t>
        </is>
      </c>
      <c r="E567" t="n">
        <v>0.5672631163876248</v>
      </c>
      <c r="F567" t="inlineStr">
        <is>
          <t>BEA 2024 output share (default)</t>
        </is>
      </c>
      <c r="G567" t="n">
        <v>0.5672631163876248</v>
      </c>
    </row>
    <row r="568">
      <c r="A568" t="inlineStr">
        <is>
          <t>SoESCaOMCbIC-fixedOM.csv</t>
        </is>
      </c>
      <c r="B568" t="inlineStr">
        <is>
          <t>lignite w CCS</t>
        </is>
      </c>
      <c r="C568" t="inlineStr">
        <is>
          <t>ISIC 301</t>
        </is>
      </c>
      <c r="D568" t="inlineStr">
        <is>
          <t>ISIC 30</t>
        </is>
      </c>
      <c r="E568" t="n">
        <v>0.1171368722490322</v>
      </c>
      <c r="F568" t="inlineStr">
        <is>
          <t>BEA 2024 output share (default)</t>
        </is>
      </c>
      <c r="G568" t="n">
        <v>0.1171368722490322</v>
      </c>
    </row>
    <row r="569">
      <c r="A569" t="inlineStr">
        <is>
          <t>SoESCaOMCbIC-fixedOM.csv</t>
        </is>
      </c>
      <c r="B569" t="inlineStr">
        <is>
          <t>lignite w CCS</t>
        </is>
      </c>
      <c r="C569" t="inlineStr">
        <is>
          <t>ISIC 302T309</t>
        </is>
      </c>
      <c r="D569" t="inlineStr">
        <is>
          <t>ISIC 30</t>
        </is>
      </c>
      <c r="E569" t="n">
        <v>0.8828631277509678</v>
      </c>
      <c r="F569" t="inlineStr">
        <is>
          <t>BEA 2024 output share (default)</t>
        </is>
      </c>
      <c r="G569" t="n">
        <v>0.8828631277509678</v>
      </c>
    </row>
    <row r="570">
      <c r="A570" t="inlineStr">
        <is>
          <t>SoESCaOMCbIC-fixedOM.csv</t>
        </is>
      </c>
      <c r="B570" t="inlineStr">
        <is>
          <t>lignite w CCS</t>
        </is>
      </c>
      <c r="C570" t="inlineStr">
        <is>
          <t>ISIC 49</t>
        </is>
      </c>
      <c r="D570" t="inlineStr">
        <is>
          <t>ISIC 49T53</t>
        </is>
      </c>
      <c r="E570" t="n">
        <v>0.4781643011829615</v>
      </c>
      <c r="F570" t="inlineStr">
        <is>
          <t>BEA 2024 output share (default)</t>
        </is>
      </c>
      <c r="G570" t="n">
        <v>0.4781643011829615</v>
      </c>
    </row>
    <row r="571">
      <c r="A571" t="inlineStr">
        <is>
          <t>SoESCaOMCbIC-fixedOM.csv</t>
        </is>
      </c>
      <c r="B571" t="inlineStr">
        <is>
          <t>lignite w CCS</t>
        </is>
      </c>
      <c r="C571" t="inlineStr">
        <is>
          <t>ISIC 50</t>
        </is>
      </c>
      <c r="D571" t="inlineStr">
        <is>
          <t>ISIC 49T53</t>
        </is>
      </c>
      <c r="E571" t="n">
        <v>0.04258639396614965</v>
      </c>
      <c r="F571" t="inlineStr">
        <is>
          <t>BEA 2024 output share (default)</t>
        </is>
      </c>
      <c r="G571" t="n">
        <v>0.04258639396614965</v>
      </c>
    </row>
    <row r="572">
      <c r="A572" t="inlineStr">
        <is>
          <t>SoESCaOMCbIC-fixedOM.csv</t>
        </is>
      </c>
      <c r="B572" t="inlineStr">
        <is>
          <t>lignite w CCS</t>
        </is>
      </c>
      <c r="C572" t="inlineStr">
        <is>
          <t>ISIC 51</t>
        </is>
      </c>
      <c r="D572" t="inlineStr">
        <is>
          <t>ISIC 49T53</t>
        </is>
      </c>
      <c r="E572" t="n">
        <v>0.1808024634415262</v>
      </c>
      <c r="F572" t="inlineStr">
        <is>
          <t>BEA 2024 output share (default)</t>
        </is>
      </c>
      <c r="G572" t="n">
        <v>0.1808024634415262</v>
      </c>
    </row>
    <row r="573">
      <c r="A573" t="inlineStr">
        <is>
          <t>SoESCaOMCbIC-fixedOM.csv</t>
        </is>
      </c>
      <c r="B573" t="inlineStr">
        <is>
          <t>lignite w CCS</t>
        </is>
      </c>
      <c r="C573" t="inlineStr">
        <is>
          <t>ISIC 52</t>
        </is>
      </c>
      <c r="D573" t="inlineStr">
        <is>
          <t>ISIC 49T53</t>
        </is>
      </c>
      <c r="E573" t="n">
        <v>0.2139060571318126</v>
      </c>
      <c r="F573" t="inlineStr">
        <is>
          <t>BEA 2024 output share (default)</t>
        </is>
      </c>
      <c r="G573" t="n">
        <v>0.2139060571318126</v>
      </c>
    </row>
    <row r="574">
      <c r="A574" t="inlineStr">
        <is>
          <t>SoESCaOMCbIC-fixedOM.csv</t>
        </is>
      </c>
      <c r="B574" t="inlineStr">
        <is>
          <t>lignite w CCS</t>
        </is>
      </c>
      <c r="C574" t="inlineStr">
        <is>
          <t>ISIC 53</t>
        </is>
      </c>
      <c r="D574" t="inlineStr">
        <is>
          <t>ISIC 49T53</t>
        </is>
      </c>
      <c r="E574" t="n">
        <v>0.08454078427755009</v>
      </c>
      <c r="F574" t="inlineStr">
        <is>
          <t>BEA 2024 output share (default)</t>
        </is>
      </c>
      <c r="G574" t="n">
        <v>0.08454078427755009</v>
      </c>
    </row>
    <row r="575">
      <c r="A575" t="inlineStr">
        <is>
          <t>SoESCaOMCbIC-fixedOM.csv</t>
        </is>
      </c>
      <c r="B575" t="inlineStr">
        <is>
          <t>lignite w CCS</t>
        </is>
      </c>
      <c r="C575" t="inlineStr">
        <is>
          <t>ISIC 69T75</t>
        </is>
      </c>
      <c r="D575" t="inlineStr">
        <is>
          <t>ISIC 69T82</t>
        </is>
      </c>
      <c r="E575" t="n">
        <v>1</v>
      </c>
      <c r="F575" t="inlineStr">
        <is>
          <t>semantic override</t>
        </is>
      </c>
      <c r="G575" t="n">
        <v>0.7298219447914125</v>
      </c>
    </row>
    <row r="576">
      <c r="A576" t="inlineStr">
        <is>
          <t>SoESCaOMCbIC-fixedOM.csv</t>
        </is>
      </c>
      <c r="B576" t="inlineStr">
        <is>
          <t>lignite w CCS</t>
        </is>
      </c>
      <c r="C576" t="inlineStr">
        <is>
          <t>ISIC 77T82</t>
        </is>
      </c>
      <c r="D576" t="inlineStr">
        <is>
          <t>ISIC 69T82</t>
        </is>
      </c>
      <c r="E576" t="n">
        <v>0</v>
      </c>
      <c r="F576" t="inlineStr">
        <is>
          <t>semantic override</t>
        </is>
      </c>
      <c r="G576" t="n">
        <v>0.2701780552085875</v>
      </c>
    </row>
    <row r="577">
      <c r="A577" t="inlineStr">
        <is>
          <t>SoESCaOMCbIC-fixedOM.csv</t>
        </is>
      </c>
      <c r="B577" t="inlineStr">
        <is>
          <t>lignite w CCS</t>
        </is>
      </c>
      <c r="C577" t="inlineStr">
        <is>
          <t>ISIC 90T93</t>
        </is>
      </c>
      <c r="D577" t="inlineStr">
        <is>
          <t>ISIC 90T96</t>
        </is>
      </c>
      <c r="E577" t="n">
        <v>0.4216249514352275</v>
      </c>
      <c r="F577" t="inlineStr">
        <is>
          <t>BEA 2024 output share (default)</t>
        </is>
      </c>
      <c r="G577" t="n">
        <v>0.4216249514352275</v>
      </c>
    </row>
    <row r="578">
      <c r="A578" t="inlineStr">
        <is>
          <t>SoESCaOMCbIC-fixedOM.csv</t>
        </is>
      </c>
      <c r="B578" t="inlineStr">
        <is>
          <t>lignite w CCS</t>
        </is>
      </c>
      <c r="C578" t="inlineStr">
        <is>
          <t>ISIC 94T96</t>
        </is>
      </c>
      <c r="D578" t="inlineStr">
        <is>
          <t>ISIC 90T96</t>
        </is>
      </c>
      <c r="E578" t="n">
        <v>0.5783750485647725</v>
      </c>
      <c r="F578" t="inlineStr">
        <is>
          <t>BEA 2024 output share (default)</t>
        </is>
      </c>
      <c r="G578" t="n">
        <v>0.5783750485647725</v>
      </c>
    </row>
    <row r="579">
      <c r="A579" t="inlineStr">
        <is>
          <t>SoESCaOMCbIC-fixedOM.csv</t>
        </is>
      </c>
      <c r="B579" t="inlineStr">
        <is>
          <t>municipal solid waste</t>
        </is>
      </c>
      <c r="C579" t="inlineStr">
        <is>
          <t>ISIC 01</t>
        </is>
      </c>
      <c r="D579" t="inlineStr">
        <is>
          <t>ISIC 01T03</t>
        </is>
      </c>
      <c r="E579" t="n">
        <v>0.9429986826432329</v>
      </c>
      <c r="F579" t="inlineStr">
        <is>
          <t>BEA 2024 output share (default)</t>
        </is>
      </c>
      <c r="G579" t="n">
        <v>0.9429986826432329</v>
      </c>
    </row>
    <row r="580">
      <c r="A580" t="inlineStr">
        <is>
          <t>SoESCaOMCbIC-fixedOM.csv</t>
        </is>
      </c>
      <c r="B580" t="inlineStr">
        <is>
          <t>municipal solid waste</t>
        </is>
      </c>
      <c r="C580" t="inlineStr">
        <is>
          <t>ISIC 02</t>
        </is>
      </c>
      <c r="D580" t="inlineStr">
        <is>
          <t>ISIC 01T03</t>
        </is>
      </c>
      <c r="E580" t="n">
        <v>0.04176573136965662</v>
      </c>
      <c r="F580" t="inlineStr">
        <is>
          <t>BEA 2024 output share (default)</t>
        </is>
      </c>
      <c r="G580" t="n">
        <v>0.04176573136965662</v>
      </c>
    </row>
    <row r="581">
      <c r="A581" t="inlineStr">
        <is>
          <t>SoESCaOMCbIC-fixedOM.csv</t>
        </is>
      </c>
      <c r="B581" t="inlineStr">
        <is>
          <t>municipal solid waste</t>
        </is>
      </c>
      <c r="C581" t="inlineStr">
        <is>
          <t>ISIC 03</t>
        </is>
      </c>
      <c r="D581" t="inlineStr">
        <is>
          <t>ISIC 01T03</t>
        </is>
      </c>
      <c r="E581" t="n">
        <v>0.01523558598711041</v>
      </c>
      <c r="F581" t="inlineStr">
        <is>
          <t>BEA 2024 output share (default)</t>
        </is>
      </c>
      <c r="G581" t="n">
        <v>0.01523558598711041</v>
      </c>
    </row>
    <row r="582">
      <c r="A582" t="inlineStr">
        <is>
          <t>SoESCaOMCbIC-fixedOM.csv</t>
        </is>
      </c>
      <c r="B582" t="inlineStr">
        <is>
          <t>municipal solid waste</t>
        </is>
      </c>
      <c r="C582" t="inlineStr">
        <is>
          <t>ISIC 07</t>
        </is>
      </c>
      <c r="D582" t="inlineStr">
        <is>
          <t>ISIC 07T08</t>
        </is>
      </c>
      <c r="E582" t="n">
        <v>0.4327368836123752</v>
      </c>
      <c r="F582" t="inlineStr">
        <is>
          <t>BEA 2024 output share (default)</t>
        </is>
      </c>
      <c r="G582" t="n">
        <v>0.4327368836123752</v>
      </c>
    </row>
    <row r="583">
      <c r="A583" t="inlineStr">
        <is>
          <t>SoESCaOMCbIC-fixedOM.csv</t>
        </is>
      </c>
      <c r="B583" t="inlineStr">
        <is>
          <t>municipal solid waste</t>
        </is>
      </c>
      <c r="C583" t="inlineStr">
        <is>
          <t>ISIC 08</t>
        </is>
      </c>
      <c r="D583" t="inlineStr">
        <is>
          <t>ISIC 07T08</t>
        </is>
      </c>
      <c r="E583" t="n">
        <v>0.5672631163876248</v>
      </c>
      <c r="F583" t="inlineStr">
        <is>
          <t>BEA 2024 output share (default)</t>
        </is>
      </c>
      <c r="G583" t="n">
        <v>0.5672631163876248</v>
      </c>
    </row>
    <row r="584">
      <c r="A584" t="inlineStr">
        <is>
          <t>SoESCaOMCbIC-fixedOM.csv</t>
        </is>
      </c>
      <c r="B584" t="inlineStr">
        <is>
          <t>municipal solid waste</t>
        </is>
      </c>
      <c r="C584" t="inlineStr">
        <is>
          <t>ISIC 301</t>
        </is>
      </c>
      <c r="D584" t="inlineStr">
        <is>
          <t>ISIC 30</t>
        </is>
      </c>
      <c r="E584" t="n">
        <v>0.1171368722490322</v>
      </c>
      <c r="F584" t="inlineStr">
        <is>
          <t>BEA 2024 output share (default)</t>
        </is>
      </c>
      <c r="G584" t="n">
        <v>0.1171368722490322</v>
      </c>
    </row>
    <row r="585">
      <c r="A585" t="inlineStr">
        <is>
          <t>SoESCaOMCbIC-fixedOM.csv</t>
        </is>
      </c>
      <c r="B585" t="inlineStr">
        <is>
          <t>municipal solid waste</t>
        </is>
      </c>
      <c r="C585" t="inlineStr">
        <is>
          <t>ISIC 302T309</t>
        </is>
      </c>
      <c r="D585" t="inlineStr">
        <is>
          <t>ISIC 30</t>
        </is>
      </c>
      <c r="E585" t="n">
        <v>0.8828631277509678</v>
      </c>
      <c r="F585" t="inlineStr">
        <is>
          <t>BEA 2024 output share (default)</t>
        </is>
      </c>
      <c r="G585" t="n">
        <v>0.8828631277509678</v>
      </c>
    </row>
    <row r="586">
      <c r="A586" t="inlineStr">
        <is>
          <t>SoESCaOMCbIC-fixedOM.csv</t>
        </is>
      </c>
      <c r="B586" t="inlineStr">
        <is>
          <t>municipal solid waste</t>
        </is>
      </c>
      <c r="C586" t="inlineStr">
        <is>
          <t>ISIC 49</t>
        </is>
      </c>
      <c r="D586" t="inlineStr">
        <is>
          <t>ISIC 49T53</t>
        </is>
      </c>
      <c r="E586" t="n">
        <v>0.4781643011829615</v>
      </c>
      <c r="F586" t="inlineStr">
        <is>
          <t>BEA 2024 output share (default)</t>
        </is>
      </c>
      <c r="G586" t="n">
        <v>0.4781643011829615</v>
      </c>
    </row>
    <row r="587">
      <c r="A587" t="inlineStr">
        <is>
          <t>SoESCaOMCbIC-fixedOM.csv</t>
        </is>
      </c>
      <c r="B587" t="inlineStr">
        <is>
          <t>municipal solid waste</t>
        </is>
      </c>
      <c r="C587" t="inlineStr">
        <is>
          <t>ISIC 50</t>
        </is>
      </c>
      <c r="D587" t="inlineStr">
        <is>
          <t>ISIC 49T53</t>
        </is>
      </c>
      <c r="E587" t="n">
        <v>0.04258639396614965</v>
      </c>
      <c r="F587" t="inlineStr">
        <is>
          <t>BEA 2024 output share (default)</t>
        </is>
      </c>
      <c r="G587" t="n">
        <v>0.04258639396614965</v>
      </c>
    </row>
    <row r="588">
      <c r="A588" t="inlineStr">
        <is>
          <t>SoESCaOMCbIC-fixedOM.csv</t>
        </is>
      </c>
      <c r="B588" t="inlineStr">
        <is>
          <t>municipal solid waste</t>
        </is>
      </c>
      <c r="C588" t="inlineStr">
        <is>
          <t>ISIC 51</t>
        </is>
      </c>
      <c r="D588" t="inlineStr">
        <is>
          <t>ISIC 49T53</t>
        </is>
      </c>
      <c r="E588" t="n">
        <v>0.1808024634415262</v>
      </c>
      <c r="F588" t="inlineStr">
        <is>
          <t>BEA 2024 output share (default)</t>
        </is>
      </c>
      <c r="G588" t="n">
        <v>0.1808024634415262</v>
      </c>
    </row>
    <row r="589">
      <c r="A589" t="inlineStr">
        <is>
          <t>SoESCaOMCbIC-fixedOM.csv</t>
        </is>
      </c>
      <c r="B589" t="inlineStr">
        <is>
          <t>municipal solid waste</t>
        </is>
      </c>
      <c r="C589" t="inlineStr">
        <is>
          <t>ISIC 52</t>
        </is>
      </c>
      <c r="D589" t="inlineStr">
        <is>
          <t>ISIC 49T53</t>
        </is>
      </c>
      <c r="E589" t="n">
        <v>0.2139060571318126</v>
      </c>
      <c r="F589" t="inlineStr">
        <is>
          <t>BEA 2024 output share (default)</t>
        </is>
      </c>
      <c r="G589" t="n">
        <v>0.2139060571318126</v>
      </c>
    </row>
    <row r="590">
      <c r="A590" t="inlineStr">
        <is>
          <t>SoESCaOMCbIC-fixedOM.csv</t>
        </is>
      </c>
      <c r="B590" t="inlineStr">
        <is>
          <t>municipal solid waste</t>
        </is>
      </c>
      <c r="C590" t="inlineStr">
        <is>
          <t>ISIC 53</t>
        </is>
      </c>
      <c r="D590" t="inlineStr">
        <is>
          <t>ISIC 49T53</t>
        </is>
      </c>
      <c r="E590" t="n">
        <v>0.08454078427755009</v>
      </c>
      <c r="F590" t="inlineStr">
        <is>
          <t>BEA 2024 output share (default)</t>
        </is>
      </c>
      <c r="G590" t="n">
        <v>0.08454078427755009</v>
      </c>
    </row>
    <row r="591">
      <c r="A591" t="inlineStr">
        <is>
          <t>SoESCaOMCbIC-fixedOM.csv</t>
        </is>
      </c>
      <c r="B591" t="inlineStr">
        <is>
          <t>municipal solid waste</t>
        </is>
      </c>
      <c r="C591" t="inlineStr">
        <is>
          <t>ISIC 69T75</t>
        </is>
      </c>
      <c r="D591" t="inlineStr">
        <is>
          <t>ISIC 69T82</t>
        </is>
      </c>
      <c r="E591" t="n">
        <v>1</v>
      </c>
      <c r="F591" t="inlineStr">
        <is>
          <t>semantic override</t>
        </is>
      </c>
      <c r="G591" t="n">
        <v>0.7298219447914125</v>
      </c>
    </row>
    <row r="592">
      <c r="A592" t="inlineStr">
        <is>
          <t>SoESCaOMCbIC-fixedOM.csv</t>
        </is>
      </c>
      <c r="B592" t="inlineStr">
        <is>
          <t>municipal solid waste</t>
        </is>
      </c>
      <c r="C592" t="inlineStr">
        <is>
          <t>ISIC 77T82</t>
        </is>
      </c>
      <c r="D592" t="inlineStr">
        <is>
          <t>ISIC 69T82</t>
        </is>
      </c>
      <c r="E592" t="n">
        <v>0</v>
      </c>
      <c r="F592" t="inlineStr">
        <is>
          <t>semantic override</t>
        </is>
      </c>
      <c r="G592" t="n">
        <v>0.2701780552085875</v>
      </c>
    </row>
    <row r="593">
      <c r="A593" t="inlineStr">
        <is>
          <t>SoESCaOMCbIC-fixedOM.csv</t>
        </is>
      </c>
      <c r="B593" t="inlineStr">
        <is>
          <t>municipal solid waste</t>
        </is>
      </c>
      <c r="C593" t="inlineStr">
        <is>
          <t>ISIC 90T93</t>
        </is>
      </c>
      <c r="D593" t="inlineStr">
        <is>
          <t>ISIC 90T96</t>
        </is>
      </c>
      <c r="E593" t="n">
        <v>0.4216249514352275</v>
      </c>
      <c r="F593" t="inlineStr">
        <is>
          <t>BEA 2024 output share (default)</t>
        </is>
      </c>
      <c r="G593" t="n">
        <v>0.4216249514352275</v>
      </c>
    </row>
    <row r="594">
      <c r="A594" t="inlineStr">
        <is>
          <t>SoESCaOMCbIC-fixedOM.csv</t>
        </is>
      </c>
      <c r="B594" t="inlineStr">
        <is>
          <t>municipal solid waste</t>
        </is>
      </c>
      <c r="C594" t="inlineStr">
        <is>
          <t>ISIC 94T96</t>
        </is>
      </c>
      <c r="D594" t="inlineStr">
        <is>
          <t>ISIC 90T96</t>
        </is>
      </c>
      <c r="E594" t="n">
        <v>0.5783750485647725</v>
      </c>
      <c r="F594" t="inlineStr">
        <is>
          <t>BEA 2024 output share (default)</t>
        </is>
      </c>
      <c r="G594" t="n">
        <v>0.5783750485647725</v>
      </c>
    </row>
    <row r="595">
      <c r="A595" t="inlineStr">
        <is>
          <t>SoESCaOMCbIC-fixedOM.csv</t>
        </is>
      </c>
      <c r="B595" t="inlineStr">
        <is>
          <t>natural gas combined cycle</t>
        </is>
      </c>
      <c r="C595" t="inlineStr">
        <is>
          <t>ISIC 01</t>
        </is>
      </c>
      <c r="D595" t="inlineStr">
        <is>
          <t>ISIC 01T03</t>
        </is>
      </c>
      <c r="E595" t="n">
        <v>0.9429986826432329</v>
      </c>
      <c r="F595" t="inlineStr">
        <is>
          <t>BEA 2024 output share (default)</t>
        </is>
      </c>
      <c r="G595" t="n">
        <v>0.9429986826432329</v>
      </c>
    </row>
    <row r="596">
      <c r="A596" t="inlineStr">
        <is>
          <t>SoESCaOMCbIC-fixedOM.csv</t>
        </is>
      </c>
      <c r="B596" t="inlineStr">
        <is>
          <t>natural gas combined cycle</t>
        </is>
      </c>
      <c r="C596" t="inlineStr">
        <is>
          <t>ISIC 02</t>
        </is>
      </c>
      <c r="D596" t="inlineStr">
        <is>
          <t>ISIC 01T03</t>
        </is>
      </c>
      <c r="E596" t="n">
        <v>0.04176573136965662</v>
      </c>
      <c r="F596" t="inlineStr">
        <is>
          <t>BEA 2024 output share (default)</t>
        </is>
      </c>
      <c r="G596" t="n">
        <v>0.04176573136965662</v>
      </c>
    </row>
    <row r="597">
      <c r="A597" t="inlineStr">
        <is>
          <t>SoESCaOMCbIC-fixedOM.csv</t>
        </is>
      </c>
      <c r="B597" t="inlineStr">
        <is>
          <t>natural gas combined cycle</t>
        </is>
      </c>
      <c r="C597" t="inlineStr">
        <is>
          <t>ISIC 03</t>
        </is>
      </c>
      <c r="D597" t="inlineStr">
        <is>
          <t>ISIC 01T03</t>
        </is>
      </c>
      <c r="E597" t="n">
        <v>0.01523558598711041</v>
      </c>
      <c r="F597" t="inlineStr">
        <is>
          <t>BEA 2024 output share (default)</t>
        </is>
      </c>
      <c r="G597" t="n">
        <v>0.01523558598711041</v>
      </c>
    </row>
    <row r="598">
      <c r="A598" t="inlineStr">
        <is>
          <t>SoESCaOMCbIC-fixedOM.csv</t>
        </is>
      </c>
      <c r="B598" t="inlineStr">
        <is>
          <t>natural gas combined cycle</t>
        </is>
      </c>
      <c r="C598" t="inlineStr">
        <is>
          <t>ISIC 07</t>
        </is>
      </c>
      <c r="D598" t="inlineStr">
        <is>
          <t>ISIC 07T08</t>
        </is>
      </c>
      <c r="E598" t="n">
        <v>0.4327368836123752</v>
      </c>
      <c r="F598" t="inlineStr">
        <is>
          <t>BEA 2024 output share (default)</t>
        </is>
      </c>
      <c r="G598" t="n">
        <v>0.4327368836123752</v>
      </c>
    </row>
    <row r="599">
      <c r="A599" t="inlineStr">
        <is>
          <t>SoESCaOMCbIC-fixedOM.csv</t>
        </is>
      </c>
      <c r="B599" t="inlineStr">
        <is>
          <t>natural gas combined cycle</t>
        </is>
      </c>
      <c r="C599" t="inlineStr">
        <is>
          <t>ISIC 08</t>
        </is>
      </c>
      <c r="D599" t="inlineStr">
        <is>
          <t>ISIC 07T08</t>
        </is>
      </c>
      <c r="E599" t="n">
        <v>0.5672631163876248</v>
      </c>
      <c r="F599" t="inlineStr">
        <is>
          <t>BEA 2024 output share (default)</t>
        </is>
      </c>
      <c r="G599" t="n">
        <v>0.5672631163876248</v>
      </c>
    </row>
    <row r="600">
      <c r="A600" t="inlineStr">
        <is>
          <t>SoESCaOMCbIC-fixedOM.csv</t>
        </is>
      </c>
      <c r="B600" t="inlineStr">
        <is>
          <t>natural gas combined cycle</t>
        </is>
      </c>
      <c r="C600" t="inlineStr">
        <is>
          <t>ISIC 301</t>
        </is>
      </c>
      <c r="D600" t="inlineStr">
        <is>
          <t>ISIC 30</t>
        </is>
      </c>
      <c r="E600" t="n">
        <v>0.1171368722490322</v>
      </c>
      <c r="F600" t="inlineStr">
        <is>
          <t>BEA 2024 output share (default)</t>
        </is>
      </c>
      <c r="G600" t="n">
        <v>0.1171368722490322</v>
      </c>
    </row>
    <row r="601">
      <c r="A601" t="inlineStr">
        <is>
          <t>SoESCaOMCbIC-fixedOM.csv</t>
        </is>
      </c>
      <c r="B601" t="inlineStr">
        <is>
          <t>natural gas combined cycle</t>
        </is>
      </c>
      <c r="C601" t="inlineStr">
        <is>
          <t>ISIC 302T309</t>
        </is>
      </c>
      <c r="D601" t="inlineStr">
        <is>
          <t>ISIC 30</t>
        </is>
      </c>
      <c r="E601" t="n">
        <v>0.8828631277509678</v>
      </c>
      <c r="F601" t="inlineStr">
        <is>
          <t>BEA 2024 output share (default)</t>
        </is>
      </c>
      <c r="G601" t="n">
        <v>0.8828631277509678</v>
      </c>
    </row>
    <row r="602">
      <c r="A602" t="inlineStr">
        <is>
          <t>SoESCaOMCbIC-fixedOM.csv</t>
        </is>
      </c>
      <c r="B602" t="inlineStr">
        <is>
          <t>natural gas combined cycle</t>
        </is>
      </c>
      <c r="C602" t="inlineStr">
        <is>
          <t>ISIC 49</t>
        </is>
      </c>
      <c r="D602" t="inlineStr">
        <is>
          <t>ISIC 49T53</t>
        </is>
      </c>
      <c r="E602" t="n">
        <v>0.4781643011829615</v>
      </c>
      <c r="F602" t="inlineStr">
        <is>
          <t>BEA 2024 output share (default)</t>
        </is>
      </c>
      <c r="G602" t="n">
        <v>0.4781643011829615</v>
      </c>
    </row>
    <row r="603">
      <c r="A603" t="inlineStr">
        <is>
          <t>SoESCaOMCbIC-fixedOM.csv</t>
        </is>
      </c>
      <c r="B603" t="inlineStr">
        <is>
          <t>natural gas combined cycle</t>
        </is>
      </c>
      <c r="C603" t="inlineStr">
        <is>
          <t>ISIC 50</t>
        </is>
      </c>
      <c r="D603" t="inlineStr">
        <is>
          <t>ISIC 49T53</t>
        </is>
      </c>
      <c r="E603" t="n">
        <v>0.04258639396614965</v>
      </c>
      <c r="F603" t="inlineStr">
        <is>
          <t>BEA 2024 output share (default)</t>
        </is>
      </c>
      <c r="G603" t="n">
        <v>0.04258639396614965</v>
      </c>
    </row>
    <row r="604">
      <c r="A604" t="inlineStr">
        <is>
          <t>SoESCaOMCbIC-fixedOM.csv</t>
        </is>
      </c>
      <c r="B604" t="inlineStr">
        <is>
          <t>natural gas combined cycle</t>
        </is>
      </c>
      <c r="C604" t="inlineStr">
        <is>
          <t>ISIC 51</t>
        </is>
      </c>
      <c r="D604" t="inlineStr">
        <is>
          <t>ISIC 49T53</t>
        </is>
      </c>
      <c r="E604" t="n">
        <v>0.1808024634415262</v>
      </c>
      <c r="F604" t="inlineStr">
        <is>
          <t>BEA 2024 output share (default)</t>
        </is>
      </c>
      <c r="G604" t="n">
        <v>0.1808024634415262</v>
      </c>
    </row>
    <row r="605">
      <c r="A605" t="inlineStr">
        <is>
          <t>SoESCaOMCbIC-fixedOM.csv</t>
        </is>
      </c>
      <c r="B605" t="inlineStr">
        <is>
          <t>natural gas combined cycle</t>
        </is>
      </c>
      <c r="C605" t="inlineStr">
        <is>
          <t>ISIC 52</t>
        </is>
      </c>
      <c r="D605" t="inlineStr">
        <is>
          <t>ISIC 49T53</t>
        </is>
      </c>
      <c r="E605" t="n">
        <v>0.2139060571318126</v>
      </c>
      <c r="F605" t="inlineStr">
        <is>
          <t>BEA 2024 output share (default)</t>
        </is>
      </c>
      <c r="G605" t="n">
        <v>0.2139060571318126</v>
      </c>
    </row>
    <row r="606">
      <c r="A606" t="inlineStr">
        <is>
          <t>SoESCaOMCbIC-fixedOM.csv</t>
        </is>
      </c>
      <c r="B606" t="inlineStr">
        <is>
          <t>natural gas combined cycle</t>
        </is>
      </c>
      <c r="C606" t="inlineStr">
        <is>
          <t>ISIC 53</t>
        </is>
      </c>
      <c r="D606" t="inlineStr">
        <is>
          <t>ISIC 49T53</t>
        </is>
      </c>
      <c r="E606" t="n">
        <v>0.08454078427755009</v>
      </c>
      <c r="F606" t="inlineStr">
        <is>
          <t>BEA 2024 output share (default)</t>
        </is>
      </c>
      <c r="G606" t="n">
        <v>0.08454078427755009</v>
      </c>
    </row>
    <row r="607">
      <c r="A607" t="inlineStr">
        <is>
          <t>SoESCaOMCbIC-fixedOM.csv</t>
        </is>
      </c>
      <c r="B607" t="inlineStr">
        <is>
          <t>natural gas combined cycle</t>
        </is>
      </c>
      <c r="C607" t="inlineStr">
        <is>
          <t>ISIC 69T75</t>
        </is>
      </c>
      <c r="D607" t="inlineStr">
        <is>
          <t>ISIC 69T82</t>
        </is>
      </c>
      <c r="E607" t="n">
        <v>1</v>
      </c>
      <c r="F607" t="inlineStr">
        <is>
          <t>semantic override</t>
        </is>
      </c>
      <c r="G607" t="n">
        <v>0.7298219447914125</v>
      </c>
    </row>
    <row r="608">
      <c r="A608" t="inlineStr">
        <is>
          <t>SoESCaOMCbIC-fixedOM.csv</t>
        </is>
      </c>
      <c r="B608" t="inlineStr">
        <is>
          <t>natural gas combined cycle</t>
        </is>
      </c>
      <c r="C608" t="inlineStr">
        <is>
          <t>ISIC 77T82</t>
        </is>
      </c>
      <c r="D608" t="inlineStr">
        <is>
          <t>ISIC 69T82</t>
        </is>
      </c>
      <c r="E608" t="n">
        <v>0</v>
      </c>
      <c r="F608" t="inlineStr">
        <is>
          <t>semantic override</t>
        </is>
      </c>
      <c r="G608" t="n">
        <v>0.2701780552085875</v>
      </c>
    </row>
    <row r="609">
      <c r="A609" t="inlineStr">
        <is>
          <t>SoESCaOMCbIC-fixedOM.csv</t>
        </is>
      </c>
      <c r="B609" t="inlineStr">
        <is>
          <t>natural gas combined cycle</t>
        </is>
      </c>
      <c r="C609" t="inlineStr">
        <is>
          <t>ISIC 90T93</t>
        </is>
      </c>
      <c r="D609" t="inlineStr">
        <is>
          <t>ISIC 90T96</t>
        </is>
      </c>
      <c r="E609" t="n">
        <v>0.4216249514352275</v>
      </c>
      <c r="F609" t="inlineStr">
        <is>
          <t>BEA 2024 output share (default)</t>
        </is>
      </c>
      <c r="G609" t="n">
        <v>0.4216249514352275</v>
      </c>
    </row>
    <row r="610">
      <c r="A610" t="inlineStr">
        <is>
          <t>SoESCaOMCbIC-fixedOM.csv</t>
        </is>
      </c>
      <c r="B610" t="inlineStr">
        <is>
          <t>natural gas combined cycle</t>
        </is>
      </c>
      <c r="C610" t="inlineStr">
        <is>
          <t>ISIC 94T96</t>
        </is>
      </c>
      <c r="D610" t="inlineStr">
        <is>
          <t>ISIC 90T96</t>
        </is>
      </c>
      <c r="E610" t="n">
        <v>0.5783750485647725</v>
      </c>
      <c r="F610" t="inlineStr">
        <is>
          <t>BEA 2024 output share (default)</t>
        </is>
      </c>
      <c r="G610" t="n">
        <v>0.5783750485647725</v>
      </c>
    </row>
    <row r="611">
      <c r="A611" t="inlineStr">
        <is>
          <t>SoESCaOMCbIC-fixedOM.csv</t>
        </is>
      </c>
      <c r="B611" t="inlineStr">
        <is>
          <t>natural gas combined cycle w CCS</t>
        </is>
      </c>
      <c r="C611" t="inlineStr">
        <is>
          <t>ISIC 01</t>
        </is>
      </c>
      <c r="D611" t="inlineStr">
        <is>
          <t>ISIC 01T03</t>
        </is>
      </c>
      <c r="E611" t="n">
        <v>0.9429986826432329</v>
      </c>
      <c r="F611" t="inlineStr">
        <is>
          <t>BEA 2024 output share (default)</t>
        </is>
      </c>
      <c r="G611" t="n">
        <v>0.9429986826432329</v>
      </c>
    </row>
    <row r="612">
      <c r="A612" t="inlineStr">
        <is>
          <t>SoESCaOMCbIC-fixedOM.csv</t>
        </is>
      </c>
      <c r="B612" t="inlineStr">
        <is>
          <t>natural gas combined cycle w CCS</t>
        </is>
      </c>
      <c r="C612" t="inlineStr">
        <is>
          <t>ISIC 02</t>
        </is>
      </c>
      <c r="D612" t="inlineStr">
        <is>
          <t>ISIC 01T03</t>
        </is>
      </c>
      <c r="E612" t="n">
        <v>0.04176573136965662</v>
      </c>
      <c r="F612" t="inlineStr">
        <is>
          <t>BEA 2024 output share (default)</t>
        </is>
      </c>
      <c r="G612" t="n">
        <v>0.04176573136965662</v>
      </c>
    </row>
    <row r="613">
      <c r="A613" t="inlineStr">
        <is>
          <t>SoESCaOMCbIC-fixedOM.csv</t>
        </is>
      </c>
      <c r="B613" t="inlineStr">
        <is>
          <t>natural gas combined cycle w CCS</t>
        </is>
      </c>
      <c r="C613" t="inlineStr">
        <is>
          <t>ISIC 03</t>
        </is>
      </c>
      <c r="D613" t="inlineStr">
        <is>
          <t>ISIC 01T03</t>
        </is>
      </c>
      <c r="E613" t="n">
        <v>0.01523558598711041</v>
      </c>
      <c r="F613" t="inlineStr">
        <is>
          <t>BEA 2024 output share (default)</t>
        </is>
      </c>
      <c r="G613" t="n">
        <v>0.01523558598711041</v>
      </c>
    </row>
    <row r="614">
      <c r="A614" t="inlineStr">
        <is>
          <t>SoESCaOMCbIC-fixedOM.csv</t>
        </is>
      </c>
      <c r="B614" t="inlineStr">
        <is>
          <t>natural gas combined cycle w CCS</t>
        </is>
      </c>
      <c r="C614" t="inlineStr">
        <is>
          <t>ISIC 07</t>
        </is>
      </c>
      <c r="D614" t="inlineStr">
        <is>
          <t>ISIC 07T08</t>
        </is>
      </c>
      <c r="E614" t="n">
        <v>0.4327368836123752</v>
      </c>
      <c r="F614" t="inlineStr">
        <is>
          <t>BEA 2024 output share (default)</t>
        </is>
      </c>
      <c r="G614" t="n">
        <v>0.4327368836123752</v>
      </c>
    </row>
    <row r="615">
      <c r="A615" t="inlineStr">
        <is>
          <t>SoESCaOMCbIC-fixedOM.csv</t>
        </is>
      </c>
      <c r="B615" t="inlineStr">
        <is>
          <t>natural gas combined cycle w CCS</t>
        </is>
      </c>
      <c r="C615" t="inlineStr">
        <is>
          <t>ISIC 08</t>
        </is>
      </c>
      <c r="D615" t="inlineStr">
        <is>
          <t>ISIC 07T08</t>
        </is>
      </c>
      <c r="E615" t="n">
        <v>0.5672631163876248</v>
      </c>
      <c r="F615" t="inlineStr">
        <is>
          <t>BEA 2024 output share (default)</t>
        </is>
      </c>
      <c r="G615" t="n">
        <v>0.5672631163876248</v>
      </c>
    </row>
    <row r="616">
      <c r="A616" t="inlineStr">
        <is>
          <t>SoESCaOMCbIC-fixedOM.csv</t>
        </is>
      </c>
      <c r="B616" t="inlineStr">
        <is>
          <t>natural gas combined cycle w CCS</t>
        </is>
      </c>
      <c r="C616" t="inlineStr">
        <is>
          <t>ISIC 301</t>
        </is>
      </c>
      <c r="D616" t="inlineStr">
        <is>
          <t>ISIC 30</t>
        </is>
      </c>
      <c r="E616" t="n">
        <v>0.1171368722490322</v>
      </c>
      <c r="F616" t="inlineStr">
        <is>
          <t>BEA 2024 output share (default)</t>
        </is>
      </c>
      <c r="G616" t="n">
        <v>0.1171368722490322</v>
      </c>
    </row>
    <row r="617">
      <c r="A617" t="inlineStr">
        <is>
          <t>SoESCaOMCbIC-fixedOM.csv</t>
        </is>
      </c>
      <c r="B617" t="inlineStr">
        <is>
          <t>natural gas combined cycle w CCS</t>
        </is>
      </c>
      <c r="C617" t="inlineStr">
        <is>
          <t>ISIC 302T309</t>
        </is>
      </c>
      <c r="D617" t="inlineStr">
        <is>
          <t>ISIC 30</t>
        </is>
      </c>
      <c r="E617" t="n">
        <v>0.8828631277509678</v>
      </c>
      <c r="F617" t="inlineStr">
        <is>
          <t>BEA 2024 output share (default)</t>
        </is>
      </c>
      <c r="G617" t="n">
        <v>0.8828631277509678</v>
      </c>
    </row>
    <row r="618">
      <c r="A618" t="inlineStr">
        <is>
          <t>SoESCaOMCbIC-fixedOM.csv</t>
        </is>
      </c>
      <c r="B618" t="inlineStr">
        <is>
          <t>natural gas combined cycle w CCS</t>
        </is>
      </c>
      <c r="C618" t="inlineStr">
        <is>
          <t>ISIC 49</t>
        </is>
      </c>
      <c r="D618" t="inlineStr">
        <is>
          <t>ISIC 49T53</t>
        </is>
      </c>
      <c r="E618" t="n">
        <v>0.4781643011829615</v>
      </c>
      <c r="F618" t="inlineStr">
        <is>
          <t>BEA 2024 output share (default)</t>
        </is>
      </c>
      <c r="G618" t="n">
        <v>0.4781643011829615</v>
      </c>
    </row>
    <row r="619">
      <c r="A619" t="inlineStr">
        <is>
          <t>SoESCaOMCbIC-fixedOM.csv</t>
        </is>
      </c>
      <c r="B619" t="inlineStr">
        <is>
          <t>natural gas combined cycle w CCS</t>
        </is>
      </c>
      <c r="C619" t="inlineStr">
        <is>
          <t>ISIC 50</t>
        </is>
      </c>
      <c r="D619" t="inlineStr">
        <is>
          <t>ISIC 49T53</t>
        </is>
      </c>
      <c r="E619" t="n">
        <v>0.04258639396614965</v>
      </c>
      <c r="F619" t="inlineStr">
        <is>
          <t>BEA 2024 output share (default)</t>
        </is>
      </c>
      <c r="G619" t="n">
        <v>0.04258639396614965</v>
      </c>
    </row>
    <row r="620">
      <c r="A620" t="inlineStr">
        <is>
          <t>SoESCaOMCbIC-fixedOM.csv</t>
        </is>
      </c>
      <c r="B620" t="inlineStr">
        <is>
          <t>natural gas combined cycle w CCS</t>
        </is>
      </c>
      <c r="C620" t="inlineStr">
        <is>
          <t>ISIC 51</t>
        </is>
      </c>
      <c r="D620" t="inlineStr">
        <is>
          <t>ISIC 49T53</t>
        </is>
      </c>
      <c r="E620" t="n">
        <v>0.1808024634415262</v>
      </c>
      <c r="F620" t="inlineStr">
        <is>
          <t>BEA 2024 output share (default)</t>
        </is>
      </c>
      <c r="G620" t="n">
        <v>0.1808024634415262</v>
      </c>
    </row>
    <row r="621">
      <c r="A621" t="inlineStr">
        <is>
          <t>SoESCaOMCbIC-fixedOM.csv</t>
        </is>
      </c>
      <c r="B621" t="inlineStr">
        <is>
          <t>natural gas combined cycle w CCS</t>
        </is>
      </c>
      <c r="C621" t="inlineStr">
        <is>
          <t>ISIC 52</t>
        </is>
      </c>
      <c r="D621" t="inlineStr">
        <is>
          <t>ISIC 49T53</t>
        </is>
      </c>
      <c r="E621" t="n">
        <v>0.2139060571318126</v>
      </c>
      <c r="F621" t="inlineStr">
        <is>
          <t>BEA 2024 output share (default)</t>
        </is>
      </c>
      <c r="G621" t="n">
        <v>0.2139060571318126</v>
      </c>
    </row>
    <row r="622">
      <c r="A622" t="inlineStr">
        <is>
          <t>SoESCaOMCbIC-fixedOM.csv</t>
        </is>
      </c>
      <c r="B622" t="inlineStr">
        <is>
          <t>natural gas combined cycle w CCS</t>
        </is>
      </c>
      <c r="C622" t="inlineStr">
        <is>
          <t>ISIC 53</t>
        </is>
      </c>
      <c r="D622" t="inlineStr">
        <is>
          <t>ISIC 49T53</t>
        </is>
      </c>
      <c r="E622" t="n">
        <v>0.08454078427755009</v>
      </c>
      <c r="F622" t="inlineStr">
        <is>
          <t>BEA 2024 output share (default)</t>
        </is>
      </c>
      <c r="G622" t="n">
        <v>0.08454078427755009</v>
      </c>
    </row>
    <row r="623">
      <c r="A623" t="inlineStr">
        <is>
          <t>SoESCaOMCbIC-fixedOM.csv</t>
        </is>
      </c>
      <c r="B623" t="inlineStr">
        <is>
          <t>natural gas combined cycle w CCS</t>
        </is>
      </c>
      <c r="C623" t="inlineStr">
        <is>
          <t>ISIC 69T75</t>
        </is>
      </c>
      <c r="D623" t="inlineStr">
        <is>
          <t>ISIC 69T82</t>
        </is>
      </c>
      <c r="E623" t="n">
        <v>1</v>
      </c>
      <c r="F623" t="inlineStr">
        <is>
          <t>semantic override</t>
        </is>
      </c>
      <c r="G623" t="n">
        <v>0.7298219447914125</v>
      </c>
    </row>
    <row r="624">
      <c r="A624" t="inlineStr">
        <is>
          <t>SoESCaOMCbIC-fixedOM.csv</t>
        </is>
      </c>
      <c r="B624" t="inlineStr">
        <is>
          <t>natural gas combined cycle w CCS</t>
        </is>
      </c>
      <c r="C624" t="inlineStr">
        <is>
          <t>ISIC 77T82</t>
        </is>
      </c>
      <c r="D624" t="inlineStr">
        <is>
          <t>ISIC 69T82</t>
        </is>
      </c>
      <c r="E624" t="n">
        <v>0</v>
      </c>
      <c r="F624" t="inlineStr">
        <is>
          <t>semantic override</t>
        </is>
      </c>
      <c r="G624" t="n">
        <v>0.2701780552085875</v>
      </c>
    </row>
    <row r="625">
      <c r="A625" t="inlineStr">
        <is>
          <t>SoESCaOMCbIC-fixedOM.csv</t>
        </is>
      </c>
      <c r="B625" t="inlineStr">
        <is>
          <t>natural gas combined cycle w CCS</t>
        </is>
      </c>
      <c r="C625" t="inlineStr">
        <is>
          <t>ISIC 90T93</t>
        </is>
      </c>
      <c r="D625" t="inlineStr">
        <is>
          <t>ISIC 90T96</t>
        </is>
      </c>
      <c r="E625" t="n">
        <v>0.4216249514352275</v>
      </c>
      <c r="F625" t="inlineStr">
        <is>
          <t>BEA 2024 output share (default)</t>
        </is>
      </c>
      <c r="G625" t="n">
        <v>0.4216249514352275</v>
      </c>
    </row>
    <row r="626">
      <c r="A626" t="inlineStr">
        <is>
          <t>SoESCaOMCbIC-fixedOM.csv</t>
        </is>
      </c>
      <c r="B626" t="inlineStr">
        <is>
          <t>natural gas combined cycle w CCS</t>
        </is>
      </c>
      <c r="C626" t="inlineStr">
        <is>
          <t>ISIC 94T96</t>
        </is>
      </c>
      <c r="D626" t="inlineStr">
        <is>
          <t>ISIC 90T96</t>
        </is>
      </c>
      <c r="E626" t="n">
        <v>0.5783750485647725</v>
      </c>
      <c r="F626" t="inlineStr">
        <is>
          <t>BEA 2024 output share (default)</t>
        </is>
      </c>
      <c r="G626" t="n">
        <v>0.5783750485647725</v>
      </c>
    </row>
    <row r="627">
      <c r="A627" t="inlineStr">
        <is>
          <t>SoESCaOMCbIC-fixedOM.csv</t>
        </is>
      </c>
      <c r="B627" t="inlineStr">
        <is>
          <t>natural gas peaker</t>
        </is>
      </c>
      <c r="C627" t="inlineStr">
        <is>
          <t>ISIC 01</t>
        </is>
      </c>
      <c r="D627" t="inlineStr">
        <is>
          <t>ISIC 01T03</t>
        </is>
      </c>
      <c r="E627" t="n">
        <v>0.9429986826432329</v>
      </c>
      <c r="F627" t="inlineStr">
        <is>
          <t>BEA 2024 output share (default)</t>
        </is>
      </c>
      <c r="G627" t="n">
        <v>0.9429986826432329</v>
      </c>
    </row>
    <row r="628">
      <c r="A628" t="inlineStr">
        <is>
          <t>SoESCaOMCbIC-fixedOM.csv</t>
        </is>
      </c>
      <c r="B628" t="inlineStr">
        <is>
          <t>natural gas peaker</t>
        </is>
      </c>
      <c r="C628" t="inlineStr">
        <is>
          <t>ISIC 02</t>
        </is>
      </c>
      <c r="D628" t="inlineStr">
        <is>
          <t>ISIC 01T03</t>
        </is>
      </c>
      <c r="E628" t="n">
        <v>0.04176573136965662</v>
      </c>
      <c r="F628" t="inlineStr">
        <is>
          <t>BEA 2024 output share (default)</t>
        </is>
      </c>
      <c r="G628" t="n">
        <v>0.04176573136965662</v>
      </c>
    </row>
    <row r="629">
      <c r="A629" t="inlineStr">
        <is>
          <t>SoESCaOMCbIC-fixedOM.csv</t>
        </is>
      </c>
      <c r="B629" t="inlineStr">
        <is>
          <t>natural gas peaker</t>
        </is>
      </c>
      <c r="C629" t="inlineStr">
        <is>
          <t>ISIC 03</t>
        </is>
      </c>
      <c r="D629" t="inlineStr">
        <is>
          <t>ISIC 01T03</t>
        </is>
      </c>
      <c r="E629" t="n">
        <v>0.01523558598711041</v>
      </c>
      <c r="F629" t="inlineStr">
        <is>
          <t>BEA 2024 output share (default)</t>
        </is>
      </c>
      <c r="G629" t="n">
        <v>0.01523558598711041</v>
      </c>
    </row>
    <row r="630">
      <c r="A630" t="inlineStr">
        <is>
          <t>SoESCaOMCbIC-fixedOM.csv</t>
        </is>
      </c>
      <c r="B630" t="inlineStr">
        <is>
          <t>natural gas peaker</t>
        </is>
      </c>
      <c r="C630" t="inlineStr">
        <is>
          <t>ISIC 07</t>
        </is>
      </c>
      <c r="D630" t="inlineStr">
        <is>
          <t>ISIC 07T08</t>
        </is>
      </c>
      <c r="E630" t="n">
        <v>0.4327368836123752</v>
      </c>
      <c r="F630" t="inlineStr">
        <is>
          <t>BEA 2024 output share (default)</t>
        </is>
      </c>
      <c r="G630" t="n">
        <v>0.4327368836123752</v>
      </c>
    </row>
    <row r="631">
      <c r="A631" t="inlineStr">
        <is>
          <t>SoESCaOMCbIC-fixedOM.csv</t>
        </is>
      </c>
      <c r="B631" t="inlineStr">
        <is>
          <t>natural gas peaker</t>
        </is>
      </c>
      <c r="C631" t="inlineStr">
        <is>
          <t>ISIC 08</t>
        </is>
      </c>
      <c r="D631" t="inlineStr">
        <is>
          <t>ISIC 07T08</t>
        </is>
      </c>
      <c r="E631" t="n">
        <v>0.5672631163876248</v>
      </c>
      <c r="F631" t="inlineStr">
        <is>
          <t>BEA 2024 output share (default)</t>
        </is>
      </c>
      <c r="G631" t="n">
        <v>0.5672631163876248</v>
      </c>
    </row>
    <row r="632">
      <c r="A632" t="inlineStr">
        <is>
          <t>SoESCaOMCbIC-fixedOM.csv</t>
        </is>
      </c>
      <c r="B632" t="inlineStr">
        <is>
          <t>natural gas peaker</t>
        </is>
      </c>
      <c r="C632" t="inlineStr">
        <is>
          <t>ISIC 301</t>
        </is>
      </c>
      <c r="D632" t="inlineStr">
        <is>
          <t>ISIC 30</t>
        </is>
      </c>
      <c r="E632" t="n">
        <v>0.1171368722490322</v>
      </c>
      <c r="F632" t="inlineStr">
        <is>
          <t>BEA 2024 output share (default)</t>
        </is>
      </c>
      <c r="G632" t="n">
        <v>0.1171368722490322</v>
      </c>
    </row>
    <row r="633">
      <c r="A633" t="inlineStr">
        <is>
          <t>SoESCaOMCbIC-fixedOM.csv</t>
        </is>
      </c>
      <c r="B633" t="inlineStr">
        <is>
          <t>natural gas peaker</t>
        </is>
      </c>
      <c r="C633" t="inlineStr">
        <is>
          <t>ISIC 302T309</t>
        </is>
      </c>
      <c r="D633" t="inlineStr">
        <is>
          <t>ISIC 30</t>
        </is>
      </c>
      <c r="E633" t="n">
        <v>0.8828631277509678</v>
      </c>
      <c r="F633" t="inlineStr">
        <is>
          <t>BEA 2024 output share (default)</t>
        </is>
      </c>
      <c r="G633" t="n">
        <v>0.8828631277509678</v>
      </c>
    </row>
    <row r="634">
      <c r="A634" t="inlineStr">
        <is>
          <t>SoESCaOMCbIC-fixedOM.csv</t>
        </is>
      </c>
      <c r="B634" t="inlineStr">
        <is>
          <t>natural gas peaker</t>
        </is>
      </c>
      <c r="C634" t="inlineStr">
        <is>
          <t>ISIC 49</t>
        </is>
      </c>
      <c r="D634" t="inlineStr">
        <is>
          <t>ISIC 49T53</t>
        </is>
      </c>
      <c r="E634" t="n">
        <v>0.4781643011829615</v>
      </c>
      <c r="F634" t="inlineStr">
        <is>
          <t>BEA 2024 output share (default)</t>
        </is>
      </c>
      <c r="G634" t="n">
        <v>0.4781643011829615</v>
      </c>
    </row>
    <row r="635">
      <c r="A635" t="inlineStr">
        <is>
          <t>SoESCaOMCbIC-fixedOM.csv</t>
        </is>
      </c>
      <c r="B635" t="inlineStr">
        <is>
          <t>natural gas peaker</t>
        </is>
      </c>
      <c r="C635" t="inlineStr">
        <is>
          <t>ISIC 50</t>
        </is>
      </c>
      <c r="D635" t="inlineStr">
        <is>
          <t>ISIC 49T53</t>
        </is>
      </c>
      <c r="E635" t="n">
        <v>0.04258639396614965</v>
      </c>
      <c r="F635" t="inlineStr">
        <is>
          <t>BEA 2024 output share (default)</t>
        </is>
      </c>
      <c r="G635" t="n">
        <v>0.04258639396614965</v>
      </c>
    </row>
    <row r="636">
      <c r="A636" t="inlineStr">
        <is>
          <t>SoESCaOMCbIC-fixedOM.csv</t>
        </is>
      </c>
      <c r="B636" t="inlineStr">
        <is>
          <t>natural gas peaker</t>
        </is>
      </c>
      <c r="C636" t="inlineStr">
        <is>
          <t>ISIC 51</t>
        </is>
      </c>
      <c r="D636" t="inlineStr">
        <is>
          <t>ISIC 49T53</t>
        </is>
      </c>
      <c r="E636" t="n">
        <v>0.1808024634415262</v>
      </c>
      <c r="F636" t="inlineStr">
        <is>
          <t>BEA 2024 output share (default)</t>
        </is>
      </c>
      <c r="G636" t="n">
        <v>0.1808024634415262</v>
      </c>
    </row>
    <row r="637">
      <c r="A637" t="inlineStr">
        <is>
          <t>SoESCaOMCbIC-fixedOM.csv</t>
        </is>
      </c>
      <c r="B637" t="inlineStr">
        <is>
          <t>natural gas peaker</t>
        </is>
      </c>
      <c r="C637" t="inlineStr">
        <is>
          <t>ISIC 52</t>
        </is>
      </c>
      <c r="D637" t="inlineStr">
        <is>
          <t>ISIC 49T53</t>
        </is>
      </c>
      <c r="E637" t="n">
        <v>0.2139060571318126</v>
      </c>
      <c r="F637" t="inlineStr">
        <is>
          <t>BEA 2024 output share (default)</t>
        </is>
      </c>
      <c r="G637" t="n">
        <v>0.2139060571318126</v>
      </c>
    </row>
    <row r="638">
      <c r="A638" t="inlineStr">
        <is>
          <t>SoESCaOMCbIC-fixedOM.csv</t>
        </is>
      </c>
      <c r="B638" t="inlineStr">
        <is>
          <t>natural gas peaker</t>
        </is>
      </c>
      <c r="C638" t="inlineStr">
        <is>
          <t>ISIC 53</t>
        </is>
      </c>
      <c r="D638" t="inlineStr">
        <is>
          <t>ISIC 49T53</t>
        </is>
      </c>
      <c r="E638" t="n">
        <v>0.08454078427755009</v>
      </c>
      <c r="F638" t="inlineStr">
        <is>
          <t>BEA 2024 output share (default)</t>
        </is>
      </c>
      <c r="G638" t="n">
        <v>0.08454078427755009</v>
      </c>
    </row>
    <row r="639">
      <c r="A639" t="inlineStr">
        <is>
          <t>SoESCaOMCbIC-fixedOM.csv</t>
        </is>
      </c>
      <c r="B639" t="inlineStr">
        <is>
          <t>natural gas peaker</t>
        </is>
      </c>
      <c r="C639" t="inlineStr">
        <is>
          <t>ISIC 69T75</t>
        </is>
      </c>
      <c r="D639" t="inlineStr">
        <is>
          <t>ISIC 69T82</t>
        </is>
      </c>
      <c r="E639" t="n">
        <v>1</v>
      </c>
      <c r="F639" t="inlineStr">
        <is>
          <t>semantic override</t>
        </is>
      </c>
      <c r="G639" t="n">
        <v>0.7298219447914125</v>
      </c>
    </row>
    <row r="640">
      <c r="A640" t="inlineStr">
        <is>
          <t>SoESCaOMCbIC-fixedOM.csv</t>
        </is>
      </c>
      <c r="B640" t="inlineStr">
        <is>
          <t>natural gas peaker</t>
        </is>
      </c>
      <c r="C640" t="inlineStr">
        <is>
          <t>ISIC 77T82</t>
        </is>
      </c>
      <c r="D640" t="inlineStr">
        <is>
          <t>ISIC 69T82</t>
        </is>
      </c>
      <c r="E640" t="n">
        <v>0</v>
      </c>
      <c r="F640" t="inlineStr">
        <is>
          <t>semantic override</t>
        </is>
      </c>
      <c r="G640" t="n">
        <v>0.2701780552085875</v>
      </c>
    </row>
    <row r="641">
      <c r="A641" t="inlineStr">
        <is>
          <t>SoESCaOMCbIC-fixedOM.csv</t>
        </is>
      </c>
      <c r="B641" t="inlineStr">
        <is>
          <t>natural gas peaker</t>
        </is>
      </c>
      <c r="C641" t="inlineStr">
        <is>
          <t>ISIC 90T93</t>
        </is>
      </c>
      <c r="D641" t="inlineStr">
        <is>
          <t>ISIC 90T96</t>
        </is>
      </c>
      <c r="E641" t="n">
        <v>0.4216249514352275</v>
      </c>
      <c r="F641" t="inlineStr">
        <is>
          <t>BEA 2024 output share (default)</t>
        </is>
      </c>
      <c r="G641" t="n">
        <v>0.4216249514352275</v>
      </c>
    </row>
    <row r="642">
      <c r="A642" t="inlineStr">
        <is>
          <t>SoESCaOMCbIC-fixedOM.csv</t>
        </is>
      </c>
      <c r="B642" t="inlineStr">
        <is>
          <t>natural gas peaker</t>
        </is>
      </c>
      <c r="C642" t="inlineStr">
        <is>
          <t>ISIC 94T96</t>
        </is>
      </c>
      <c r="D642" t="inlineStr">
        <is>
          <t>ISIC 90T96</t>
        </is>
      </c>
      <c r="E642" t="n">
        <v>0.5783750485647725</v>
      </c>
      <c r="F642" t="inlineStr">
        <is>
          <t>BEA 2024 output share (default)</t>
        </is>
      </c>
      <c r="G642" t="n">
        <v>0.5783750485647725</v>
      </c>
    </row>
    <row r="643">
      <c r="A643" t="inlineStr">
        <is>
          <t>SoESCaOMCbIC-fixedOM.csv</t>
        </is>
      </c>
      <c r="B643" t="inlineStr">
        <is>
          <t>natural gas steam turbine</t>
        </is>
      </c>
      <c r="C643" t="inlineStr">
        <is>
          <t>ISIC 01</t>
        </is>
      </c>
      <c r="D643" t="inlineStr">
        <is>
          <t>ISIC 01T03</t>
        </is>
      </c>
      <c r="E643" t="n">
        <v>0.9429986826432329</v>
      </c>
      <c r="F643" t="inlineStr">
        <is>
          <t>BEA 2024 output share (default)</t>
        </is>
      </c>
      <c r="G643" t="n">
        <v>0.9429986826432329</v>
      </c>
    </row>
    <row r="644">
      <c r="A644" t="inlineStr">
        <is>
          <t>SoESCaOMCbIC-fixedOM.csv</t>
        </is>
      </c>
      <c r="B644" t="inlineStr">
        <is>
          <t>natural gas steam turbine</t>
        </is>
      </c>
      <c r="C644" t="inlineStr">
        <is>
          <t>ISIC 02</t>
        </is>
      </c>
      <c r="D644" t="inlineStr">
        <is>
          <t>ISIC 01T03</t>
        </is>
      </c>
      <c r="E644" t="n">
        <v>0.04176573136965662</v>
      </c>
      <c r="F644" t="inlineStr">
        <is>
          <t>BEA 2024 output share (default)</t>
        </is>
      </c>
      <c r="G644" t="n">
        <v>0.04176573136965662</v>
      </c>
    </row>
    <row r="645">
      <c r="A645" t="inlineStr">
        <is>
          <t>SoESCaOMCbIC-fixedOM.csv</t>
        </is>
      </c>
      <c r="B645" t="inlineStr">
        <is>
          <t>natural gas steam turbine</t>
        </is>
      </c>
      <c r="C645" t="inlineStr">
        <is>
          <t>ISIC 03</t>
        </is>
      </c>
      <c r="D645" t="inlineStr">
        <is>
          <t>ISIC 01T03</t>
        </is>
      </c>
      <c r="E645" t="n">
        <v>0.01523558598711041</v>
      </c>
      <c r="F645" t="inlineStr">
        <is>
          <t>BEA 2024 output share (default)</t>
        </is>
      </c>
      <c r="G645" t="n">
        <v>0.01523558598711041</v>
      </c>
    </row>
    <row r="646">
      <c r="A646" t="inlineStr">
        <is>
          <t>SoESCaOMCbIC-fixedOM.csv</t>
        </is>
      </c>
      <c r="B646" t="inlineStr">
        <is>
          <t>natural gas steam turbine</t>
        </is>
      </c>
      <c r="C646" t="inlineStr">
        <is>
          <t>ISIC 07</t>
        </is>
      </c>
      <c r="D646" t="inlineStr">
        <is>
          <t>ISIC 07T08</t>
        </is>
      </c>
      <c r="E646" t="n">
        <v>0.4327368836123752</v>
      </c>
      <c r="F646" t="inlineStr">
        <is>
          <t>BEA 2024 output share (default)</t>
        </is>
      </c>
      <c r="G646" t="n">
        <v>0.4327368836123752</v>
      </c>
    </row>
    <row r="647">
      <c r="A647" t="inlineStr">
        <is>
          <t>SoESCaOMCbIC-fixedOM.csv</t>
        </is>
      </c>
      <c r="B647" t="inlineStr">
        <is>
          <t>natural gas steam turbine</t>
        </is>
      </c>
      <c r="C647" t="inlineStr">
        <is>
          <t>ISIC 08</t>
        </is>
      </c>
      <c r="D647" t="inlineStr">
        <is>
          <t>ISIC 07T08</t>
        </is>
      </c>
      <c r="E647" t="n">
        <v>0.5672631163876248</v>
      </c>
      <c r="F647" t="inlineStr">
        <is>
          <t>BEA 2024 output share (default)</t>
        </is>
      </c>
      <c r="G647" t="n">
        <v>0.5672631163876248</v>
      </c>
    </row>
    <row r="648">
      <c r="A648" t="inlineStr">
        <is>
          <t>SoESCaOMCbIC-fixedOM.csv</t>
        </is>
      </c>
      <c r="B648" t="inlineStr">
        <is>
          <t>natural gas steam turbine</t>
        </is>
      </c>
      <c r="C648" t="inlineStr">
        <is>
          <t>ISIC 301</t>
        </is>
      </c>
      <c r="D648" t="inlineStr">
        <is>
          <t>ISIC 30</t>
        </is>
      </c>
      <c r="E648" t="n">
        <v>0.1171368722490322</v>
      </c>
      <c r="F648" t="inlineStr">
        <is>
          <t>BEA 2024 output share (default)</t>
        </is>
      </c>
      <c r="G648" t="n">
        <v>0.1171368722490322</v>
      </c>
    </row>
    <row r="649">
      <c r="A649" t="inlineStr">
        <is>
          <t>SoESCaOMCbIC-fixedOM.csv</t>
        </is>
      </c>
      <c r="B649" t="inlineStr">
        <is>
          <t>natural gas steam turbine</t>
        </is>
      </c>
      <c r="C649" t="inlineStr">
        <is>
          <t>ISIC 302T309</t>
        </is>
      </c>
      <c r="D649" t="inlineStr">
        <is>
          <t>ISIC 30</t>
        </is>
      </c>
      <c r="E649" t="n">
        <v>0.8828631277509678</v>
      </c>
      <c r="F649" t="inlineStr">
        <is>
          <t>BEA 2024 output share (default)</t>
        </is>
      </c>
      <c r="G649" t="n">
        <v>0.8828631277509678</v>
      </c>
    </row>
    <row r="650">
      <c r="A650" t="inlineStr">
        <is>
          <t>SoESCaOMCbIC-fixedOM.csv</t>
        </is>
      </c>
      <c r="B650" t="inlineStr">
        <is>
          <t>natural gas steam turbine</t>
        </is>
      </c>
      <c r="C650" t="inlineStr">
        <is>
          <t>ISIC 49</t>
        </is>
      </c>
      <c r="D650" t="inlineStr">
        <is>
          <t>ISIC 49T53</t>
        </is>
      </c>
      <c r="E650" t="n">
        <v>0.4781643011829615</v>
      </c>
      <c r="F650" t="inlineStr">
        <is>
          <t>BEA 2024 output share (default)</t>
        </is>
      </c>
      <c r="G650" t="n">
        <v>0.4781643011829615</v>
      </c>
    </row>
    <row r="651">
      <c r="A651" t="inlineStr">
        <is>
          <t>SoESCaOMCbIC-fixedOM.csv</t>
        </is>
      </c>
      <c r="B651" t="inlineStr">
        <is>
          <t>natural gas steam turbine</t>
        </is>
      </c>
      <c r="C651" t="inlineStr">
        <is>
          <t>ISIC 50</t>
        </is>
      </c>
      <c r="D651" t="inlineStr">
        <is>
          <t>ISIC 49T53</t>
        </is>
      </c>
      <c r="E651" t="n">
        <v>0.04258639396614965</v>
      </c>
      <c r="F651" t="inlineStr">
        <is>
          <t>BEA 2024 output share (default)</t>
        </is>
      </c>
      <c r="G651" t="n">
        <v>0.04258639396614965</v>
      </c>
    </row>
    <row r="652">
      <c r="A652" t="inlineStr">
        <is>
          <t>SoESCaOMCbIC-fixedOM.csv</t>
        </is>
      </c>
      <c r="B652" t="inlineStr">
        <is>
          <t>natural gas steam turbine</t>
        </is>
      </c>
      <c r="C652" t="inlineStr">
        <is>
          <t>ISIC 51</t>
        </is>
      </c>
      <c r="D652" t="inlineStr">
        <is>
          <t>ISIC 49T53</t>
        </is>
      </c>
      <c r="E652" t="n">
        <v>0.1808024634415262</v>
      </c>
      <c r="F652" t="inlineStr">
        <is>
          <t>BEA 2024 output share (default)</t>
        </is>
      </c>
      <c r="G652" t="n">
        <v>0.1808024634415262</v>
      </c>
    </row>
    <row r="653">
      <c r="A653" t="inlineStr">
        <is>
          <t>SoESCaOMCbIC-fixedOM.csv</t>
        </is>
      </c>
      <c r="B653" t="inlineStr">
        <is>
          <t>natural gas steam turbine</t>
        </is>
      </c>
      <c r="C653" t="inlineStr">
        <is>
          <t>ISIC 52</t>
        </is>
      </c>
      <c r="D653" t="inlineStr">
        <is>
          <t>ISIC 49T53</t>
        </is>
      </c>
      <c r="E653" t="n">
        <v>0.2139060571318126</v>
      </c>
      <c r="F653" t="inlineStr">
        <is>
          <t>BEA 2024 output share (default)</t>
        </is>
      </c>
      <c r="G653" t="n">
        <v>0.2139060571318126</v>
      </c>
    </row>
    <row r="654">
      <c r="A654" t="inlineStr">
        <is>
          <t>SoESCaOMCbIC-fixedOM.csv</t>
        </is>
      </c>
      <c r="B654" t="inlineStr">
        <is>
          <t>natural gas steam turbine</t>
        </is>
      </c>
      <c r="C654" t="inlineStr">
        <is>
          <t>ISIC 53</t>
        </is>
      </c>
      <c r="D654" t="inlineStr">
        <is>
          <t>ISIC 49T53</t>
        </is>
      </c>
      <c r="E654" t="n">
        <v>0.08454078427755009</v>
      </c>
      <c r="F654" t="inlineStr">
        <is>
          <t>BEA 2024 output share (default)</t>
        </is>
      </c>
      <c r="G654" t="n">
        <v>0.08454078427755009</v>
      </c>
    </row>
    <row r="655">
      <c r="A655" t="inlineStr">
        <is>
          <t>SoESCaOMCbIC-fixedOM.csv</t>
        </is>
      </c>
      <c r="B655" t="inlineStr">
        <is>
          <t>natural gas steam turbine</t>
        </is>
      </c>
      <c r="C655" t="inlineStr">
        <is>
          <t>ISIC 69T75</t>
        </is>
      </c>
      <c r="D655" t="inlineStr">
        <is>
          <t>ISIC 69T82</t>
        </is>
      </c>
      <c r="E655" t="n">
        <v>1</v>
      </c>
      <c r="F655" t="inlineStr">
        <is>
          <t>semantic override</t>
        </is>
      </c>
      <c r="G655" t="n">
        <v>0.7298219447914125</v>
      </c>
    </row>
    <row r="656">
      <c r="A656" t="inlineStr">
        <is>
          <t>SoESCaOMCbIC-fixedOM.csv</t>
        </is>
      </c>
      <c r="B656" t="inlineStr">
        <is>
          <t>natural gas steam turbine</t>
        </is>
      </c>
      <c r="C656" t="inlineStr">
        <is>
          <t>ISIC 77T82</t>
        </is>
      </c>
      <c r="D656" t="inlineStr">
        <is>
          <t>ISIC 69T82</t>
        </is>
      </c>
      <c r="E656" t="n">
        <v>0</v>
      </c>
      <c r="F656" t="inlineStr">
        <is>
          <t>semantic override</t>
        </is>
      </c>
      <c r="G656" t="n">
        <v>0.2701780552085875</v>
      </c>
    </row>
    <row r="657">
      <c r="A657" t="inlineStr">
        <is>
          <t>SoESCaOMCbIC-fixedOM.csv</t>
        </is>
      </c>
      <c r="B657" t="inlineStr">
        <is>
          <t>natural gas steam turbine</t>
        </is>
      </c>
      <c r="C657" t="inlineStr">
        <is>
          <t>ISIC 90T93</t>
        </is>
      </c>
      <c r="D657" t="inlineStr">
        <is>
          <t>ISIC 90T96</t>
        </is>
      </c>
      <c r="E657" t="n">
        <v>0.4216249514352275</v>
      </c>
      <c r="F657" t="inlineStr">
        <is>
          <t>BEA 2024 output share (default)</t>
        </is>
      </c>
      <c r="G657" t="n">
        <v>0.4216249514352275</v>
      </c>
    </row>
    <row r="658">
      <c r="A658" t="inlineStr">
        <is>
          <t>SoESCaOMCbIC-fixedOM.csv</t>
        </is>
      </c>
      <c r="B658" t="inlineStr">
        <is>
          <t>natural gas steam turbine</t>
        </is>
      </c>
      <c r="C658" t="inlineStr">
        <is>
          <t>ISIC 94T96</t>
        </is>
      </c>
      <c r="D658" t="inlineStr">
        <is>
          <t>ISIC 90T96</t>
        </is>
      </c>
      <c r="E658" t="n">
        <v>0.5783750485647725</v>
      </c>
      <c r="F658" t="inlineStr">
        <is>
          <t>BEA 2024 output share (default)</t>
        </is>
      </c>
      <c r="G658" t="n">
        <v>0.5783750485647725</v>
      </c>
    </row>
    <row r="659">
      <c r="A659" t="inlineStr">
        <is>
          <t>SoESCaOMCbIC-fixedOM.csv</t>
        </is>
      </c>
      <c r="B659" t="inlineStr">
        <is>
          <t>nuclear</t>
        </is>
      </c>
      <c r="C659" t="inlineStr">
        <is>
          <t>ISIC 01</t>
        </is>
      </c>
      <c r="D659" t="inlineStr">
        <is>
          <t>ISIC 01T03</t>
        </is>
      </c>
      <c r="E659" t="n">
        <v>0.9429986826432329</v>
      </c>
      <c r="F659" t="inlineStr">
        <is>
          <t>BEA 2024 output share (default)</t>
        </is>
      </c>
      <c r="G659" t="n">
        <v>0.9429986826432329</v>
      </c>
    </row>
    <row r="660">
      <c r="A660" t="inlineStr">
        <is>
          <t>SoESCaOMCbIC-fixedOM.csv</t>
        </is>
      </c>
      <c r="B660" t="inlineStr">
        <is>
          <t>nuclear</t>
        </is>
      </c>
      <c r="C660" t="inlineStr">
        <is>
          <t>ISIC 02</t>
        </is>
      </c>
      <c r="D660" t="inlineStr">
        <is>
          <t>ISIC 01T03</t>
        </is>
      </c>
      <c r="E660" t="n">
        <v>0.04176573136965662</v>
      </c>
      <c r="F660" t="inlineStr">
        <is>
          <t>BEA 2024 output share (default)</t>
        </is>
      </c>
      <c r="G660" t="n">
        <v>0.04176573136965662</v>
      </c>
    </row>
    <row r="661">
      <c r="A661" t="inlineStr">
        <is>
          <t>SoESCaOMCbIC-fixedOM.csv</t>
        </is>
      </c>
      <c r="B661" t="inlineStr">
        <is>
          <t>nuclear</t>
        </is>
      </c>
      <c r="C661" t="inlineStr">
        <is>
          <t>ISIC 03</t>
        </is>
      </c>
      <c r="D661" t="inlineStr">
        <is>
          <t>ISIC 01T03</t>
        </is>
      </c>
      <c r="E661" t="n">
        <v>0.01523558598711041</v>
      </c>
      <c r="F661" t="inlineStr">
        <is>
          <t>BEA 2024 output share (default)</t>
        </is>
      </c>
      <c r="G661" t="n">
        <v>0.01523558598711041</v>
      </c>
    </row>
    <row r="662">
      <c r="A662" t="inlineStr">
        <is>
          <t>SoESCaOMCbIC-fixedOM.csv</t>
        </is>
      </c>
      <c r="B662" t="inlineStr">
        <is>
          <t>nuclear</t>
        </is>
      </c>
      <c r="C662" t="inlineStr">
        <is>
          <t>ISIC 07</t>
        </is>
      </c>
      <c r="D662" t="inlineStr">
        <is>
          <t>ISIC 07T08</t>
        </is>
      </c>
      <c r="E662" t="n">
        <v>0.4327368836123752</v>
      </c>
      <c r="F662" t="inlineStr">
        <is>
          <t>BEA 2024 output share (default)</t>
        </is>
      </c>
      <c r="G662" t="n">
        <v>0.4327368836123752</v>
      </c>
    </row>
    <row r="663">
      <c r="A663" t="inlineStr">
        <is>
          <t>SoESCaOMCbIC-fixedOM.csv</t>
        </is>
      </c>
      <c r="B663" t="inlineStr">
        <is>
          <t>nuclear</t>
        </is>
      </c>
      <c r="C663" t="inlineStr">
        <is>
          <t>ISIC 08</t>
        </is>
      </c>
      <c r="D663" t="inlineStr">
        <is>
          <t>ISIC 07T08</t>
        </is>
      </c>
      <c r="E663" t="n">
        <v>0.5672631163876248</v>
      </c>
      <c r="F663" t="inlineStr">
        <is>
          <t>BEA 2024 output share (default)</t>
        </is>
      </c>
      <c r="G663" t="n">
        <v>0.5672631163876248</v>
      </c>
    </row>
    <row r="664">
      <c r="A664" t="inlineStr">
        <is>
          <t>SoESCaOMCbIC-fixedOM.csv</t>
        </is>
      </c>
      <c r="B664" t="inlineStr">
        <is>
          <t>nuclear</t>
        </is>
      </c>
      <c r="C664" t="inlineStr">
        <is>
          <t>ISIC 301</t>
        </is>
      </c>
      <c r="D664" t="inlineStr">
        <is>
          <t>ISIC 30</t>
        </is>
      </c>
      <c r="E664" t="n">
        <v>0.1171368722490322</v>
      </c>
      <c r="F664" t="inlineStr">
        <is>
          <t>BEA 2024 output share (default)</t>
        </is>
      </c>
      <c r="G664" t="n">
        <v>0.1171368722490322</v>
      </c>
    </row>
    <row r="665">
      <c r="A665" t="inlineStr">
        <is>
          <t>SoESCaOMCbIC-fixedOM.csv</t>
        </is>
      </c>
      <c r="B665" t="inlineStr">
        <is>
          <t>nuclear</t>
        </is>
      </c>
      <c r="C665" t="inlineStr">
        <is>
          <t>ISIC 302T309</t>
        </is>
      </c>
      <c r="D665" t="inlineStr">
        <is>
          <t>ISIC 30</t>
        </is>
      </c>
      <c r="E665" t="n">
        <v>0.8828631277509678</v>
      </c>
      <c r="F665" t="inlineStr">
        <is>
          <t>BEA 2024 output share (default)</t>
        </is>
      </c>
      <c r="G665" t="n">
        <v>0.8828631277509678</v>
      </c>
    </row>
    <row r="666">
      <c r="A666" t="inlineStr">
        <is>
          <t>SoESCaOMCbIC-fixedOM.csv</t>
        </is>
      </c>
      <c r="B666" t="inlineStr">
        <is>
          <t>nuclear</t>
        </is>
      </c>
      <c r="C666" t="inlineStr">
        <is>
          <t>ISIC 49</t>
        </is>
      </c>
      <c r="D666" t="inlineStr">
        <is>
          <t>ISIC 49T53</t>
        </is>
      </c>
      <c r="E666" t="n">
        <v>0.4781643011829615</v>
      </c>
      <c r="F666" t="inlineStr">
        <is>
          <t>BEA 2024 output share (default)</t>
        </is>
      </c>
      <c r="G666" t="n">
        <v>0.4781643011829615</v>
      </c>
    </row>
    <row r="667">
      <c r="A667" t="inlineStr">
        <is>
          <t>SoESCaOMCbIC-fixedOM.csv</t>
        </is>
      </c>
      <c r="B667" t="inlineStr">
        <is>
          <t>nuclear</t>
        </is>
      </c>
      <c r="C667" t="inlineStr">
        <is>
          <t>ISIC 50</t>
        </is>
      </c>
      <c r="D667" t="inlineStr">
        <is>
          <t>ISIC 49T53</t>
        </is>
      </c>
      <c r="E667" t="n">
        <v>0.04258639396614965</v>
      </c>
      <c r="F667" t="inlineStr">
        <is>
          <t>BEA 2024 output share (default)</t>
        </is>
      </c>
      <c r="G667" t="n">
        <v>0.04258639396614965</v>
      </c>
    </row>
    <row r="668">
      <c r="A668" t="inlineStr">
        <is>
          <t>SoESCaOMCbIC-fixedOM.csv</t>
        </is>
      </c>
      <c r="B668" t="inlineStr">
        <is>
          <t>nuclear</t>
        </is>
      </c>
      <c r="C668" t="inlineStr">
        <is>
          <t>ISIC 51</t>
        </is>
      </c>
      <c r="D668" t="inlineStr">
        <is>
          <t>ISIC 49T53</t>
        </is>
      </c>
      <c r="E668" t="n">
        <v>0.1808024634415262</v>
      </c>
      <c r="F668" t="inlineStr">
        <is>
          <t>BEA 2024 output share (default)</t>
        </is>
      </c>
      <c r="G668" t="n">
        <v>0.1808024634415262</v>
      </c>
    </row>
    <row r="669">
      <c r="A669" t="inlineStr">
        <is>
          <t>SoESCaOMCbIC-fixedOM.csv</t>
        </is>
      </c>
      <c r="B669" t="inlineStr">
        <is>
          <t>nuclear</t>
        </is>
      </c>
      <c r="C669" t="inlineStr">
        <is>
          <t>ISIC 52</t>
        </is>
      </c>
      <c r="D669" t="inlineStr">
        <is>
          <t>ISIC 49T53</t>
        </is>
      </c>
      <c r="E669" t="n">
        <v>0.2139060571318126</v>
      </c>
      <c r="F669" t="inlineStr">
        <is>
          <t>BEA 2024 output share (default)</t>
        </is>
      </c>
      <c r="G669" t="n">
        <v>0.2139060571318126</v>
      </c>
    </row>
    <row r="670">
      <c r="A670" t="inlineStr">
        <is>
          <t>SoESCaOMCbIC-fixedOM.csv</t>
        </is>
      </c>
      <c r="B670" t="inlineStr">
        <is>
          <t>nuclear</t>
        </is>
      </c>
      <c r="C670" t="inlineStr">
        <is>
          <t>ISIC 53</t>
        </is>
      </c>
      <c r="D670" t="inlineStr">
        <is>
          <t>ISIC 49T53</t>
        </is>
      </c>
      <c r="E670" t="n">
        <v>0.08454078427755009</v>
      </c>
      <c r="F670" t="inlineStr">
        <is>
          <t>BEA 2024 output share (default)</t>
        </is>
      </c>
      <c r="G670" t="n">
        <v>0.08454078427755009</v>
      </c>
    </row>
    <row r="671">
      <c r="A671" t="inlineStr">
        <is>
          <t>SoESCaOMCbIC-fixedOM.csv</t>
        </is>
      </c>
      <c r="B671" t="inlineStr">
        <is>
          <t>nuclear</t>
        </is>
      </c>
      <c r="C671" t="inlineStr">
        <is>
          <t>ISIC 69T75</t>
        </is>
      </c>
      <c r="D671" t="inlineStr">
        <is>
          <t>ISIC 69T82</t>
        </is>
      </c>
      <c r="E671" t="n">
        <v>1</v>
      </c>
      <c r="F671" t="inlineStr">
        <is>
          <t>semantic override</t>
        </is>
      </c>
      <c r="G671" t="n">
        <v>0.7298219447914125</v>
      </c>
    </row>
    <row r="672">
      <c r="A672" t="inlineStr">
        <is>
          <t>SoESCaOMCbIC-fixedOM.csv</t>
        </is>
      </c>
      <c r="B672" t="inlineStr">
        <is>
          <t>nuclear</t>
        </is>
      </c>
      <c r="C672" t="inlineStr">
        <is>
          <t>ISIC 77T82</t>
        </is>
      </c>
      <c r="D672" t="inlineStr">
        <is>
          <t>ISIC 69T82</t>
        </is>
      </c>
      <c r="E672" t="n">
        <v>0</v>
      </c>
      <c r="F672" t="inlineStr">
        <is>
          <t>semantic override</t>
        </is>
      </c>
      <c r="G672" t="n">
        <v>0.2701780552085875</v>
      </c>
    </row>
    <row r="673">
      <c r="A673" t="inlineStr">
        <is>
          <t>SoESCaOMCbIC-fixedOM.csv</t>
        </is>
      </c>
      <c r="B673" t="inlineStr">
        <is>
          <t>nuclear</t>
        </is>
      </c>
      <c r="C673" t="inlineStr">
        <is>
          <t>ISIC 90T93</t>
        </is>
      </c>
      <c r="D673" t="inlineStr">
        <is>
          <t>ISIC 90T96</t>
        </is>
      </c>
      <c r="E673" t="n">
        <v>0.4216249514352275</v>
      </c>
      <c r="F673" t="inlineStr">
        <is>
          <t>BEA 2024 output share (default)</t>
        </is>
      </c>
      <c r="G673" t="n">
        <v>0.4216249514352275</v>
      </c>
    </row>
    <row r="674">
      <c r="A674" t="inlineStr">
        <is>
          <t>SoESCaOMCbIC-fixedOM.csv</t>
        </is>
      </c>
      <c r="B674" t="inlineStr">
        <is>
          <t>nuclear</t>
        </is>
      </c>
      <c r="C674" t="inlineStr">
        <is>
          <t>ISIC 94T96</t>
        </is>
      </c>
      <c r="D674" t="inlineStr">
        <is>
          <t>ISIC 90T96</t>
        </is>
      </c>
      <c r="E674" t="n">
        <v>0.5783750485647725</v>
      </c>
      <c r="F674" t="inlineStr">
        <is>
          <t>BEA 2024 output share (default)</t>
        </is>
      </c>
      <c r="G674" t="n">
        <v>0.5783750485647725</v>
      </c>
    </row>
    <row r="675">
      <c r="A675" t="inlineStr">
        <is>
          <t>SoESCaOMCbIC-fixedOM.csv</t>
        </is>
      </c>
      <c r="B675" t="inlineStr">
        <is>
          <t>offshore wind</t>
        </is>
      </c>
      <c r="C675" t="inlineStr">
        <is>
          <t>ISIC 01</t>
        </is>
      </c>
      <c r="D675" t="inlineStr">
        <is>
          <t>ISIC 01T03</t>
        </is>
      </c>
      <c r="E675" t="n">
        <v>0.9429986826432329</v>
      </c>
      <c r="F675" t="inlineStr">
        <is>
          <t>BEA 2024 output share (default)</t>
        </is>
      </c>
      <c r="G675" t="n">
        <v>0.9429986826432329</v>
      </c>
    </row>
    <row r="676">
      <c r="A676" t="inlineStr">
        <is>
          <t>SoESCaOMCbIC-fixedOM.csv</t>
        </is>
      </c>
      <c r="B676" t="inlineStr">
        <is>
          <t>offshore wind</t>
        </is>
      </c>
      <c r="C676" t="inlineStr">
        <is>
          <t>ISIC 02</t>
        </is>
      </c>
      <c r="D676" t="inlineStr">
        <is>
          <t>ISIC 01T03</t>
        </is>
      </c>
      <c r="E676" t="n">
        <v>0.04176573136965662</v>
      </c>
      <c r="F676" t="inlineStr">
        <is>
          <t>BEA 2024 output share (default)</t>
        </is>
      </c>
      <c r="G676" t="n">
        <v>0.04176573136965662</v>
      </c>
    </row>
    <row r="677">
      <c r="A677" t="inlineStr">
        <is>
          <t>SoESCaOMCbIC-fixedOM.csv</t>
        </is>
      </c>
      <c r="B677" t="inlineStr">
        <is>
          <t>offshore wind</t>
        </is>
      </c>
      <c r="C677" t="inlineStr">
        <is>
          <t>ISIC 03</t>
        </is>
      </c>
      <c r="D677" t="inlineStr">
        <is>
          <t>ISIC 01T03</t>
        </is>
      </c>
      <c r="E677" t="n">
        <v>0.01523558598711041</v>
      </c>
      <c r="F677" t="inlineStr">
        <is>
          <t>BEA 2024 output share (default)</t>
        </is>
      </c>
      <c r="G677" t="n">
        <v>0.01523558598711041</v>
      </c>
    </row>
    <row r="678">
      <c r="A678" t="inlineStr">
        <is>
          <t>SoESCaOMCbIC-fixedOM.csv</t>
        </is>
      </c>
      <c r="B678" t="inlineStr">
        <is>
          <t>offshore wind</t>
        </is>
      </c>
      <c r="C678" t="inlineStr">
        <is>
          <t>ISIC 07</t>
        </is>
      </c>
      <c r="D678" t="inlineStr">
        <is>
          <t>ISIC 07T08</t>
        </is>
      </c>
      <c r="E678" t="n">
        <v>0.4327368836123752</v>
      </c>
      <c r="F678" t="inlineStr">
        <is>
          <t>BEA 2024 output share (default)</t>
        </is>
      </c>
      <c r="G678" t="n">
        <v>0.4327368836123752</v>
      </c>
    </row>
    <row r="679">
      <c r="A679" t="inlineStr">
        <is>
          <t>SoESCaOMCbIC-fixedOM.csv</t>
        </is>
      </c>
      <c r="B679" t="inlineStr">
        <is>
          <t>offshore wind</t>
        </is>
      </c>
      <c r="C679" t="inlineStr">
        <is>
          <t>ISIC 08</t>
        </is>
      </c>
      <c r="D679" t="inlineStr">
        <is>
          <t>ISIC 07T08</t>
        </is>
      </c>
      <c r="E679" t="n">
        <v>0.5672631163876248</v>
      </c>
      <c r="F679" t="inlineStr">
        <is>
          <t>BEA 2024 output share (default)</t>
        </is>
      </c>
      <c r="G679" t="n">
        <v>0.5672631163876248</v>
      </c>
    </row>
    <row r="680">
      <c r="A680" t="inlineStr">
        <is>
          <t>SoESCaOMCbIC-fixedOM.csv</t>
        </is>
      </c>
      <c r="B680" t="inlineStr">
        <is>
          <t>offshore wind</t>
        </is>
      </c>
      <c r="C680" t="inlineStr">
        <is>
          <t>ISIC 301</t>
        </is>
      </c>
      <c r="D680" t="inlineStr">
        <is>
          <t>ISIC 30</t>
        </is>
      </c>
      <c r="E680" t="n">
        <v>0.1171368722490322</v>
      </c>
      <c r="F680" t="inlineStr">
        <is>
          <t>BEA 2024 output share (default)</t>
        </is>
      </c>
      <c r="G680" t="n">
        <v>0.1171368722490322</v>
      </c>
    </row>
    <row r="681">
      <c r="A681" t="inlineStr">
        <is>
          <t>SoESCaOMCbIC-fixedOM.csv</t>
        </is>
      </c>
      <c r="B681" t="inlineStr">
        <is>
          <t>offshore wind</t>
        </is>
      </c>
      <c r="C681" t="inlineStr">
        <is>
          <t>ISIC 302T309</t>
        </is>
      </c>
      <c r="D681" t="inlineStr">
        <is>
          <t>ISIC 30</t>
        </is>
      </c>
      <c r="E681" t="n">
        <v>0.8828631277509678</v>
      </c>
      <c r="F681" t="inlineStr">
        <is>
          <t>BEA 2024 output share (default)</t>
        </is>
      </c>
      <c r="G681" t="n">
        <v>0.8828631277509678</v>
      </c>
    </row>
    <row r="682">
      <c r="A682" t="inlineStr">
        <is>
          <t>SoESCaOMCbIC-fixedOM.csv</t>
        </is>
      </c>
      <c r="B682" t="inlineStr">
        <is>
          <t>offshore wind</t>
        </is>
      </c>
      <c r="C682" t="inlineStr">
        <is>
          <t>ISIC 49</t>
        </is>
      </c>
      <c r="D682" t="inlineStr">
        <is>
          <t>ISIC 49T53</t>
        </is>
      </c>
      <c r="E682" t="n">
        <v>0.4781643011829615</v>
      </c>
      <c r="F682" t="inlineStr">
        <is>
          <t>BEA 2024 output share (default)</t>
        </is>
      </c>
      <c r="G682" t="n">
        <v>0.4781643011829615</v>
      </c>
    </row>
    <row r="683">
      <c r="A683" t="inlineStr">
        <is>
          <t>SoESCaOMCbIC-fixedOM.csv</t>
        </is>
      </c>
      <c r="B683" t="inlineStr">
        <is>
          <t>offshore wind</t>
        </is>
      </c>
      <c r="C683" t="inlineStr">
        <is>
          <t>ISIC 50</t>
        </is>
      </c>
      <c r="D683" t="inlineStr">
        <is>
          <t>ISIC 49T53</t>
        </is>
      </c>
      <c r="E683" t="n">
        <v>0.04258639396614965</v>
      </c>
      <c r="F683" t="inlineStr">
        <is>
          <t>BEA 2024 output share (default)</t>
        </is>
      </c>
      <c r="G683" t="n">
        <v>0.04258639396614965</v>
      </c>
    </row>
    <row r="684">
      <c r="A684" t="inlineStr">
        <is>
          <t>SoESCaOMCbIC-fixedOM.csv</t>
        </is>
      </c>
      <c r="B684" t="inlineStr">
        <is>
          <t>offshore wind</t>
        </is>
      </c>
      <c r="C684" t="inlineStr">
        <is>
          <t>ISIC 51</t>
        </is>
      </c>
      <c r="D684" t="inlineStr">
        <is>
          <t>ISIC 49T53</t>
        </is>
      </c>
      <c r="E684" t="n">
        <v>0.1808024634415262</v>
      </c>
      <c r="F684" t="inlineStr">
        <is>
          <t>BEA 2024 output share (default)</t>
        </is>
      </c>
      <c r="G684" t="n">
        <v>0.1808024634415262</v>
      </c>
    </row>
    <row r="685">
      <c r="A685" t="inlineStr">
        <is>
          <t>SoESCaOMCbIC-fixedOM.csv</t>
        </is>
      </c>
      <c r="B685" t="inlineStr">
        <is>
          <t>offshore wind</t>
        </is>
      </c>
      <c r="C685" t="inlineStr">
        <is>
          <t>ISIC 52</t>
        </is>
      </c>
      <c r="D685" t="inlineStr">
        <is>
          <t>ISIC 49T53</t>
        </is>
      </c>
      <c r="E685" t="n">
        <v>0.2139060571318126</v>
      </c>
      <c r="F685" t="inlineStr">
        <is>
          <t>BEA 2024 output share (default)</t>
        </is>
      </c>
      <c r="G685" t="n">
        <v>0.2139060571318126</v>
      </c>
    </row>
    <row r="686">
      <c r="A686" t="inlineStr">
        <is>
          <t>SoESCaOMCbIC-fixedOM.csv</t>
        </is>
      </c>
      <c r="B686" t="inlineStr">
        <is>
          <t>offshore wind</t>
        </is>
      </c>
      <c r="C686" t="inlineStr">
        <is>
          <t>ISIC 53</t>
        </is>
      </c>
      <c r="D686" t="inlineStr">
        <is>
          <t>ISIC 49T53</t>
        </is>
      </c>
      <c r="E686" t="n">
        <v>0.08454078427755009</v>
      </c>
      <c r="F686" t="inlineStr">
        <is>
          <t>BEA 2024 output share (default)</t>
        </is>
      </c>
      <c r="G686" t="n">
        <v>0.08454078427755009</v>
      </c>
    </row>
    <row r="687">
      <c r="A687" t="inlineStr">
        <is>
          <t>SoESCaOMCbIC-fixedOM.csv</t>
        </is>
      </c>
      <c r="B687" t="inlineStr">
        <is>
          <t>offshore wind</t>
        </is>
      </c>
      <c r="C687" t="inlineStr">
        <is>
          <t>ISIC 69T75</t>
        </is>
      </c>
      <c r="D687" t="inlineStr">
        <is>
          <t>ISIC 69T82</t>
        </is>
      </c>
      <c r="E687" t="n">
        <v>1</v>
      </c>
      <c r="F687" t="inlineStr">
        <is>
          <t>semantic override</t>
        </is>
      </c>
      <c r="G687" t="n">
        <v>0.7298219447914125</v>
      </c>
    </row>
    <row r="688">
      <c r="A688" t="inlineStr">
        <is>
          <t>SoESCaOMCbIC-fixedOM.csv</t>
        </is>
      </c>
      <c r="B688" t="inlineStr">
        <is>
          <t>offshore wind</t>
        </is>
      </c>
      <c r="C688" t="inlineStr">
        <is>
          <t>ISIC 77T82</t>
        </is>
      </c>
      <c r="D688" t="inlineStr">
        <is>
          <t>ISIC 69T82</t>
        </is>
      </c>
      <c r="E688" t="n">
        <v>0</v>
      </c>
      <c r="F688" t="inlineStr">
        <is>
          <t>semantic override</t>
        </is>
      </c>
      <c r="G688" t="n">
        <v>0.2701780552085875</v>
      </c>
    </row>
    <row r="689">
      <c r="A689" t="inlineStr">
        <is>
          <t>SoESCaOMCbIC-fixedOM.csv</t>
        </is>
      </c>
      <c r="B689" t="inlineStr">
        <is>
          <t>offshore wind</t>
        </is>
      </c>
      <c r="C689" t="inlineStr">
        <is>
          <t>ISIC 90T93</t>
        </is>
      </c>
      <c r="D689" t="inlineStr">
        <is>
          <t>ISIC 90T96</t>
        </is>
      </c>
      <c r="E689" t="n">
        <v>0.4216249514352275</v>
      </c>
      <c r="F689" t="inlineStr">
        <is>
          <t>BEA 2024 output share (default)</t>
        </is>
      </c>
      <c r="G689" t="n">
        <v>0.4216249514352275</v>
      </c>
    </row>
    <row r="690">
      <c r="A690" t="inlineStr">
        <is>
          <t>SoESCaOMCbIC-fixedOM.csv</t>
        </is>
      </c>
      <c r="B690" t="inlineStr">
        <is>
          <t>offshore wind</t>
        </is>
      </c>
      <c r="C690" t="inlineStr">
        <is>
          <t>ISIC 94T96</t>
        </is>
      </c>
      <c r="D690" t="inlineStr">
        <is>
          <t>ISIC 90T96</t>
        </is>
      </c>
      <c r="E690" t="n">
        <v>0.5783750485647725</v>
      </c>
      <c r="F690" t="inlineStr">
        <is>
          <t>BEA 2024 output share (default)</t>
        </is>
      </c>
      <c r="G690" t="n">
        <v>0.5783750485647725</v>
      </c>
    </row>
    <row r="691">
      <c r="A691" t="inlineStr">
        <is>
          <t>SoESCaOMCbIC-fixedOM.csv</t>
        </is>
      </c>
      <c r="B691" t="inlineStr">
        <is>
          <t>petroleum</t>
        </is>
      </c>
      <c r="C691" t="inlineStr">
        <is>
          <t>ISIC 01</t>
        </is>
      </c>
      <c r="D691" t="inlineStr">
        <is>
          <t>ISIC 01T03</t>
        </is>
      </c>
      <c r="E691" t="n">
        <v>0.9429986826432329</v>
      </c>
      <c r="F691" t="inlineStr">
        <is>
          <t>BEA 2024 output share (default)</t>
        </is>
      </c>
      <c r="G691" t="n">
        <v>0.9429986826432329</v>
      </c>
    </row>
    <row r="692">
      <c r="A692" t="inlineStr">
        <is>
          <t>SoESCaOMCbIC-fixedOM.csv</t>
        </is>
      </c>
      <c r="B692" t="inlineStr">
        <is>
          <t>petroleum</t>
        </is>
      </c>
      <c r="C692" t="inlineStr">
        <is>
          <t>ISIC 02</t>
        </is>
      </c>
      <c r="D692" t="inlineStr">
        <is>
          <t>ISIC 01T03</t>
        </is>
      </c>
      <c r="E692" t="n">
        <v>0.04176573136965662</v>
      </c>
      <c r="F692" t="inlineStr">
        <is>
          <t>BEA 2024 output share (default)</t>
        </is>
      </c>
      <c r="G692" t="n">
        <v>0.04176573136965662</v>
      </c>
    </row>
    <row r="693">
      <c r="A693" t="inlineStr">
        <is>
          <t>SoESCaOMCbIC-fixedOM.csv</t>
        </is>
      </c>
      <c r="B693" t="inlineStr">
        <is>
          <t>petroleum</t>
        </is>
      </c>
      <c r="C693" t="inlineStr">
        <is>
          <t>ISIC 03</t>
        </is>
      </c>
      <c r="D693" t="inlineStr">
        <is>
          <t>ISIC 01T03</t>
        </is>
      </c>
      <c r="E693" t="n">
        <v>0.01523558598711041</v>
      </c>
      <c r="F693" t="inlineStr">
        <is>
          <t>BEA 2024 output share (default)</t>
        </is>
      </c>
      <c r="G693" t="n">
        <v>0.01523558598711041</v>
      </c>
    </row>
    <row r="694">
      <c r="A694" t="inlineStr">
        <is>
          <t>SoESCaOMCbIC-fixedOM.csv</t>
        </is>
      </c>
      <c r="B694" t="inlineStr">
        <is>
          <t>petroleum</t>
        </is>
      </c>
      <c r="C694" t="inlineStr">
        <is>
          <t>ISIC 07</t>
        </is>
      </c>
      <c r="D694" t="inlineStr">
        <is>
          <t>ISIC 07T08</t>
        </is>
      </c>
      <c r="E694" t="n">
        <v>0.4327368836123752</v>
      </c>
      <c r="F694" t="inlineStr">
        <is>
          <t>BEA 2024 output share (default)</t>
        </is>
      </c>
      <c r="G694" t="n">
        <v>0.4327368836123752</v>
      </c>
    </row>
    <row r="695">
      <c r="A695" t="inlineStr">
        <is>
          <t>SoESCaOMCbIC-fixedOM.csv</t>
        </is>
      </c>
      <c r="B695" t="inlineStr">
        <is>
          <t>petroleum</t>
        </is>
      </c>
      <c r="C695" t="inlineStr">
        <is>
          <t>ISIC 08</t>
        </is>
      </c>
      <c r="D695" t="inlineStr">
        <is>
          <t>ISIC 07T08</t>
        </is>
      </c>
      <c r="E695" t="n">
        <v>0.5672631163876248</v>
      </c>
      <c r="F695" t="inlineStr">
        <is>
          <t>BEA 2024 output share (default)</t>
        </is>
      </c>
      <c r="G695" t="n">
        <v>0.5672631163876248</v>
      </c>
    </row>
    <row r="696">
      <c r="A696" t="inlineStr">
        <is>
          <t>SoESCaOMCbIC-fixedOM.csv</t>
        </is>
      </c>
      <c r="B696" t="inlineStr">
        <is>
          <t>petroleum</t>
        </is>
      </c>
      <c r="C696" t="inlineStr">
        <is>
          <t>ISIC 301</t>
        </is>
      </c>
      <c r="D696" t="inlineStr">
        <is>
          <t>ISIC 30</t>
        </is>
      </c>
      <c r="E696" t="n">
        <v>0.1171368722490322</v>
      </c>
      <c r="F696" t="inlineStr">
        <is>
          <t>BEA 2024 output share (default)</t>
        </is>
      </c>
      <c r="G696" t="n">
        <v>0.1171368722490322</v>
      </c>
    </row>
    <row r="697">
      <c r="A697" t="inlineStr">
        <is>
          <t>SoESCaOMCbIC-fixedOM.csv</t>
        </is>
      </c>
      <c r="B697" t="inlineStr">
        <is>
          <t>petroleum</t>
        </is>
      </c>
      <c r="C697" t="inlineStr">
        <is>
          <t>ISIC 302T309</t>
        </is>
      </c>
      <c r="D697" t="inlineStr">
        <is>
          <t>ISIC 30</t>
        </is>
      </c>
      <c r="E697" t="n">
        <v>0.8828631277509678</v>
      </c>
      <c r="F697" t="inlineStr">
        <is>
          <t>BEA 2024 output share (default)</t>
        </is>
      </c>
      <c r="G697" t="n">
        <v>0.8828631277509678</v>
      </c>
    </row>
    <row r="698">
      <c r="A698" t="inlineStr">
        <is>
          <t>SoESCaOMCbIC-fixedOM.csv</t>
        </is>
      </c>
      <c r="B698" t="inlineStr">
        <is>
          <t>petroleum</t>
        </is>
      </c>
      <c r="C698" t="inlineStr">
        <is>
          <t>ISIC 49</t>
        </is>
      </c>
      <c r="D698" t="inlineStr">
        <is>
          <t>ISIC 49T53</t>
        </is>
      </c>
      <c r="E698" t="n">
        <v>0.4781643011829615</v>
      </c>
      <c r="F698" t="inlineStr">
        <is>
          <t>BEA 2024 output share (default)</t>
        </is>
      </c>
      <c r="G698" t="n">
        <v>0.4781643011829615</v>
      </c>
    </row>
    <row r="699">
      <c r="A699" t="inlineStr">
        <is>
          <t>SoESCaOMCbIC-fixedOM.csv</t>
        </is>
      </c>
      <c r="B699" t="inlineStr">
        <is>
          <t>petroleum</t>
        </is>
      </c>
      <c r="C699" t="inlineStr">
        <is>
          <t>ISIC 50</t>
        </is>
      </c>
      <c r="D699" t="inlineStr">
        <is>
          <t>ISIC 49T53</t>
        </is>
      </c>
      <c r="E699" t="n">
        <v>0.04258639396614965</v>
      </c>
      <c r="F699" t="inlineStr">
        <is>
          <t>BEA 2024 output share (default)</t>
        </is>
      </c>
      <c r="G699" t="n">
        <v>0.04258639396614965</v>
      </c>
    </row>
    <row r="700">
      <c r="A700" t="inlineStr">
        <is>
          <t>SoESCaOMCbIC-fixedOM.csv</t>
        </is>
      </c>
      <c r="B700" t="inlineStr">
        <is>
          <t>petroleum</t>
        </is>
      </c>
      <c r="C700" t="inlineStr">
        <is>
          <t>ISIC 51</t>
        </is>
      </c>
      <c r="D700" t="inlineStr">
        <is>
          <t>ISIC 49T53</t>
        </is>
      </c>
      <c r="E700" t="n">
        <v>0.1808024634415262</v>
      </c>
      <c r="F700" t="inlineStr">
        <is>
          <t>BEA 2024 output share (default)</t>
        </is>
      </c>
      <c r="G700" t="n">
        <v>0.1808024634415262</v>
      </c>
    </row>
    <row r="701">
      <c r="A701" t="inlineStr">
        <is>
          <t>SoESCaOMCbIC-fixedOM.csv</t>
        </is>
      </c>
      <c r="B701" t="inlineStr">
        <is>
          <t>petroleum</t>
        </is>
      </c>
      <c r="C701" t="inlineStr">
        <is>
          <t>ISIC 52</t>
        </is>
      </c>
      <c r="D701" t="inlineStr">
        <is>
          <t>ISIC 49T53</t>
        </is>
      </c>
      <c r="E701" t="n">
        <v>0.2139060571318126</v>
      </c>
      <c r="F701" t="inlineStr">
        <is>
          <t>BEA 2024 output share (default)</t>
        </is>
      </c>
      <c r="G701" t="n">
        <v>0.2139060571318126</v>
      </c>
    </row>
    <row r="702">
      <c r="A702" t="inlineStr">
        <is>
          <t>SoESCaOMCbIC-fixedOM.csv</t>
        </is>
      </c>
      <c r="B702" t="inlineStr">
        <is>
          <t>petroleum</t>
        </is>
      </c>
      <c r="C702" t="inlineStr">
        <is>
          <t>ISIC 53</t>
        </is>
      </c>
      <c r="D702" t="inlineStr">
        <is>
          <t>ISIC 49T53</t>
        </is>
      </c>
      <c r="E702" t="n">
        <v>0.08454078427755009</v>
      </c>
      <c r="F702" t="inlineStr">
        <is>
          <t>BEA 2024 output share (default)</t>
        </is>
      </c>
      <c r="G702" t="n">
        <v>0.08454078427755009</v>
      </c>
    </row>
    <row r="703">
      <c r="A703" t="inlineStr">
        <is>
          <t>SoESCaOMCbIC-fixedOM.csv</t>
        </is>
      </c>
      <c r="B703" t="inlineStr">
        <is>
          <t>petroleum</t>
        </is>
      </c>
      <c r="C703" t="inlineStr">
        <is>
          <t>ISIC 69T75</t>
        </is>
      </c>
      <c r="D703" t="inlineStr">
        <is>
          <t>ISIC 69T82</t>
        </is>
      </c>
      <c r="E703" t="n">
        <v>1</v>
      </c>
      <c r="F703" t="inlineStr">
        <is>
          <t>semantic override</t>
        </is>
      </c>
      <c r="G703" t="n">
        <v>0.7298219447914125</v>
      </c>
    </row>
    <row r="704">
      <c r="A704" t="inlineStr">
        <is>
          <t>SoESCaOMCbIC-fixedOM.csv</t>
        </is>
      </c>
      <c r="B704" t="inlineStr">
        <is>
          <t>petroleum</t>
        </is>
      </c>
      <c r="C704" t="inlineStr">
        <is>
          <t>ISIC 77T82</t>
        </is>
      </c>
      <c r="D704" t="inlineStr">
        <is>
          <t>ISIC 69T82</t>
        </is>
      </c>
      <c r="E704" t="n">
        <v>0</v>
      </c>
      <c r="F704" t="inlineStr">
        <is>
          <t>semantic override</t>
        </is>
      </c>
      <c r="G704" t="n">
        <v>0.2701780552085875</v>
      </c>
    </row>
    <row r="705">
      <c r="A705" t="inlineStr">
        <is>
          <t>SoESCaOMCbIC-fixedOM.csv</t>
        </is>
      </c>
      <c r="B705" t="inlineStr">
        <is>
          <t>petroleum</t>
        </is>
      </c>
      <c r="C705" t="inlineStr">
        <is>
          <t>ISIC 90T93</t>
        </is>
      </c>
      <c r="D705" t="inlineStr">
        <is>
          <t>ISIC 90T96</t>
        </is>
      </c>
      <c r="E705" t="n">
        <v>0.4216249514352275</v>
      </c>
      <c r="F705" t="inlineStr">
        <is>
          <t>BEA 2024 output share (default)</t>
        </is>
      </c>
      <c r="G705" t="n">
        <v>0.4216249514352275</v>
      </c>
    </row>
    <row r="706">
      <c r="A706" t="inlineStr">
        <is>
          <t>SoESCaOMCbIC-fixedOM.csv</t>
        </is>
      </c>
      <c r="B706" t="inlineStr">
        <is>
          <t>petroleum</t>
        </is>
      </c>
      <c r="C706" t="inlineStr">
        <is>
          <t>ISIC 94T96</t>
        </is>
      </c>
      <c r="D706" t="inlineStr">
        <is>
          <t>ISIC 90T96</t>
        </is>
      </c>
      <c r="E706" t="n">
        <v>0.5783750485647725</v>
      </c>
      <c r="F706" t="inlineStr">
        <is>
          <t>BEA 2024 output share (default)</t>
        </is>
      </c>
      <c r="G706" t="n">
        <v>0.5783750485647725</v>
      </c>
    </row>
    <row r="707">
      <c r="A707" t="inlineStr">
        <is>
          <t>SoESCaOMCbIC-fixedOM.csv</t>
        </is>
      </c>
      <c r="B707" t="inlineStr">
        <is>
          <t>small modular reactor</t>
        </is>
      </c>
      <c r="C707" t="inlineStr">
        <is>
          <t>ISIC 01</t>
        </is>
      </c>
      <c r="D707" t="inlineStr">
        <is>
          <t>ISIC 01T03</t>
        </is>
      </c>
      <c r="E707" t="n">
        <v>0.9429986826432329</v>
      </c>
      <c r="F707" t="inlineStr">
        <is>
          <t>BEA 2024 output share (default)</t>
        </is>
      </c>
      <c r="G707" t="n">
        <v>0.9429986826432329</v>
      </c>
    </row>
    <row r="708">
      <c r="A708" t="inlineStr">
        <is>
          <t>SoESCaOMCbIC-fixedOM.csv</t>
        </is>
      </c>
      <c r="B708" t="inlineStr">
        <is>
          <t>small modular reactor</t>
        </is>
      </c>
      <c r="C708" t="inlineStr">
        <is>
          <t>ISIC 02</t>
        </is>
      </c>
      <c r="D708" t="inlineStr">
        <is>
          <t>ISIC 01T03</t>
        </is>
      </c>
      <c r="E708" t="n">
        <v>0.04176573136965662</v>
      </c>
      <c r="F708" t="inlineStr">
        <is>
          <t>BEA 2024 output share (default)</t>
        </is>
      </c>
      <c r="G708" t="n">
        <v>0.04176573136965662</v>
      </c>
    </row>
    <row r="709">
      <c r="A709" t="inlineStr">
        <is>
          <t>SoESCaOMCbIC-fixedOM.csv</t>
        </is>
      </c>
      <c r="B709" t="inlineStr">
        <is>
          <t>small modular reactor</t>
        </is>
      </c>
      <c r="C709" t="inlineStr">
        <is>
          <t>ISIC 03</t>
        </is>
      </c>
      <c r="D709" t="inlineStr">
        <is>
          <t>ISIC 01T03</t>
        </is>
      </c>
      <c r="E709" t="n">
        <v>0.01523558598711041</v>
      </c>
      <c r="F709" t="inlineStr">
        <is>
          <t>BEA 2024 output share (default)</t>
        </is>
      </c>
      <c r="G709" t="n">
        <v>0.01523558598711041</v>
      </c>
    </row>
    <row r="710">
      <c r="A710" t="inlineStr">
        <is>
          <t>SoESCaOMCbIC-fixedOM.csv</t>
        </is>
      </c>
      <c r="B710" t="inlineStr">
        <is>
          <t>small modular reactor</t>
        </is>
      </c>
      <c r="C710" t="inlineStr">
        <is>
          <t>ISIC 07</t>
        </is>
      </c>
      <c r="D710" t="inlineStr">
        <is>
          <t>ISIC 07T08</t>
        </is>
      </c>
      <c r="E710" t="n">
        <v>0.4327368836123752</v>
      </c>
      <c r="F710" t="inlineStr">
        <is>
          <t>BEA 2024 output share (default)</t>
        </is>
      </c>
      <c r="G710" t="n">
        <v>0.4327368836123752</v>
      </c>
    </row>
    <row r="711">
      <c r="A711" t="inlineStr">
        <is>
          <t>SoESCaOMCbIC-fixedOM.csv</t>
        </is>
      </c>
      <c r="B711" t="inlineStr">
        <is>
          <t>small modular reactor</t>
        </is>
      </c>
      <c r="C711" t="inlineStr">
        <is>
          <t>ISIC 08</t>
        </is>
      </c>
      <c r="D711" t="inlineStr">
        <is>
          <t>ISIC 07T08</t>
        </is>
      </c>
      <c r="E711" t="n">
        <v>0.5672631163876248</v>
      </c>
      <c r="F711" t="inlineStr">
        <is>
          <t>BEA 2024 output share (default)</t>
        </is>
      </c>
      <c r="G711" t="n">
        <v>0.5672631163876248</v>
      </c>
    </row>
    <row r="712">
      <c r="A712" t="inlineStr">
        <is>
          <t>SoESCaOMCbIC-fixedOM.csv</t>
        </is>
      </c>
      <c r="B712" t="inlineStr">
        <is>
          <t>small modular reactor</t>
        </is>
      </c>
      <c r="C712" t="inlineStr">
        <is>
          <t>ISIC 301</t>
        </is>
      </c>
      <c r="D712" t="inlineStr">
        <is>
          <t>ISIC 30</t>
        </is>
      </c>
      <c r="E712" t="n">
        <v>0.1171368722490322</v>
      </c>
      <c r="F712" t="inlineStr">
        <is>
          <t>BEA 2024 output share (default)</t>
        </is>
      </c>
      <c r="G712" t="n">
        <v>0.1171368722490322</v>
      </c>
    </row>
    <row r="713">
      <c r="A713" t="inlineStr">
        <is>
          <t>SoESCaOMCbIC-fixedOM.csv</t>
        </is>
      </c>
      <c r="B713" t="inlineStr">
        <is>
          <t>small modular reactor</t>
        </is>
      </c>
      <c r="C713" t="inlineStr">
        <is>
          <t>ISIC 302T309</t>
        </is>
      </c>
      <c r="D713" t="inlineStr">
        <is>
          <t>ISIC 30</t>
        </is>
      </c>
      <c r="E713" t="n">
        <v>0.8828631277509678</v>
      </c>
      <c r="F713" t="inlineStr">
        <is>
          <t>BEA 2024 output share (default)</t>
        </is>
      </c>
      <c r="G713" t="n">
        <v>0.8828631277509678</v>
      </c>
    </row>
    <row r="714">
      <c r="A714" t="inlineStr">
        <is>
          <t>SoESCaOMCbIC-fixedOM.csv</t>
        </is>
      </c>
      <c r="B714" t="inlineStr">
        <is>
          <t>small modular reactor</t>
        </is>
      </c>
      <c r="C714" t="inlineStr">
        <is>
          <t>ISIC 49</t>
        </is>
      </c>
      <c r="D714" t="inlineStr">
        <is>
          <t>ISIC 49T53</t>
        </is>
      </c>
      <c r="E714" t="n">
        <v>0.4781643011829615</v>
      </c>
      <c r="F714" t="inlineStr">
        <is>
          <t>BEA 2024 output share (default)</t>
        </is>
      </c>
      <c r="G714" t="n">
        <v>0.4781643011829615</v>
      </c>
    </row>
    <row r="715">
      <c r="A715" t="inlineStr">
        <is>
          <t>SoESCaOMCbIC-fixedOM.csv</t>
        </is>
      </c>
      <c r="B715" t="inlineStr">
        <is>
          <t>small modular reactor</t>
        </is>
      </c>
      <c r="C715" t="inlineStr">
        <is>
          <t>ISIC 50</t>
        </is>
      </c>
      <c r="D715" t="inlineStr">
        <is>
          <t>ISIC 49T53</t>
        </is>
      </c>
      <c r="E715" t="n">
        <v>0.04258639396614965</v>
      </c>
      <c r="F715" t="inlineStr">
        <is>
          <t>BEA 2024 output share (default)</t>
        </is>
      </c>
      <c r="G715" t="n">
        <v>0.04258639396614965</v>
      </c>
    </row>
    <row r="716">
      <c r="A716" t="inlineStr">
        <is>
          <t>SoESCaOMCbIC-fixedOM.csv</t>
        </is>
      </c>
      <c r="B716" t="inlineStr">
        <is>
          <t>small modular reactor</t>
        </is>
      </c>
      <c r="C716" t="inlineStr">
        <is>
          <t>ISIC 51</t>
        </is>
      </c>
      <c r="D716" t="inlineStr">
        <is>
          <t>ISIC 49T53</t>
        </is>
      </c>
      <c r="E716" t="n">
        <v>0.1808024634415262</v>
      </c>
      <c r="F716" t="inlineStr">
        <is>
          <t>BEA 2024 output share (default)</t>
        </is>
      </c>
      <c r="G716" t="n">
        <v>0.1808024634415262</v>
      </c>
    </row>
    <row r="717">
      <c r="A717" t="inlineStr">
        <is>
          <t>SoESCaOMCbIC-fixedOM.csv</t>
        </is>
      </c>
      <c r="B717" t="inlineStr">
        <is>
          <t>small modular reactor</t>
        </is>
      </c>
      <c r="C717" t="inlineStr">
        <is>
          <t>ISIC 52</t>
        </is>
      </c>
      <c r="D717" t="inlineStr">
        <is>
          <t>ISIC 49T53</t>
        </is>
      </c>
      <c r="E717" t="n">
        <v>0.2139060571318126</v>
      </c>
      <c r="F717" t="inlineStr">
        <is>
          <t>BEA 2024 output share (default)</t>
        </is>
      </c>
      <c r="G717" t="n">
        <v>0.2139060571318126</v>
      </c>
    </row>
    <row r="718">
      <c r="A718" t="inlineStr">
        <is>
          <t>SoESCaOMCbIC-fixedOM.csv</t>
        </is>
      </c>
      <c r="B718" t="inlineStr">
        <is>
          <t>small modular reactor</t>
        </is>
      </c>
      <c r="C718" t="inlineStr">
        <is>
          <t>ISIC 53</t>
        </is>
      </c>
      <c r="D718" t="inlineStr">
        <is>
          <t>ISIC 49T53</t>
        </is>
      </c>
      <c r="E718" t="n">
        <v>0.08454078427755009</v>
      </c>
      <c r="F718" t="inlineStr">
        <is>
          <t>BEA 2024 output share (default)</t>
        </is>
      </c>
      <c r="G718" t="n">
        <v>0.08454078427755009</v>
      </c>
    </row>
    <row r="719">
      <c r="A719" t="inlineStr">
        <is>
          <t>SoESCaOMCbIC-fixedOM.csv</t>
        </is>
      </c>
      <c r="B719" t="inlineStr">
        <is>
          <t>small modular reactor</t>
        </is>
      </c>
      <c r="C719" t="inlineStr">
        <is>
          <t>ISIC 69T75</t>
        </is>
      </c>
      <c r="D719" t="inlineStr">
        <is>
          <t>ISIC 69T82</t>
        </is>
      </c>
      <c r="E719" t="n">
        <v>1</v>
      </c>
      <c r="F719" t="inlineStr">
        <is>
          <t>semantic override</t>
        </is>
      </c>
      <c r="G719" t="n">
        <v>0.7298219447914125</v>
      </c>
    </row>
    <row r="720">
      <c r="A720" t="inlineStr">
        <is>
          <t>SoESCaOMCbIC-fixedOM.csv</t>
        </is>
      </c>
      <c r="B720" t="inlineStr">
        <is>
          <t>small modular reactor</t>
        </is>
      </c>
      <c r="C720" t="inlineStr">
        <is>
          <t>ISIC 77T82</t>
        </is>
      </c>
      <c r="D720" t="inlineStr">
        <is>
          <t>ISIC 69T82</t>
        </is>
      </c>
      <c r="E720" t="n">
        <v>0</v>
      </c>
      <c r="F720" t="inlineStr">
        <is>
          <t>semantic override</t>
        </is>
      </c>
      <c r="G720" t="n">
        <v>0.2701780552085875</v>
      </c>
    </row>
    <row r="721">
      <c r="A721" t="inlineStr">
        <is>
          <t>SoESCaOMCbIC-fixedOM.csv</t>
        </is>
      </c>
      <c r="B721" t="inlineStr">
        <is>
          <t>small modular reactor</t>
        </is>
      </c>
      <c r="C721" t="inlineStr">
        <is>
          <t>ISIC 90T93</t>
        </is>
      </c>
      <c r="D721" t="inlineStr">
        <is>
          <t>ISIC 90T96</t>
        </is>
      </c>
      <c r="E721" t="n">
        <v>0.4216249514352275</v>
      </c>
      <c r="F721" t="inlineStr">
        <is>
          <t>BEA 2024 output share (default)</t>
        </is>
      </c>
      <c r="G721" t="n">
        <v>0.4216249514352275</v>
      </c>
    </row>
    <row r="722">
      <c r="A722" t="inlineStr">
        <is>
          <t>SoESCaOMCbIC-fixedOM.csv</t>
        </is>
      </c>
      <c r="B722" t="inlineStr">
        <is>
          <t>small modular reactor</t>
        </is>
      </c>
      <c r="C722" t="inlineStr">
        <is>
          <t>ISIC 94T96</t>
        </is>
      </c>
      <c r="D722" t="inlineStr">
        <is>
          <t>ISIC 90T96</t>
        </is>
      </c>
      <c r="E722" t="n">
        <v>0.5783750485647725</v>
      </c>
      <c r="F722" t="inlineStr">
        <is>
          <t>BEA 2024 output share (default)</t>
        </is>
      </c>
      <c r="G722" t="n">
        <v>0.5783750485647725</v>
      </c>
    </row>
    <row r="723">
      <c r="A723" t="inlineStr">
        <is>
          <t>SoESCaOMCbIC-fixedOM.csv</t>
        </is>
      </c>
      <c r="B723" t="inlineStr">
        <is>
          <t>solar PV</t>
        </is>
      </c>
      <c r="C723" t="inlineStr">
        <is>
          <t>ISIC 01</t>
        </is>
      </c>
      <c r="D723" t="inlineStr">
        <is>
          <t>ISIC 01T03</t>
        </is>
      </c>
      <c r="E723" t="n">
        <v>0.9429986826432329</v>
      </c>
      <c r="F723" t="inlineStr">
        <is>
          <t>BEA 2024 output share (default)</t>
        </is>
      </c>
      <c r="G723" t="n">
        <v>0.9429986826432329</v>
      </c>
    </row>
    <row r="724">
      <c r="A724" t="inlineStr">
        <is>
          <t>SoESCaOMCbIC-fixedOM.csv</t>
        </is>
      </c>
      <c r="B724" t="inlineStr">
        <is>
          <t>solar PV</t>
        </is>
      </c>
      <c r="C724" t="inlineStr">
        <is>
          <t>ISIC 02</t>
        </is>
      </c>
      <c r="D724" t="inlineStr">
        <is>
          <t>ISIC 01T03</t>
        </is>
      </c>
      <c r="E724" t="n">
        <v>0.04176573136965662</v>
      </c>
      <c r="F724" t="inlineStr">
        <is>
          <t>BEA 2024 output share (default)</t>
        </is>
      </c>
      <c r="G724" t="n">
        <v>0.04176573136965662</v>
      </c>
    </row>
    <row r="725">
      <c r="A725" t="inlineStr">
        <is>
          <t>SoESCaOMCbIC-fixedOM.csv</t>
        </is>
      </c>
      <c r="B725" t="inlineStr">
        <is>
          <t>solar PV</t>
        </is>
      </c>
      <c r="C725" t="inlineStr">
        <is>
          <t>ISIC 03</t>
        </is>
      </c>
      <c r="D725" t="inlineStr">
        <is>
          <t>ISIC 01T03</t>
        </is>
      </c>
      <c r="E725" t="n">
        <v>0.01523558598711041</v>
      </c>
      <c r="F725" t="inlineStr">
        <is>
          <t>BEA 2024 output share (default)</t>
        </is>
      </c>
      <c r="G725" t="n">
        <v>0.01523558598711041</v>
      </c>
    </row>
    <row r="726">
      <c r="A726" t="inlineStr">
        <is>
          <t>SoESCaOMCbIC-fixedOM.csv</t>
        </is>
      </c>
      <c r="B726" t="inlineStr">
        <is>
          <t>solar PV</t>
        </is>
      </c>
      <c r="C726" t="inlineStr">
        <is>
          <t>ISIC 07</t>
        </is>
      </c>
      <c r="D726" t="inlineStr">
        <is>
          <t>ISIC 07T08</t>
        </is>
      </c>
      <c r="E726" t="n">
        <v>0.4327368836123752</v>
      </c>
      <c r="F726" t="inlineStr">
        <is>
          <t>BEA 2024 output share (default)</t>
        </is>
      </c>
      <c r="G726" t="n">
        <v>0.4327368836123752</v>
      </c>
    </row>
    <row r="727">
      <c r="A727" t="inlineStr">
        <is>
          <t>SoESCaOMCbIC-fixedOM.csv</t>
        </is>
      </c>
      <c r="B727" t="inlineStr">
        <is>
          <t>solar PV</t>
        </is>
      </c>
      <c r="C727" t="inlineStr">
        <is>
          <t>ISIC 08</t>
        </is>
      </c>
      <c r="D727" t="inlineStr">
        <is>
          <t>ISIC 07T08</t>
        </is>
      </c>
      <c r="E727" t="n">
        <v>0.5672631163876248</v>
      </c>
      <c r="F727" t="inlineStr">
        <is>
          <t>BEA 2024 output share (default)</t>
        </is>
      </c>
      <c r="G727" t="n">
        <v>0.5672631163876248</v>
      </c>
    </row>
    <row r="728">
      <c r="A728" t="inlineStr">
        <is>
          <t>SoESCaOMCbIC-fixedOM.csv</t>
        </is>
      </c>
      <c r="B728" t="inlineStr">
        <is>
          <t>solar PV</t>
        </is>
      </c>
      <c r="C728" t="inlineStr">
        <is>
          <t>ISIC 301</t>
        </is>
      </c>
      <c r="D728" t="inlineStr">
        <is>
          <t>ISIC 30</t>
        </is>
      </c>
      <c r="E728" t="n">
        <v>0.1171368722490322</v>
      </c>
      <c r="F728" t="inlineStr">
        <is>
          <t>BEA 2024 output share (default)</t>
        </is>
      </c>
      <c r="G728" t="n">
        <v>0.1171368722490322</v>
      </c>
    </row>
    <row r="729">
      <c r="A729" t="inlineStr">
        <is>
          <t>SoESCaOMCbIC-fixedOM.csv</t>
        </is>
      </c>
      <c r="B729" t="inlineStr">
        <is>
          <t>solar PV</t>
        </is>
      </c>
      <c r="C729" t="inlineStr">
        <is>
          <t>ISIC 302T309</t>
        </is>
      </c>
      <c r="D729" t="inlineStr">
        <is>
          <t>ISIC 30</t>
        </is>
      </c>
      <c r="E729" t="n">
        <v>0.8828631277509678</v>
      </c>
      <c r="F729" t="inlineStr">
        <is>
          <t>BEA 2024 output share (default)</t>
        </is>
      </c>
      <c r="G729" t="n">
        <v>0.8828631277509678</v>
      </c>
    </row>
    <row r="730">
      <c r="A730" t="inlineStr">
        <is>
          <t>SoESCaOMCbIC-fixedOM.csv</t>
        </is>
      </c>
      <c r="B730" t="inlineStr">
        <is>
          <t>solar PV</t>
        </is>
      </c>
      <c r="C730" t="inlineStr">
        <is>
          <t>ISIC 49</t>
        </is>
      </c>
      <c r="D730" t="inlineStr">
        <is>
          <t>ISIC 49T53</t>
        </is>
      </c>
      <c r="E730" t="n">
        <v>0.4781643011829615</v>
      </c>
      <c r="F730" t="inlineStr">
        <is>
          <t>BEA 2024 output share (default)</t>
        </is>
      </c>
      <c r="G730" t="n">
        <v>0.4781643011829615</v>
      </c>
    </row>
    <row r="731">
      <c r="A731" t="inlineStr">
        <is>
          <t>SoESCaOMCbIC-fixedOM.csv</t>
        </is>
      </c>
      <c r="B731" t="inlineStr">
        <is>
          <t>solar PV</t>
        </is>
      </c>
      <c r="C731" t="inlineStr">
        <is>
          <t>ISIC 50</t>
        </is>
      </c>
      <c r="D731" t="inlineStr">
        <is>
          <t>ISIC 49T53</t>
        </is>
      </c>
      <c r="E731" t="n">
        <v>0.04258639396614965</v>
      </c>
      <c r="F731" t="inlineStr">
        <is>
          <t>BEA 2024 output share (default)</t>
        </is>
      </c>
      <c r="G731" t="n">
        <v>0.04258639396614965</v>
      </c>
    </row>
    <row r="732">
      <c r="A732" t="inlineStr">
        <is>
          <t>SoESCaOMCbIC-fixedOM.csv</t>
        </is>
      </c>
      <c r="B732" t="inlineStr">
        <is>
          <t>solar PV</t>
        </is>
      </c>
      <c r="C732" t="inlineStr">
        <is>
          <t>ISIC 51</t>
        </is>
      </c>
      <c r="D732" t="inlineStr">
        <is>
          <t>ISIC 49T53</t>
        </is>
      </c>
      <c r="E732" t="n">
        <v>0.1808024634415262</v>
      </c>
      <c r="F732" t="inlineStr">
        <is>
          <t>BEA 2024 output share (default)</t>
        </is>
      </c>
      <c r="G732" t="n">
        <v>0.1808024634415262</v>
      </c>
    </row>
    <row r="733">
      <c r="A733" t="inlineStr">
        <is>
          <t>SoESCaOMCbIC-fixedOM.csv</t>
        </is>
      </c>
      <c r="B733" t="inlineStr">
        <is>
          <t>solar PV</t>
        </is>
      </c>
      <c r="C733" t="inlineStr">
        <is>
          <t>ISIC 52</t>
        </is>
      </c>
      <c r="D733" t="inlineStr">
        <is>
          <t>ISIC 49T53</t>
        </is>
      </c>
      <c r="E733" t="n">
        <v>0.2139060571318126</v>
      </c>
      <c r="F733" t="inlineStr">
        <is>
          <t>BEA 2024 output share (default)</t>
        </is>
      </c>
      <c r="G733" t="n">
        <v>0.2139060571318126</v>
      </c>
    </row>
    <row r="734">
      <c r="A734" t="inlineStr">
        <is>
          <t>SoESCaOMCbIC-fixedOM.csv</t>
        </is>
      </c>
      <c r="B734" t="inlineStr">
        <is>
          <t>solar PV</t>
        </is>
      </c>
      <c r="C734" t="inlineStr">
        <is>
          <t>ISIC 53</t>
        </is>
      </c>
      <c r="D734" t="inlineStr">
        <is>
          <t>ISIC 49T53</t>
        </is>
      </c>
      <c r="E734" t="n">
        <v>0.08454078427755009</v>
      </c>
      <c r="F734" t="inlineStr">
        <is>
          <t>BEA 2024 output share (default)</t>
        </is>
      </c>
      <c r="G734" t="n">
        <v>0.08454078427755009</v>
      </c>
    </row>
    <row r="735">
      <c r="A735" t="inlineStr">
        <is>
          <t>SoESCaOMCbIC-fixedOM.csv</t>
        </is>
      </c>
      <c r="B735" t="inlineStr">
        <is>
          <t>solar PV</t>
        </is>
      </c>
      <c r="C735" t="inlineStr">
        <is>
          <t>ISIC 69T75</t>
        </is>
      </c>
      <c r="D735" t="inlineStr">
        <is>
          <t>ISIC 69T82</t>
        </is>
      </c>
      <c r="E735" t="n">
        <v>1</v>
      </c>
      <c r="F735" t="inlineStr">
        <is>
          <t>semantic override</t>
        </is>
      </c>
      <c r="G735" t="n">
        <v>0.7298219447914125</v>
      </c>
    </row>
    <row r="736">
      <c r="A736" t="inlineStr">
        <is>
          <t>SoESCaOMCbIC-fixedOM.csv</t>
        </is>
      </c>
      <c r="B736" t="inlineStr">
        <is>
          <t>solar PV</t>
        </is>
      </c>
      <c r="C736" t="inlineStr">
        <is>
          <t>ISIC 77T82</t>
        </is>
      </c>
      <c r="D736" t="inlineStr">
        <is>
          <t>ISIC 69T82</t>
        </is>
      </c>
      <c r="E736" t="n">
        <v>0</v>
      </c>
      <c r="F736" t="inlineStr">
        <is>
          <t>semantic override</t>
        </is>
      </c>
      <c r="G736" t="n">
        <v>0.2701780552085875</v>
      </c>
    </row>
    <row r="737">
      <c r="A737" t="inlineStr">
        <is>
          <t>SoESCaOMCbIC-fixedOM.csv</t>
        </is>
      </c>
      <c r="B737" t="inlineStr">
        <is>
          <t>solar PV</t>
        </is>
      </c>
      <c r="C737" t="inlineStr">
        <is>
          <t>ISIC 90T93</t>
        </is>
      </c>
      <c r="D737" t="inlineStr">
        <is>
          <t>ISIC 90T96</t>
        </is>
      </c>
      <c r="E737" t="n">
        <v>0.4216249514352275</v>
      </c>
      <c r="F737" t="inlineStr">
        <is>
          <t>BEA 2024 output share (default)</t>
        </is>
      </c>
      <c r="G737" t="n">
        <v>0.4216249514352275</v>
      </c>
    </row>
    <row r="738">
      <c r="A738" t="inlineStr">
        <is>
          <t>SoESCaOMCbIC-fixedOM.csv</t>
        </is>
      </c>
      <c r="B738" t="inlineStr">
        <is>
          <t>solar PV</t>
        </is>
      </c>
      <c r="C738" t="inlineStr">
        <is>
          <t>ISIC 94T96</t>
        </is>
      </c>
      <c r="D738" t="inlineStr">
        <is>
          <t>ISIC 90T96</t>
        </is>
      </c>
      <c r="E738" t="n">
        <v>0.5783750485647725</v>
      </c>
      <c r="F738" t="inlineStr">
        <is>
          <t>BEA 2024 output share (default)</t>
        </is>
      </c>
      <c r="G738" t="n">
        <v>0.5783750485647725</v>
      </c>
    </row>
    <row r="739">
      <c r="A739" t="inlineStr">
        <is>
          <t>SoESCaOMCbIC-fixedOM.csv</t>
        </is>
      </c>
      <c r="B739" t="inlineStr">
        <is>
          <t>solar thermal</t>
        </is>
      </c>
      <c r="C739" t="inlineStr">
        <is>
          <t>ISIC 01</t>
        </is>
      </c>
      <c r="D739" t="inlineStr">
        <is>
          <t>ISIC 01T03</t>
        </is>
      </c>
      <c r="E739" t="n">
        <v>0.9429986826432329</v>
      </c>
      <c r="F739" t="inlineStr">
        <is>
          <t>BEA 2024 output share (default)</t>
        </is>
      </c>
      <c r="G739" t="n">
        <v>0.9429986826432329</v>
      </c>
    </row>
    <row r="740">
      <c r="A740" t="inlineStr">
        <is>
          <t>SoESCaOMCbIC-fixedOM.csv</t>
        </is>
      </c>
      <c r="B740" t="inlineStr">
        <is>
          <t>solar thermal</t>
        </is>
      </c>
      <c r="C740" t="inlineStr">
        <is>
          <t>ISIC 02</t>
        </is>
      </c>
      <c r="D740" t="inlineStr">
        <is>
          <t>ISIC 01T03</t>
        </is>
      </c>
      <c r="E740" t="n">
        <v>0.04176573136965662</v>
      </c>
      <c r="F740" t="inlineStr">
        <is>
          <t>BEA 2024 output share (default)</t>
        </is>
      </c>
      <c r="G740" t="n">
        <v>0.04176573136965662</v>
      </c>
    </row>
    <row r="741">
      <c r="A741" t="inlineStr">
        <is>
          <t>SoESCaOMCbIC-fixedOM.csv</t>
        </is>
      </c>
      <c r="B741" t="inlineStr">
        <is>
          <t>solar thermal</t>
        </is>
      </c>
      <c r="C741" t="inlineStr">
        <is>
          <t>ISIC 03</t>
        </is>
      </c>
      <c r="D741" t="inlineStr">
        <is>
          <t>ISIC 01T03</t>
        </is>
      </c>
      <c r="E741" t="n">
        <v>0.01523558598711041</v>
      </c>
      <c r="F741" t="inlineStr">
        <is>
          <t>BEA 2024 output share (default)</t>
        </is>
      </c>
      <c r="G741" t="n">
        <v>0.01523558598711041</v>
      </c>
    </row>
    <row r="742">
      <c r="A742" t="inlineStr">
        <is>
          <t>SoESCaOMCbIC-fixedOM.csv</t>
        </is>
      </c>
      <c r="B742" t="inlineStr">
        <is>
          <t>solar thermal</t>
        </is>
      </c>
      <c r="C742" t="inlineStr">
        <is>
          <t>ISIC 07</t>
        </is>
      </c>
      <c r="D742" t="inlineStr">
        <is>
          <t>ISIC 07T08</t>
        </is>
      </c>
      <c r="E742" t="n">
        <v>0.4327368836123752</v>
      </c>
      <c r="F742" t="inlineStr">
        <is>
          <t>BEA 2024 output share (default)</t>
        </is>
      </c>
      <c r="G742" t="n">
        <v>0.4327368836123752</v>
      </c>
    </row>
    <row r="743">
      <c r="A743" t="inlineStr">
        <is>
          <t>SoESCaOMCbIC-fixedOM.csv</t>
        </is>
      </c>
      <c r="B743" t="inlineStr">
        <is>
          <t>solar thermal</t>
        </is>
      </c>
      <c r="C743" t="inlineStr">
        <is>
          <t>ISIC 08</t>
        </is>
      </c>
      <c r="D743" t="inlineStr">
        <is>
          <t>ISIC 07T08</t>
        </is>
      </c>
      <c r="E743" t="n">
        <v>0.5672631163876248</v>
      </c>
      <c r="F743" t="inlineStr">
        <is>
          <t>BEA 2024 output share (default)</t>
        </is>
      </c>
      <c r="G743" t="n">
        <v>0.5672631163876248</v>
      </c>
    </row>
    <row r="744">
      <c r="A744" t="inlineStr">
        <is>
          <t>SoESCaOMCbIC-fixedOM.csv</t>
        </is>
      </c>
      <c r="B744" t="inlineStr">
        <is>
          <t>solar thermal</t>
        </is>
      </c>
      <c r="C744" t="inlineStr">
        <is>
          <t>ISIC 301</t>
        </is>
      </c>
      <c r="D744" t="inlineStr">
        <is>
          <t>ISIC 30</t>
        </is>
      </c>
      <c r="E744" t="n">
        <v>0.1171368722490322</v>
      </c>
      <c r="F744" t="inlineStr">
        <is>
          <t>BEA 2024 output share (default)</t>
        </is>
      </c>
      <c r="G744" t="n">
        <v>0.1171368722490322</v>
      </c>
    </row>
    <row r="745">
      <c r="A745" t="inlineStr">
        <is>
          <t>SoESCaOMCbIC-fixedOM.csv</t>
        </is>
      </c>
      <c r="B745" t="inlineStr">
        <is>
          <t>solar thermal</t>
        </is>
      </c>
      <c r="C745" t="inlineStr">
        <is>
          <t>ISIC 302T309</t>
        </is>
      </c>
      <c r="D745" t="inlineStr">
        <is>
          <t>ISIC 30</t>
        </is>
      </c>
      <c r="E745" t="n">
        <v>0.8828631277509678</v>
      </c>
      <c r="F745" t="inlineStr">
        <is>
          <t>BEA 2024 output share (default)</t>
        </is>
      </c>
      <c r="G745" t="n">
        <v>0.8828631277509678</v>
      </c>
    </row>
    <row r="746">
      <c r="A746" t="inlineStr">
        <is>
          <t>SoESCaOMCbIC-fixedOM.csv</t>
        </is>
      </c>
      <c r="B746" t="inlineStr">
        <is>
          <t>solar thermal</t>
        </is>
      </c>
      <c r="C746" t="inlineStr">
        <is>
          <t>ISIC 49</t>
        </is>
      </c>
      <c r="D746" t="inlineStr">
        <is>
          <t>ISIC 49T53</t>
        </is>
      </c>
      <c r="E746" t="n">
        <v>0.4781643011829615</v>
      </c>
      <c r="F746" t="inlineStr">
        <is>
          <t>BEA 2024 output share (default)</t>
        </is>
      </c>
      <c r="G746" t="n">
        <v>0.4781643011829615</v>
      </c>
    </row>
    <row r="747">
      <c r="A747" t="inlineStr">
        <is>
          <t>SoESCaOMCbIC-fixedOM.csv</t>
        </is>
      </c>
      <c r="B747" t="inlineStr">
        <is>
          <t>solar thermal</t>
        </is>
      </c>
      <c r="C747" t="inlineStr">
        <is>
          <t>ISIC 50</t>
        </is>
      </c>
      <c r="D747" t="inlineStr">
        <is>
          <t>ISIC 49T53</t>
        </is>
      </c>
      <c r="E747" t="n">
        <v>0.04258639396614965</v>
      </c>
      <c r="F747" t="inlineStr">
        <is>
          <t>BEA 2024 output share (default)</t>
        </is>
      </c>
      <c r="G747" t="n">
        <v>0.04258639396614965</v>
      </c>
    </row>
    <row r="748">
      <c r="A748" t="inlineStr">
        <is>
          <t>SoESCaOMCbIC-fixedOM.csv</t>
        </is>
      </c>
      <c r="B748" t="inlineStr">
        <is>
          <t>solar thermal</t>
        </is>
      </c>
      <c r="C748" t="inlineStr">
        <is>
          <t>ISIC 51</t>
        </is>
      </c>
      <c r="D748" t="inlineStr">
        <is>
          <t>ISIC 49T53</t>
        </is>
      </c>
      <c r="E748" t="n">
        <v>0.1808024634415262</v>
      </c>
      <c r="F748" t="inlineStr">
        <is>
          <t>BEA 2024 output share (default)</t>
        </is>
      </c>
      <c r="G748" t="n">
        <v>0.1808024634415262</v>
      </c>
    </row>
    <row r="749">
      <c r="A749" t="inlineStr">
        <is>
          <t>SoESCaOMCbIC-fixedOM.csv</t>
        </is>
      </c>
      <c r="B749" t="inlineStr">
        <is>
          <t>solar thermal</t>
        </is>
      </c>
      <c r="C749" t="inlineStr">
        <is>
          <t>ISIC 52</t>
        </is>
      </c>
      <c r="D749" t="inlineStr">
        <is>
          <t>ISIC 49T53</t>
        </is>
      </c>
      <c r="E749" t="n">
        <v>0.2139060571318126</v>
      </c>
      <c r="F749" t="inlineStr">
        <is>
          <t>BEA 2024 output share (default)</t>
        </is>
      </c>
      <c r="G749" t="n">
        <v>0.2139060571318126</v>
      </c>
    </row>
    <row r="750">
      <c r="A750" t="inlineStr">
        <is>
          <t>SoESCaOMCbIC-fixedOM.csv</t>
        </is>
      </c>
      <c r="B750" t="inlineStr">
        <is>
          <t>solar thermal</t>
        </is>
      </c>
      <c r="C750" t="inlineStr">
        <is>
          <t>ISIC 53</t>
        </is>
      </c>
      <c r="D750" t="inlineStr">
        <is>
          <t>ISIC 49T53</t>
        </is>
      </c>
      <c r="E750" t="n">
        <v>0.08454078427755009</v>
      </c>
      <c r="F750" t="inlineStr">
        <is>
          <t>BEA 2024 output share (default)</t>
        </is>
      </c>
      <c r="G750" t="n">
        <v>0.08454078427755009</v>
      </c>
    </row>
    <row r="751">
      <c r="A751" t="inlineStr">
        <is>
          <t>SoESCaOMCbIC-fixedOM.csv</t>
        </is>
      </c>
      <c r="B751" t="inlineStr">
        <is>
          <t>solar thermal</t>
        </is>
      </c>
      <c r="C751" t="inlineStr">
        <is>
          <t>ISIC 69T75</t>
        </is>
      </c>
      <c r="D751" t="inlineStr">
        <is>
          <t>ISIC 69T82</t>
        </is>
      </c>
      <c r="E751" t="n">
        <v>1</v>
      </c>
      <c r="F751" t="inlineStr">
        <is>
          <t>semantic override</t>
        </is>
      </c>
      <c r="G751" t="n">
        <v>0.7298219447914125</v>
      </c>
    </row>
    <row r="752">
      <c r="A752" t="inlineStr">
        <is>
          <t>SoESCaOMCbIC-fixedOM.csv</t>
        </is>
      </c>
      <c r="B752" t="inlineStr">
        <is>
          <t>solar thermal</t>
        </is>
      </c>
      <c r="C752" t="inlineStr">
        <is>
          <t>ISIC 77T82</t>
        </is>
      </c>
      <c r="D752" t="inlineStr">
        <is>
          <t>ISIC 69T82</t>
        </is>
      </c>
      <c r="E752" t="n">
        <v>0</v>
      </c>
      <c r="F752" t="inlineStr">
        <is>
          <t>semantic override</t>
        </is>
      </c>
      <c r="G752" t="n">
        <v>0.2701780552085875</v>
      </c>
    </row>
    <row r="753">
      <c r="A753" t="inlineStr">
        <is>
          <t>SoESCaOMCbIC-fixedOM.csv</t>
        </is>
      </c>
      <c r="B753" t="inlineStr">
        <is>
          <t>solar thermal</t>
        </is>
      </c>
      <c r="C753" t="inlineStr">
        <is>
          <t>ISIC 90T93</t>
        </is>
      </c>
      <c r="D753" t="inlineStr">
        <is>
          <t>ISIC 90T96</t>
        </is>
      </c>
      <c r="E753" t="n">
        <v>0.4216249514352275</v>
      </c>
      <c r="F753" t="inlineStr">
        <is>
          <t>BEA 2024 output share (default)</t>
        </is>
      </c>
      <c r="G753" t="n">
        <v>0.4216249514352275</v>
      </c>
    </row>
    <row r="754">
      <c r="A754" t="inlineStr">
        <is>
          <t>SoESCaOMCbIC-fixedOM.csv</t>
        </is>
      </c>
      <c r="B754" t="inlineStr">
        <is>
          <t>solar thermal</t>
        </is>
      </c>
      <c r="C754" t="inlineStr">
        <is>
          <t>ISIC 94T96</t>
        </is>
      </c>
      <c r="D754" t="inlineStr">
        <is>
          <t>ISIC 90T96</t>
        </is>
      </c>
      <c r="E754" t="n">
        <v>0.5783750485647725</v>
      </c>
      <c r="F754" t="inlineStr">
        <is>
          <t>BEA 2024 output share (default)</t>
        </is>
      </c>
      <c r="G754" t="n">
        <v>0.5783750485647725</v>
      </c>
    </row>
    <row r="755">
      <c r="A755" t="inlineStr">
        <is>
          <t>SoESCaOMCbIC-fixedOM.csv</t>
        </is>
      </c>
      <c r="B755" t="inlineStr">
        <is>
          <t>wind</t>
        </is>
      </c>
      <c r="C755" t="inlineStr">
        <is>
          <t>ISIC 01</t>
        </is>
      </c>
      <c r="D755" t="inlineStr">
        <is>
          <t>ISIC 01T03</t>
        </is>
      </c>
      <c r="E755" t="n">
        <v>0.9429986826432329</v>
      </c>
      <c r="F755" t="inlineStr">
        <is>
          <t>BEA 2024 output share (default)</t>
        </is>
      </c>
      <c r="G755" t="n">
        <v>0.9429986826432329</v>
      </c>
    </row>
    <row r="756">
      <c r="A756" t="inlineStr">
        <is>
          <t>SoESCaOMCbIC-fixedOM.csv</t>
        </is>
      </c>
      <c r="B756" t="inlineStr">
        <is>
          <t>wind</t>
        </is>
      </c>
      <c r="C756" t="inlineStr">
        <is>
          <t>ISIC 02</t>
        </is>
      </c>
      <c r="D756" t="inlineStr">
        <is>
          <t>ISIC 01T03</t>
        </is>
      </c>
      <c r="E756" t="n">
        <v>0.04176573136965662</v>
      </c>
      <c r="F756" t="inlineStr">
        <is>
          <t>BEA 2024 output share (default)</t>
        </is>
      </c>
      <c r="G756" t="n">
        <v>0.04176573136965662</v>
      </c>
    </row>
    <row r="757">
      <c r="A757" t="inlineStr">
        <is>
          <t>SoESCaOMCbIC-fixedOM.csv</t>
        </is>
      </c>
      <c r="B757" t="inlineStr">
        <is>
          <t>wind</t>
        </is>
      </c>
      <c r="C757" t="inlineStr">
        <is>
          <t>ISIC 03</t>
        </is>
      </c>
      <c r="D757" t="inlineStr">
        <is>
          <t>ISIC 01T03</t>
        </is>
      </c>
      <c r="E757" t="n">
        <v>0.01523558598711041</v>
      </c>
      <c r="F757" t="inlineStr">
        <is>
          <t>BEA 2024 output share (default)</t>
        </is>
      </c>
      <c r="G757" t="n">
        <v>0.01523558598711041</v>
      </c>
    </row>
    <row r="758">
      <c r="A758" t="inlineStr">
        <is>
          <t>SoESCaOMCbIC-fixedOM.csv</t>
        </is>
      </c>
      <c r="B758" t="inlineStr">
        <is>
          <t>wind</t>
        </is>
      </c>
      <c r="C758" t="inlineStr">
        <is>
          <t>ISIC 07</t>
        </is>
      </c>
      <c r="D758" t="inlineStr">
        <is>
          <t>ISIC 07T08</t>
        </is>
      </c>
      <c r="E758" t="n">
        <v>0.4327368836123752</v>
      </c>
      <c r="F758" t="inlineStr">
        <is>
          <t>BEA 2024 output share (default)</t>
        </is>
      </c>
      <c r="G758" t="n">
        <v>0.4327368836123752</v>
      </c>
    </row>
    <row r="759">
      <c r="A759" t="inlineStr">
        <is>
          <t>SoESCaOMCbIC-fixedOM.csv</t>
        </is>
      </c>
      <c r="B759" t="inlineStr">
        <is>
          <t>wind</t>
        </is>
      </c>
      <c r="C759" t="inlineStr">
        <is>
          <t>ISIC 08</t>
        </is>
      </c>
      <c r="D759" t="inlineStr">
        <is>
          <t>ISIC 07T08</t>
        </is>
      </c>
      <c r="E759" t="n">
        <v>0.5672631163876248</v>
      </c>
      <c r="F759" t="inlineStr">
        <is>
          <t>BEA 2024 output share (default)</t>
        </is>
      </c>
      <c r="G759" t="n">
        <v>0.5672631163876248</v>
      </c>
    </row>
    <row r="760">
      <c r="A760" t="inlineStr">
        <is>
          <t>SoESCaOMCbIC-fixedOM.csv</t>
        </is>
      </c>
      <c r="B760" t="inlineStr">
        <is>
          <t>wind</t>
        </is>
      </c>
      <c r="C760" t="inlineStr">
        <is>
          <t>ISIC 301</t>
        </is>
      </c>
      <c r="D760" t="inlineStr">
        <is>
          <t>ISIC 30</t>
        </is>
      </c>
      <c r="E760" t="n">
        <v>0.1171368722490322</v>
      </c>
      <c r="F760" t="inlineStr">
        <is>
          <t>BEA 2024 output share (default)</t>
        </is>
      </c>
      <c r="G760" t="n">
        <v>0.1171368722490322</v>
      </c>
    </row>
    <row r="761">
      <c r="A761" t="inlineStr">
        <is>
          <t>SoESCaOMCbIC-fixedOM.csv</t>
        </is>
      </c>
      <c r="B761" t="inlineStr">
        <is>
          <t>wind</t>
        </is>
      </c>
      <c r="C761" t="inlineStr">
        <is>
          <t>ISIC 302T309</t>
        </is>
      </c>
      <c r="D761" t="inlineStr">
        <is>
          <t>ISIC 30</t>
        </is>
      </c>
      <c r="E761" t="n">
        <v>0.8828631277509678</v>
      </c>
      <c r="F761" t="inlineStr">
        <is>
          <t>BEA 2024 output share (default)</t>
        </is>
      </c>
      <c r="G761" t="n">
        <v>0.8828631277509678</v>
      </c>
    </row>
    <row r="762">
      <c r="A762" t="inlineStr">
        <is>
          <t>SoESCaOMCbIC-fixedOM.csv</t>
        </is>
      </c>
      <c r="B762" t="inlineStr">
        <is>
          <t>wind</t>
        </is>
      </c>
      <c r="C762" t="inlineStr">
        <is>
          <t>ISIC 49</t>
        </is>
      </c>
      <c r="D762" t="inlineStr">
        <is>
          <t>ISIC 49T53</t>
        </is>
      </c>
      <c r="E762" t="n">
        <v>0.4781643011829615</v>
      </c>
      <c r="F762" t="inlineStr">
        <is>
          <t>BEA 2024 output share (default)</t>
        </is>
      </c>
      <c r="G762" t="n">
        <v>0.4781643011829615</v>
      </c>
    </row>
    <row r="763">
      <c r="A763" t="inlineStr">
        <is>
          <t>SoESCaOMCbIC-fixedOM.csv</t>
        </is>
      </c>
      <c r="B763" t="inlineStr">
        <is>
          <t>wind</t>
        </is>
      </c>
      <c r="C763" t="inlineStr">
        <is>
          <t>ISIC 50</t>
        </is>
      </c>
      <c r="D763" t="inlineStr">
        <is>
          <t>ISIC 49T53</t>
        </is>
      </c>
      <c r="E763" t="n">
        <v>0.04258639396614965</v>
      </c>
      <c r="F763" t="inlineStr">
        <is>
          <t>BEA 2024 output share (default)</t>
        </is>
      </c>
      <c r="G763" t="n">
        <v>0.04258639396614965</v>
      </c>
    </row>
    <row r="764">
      <c r="A764" t="inlineStr">
        <is>
          <t>SoESCaOMCbIC-fixedOM.csv</t>
        </is>
      </c>
      <c r="B764" t="inlineStr">
        <is>
          <t>wind</t>
        </is>
      </c>
      <c r="C764" t="inlineStr">
        <is>
          <t>ISIC 51</t>
        </is>
      </c>
      <c r="D764" t="inlineStr">
        <is>
          <t>ISIC 49T53</t>
        </is>
      </c>
      <c r="E764" t="n">
        <v>0.1808024634415262</v>
      </c>
      <c r="F764" t="inlineStr">
        <is>
          <t>BEA 2024 output share (default)</t>
        </is>
      </c>
      <c r="G764" t="n">
        <v>0.1808024634415262</v>
      </c>
    </row>
    <row r="765">
      <c r="A765" t="inlineStr">
        <is>
          <t>SoESCaOMCbIC-fixedOM.csv</t>
        </is>
      </c>
      <c r="B765" t="inlineStr">
        <is>
          <t>wind</t>
        </is>
      </c>
      <c r="C765" t="inlineStr">
        <is>
          <t>ISIC 52</t>
        </is>
      </c>
      <c r="D765" t="inlineStr">
        <is>
          <t>ISIC 49T53</t>
        </is>
      </c>
      <c r="E765" t="n">
        <v>0.2139060571318126</v>
      </c>
      <c r="F765" t="inlineStr">
        <is>
          <t>BEA 2024 output share (default)</t>
        </is>
      </c>
      <c r="G765" t="n">
        <v>0.2139060571318126</v>
      </c>
    </row>
    <row r="766">
      <c r="A766" t="inlineStr">
        <is>
          <t>SoESCaOMCbIC-fixedOM.csv</t>
        </is>
      </c>
      <c r="B766" t="inlineStr">
        <is>
          <t>wind</t>
        </is>
      </c>
      <c r="C766" t="inlineStr">
        <is>
          <t>ISIC 53</t>
        </is>
      </c>
      <c r="D766" t="inlineStr">
        <is>
          <t>ISIC 49T53</t>
        </is>
      </c>
      <c r="E766" t="n">
        <v>0.08454078427755009</v>
      </c>
      <c r="F766" t="inlineStr">
        <is>
          <t>BEA 2024 output share (default)</t>
        </is>
      </c>
      <c r="G766" t="n">
        <v>0.08454078427755009</v>
      </c>
    </row>
    <row r="767">
      <c r="A767" t="inlineStr">
        <is>
          <t>SoESCaOMCbIC-fixedOM.csv</t>
        </is>
      </c>
      <c r="B767" t="inlineStr">
        <is>
          <t>wind</t>
        </is>
      </c>
      <c r="C767" t="inlineStr">
        <is>
          <t>ISIC 69T75</t>
        </is>
      </c>
      <c r="D767" t="inlineStr">
        <is>
          <t>ISIC 69T82</t>
        </is>
      </c>
      <c r="E767" t="n">
        <v>1</v>
      </c>
      <c r="F767" t="inlineStr">
        <is>
          <t>semantic override</t>
        </is>
      </c>
      <c r="G767" t="n">
        <v>0.7298219447914125</v>
      </c>
    </row>
    <row r="768">
      <c r="A768" t="inlineStr">
        <is>
          <t>SoESCaOMCbIC-fixedOM.csv</t>
        </is>
      </c>
      <c r="B768" t="inlineStr">
        <is>
          <t>wind</t>
        </is>
      </c>
      <c r="C768" t="inlineStr">
        <is>
          <t>ISIC 77T82</t>
        </is>
      </c>
      <c r="D768" t="inlineStr">
        <is>
          <t>ISIC 69T82</t>
        </is>
      </c>
      <c r="E768" t="n">
        <v>0</v>
      </c>
      <c r="F768" t="inlineStr">
        <is>
          <t>semantic override</t>
        </is>
      </c>
      <c r="G768" t="n">
        <v>0.2701780552085875</v>
      </c>
    </row>
    <row r="769">
      <c r="A769" t="inlineStr">
        <is>
          <t>SoESCaOMCbIC-fixedOM.csv</t>
        </is>
      </c>
      <c r="B769" t="inlineStr">
        <is>
          <t>wind</t>
        </is>
      </c>
      <c r="C769" t="inlineStr">
        <is>
          <t>ISIC 90T93</t>
        </is>
      </c>
      <c r="D769" t="inlineStr">
        <is>
          <t>ISIC 90T96</t>
        </is>
      </c>
      <c r="E769" t="n">
        <v>0.4216249514352275</v>
      </c>
      <c r="F769" t="inlineStr">
        <is>
          <t>BEA 2024 output share (default)</t>
        </is>
      </c>
      <c r="G769" t="n">
        <v>0.4216249514352275</v>
      </c>
    </row>
    <row r="770">
      <c r="A770" t="inlineStr">
        <is>
          <t>SoESCaOMCbIC-fixedOM.csv</t>
        </is>
      </c>
      <c r="B770" t="inlineStr">
        <is>
          <t>wind</t>
        </is>
      </c>
      <c r="C770" t="inlineStr">
        <is>
          <t>ISIC 94T96</t>
        </is>
      </c>
      <c r="D770" t="inlineStr">
        <is>
          <t>ISIC 90T96</t>
        </is>
      </c>
      <c r="E770" t="n">
        <v>0.5783750485647725</v>
      </c>
      <c r="F770" t="inlineStr">
        <is>
          <t>BEA 2024 output share (default)</t>
        </is>
      </c>
      <c r="G770" t="n">
        <v>0.5783750485647725</v>
      </c>
    </row>
    <row r="771">
      <c r="A771" t="inlineStr">
        <is>
          <t>SoESCaOMCbIC-variableOM.csv</t>
        </is>
      </c>
      <c r="B771" t="inlineStr">
        <is>
          <t>biomass</t>
        </is>
      </c>
      <c r="C771" t="inlineStr">
        <is>
          <t>ISIC 01</t>
        </is>
      </c>
      <c r="D771" t="inlineStr">
        <is>
          <t>ISIC 01T03</t>
        </is>
      </c>
      <c r="E771" t="n">
        <v>0.9429986826432329</v>
      </c>
      <c r="F771" t="inlineStr">
        <is>
          <t>BEA 2024 output share (default)</t>
        </is>
      </c>
      <c r="G771" t="n">
        <v>0.9429986826432329</v>
      </c>
    </row>
    <row r="772">
      <c r="A772" t="inlineStr">
        <is>
          <t>SoESCaOMCbIC-variableOM.csv</t>
        </is>
      </c>
      <c r="B772" t="inlineStr">
        <is>
          <t>biomass</t>
        </is>
      </c>
      <c r="C772" t="inlineStr">
        <is>
          <t>ISIC 02</t>
        </is>
      </c>
      <c r="D772" t="inlineStr">
        <is>
          <t>ISIC 01T03</t>
        </is>
      </c>
      <c r="E772" t="n">
        <v>0.04176573136965662</v>
      </c>
      <c r="F772" t="inlineStr">
        <is>
          <t>BEA 2024 output share (default)</t>
        </is>
      </c>
      <c r="G772" t="n">
        <v>0.04176573136965662</v>
      </c>
    </row>
    <row r="773">
      <c r="A773" t="inlineStr">
        <is>
          <t>SoESCaOMCbIC-variableOM.csv</t>
        </is>
      </c>
      <c r="B773" t="inlineStr">
        <is>
          <t>biomass</t>
        </is>
      </c>
      <c r="C773" t="inlineStr">
        <is>
          <t>ISIC 03</t>
        </is>
      </c>
      <c r="D773" t="inlineStr">
        <is>
          <t>ISIC 01T03</t>
        </is>
      </c>
      <c r="E773" t="n">
        <v>0.01523558598711041</v>
      </c>
      <c r="F773" t="inlineStr">
        <is>
          <t>BEA 2024 output share (default)</t>
        </is>
      </c>
      <c r="G773" t="n">
        <v>0.01523558598711041</v>
      </c>
    </row>
    <row r="774">
      <c r="A774" t="inlineStr">
        <is>
          <t>SoESCaOMCbIC-variableOM.csv</t>
        </is>
      </c>
      <c r="B774" t="inlineStr">
        <is>
          <t>biomass</t>
        </is>
      </c>
      <c r="C774" t="inlineStr">
        <is>
          <t>ISIC 07</t>
        </is>
      </c>
      <c r="D774" t="inlineStr">
        <is>
          <t>ISIC 07T08</t>
        </is>
      </c>
      <c r="E774" t="n">
        <v>0.4327368836123752</v>
      </c>
      <c r="F774" t="inlineStr">
        <is>
          <t>BEA 2024 output share (default)</t>
        </is>
      </c>
      <c r="G774" t="n">
        <v>0.4327368836123752</v>
      </c>
    </row>
    <row r="775">
      <c r="A775" t="inlineStr">
        <is>
          <t>SoESCaOMCbIC-variableOM.csv</t>
        </is>
      </c>
      <c r="B775" t="inlineStr">
        <is>
          <t>biomass</t>
        </is>
      </c>
      <c r="C775" t="inlineStr">
        <is>
          <t>ISIC 08</t>
        </is>
      </c>
      <c r="D775" t="inlineStr">
        <is>
          <t>ISIC 07T08</t>
        </is>
      </c>
      <c r="E775" t="n">
        <v>0.5672631163876248</v>
      </c>
      <c r="F775" t="inlineStr">
        <is>
          <t>BEA 2024 output share (default)</t>
        </is>
      </c>
      <c r="G775" t="n">
        <v>0.5672631163876248</v>
      </c>
    </row>
    <row r="776">
      <c r="A776" t="inlineStr">
        <is>
          <t>SoESCaOMCbIC-variableOM.csv</t>
        </is>
      </c>
      <c r="B776" t="inlineStr">
        <is>
          <t>biomass</t>
        </is>
      </c>
      <c r="C776" t="inlineStr">
        <is>
          <t>ISIC 301</t>
        </is>
      </c>
      <c r="D776" t="inlineStr">
        <is>
          <t>ISIC 30</t>
        </is>
      </c>
      <c r="E776" t="n">
        <v>0.1171368722490322</v>
      </c>
      <c r="F776" t="inlineStr">
        <is>
          <t>BEA 2024 output share (default)</t>
        </is>
      </c>
      <c r="G776" t="n">
        <v>0.1171368722490322</v>
      </c>
    </row>
    <row r="777">
      <c r="A777" t="inlineStr">
        <is>
          <t>SoESCaOMCbIC-variableOM.csv</t>
        </is>
      </c>
      <c r="B777" t="inlineStr">
        <is>
          <t>biomass</t>
        </is>
      </c>
      <c r="C777" t="inlineStr">
        <is>
          <t>ISIC 302T309</t>
        </is>
      </c>
      <c r="D777" t="inlineStr">
        <is>
          <t>ISIC 30</t>
        </is>
      </c>
      <c r="E777" t="n">
        <v>0.8828631277509678</v>
      </c>
      <c r="F777" t="inlineStr">
        <is>
          <t>BEA 2024 output share (default)</t>
        </is>
      </c>
      <c r="G777" t="n">
        <v>0.8828631277509678</v>
      </c>
    </row>
    <row r="778">
      <c r="A778" t="inlineStr">
        <is>
          <t>SoESCaOMCbIC-variableOM.csv</t>
        </is>
      </c>
      <c r="B778" t="inlineStr">
        <is>
          <t>biomass</t>
        </is>
      </c>
      <c r="C778" t="inlineStr">
        <is>
          <t>ISIC 49</t>
        </is>
      </c>
      <c r="D778" t="inlineStr">
        <is>
          <t>ISIC 49T53</t>
        </is>
      </c>
      <c r="E778" t="n">
        <v>0.4781643011829615</v>
      </c>
      <c r="F778" t="inlineStr">
        <is>
          <t>BEA 2024 output share (default)</t>
        </is>
      </c>
      <c r="G778" t="n">
        <v>0.4781643011829615</v>
      </c>
    </row>
    <row r="779">
      <c r="A779" t="inlineStr">
        <is>
          <t>SoESCaOMCbIC-variableOM.csv</t>
        </is>
      </c>
      <c r="B779" t="inlineStr">
        <is>
          <t>biomass</t>
        </is>
      </c>
      <c r="C779" t="inlineStr">
        <is>
          <t>ISIC 50</t>
        </is>
      </c>
      <c r="D779" t="inlineStr">
        <is>
          <t>ISIC 49T53</t>
        </is>
      </c>
      <c r="E779" t="n">
        <v>0.04258639396614965</v>
      </c>
      <c r="F779" t="inlineStr">
        <is>
          <t>BEA 2024 output share (default)</t>
        </is>
      </c>
      <c r="G779" t="n">
        <v>0.04258639396614965</v>
      </c>
    </row>
    <row r="780">
      <c r="A780" t="inlineStr">
        <is>
          <t>SoESCaOMCbIC-variableOM.csv</t>
        </is>
      </c>
      <c r="B780" t="inlineStr">
        <is>
          <t>biomass</t>
        </is>
      </c>
      <c r="C780" t="inlineStr">
        <is>
          <t>ISIC 51</t>
        </is>
      </c>
      <c r="D780" t="inlineStr">
        <is>
          <t>ISIC 49T53</t>
        </is>
      </c>
      <c r="E780" t="n">
        <v>0.1808024634415262</v>
      </c>
      <c r="F780" t="inlineStr">
        <is>
          <t>BEA 2024 output share (default)</t>
        </is>
      </c>
      <c r="G780" t="n">
        <v>0.1808024634415262</v>
      </c>
    </row>
    <row r="781">
      <c r="A781" t="inlineStr">
        <is>
          <t>SoESCaOMCbIC-variableOM.csv</t>
        </is>
      </c>
      <c r="B781" t="inlineStr">
        <is>
          <t>biomass</t>
        </is>
      </c>
      <c r="C781" t="inlineStr">
        <is>
          <t>ISIC 52</t>
        </is>
      </c>
      <c r="D781" t="inlineStr">
        <is>
          <t>ISIC 49T53</t>
        </is>
      </c>
      <c r="E781" t="n">
        <v>0.2139060571318126</v>
      </c>
      <c r="F781" t="inlineStr">
        <is>
          <t>BEA 2024 output share (default)</t>
        </is>
      </c>
      <c r="G781" t="n">
        <v>0.2139060571318126</v>
      </c>
    </row>
    <row r="782">
      <c r="A782" t="inlineStr">
        <is>
          <t>SoESCaOMCbIC-variableOM.csv</t>
        </is>
      </c>
      <c r="B782" t="inlineStr">
        <is>
          <t>biomass</t>
        </is>
      </c>
      <c r="C782" t="inlineStr">
        <is>
          <t>ISIC 53</t>
        </is>
      </c>
      <c r="D782" t="inlineStr">
        <is>
          <t>ISIC 49T53</t>
        </is>
      </c>
      <c r="E782" t="n">
        <v>0.08454078427755009</v>
      </c>
      <c r="F782" t="inlineStr">
        <is>
          <t>BEA 2024 output share (default)</t>
        </is>
      </c>
      <c r="G782" t="n">
        <v>0.08454078427755009</v>
      </c>
    </row>
    <row r="783">
      <c r="A783" t="inlineStr">
        <is>
          <t>SoESCaOMCbIC-variableOM.csv</t>
        </is>
      </c>
      <c r="B783" t="inlineStr">
        <is>
          <t>biomass</t>
        </is>
      </c>
      <c r="C783" t="inlineStr">
        <is>
          <t>ISIC 69T75</t>
        </is>
      </c>
      <c r="D783" t="inlineStr">
        <is>
          <t>ISIC 69T82</t>
        </is>
      </c>
      <c r="E783" t="n">
        <v>1</v>
      </c>
      <c r="F783" t="inlineStr">
        <is>
          <t>semantic override</t>
        </is>
      </c>
      <c r="G783" t="n">
        <v>0.7298219447914125</v>
      </c>
    </row>
    <row r="784">
      <c r="A784" t="inlineStr">
        <is>
          <t>SoESCaOMCbIC-variableOM.csv</t>
        </is>
      </c>
      <c r="B784" t="inlineStr">
        <is>
          <t>biomass</t>
        </is>
      </c>
      <c r="C784" t="inlineStr">
        <is>
          <t>ISIC 77T82</t>
        </is>
      </c>
      <c r="D784" t="inlineStr">
        <is>
          <t>ISIC 69T82</t>
        </is>
      </c>
      <c r="E784" t="n">
        <v>0</v>
      </c>
      <c r="F784" t="inlineStr">
        <is>
          <t>semantic override</t>
        </is>
      </c>
      <c r="G784" t="n">
        <v>0.2701780552085875</v>
      </c>
    </row>
    <row r="785">
      <c r="A785" t="inlineStr">
        <is>
          <t>SoESCaOMCbIC-variableOM.csv</t>
        </is>
      </c>
      <c r="B785" t="inlineStr">
        <is>
          <t>biomass</t>
        </is>
      </c>
      <c r="C785" t="inlineStr">
        <is>
          <t>ISIC 90T93</t>
        </is>
      </c>
      <c r="D785" t="inlineStr">
        <is>
          <t>ISIC 90T96</t>
        </is>
      </c>
      <c r="E785" t="n">
        <v>0.4216249514352275</v>
      </c>
      <c r="F785" t="inlineStr">
        <is>
          <t>BEA 2024 output share (default)</t>
        </is>
      </c>
      <c r="G785" t="n">
        <v>0.4216249514352275</v>
      </c>
    </row>
    <row r="786">
      <c r="A786" t="inlineStr">
        <is>
          <t>SoESCaOMCbIC-variableOM.csv</t>
        </is>
      </c>
      <c r="B786" t="inlineStr">
        <is>
          <t>biomass</t>
        </is>
      </c>
      <c r="C786" t="inlineStr">
        <is>
          <t>ISIC 94T96</t>
        </is>
      </c>
      <c r="D786" t="inlineStr">
        <is>
          <t>ISIC 90T96</t>
        </is>
      </c>
      <c r="E786" t="n">
        <v>0.5783750485647725</v>
      </c>
      <c r="F786" t="inlineStr">
        <is>
          <t>BEA 2024 output share (default)</t>
        </is>
      </c>
      <c r="G786" t="n">
        <v>0.5783750485647725</v>
      </c>
    </row>
    <row r="787">
      <c r="A787" t="inlineStr">
        <is>
          <t>SoESCaOMCbIC-variableOM.csv</t>
        </is>
      </c>
      <c r="B787" t="inlineStr">
        <is>
          <t>biomass w CCS</t>
        </is>
      </c>
      <c r="C787" t="inlineStr">
        <is>
          <t>ISIC 01</t>
        </is>
      </c>
      <c r="D787" t="inlineStr">
        <is>
          <t>ISIC 01T03</t>
        </is>
      </c>
      <c r="E787" t="n">
        <v>0.9429986826432329</v>
      </c>
      <c r="F787" t="inlineStr">
        <is>
          <t>BEA 2024 output share (default)</t>
        </is>
      </c>
      <c r="G787" t="n">
        <v>0.9429986826432329</v>
      </c>
    </row>
    <row r="788">
      <c r="A788" t="inlineStr">
        <is>
          <t>SoESCaOMCbIC-variableOM.csv</t>
        </is>
      </c>
      <c r="B788" t="inlineStr">
        <is>
          <t>biomass w CCS</t>
        </is>
      </c>
      <c r="C788" t="inlineStr">
        <is>
          <t>ISIC 02</t>
        </is>
      </c>
      <c r="D788" t="inlineStr">
        <is>
          <t>ISIC 01T03</t>
        </is>
      </c>
      <c r="E788" t="n">
        <v>0.04176573136965662</v>
      </c>
      <c r="F788" t="inlineStr">
        <is>
          <t>BEA 2024 output share (default)</t>
        </is>
      </c>
      <c r="G788" t="n">
        <v>0.04176573136965662</v>
      </c>
    </row>
    <row r="789">
      <c r="A789" t="inlineStr">
        <is>
          <t>SoESCaOMCbIC-variableOM.csv</t>
        </is>
      </c>
      <c r="B789" t="inlineStr">
        <is>
          <t>biomass w CCS</t>
        </is>
      </c>
      <c r="C789" t="inlineStr">
        <is>
          <t>ISIC 03</t>
        </is>
      </c>
      <c r="D789" t="inlineStr">
        <is>
          <t>ISIC 01T03</t>
        </is>
      </c>
      <c r="E789" t="n">
        <v>0.01523558598711041</v>
      </c>
      <c r="F789" t="inlineStr">
        <is>
          <t>BEA 2024 output share (default)</t>
        </is>
      </c>
      <c r="G789" t="n">
        <v>0.01523558598711041</v>
      </c>
    </row>
    <row r="790">
      <c r="A790" t="inlineStr">
        <is>
          <t>SoESCaOMCbIC-variableOM.csv</t>
        </is>
      </c>
      <c r="B790" t="inlineStr">
        <is>
          <t>biomass w CCS</t>
        </is>
      </c>
      <c r="C790" t="inlineStr">
        <is>
          <t>ISIC 07</t>
        </is>
      </c>
      <c r="D790" t="inlineStr">
        <is>
          <t>ISIC 07T08</t>
        </is>
      </c>
      <c r="E790" t="n">
        <v>0.4327368836123752</v>
      </c>
      <c r="F790" t="inlineStr">
        <is>
          <t>BEA 2024 output share (default)</t>
        </is>
      </c>
      <c r="G790" t="n">
        <v>0.4327368836123752</v>
      </c>
    </row>
    <row r="791">
      <c r="A791" t="inlineStr">
        <is>
          <t>SoESCaOMCbIC-variableOM.csv</t>
        </is>
      </c>
      <c r="B791" t="inlineStr">
        <is>
          <t>biomass w CCS</t>
        </is>
      </c>
      <c r="C791" t="inlineStr">
        <is>
          <t>ISIC 08</t>
        </is>
      </c>
      <c r="D791" t="inlineStr">
        <is>
          <t>ISIC 07T08</t>
        </is>
      </c>
      <c r="E791" t="n">
        <v>0.5672631163876248</v>
      </c>
      <c r="F791" t="inlineStr">
        <is>
          <t>BEA 2024 output share (default)</t>
        </is>
      </c>
      <c r="G791" t="n">
        <v>0.5672631163876248</v>
      </c>
    </row>
    <row r="792">
      <c r="A792" t="inlineStr">
        <is>
          <t>SoESCaOMCbIC-variableOM.csv</t>
        </is>
      </c>
      <c r="B792" t="inlineStr">
        <is>
          <t>biomass w CCS</t>
        </is>
      </c>
      <c r="C792" t="inlineStr">
        <is>
          <t>ISIC 301</t>
        </is>
      </c>
      <c r="D792" t="inlineStr">
        <is>
          <t>ISIC 30</t>
        </is>
      </c>
      <c r="E792" t="n">
        <v>0.1171368722490322</v>
      </c>
      <c r="F792" t="inlineStr">
        <is>
          <t>BEA 2024 output share (default)</t>
        </is>
      </c>
      <c r="G792" t="n">
        <v>0.1171368722490322</v>
      </c>
    </row>
    <row r="793">
      <c r="A793" t="inlineStr">
        <is>
          <t>SoESCaOMCbIC-variableOM.csv</t>
        </is>
      </c>
      <c r="B793" t="inlineStr">
        <is>
          <t>biomass w CCS</t>
        </is>
      </c>
      <c r="C793" t="inlineStr">
        <is>
          <t>ISIC 302T309</t>
        </is>
      </c>
      <c r="D793" t="inlineStr">
        <is>
          <t>ISIC 30</t>
        </is>
      </c>
      <c r="E793" t="n">
        <v>0.8828631277509678</v>
      </c>
      <c r="F793" t="inlineStr">
        <is>
          <t>BEA 2024 output share (default)</t>
        </is>
      </c>
      <c r="G793" t="n">
        <v>0.8828631277509678</v>
      </c>
    </row>
    <row r="794">
      <c r="A794" t="inlineStr">
        <is>
          <t>SoESCaOMCbIC-variableOM.csv</t>
        </is>
      </c>
      <c r="B794" t="inlineStr">
        <is>
          <t>biomass w CCS</t>
        </is>
      </c>
      <c r="C794" t="inlineStr">
        <is>
          <t>ISIC 49</t>
        </is>
      </c>
      <c r="D794" t="inlineStr">
        <is>
          <t>ISIC 49T53</t>
        </is>
      </c>
      <c r="E794" t="n">
        <v>0.4781643011829615</v>
      </c>
      <c r="F794" t="inlineStr">
        <is>
          <t>BEA 2024 output share (default)</t>
        </is>
      </c>
      <c r="G794" t="n">
        <v>0.4781643011829615</v>
      </c>
    </row>
    <row r="795">
      <c r="A795" t="inlineStr">
        <is>
          <t>SoESCaOMCbIC-variableOM.csv</t>
        </is>
      </c>
      <c r="B795" t="inlineStr">
        <is>
          <t>biomass w CCS</t>
        </is>
      </c>
      <c r="C795" t="inlineStr">
        <is>
          <t>ISIC 50</t>
        </is>
      </c>
      <c r="D795" t="inlineStr">
        <is>
          <t>ISIC 49T53</t>
        </is>
      </c>
      <c r="E795" t="n">
        <v>0.04258639396614965</v>
      </c>
      <c r="F795" t="inlineStr">
        <is>
          <t>BEA 2024 output share (default)</t>
        </is>
      </c>
      <c r="G795" t="n">
        <v>0.04258639396614965</v>
      </c>
    </row>
    <row r="796">
      <c r="A796" t="inlineStr">
        <is>
          <t>SoESCaOMCbIC-variableOM.csv</t>
        </is>
      </c>
      <c r="B796" t="inlineStr">
        <is>
          <t>biomass w CCS</t>
        </is>
      </c>
      <c r="C796" t="inlineStr">
        <is>
          <t>ISIC 51</t>
        </is>
      </c>
      <c r="D796" t="inlineStr">
        <is>
          <t>ISIC 49T53</t>
        </is>
      </c>
      <c r="E796" t="n">
        <v>0.1808024634415262</v>
      </c>
      <c r="F796" t="inlineStr">
        <is>
          <t>BEA 2024 output share (default)</t>
        </is>
      </c>
      <c r="G796" t="n">
        <v>0.1808024634415262</v>
      </c>
    </row>
    <row r="797">
      <c r="A797" t="inlineStr">
        <is>
          <t>SoESCaOMCbIC-variableOM.csv</t>
        </is>
      </c>
      <c r="B797" t="inlineStr">
        <is>
          <t>biomass w CCS</t>
        </is>
      </c>
      <c r="C797" t="inlineStr">
        <is>
          <t>ISIC 52</t>
        </is>
      </c>
      <c r="D797" t="inlineStr">
        <is>
          <t>ISIC 49T53</t>
        </is>
      </c>
      <c r="E797" t="n">
        <v>0.2139060571318126</v>
      </c>
      <c r="F797" t="inlineStr">
        <is>
          <t>BEA 2024 output share (default)</t>
        </is>
      </c>
      <c r="G797" t="n">
        <v>0.2139060571318126</v>
      </c>
    </row>
    <row r="798">
      <c r="A798" t="inlineStr">
        <is>
          <t>SoESCaOMCbIC-variableOM.csv</t>
        </is>
      </c>
      <c r="B798" t="inlineStr">
        <is>
          <t>biomass w CCS</t>
        </is>
      </c>
      <c r="C798" t="inlineStr">
        <is>
          <t>ISIC 53</t>
        </is>
      </c>
      <c r="D798" t="inlineStr">
        <is>
          <t>ISIC 49T53</t>
        </is>
      </c>
      <c r="E798" t="n">
        <v>0.08454078427755009</v>
      </c>
      <c r="F798" t="inlineStr">
        <is>
          <t>BEA 2024 output share (default)</t>
        </is>
      </c>
      <c r="G798" t="n">
        <v>0.08454078427755009</v>
      </c>
    </row>
    <row r="799">
      <c r="A799" t="inlineStr">
        <is>
          <t>SoESCaOMCbIC-variableOM.csv</t>
        </is>
      </c>
      <c r="B799" t="inlineStr">
        <is>
          <t>biomass w CCS</t>
        </is>
      </c>
      <c r="C799" t="inlineStr">
        <is>
          <t>ISIC 69T75</t>
        </is>
      </c>
      <c r="D799" t="inlineStr">
        <is>
          <t>ISIC 69T82</t>
        </is>
      </c>
      <c r="E799" t="n">
        <v>1</v>
      </c>
      <c r="F799" t="inlineStr">
        <is>
          <t>semantic override</t>
        </is>
      </c>
      <c r="G799" t="n">
        <v>0.7298219447914125</v>
      </c>
    </row>
    <row r="800">
      <c r="A800" t="inlineStr">
        <is>
          <t>SoESCaOMCbIC-variableOM.csv</t>
        </is>
      </c>
      <c r="B800" t="inlineStr">
        <is>
          <t>biomass w CCS</t>
        </is>
      </c>
      <c r="C800" t="inlineStr">
        <is>
          <t>ISIC 77T82</t>
        </is>
      </c>
      <c r="D800" t="inlineStr">
        <is>
          <t>ISIC 69T82</t>
        </is>
      </c>
      <c r="E800" t="n">
        <v>0</v>
      </c>
      <c r="F800" t="inlineStr">
        <is>
          <t>semantic override</t>
        </is>
      </c>
      <c r="G800" t="n">
        <v>0.2701780552085875</v>
      </c>
    </row>
    <row r="801">
      <c r="A801" t="inlineStr">
        <is>
          <t>SoESCaOMCbIC-variableOM.csv</t>
        </is>
      </c>
      <c r="B801" t="inlineStr">
        <is>
          <t>biomass w CCS</t>
        </is>
      </c>
      <c r="C801" t="inlineStr">
        <is>
          <t>ISIC 90T93</t>
        </is>
      </c>
      <c r="D801" t="inlineStr">
        <is>
          <t>ISIC 90T96</t>
        </is>
      </c>
      <c r="E801" t="n">
        <v>0.4216249514352275</v>
      </c>
      <c r="F801" t="inlineStr">
        <is>
          <t>BEA 2024 output share (default)</t>
        </is>
      </c>
      <c r="G801" t="n">
        <v>0.4216249514352275</v>
      </c>
    </row>
    <row r="802">
      <c r="A802" t="inlineStr">
        <is>
          <t>SoESCaOMCbIC-variableOM.csv</t>
        </is>
      </c>
      <c r="B802" t="inlineStr">
        <is>
          <t>biomass w CCS</t>
        </is>
      </c>
      <c r="C802" t="inlineStr">
        <is>
          <t>ISIC 94T96</t>
        </is>
      </c>
      <c r="D802" t="inlineStr">
        <is>
          <t>ISIC 90T96</t>
        </is>
      </c>
      <c r="E802" t="n">
        <v>0.5783750485647725</v>
      </c>
      <c r="F802" t="inlineStr">
        <is>
          <t>BEA 2024 output share (default)</t>
        </is>
      </c>
      <c r="G802" t="n">
        <v>0.5783750485647725</v>
      </c>
    </row>
    <row r="803">
      <c r="A803" t="inlineStr">
        <is>
          <t>SoESCaOMCbIC-variableOM.csv</t>
        </is>
      </c>
      <c r="B803" t="inlineStr">
        <is>
          <t>crude oil</t>
        </is>
      </c>
      <c r="C803" t="inlineStr">
        <is>
          <t>ISIC 01</t>
        </is>
      </c>
      <c r="D803" t="inlineStr">
        <is>
          <t>ISIC 01T03</t>
        </is>
      </c>
      <c r="E803" t="n">
        <v>0.9429986826432329</v>
      </c>
      <c r="F803" t="inlineStr">
        <is>
          <t>BEA 2024 output share (default)</t>
        </is>
      </c>
      <c r="G803" t="n">
        <v>0.9429986826432329</v>
      </c>
    </row>
    <row r="804">
      <c r="A804" t="inlineStr">
        <is>
          <t>SoESCaOMCbIC-variableOM.csv</t>
        </is>
      </c>
      <c r="B804" t="inlineStr">
        <is>
          <t>crude oil</t>
        </is>
      </c>
      <c r="C804" t="inlineStr">
        <is>
          <t>ISIC 02</t>
        </is>
      </c>
      <c r="D804" t="inlineStr">
        <is>
          <t>ISIC 01T03</t>
        </is>
      </c>
      <c r="E804" t="n">
        <v>0.04176573136965662</v>
      </c>
      <c r="F804" t="inlineStr">
        <is>
          <t>BEA 2024 output share (default)</t>
        </is>
      </c>
      <c r="G804" t="n">
        <v>0.04176573136965662</v>
      </c>
    </row>
    <row r="805">
      <c r="A805" t="inlineStr">
        <is>
          <t>SoESCaOMCbIC-variableOM.csv</t>
        </is>
      </c>
      <c r="B805" t="inlineStr">
        <is>
          <t>crude oil</t>
        </is>
      </c>
      <c r="C805" t="inlineStr">
        <is>
          <t>ISIC 03</t>
        </is>
      </c>
      <c r="D805" t="inlineStr">
        <is>
          <t>ISIC 01T03</t>
        </is>
      </c>
      <c r="E805" t="n">
        <v>0.01523558598711041</v>
      </c>
      <c r="F805" t="inlineStr">
        <is>
          <t>BEA 2024 output share (default)</t>
        </is>
      </c>
      <c r="G805" t="n">
        <v>0.01523558598711041</v>
      </c>
    </row>
    <row r="806">
      <c r="A806" t="inlineStr">
        <is>
          <t>SoESCaOMCbIC-variableOM.csv</t>
        </is>
      </c>
      <c r="B806" t="inlineStr">
        <is>
          <t>crude oil</t>
        </is>
      </c>
      <c r="C806" t="inlineStr">
        <is>
          <t>ISIC 07</t>
        </is>
      </c>
      <c r="D806" t="inlineStr">
        <is>
          <t>ISIC 07T08</t>
        </is>
      </c>
      <c r="E806" t="n">
        <v>0.4327368836123752</v>
      </c>
      <c r="F806" t="inlineStr">
        <is>
          <t>BEA 2024 output share (default)</t>
        </is>
      </c>
      <c r="G806" t="n">
        <v>0.4327368836123752</v>
      </c>
    </row>
    <row r="807">
      <c r="A807" t="inlineStr">
        <is>
          <t>SoESCaOMCbIC-variableOM.csv</t>
        </is>
      </c>
      <c r="B807" t="inlineStr">
        <is>
          <t>crude oil</t>
        </is>
      </c>
      <c r="C807" t="inlineStr">
        <is>
          <t>ISIC 08</t>
        </is>
      </c>
      <c r="D807" t="inlineStr">
        <is>
          <t>ISIC 07T08</t>
        </is>
      </c>
      <c r="E807" t="n">
        <v>0.5672631163876248</v>
      </c>
      <c r="F807" t="inlineStr">
        <is>
          <t>BEA 2024 output share (default)</t>
        </is>
      </c>
      <c r="G807" t="n">
        <v>0.5672631163876248</v>
      </c>
    </row>
    <row r="808">
      <c r="A808" t="inlineStr">
        <is>
          <t>SoESCaOMCbIC-variableOM.csv</t>
        </is>
      </c>
      <c r="B808" t="inlineStr">
        <is>
          <t>crude oil</t>
        </is>
      </c>
      <c r="C808" t="inlineStr">
        <is>
          <t>ISIC 301</t>
        </is>
      </c>
      <c r="D808" t="inlineStr">
        <is>
          <t>ISIC 30</t>
        </is>
      </c>
      <c r="E808" t="n">
        <v>0.1171368722490322</v>
      </c>
      <c r="F808" t="inlineStr">
        <is>
          <t>BEA 2024 output share (default)</t>
        </is>
      </c>
      <c r="G808" t="n">
        <v>0.1171368722490322</v>
      </c>
    </row>
    <row r="809">
      <c r="A809" t="inlineStr">
        <is>
          <t>SoESCaOMCbIC-variableOM.csv</t>
        </is>
      </c>
      <c r="B809" t="inlineStr">
        <is>
          <t>crude oil</t>
        </is>
      </c>
      <c r="C809" t="inlineStr">
        <is>
          <t>ISIC 302T309</t>
        </is>
      </c>
      <c r="D809" t="inlineStr">
        <is>
          <t>ISIC 30</t>
        </is>
      </c>
      <c r="E809" t="n">
        <v>0.8828631277509678</v>
      </c>
      <c r="F809" t="inlineStr">
        <is>
          <t>BEA 2024 output share (default)</t>
        </is>
      </c>
      <c r="G809" t="n">
        <v>0.8828631277509678</v>
      </c>
    </row>
    <row r="810">
      <c r="A810" t="inlineStr">
        <is>
          <t>SoESCaOMCbIC-variableOM.csv</t>
        </is>
      </c>
      <c r="B810" t="inlineStr">
        <is>
          <t>crude oil</t>
        </is>
      </c>
      <c r="C810" t="inlineStr">
        <is>
          <t>ISIC 49</t>
        </is>
      </c>
      <c r="D810" t="inlineStr">
        <is>
          <t>ISIC 49T53</t>
        </is>
      </c>
      <c r="E810" t="n">
        <v>0.4781643011829615</v>
      </c>
      <c r="F810" t="inlineStr">
        <is>
          <t>BEA 2024 output share (default)</t>
        </is>
      </c>
      <c r="G810" t="n">
        <v>0.4781643011829615</v>
      </c>
    </row>
    <row r="811">
      <c r="A811" t="inlineStr">
        <is>
          <t>SoESCaOMCbIC-variableOM.csv</t>
        </is>
      </c>
      <c r="B811" t="inlineStr">
        <is>
          <t>crude oil</t>
        </is>
      </c>
      <c r="C811" t="inlineStr">
        <is>
          <t>ISIC 50</t>
        </is>
      </c>
      <c r="D811" t="inlineStr">
        <is>
          <t>ISIC 49T53</t>
        </is>
      </c>
      <c r="E811" t="n">
        <v>0.04258639396614965</v>
      </c>
      <c r="F811" t="inlineStr">
        <is>
          <t>BEA 2024 output share (default)</t>
        </is>
      </c>
      <c r="G811" t="n">
        <v>0.04258639396614965</v>
      </c>
    </row>
    <row r="812">
      <c r="A812" t="inlineStr">
        <is>
          <t>SoESCaOMCbIC-variableOM.csv</t>
        </is>
      </c>
      <c r="B812" t="inlineStr">
        <is>
          <t>crude oil</t>
        </is>
      </c>
      <c r="C812" t="inlineStr">
        <is>
          <t>ISIC 51</t>
        </is>
      </c>
      <c r="D812" t="inlineStr">
        <is>
          <t>ISIC 49T53</t>
        </is>
      </c>
      <c r="E812" t="n">
        <v>0.1808024634415262</v>
      </c>
      <c r="F812" t="inlineStr">
        <is>
          <t>BEA 2024 output share (default)</t>
        </is>
      </c>
      <c r="G812" t="n">
        <v>0.1808024634415262</v>
      </c>
    </row>
    <row r="813">
      <c r="A813" t="inlineStr">
        <is>
          <t>SoESCaOMCbIC-variableOM.csv</t>
        </is>
      </c>
      <c r="B813" t="inlineStr">
        <is>
          <t>crude oil</t>
        </is>
      </c>
      <c r="C813" t="inlineStr">
        <is>
          <t>ISIC 52</t>
        </is>
      </c>
      <c r="D813" t="inlineStr">
        <is>
          <t>ISIC 49T53</t>
        </is>
      </c>
      <c r="E813" t="n">
        <v>0.2139060571318126</v>
      </c>
      <c r="F813" t="inlineStr">
        <is>
          <t>BEA 2024 output share (default)</t>
        </is>
      </c>
      <c r="G813" t="n">
        <v>0.2139060571318126</v>
      </c>
    </row>
    <row r="814">
      <c r="A814" t="inlineStr">
        <is>
          <t>SoESCaOMCbIC-variableOM.csv</t>
        </is>
      </c>
      <c r="B814" t="inlineStr">
        <is>
          <t>crude oil</t>
        </is>
      </c>
      <c r="C814" t="inlineStr">
        <is>
          <t>ISIC 53</t>
        </is>
      </c>
      <c r="D814" t="inlineStr">
        <is>
          <t>ISIC 49T53</t>
        </is>
      </c>
      <c r="E814" t="n">
        <v>0.08454078427755009</v>
      </c>
      <c r="F814" t="inlineStr">
        <is>
          <t>BEA 2024 output share (default)</t>
        </is>
      </c>
      <c r="G814" t="n">
        <v>0.08454078427755009</v>
      </c>
    </row>
    <row r="815">
      <c r="A815" t="inlineStr">
        <is>
          <t>SoESCaOMCbIC-variableOM.csv</t>
        </is>
      </c>
      <c r="B815" t="inlineStr">
        <is>
          <t>crude oil</t>
        </is>
      </c>
      <c r="C815" t="inlineStr">
        <is>
          <t>ISIC 69T75</t>
        </is>
      </c>
      <c r="D815" t="inlineStr">
        <is>
          <t>ISIC 69T82</t>
        </is>
      </c>
      <c r="E815" t="n">
        <v>1</v>
      </c>
      <c r="F815" t="inlineStr">
        <is>
          <t>semantic override</t>
        </is>
      </c>
      <c r="G815" t="n">
        <v>0.7298219447914125</v>
      </c>
    </row>
    <row r="816">
      <c r="A816" t="inlineStr">
        <is>
          <t>SoESCaOMCbIC-variableOM.csv</t>
        </is>
      </c>
      <c r="B816" t="inlineStr">
        <is>
          <t>crude oil</t>
        </is>
      </c>
      <c r="C816" t="inlineStr">
        <is>
          <t>ISIC 77T82</t>
        </is>
      </c>
      <c r="D816" t="inlineStr">
        <is>
          <t>ISIC 69T82</t>
        </is>
      </c>
      <c r="E816" t="n">
        <v>0</v>
      </c>
      <c r="F816" t="inlineStr">
        <is>
          <t>semantic override</t>
        </is>
      </c>
      <c r="G816" t="n">
        <v>0.2701780552085875</v>
      </c>
    </row>
    <row r="817">
      <c r="A817" t="inlineStr">
        <is>
          <t>SoESCaOMCbIC-variableOM.csv</t>
        </is>
      </c>
      <c r="B817" t="inlineStr">
        <is>
          <t>crude oil</t>
        </is>
      </c>
      <c r="C817" t="inlineStr">
        <is>
          <t>ISIC 90T93</t>
        </is>
      </c>
      <c r="D817" t="inlineStr">
        <is>
          <t>ISIC 90T96</t>
        </is>
      </c>
      <c r="E817" t="n">
        <v>0.4216249514352275</v>
      </c>
      <c r="F817" t="inlineStr">
        <is>
          <t>BEA 2024 output share (default)</t>
        </is>
      </c>
      <c r="G817" t="n">
        <v>0.4216249514352275</v>
      </c>
    </row>
    <row r="818">
      <c r="A818" t="inlineStr">
        <is>
          <t>SoESCaOMCbIC-variableOM.csv</t>
        </is>
      </c>
      <c r="B818" t="inlineStr">
        <is>
          <t>crude oil</t>
        </is>
      </c>
      <c r="C818" t="inlineStr">
        <is>
          <t>ISIC 94T96</t>
        </is>
      </c>
      <c r="D818" t="inlineStr">
        <is>
          <t>ISIC 90T96</t>
        </is>
      </c>
      <c r="E818" t="n">
        <v>0.5783750485647725</v>
      </c>
      <c r="F818" t="inlineStr">
        <is>
          <t>BEA 2024 output share (default)</t>
        </is>
      </c>
      <c r="G818" t="n">
        <v>0.5783750485647725</v>
      </c>
    </row>
    <row r="819">
      <c r="A819" t="inlineStr">
        <is>
          <t>SoESCaOMCbIC-variableOM.csv</t>
        </is>
      </c>
      <c r="B819" t="inlineStr">
        <is>
          <t>geothermal</t>
        </is>
      </c>
      <c r="C819" t="inlineStr">
        <is>
          <t>ISIC 01</t>
        </is>
      </c>
      <c r="D819" t="inlineStr">
        <is>
          <t>ISIC 01T03</t>
        </is>
      </c>
      <c r="E819" t="n">
        <v>0.9429986826432329</v>
      </c>
      <c r="F819" t="inlineStr">
        <is>
          <t>BEA 2024 output share (default)</t>
        </is>
      </c>
      <c r="G819" t="n">
        <v>0.9429986826432329</v>
      </c>
    </row>
    <row r="820">
      <c r="A820" t="inlineStr">
        <is>
          <t>SoESCaOMCbIC-variableOM.csv</t>
        </is>
      </c>
      <c r="B820" t="inlineStr">
        <is>
          <t>geothermal</t>
        </is>
      </c>
      <c r="C820" t="inlineStr">
        <is>
          <t>ISIC 02</t>
        </is>
      </c>
      <c r="D820" t="inlineStr">
        <is>
          <t>ISIC 01T03</t>
        </is>
      </c>
      <c r="E820" t="n">
        <v>0.04176573136965662</v>
      </c>
      <c r="F820" t="inlineStr">
        <is>
          <t>BEA 2024 output share (default)</t>
        </is>
      </c>
      <c r="G820" t="n">
        <v>0.04176573136965662</v>
      </c>
    </row>
    <row r="821">
      <c r="A821" t="inlineStr">
        <is>
          <t>SoESCaOMCbIC-variableOM.csv</t>
        </is>
      </c>
      <c r="B821" t="inlineStr">
        <is>
          <t>geothermal</t>
        </is>
      </c>
      <c r="C821" t="inlineStr">
        <is>
          <t>ISIC 03</t>
        </is>
      </c>
      <c r="D821" t="inlineStr">
        <is>
          <t>ISIC 01T03</t>
        </is>
      </c>
      <c r="E821" t="n">
        <v>0.01523558598711041</v>
      </c>
      <c r="F821" t="inlineStr">
        <is>
          <t>BEA 2024 output share (default)</t>
        </is>
      </c>
      <c r="G821" t="n">
        <v>0.01523558598711041</v>
      </c>
    </row>
    <row r="822">
      <c r="A822" t="inlineStr">
        <is>
          <t>SoESCaOMCbIC-variableOM.csv</t>
        </is>
      </c>
      <c r="B822" t="inlineStr">
        <is>
          <t>geothermal</t>
        </is>
      </c>
      <c r="C822" t="inlineStr">
        <is>
          <t>ISIC 07</t>
        </is>
      </c>
      <c r="D822" t="inlineStr">
        <is>
          <t>ISIC 07T08</t>
        </is>
      </c>
      <c r="E822" t="n">
        <v>0.4327368836123752</v>
      </c>
      <c r="F822" t="inlineStr">
        <is>
          <t>BEA 2024 output share (default)</t>
        </is>
      </c>
      <c r="G822" t="n">
        <v>0.4327368836123752</v>
      </c>
    </row>
    <row r="823">
      <c r="A823" t="inlineStr">
        <is>
          <t>SoESCaOMCbIC-variableOM.csv</t>
        </is>
      </c>
      <c r="B823" t="inlineStr">
        <is>
          <t>geothermal</t>
        </is>
      </c>
      <c r="C823" t="inlineStr">
        <is>
          <t>ISIC 08</t>
        </is>
      </c>
      <c r="D823" t="inlineStr">
        <is>
          <t>ISIC 07T08</t>
        </is>
      </c>
      <c r="E823" t="n">
        <v>0.5672631163876248</v>
      </c>
      <c r="F823" t="inlineStr">
        <is>
          <t>BEA 2024 output share (default)</t>
        </is>
      </c>
      <c r="G823" t="n">
        <v>0.5672631163876248</v>
      </c>
    </row>
    <row r="824">
      <c r="A824" t="inlineStr">
        <is>
          <t>SoESCaOMCbIC-variableOM.csv</t>
        </is>
      </c>
      <c r="B824" t="inlineStr">
        <is>
          <t>geothermal</t>
        </is>
      </c>
      <c r="C824" t="inlineStr">
        <is>
          <t>ISIC 301</t>
        </is>
      </c>
      <c r="D824" t="inlineStr">
        <is>
          <t>ISIC 30</t>
        </is>
      </c>
      <c r="E824" t="n">
        <v>0.1171368722490322</v>
      </c>
      <c r="F824" t="inlineStr">
        <is>
          <t>BEA 2024 output share (default)</t>
        </is>
      </c>
      <c r="G824" t="n">
        <v>0.1171368722490322</v>
      </c>
    </row>
    <row r="825">
      <c r="A825" t="inlineStr">
        <is>
          <t>SoESCaOMCbIC-variableOM.csv</t>
        </is>
      </c>
      <c r="B825" t="inlineStr">
        <is>
          <t>geothermal</t>
        </is>
      </c>
      <c r="C825" t="inlineStr">
        <is>
          <t>ISIC 302T309</t>
        </is>
      </c>
      <c r="D825" t="inlineStr">
        <is>
          <t>ISIC 30</t>
        </is>
      </c>
      <c r="E825" t="n">
        <v>0.8828631277509678</v>
      </c>
      <c r="F825" t="inlineStr">
        <is>
          <t>BEA 2024 output share (default)</t>
        </is>
      </c>
      <c r="G825" t="n">
        <v>0.8828631277509678</v>
      </c>
    </row>
    <row r="826">
      <c r="A826" t="inlineStr">
        <is>
          <t>SoESCaOMCbIC-variableOM.csv</t>
        </is>
      </c>
      <c r="B826" t="inlineStr">
        <is>
          <t>geothermal</t>
        </is>
      </c>
      <c r="C826" t="inlineStr">
        <is>
          <t>ISIC 49</t>
        </is>
      </c>
      <c r="D826" t="inlineStr">
        <is>
          <t>ISIC 49T53</t>
        </is>
      </c>
      <c r="E826" t="n">
        <v>0.4781643011829615</v>
      </c>
      <c r="F826" t="inlineStr">
        <is>
          <t>BEA 2024 output share (default)</t>
        </is>
      </c>
      <c r="G826" t="n">
        <v>0.4781643011829615</v>
      </c>
    </row>
    <row r="827">
      <c r="A827" t="inlineStr">
        <is>
          <t>SoESCaOMCbIC-variableOM.csv</t>
        </is>
      </c>
      <c r="B827" t="inlineStr">
        <is>
          <t>geothermal</t>
        </is>
      </c>
      <c r="C827" t="inlineStr">
        <is>
          <t>ISIC 50</t>
        </is>
      </c>
      <c r="D827" t="inlineStr">
        <is>
          <t>ISIC 49T53</t>
        </is>
      </c>
      <c r="E827" t="n">
        <v>0.04258639396614965</v>
      </c>
      <c r="F827" t="inlineStr">
        <is>
          <t>BEA 2024 output share (default)</t>
        </is>
      </c>
      <c r="G827" t="n">
        <v>0.04258639396614965</v>
      </c>
    </row>
    <row r="828">
      <c r="A828" t="inlineStr">
        <is>
          <t>SoESCaOMCbIC-variableOM.csv</t>
        </is>
      </c>
      <c r="B828" t="inlineStr">
        <is>
          <t>geothermal</t>
        </is>
      </c>
      <c r="C828" t="inlineStr">
        <is>
          <t>ISIC 51</t>
        </is>
      </c>
      <c r="D828" t="inlineStr">
        <is>
          <t>ISIC 49T53</t>
        </is>
      </c>
      <c r="E828" t="n">
        <v>0.1808024634415262</v>
      </c>
      <c r="F828" t="inlineStr">
        <is>
          <t>BEA 2024 output share (default)</t>
        </is>
      </c>
      <c r="G828" t="n">
        <v>0.1808024634415262</v>
      </c>
    </row>
    <row r="829">
      <c r="A829" t="inlineStr">
        <is>
          <t>SoESCaOMCbIC-variableOM.csv</t>
        </is>
      </c>
      <c r="B829" t="inlineStr">
        <is>
          <t>geothermal</t>
        </is>
      </c>
      <c r="C829" t="inlineStr">
        <is>
          <t>ISIC 52</t>
        </is>
      </c>
      <c r="D829" t="inlineStr">
        <is>
          <t>ISIC 49T53</t>
        </is>
      </c>
      <c r="E829" t="n">
        <v>0.2139060571318126</v>
      </c>
      <c r="F829" t="inlineStr">
        <is>
          <t>BEA 2024 output share (default)</t>
        </is>
      </c>
      <c r="G829" t="n">
        <v>0.2139060571318126</v>
      </c>
    </row>
    <row r="830">
      <c r="A830" t="inlineStr">
        <is>
          <t>SoESCaOMCbIC-variableOM.csv</t>
        </is>
      </c>
      <c r="B830" t="inlineStr">
        <is>
          <t>geothermal</t>
        </is>
      </c>
      <c r="C830" t="inlineStr">
        <is>
          <t>ISIC 53</t>
        </is>
      </c>
      <c r="D830" t="inlineStr">
        <is>
          <t>ISIC 49T53</t>
        </is>
      </c>
      <c r="E830" t="n">
        <v>0.08454078427755009</v>
      </c>
      <c r="F830" t="inlineStr">
        <is>
          <t>BEA 2024 output share (default)</t>
        </is>
      </c>
      <c r="G830" t="n">
        <v>0.08454078427755009</v>
      </c>
    </row>
    <row r="831">
      <c r="A831" t="inlineStr">
        <is>
          <t>SoESCaOMCbIC-variableOM.csv</t>
        </is>
      </c>
      <c r="B831" t="inlineStr">
        <is>
          <t>geothermal</t>
        </is>
      </c>
      <c r="C831" t="inlineStr">
        <is>
          <t>ISIC 69T75</t>
        </is>
      </c>
      <c r="D831" t="inlineStr">
        <is>
          <t>ISIC 69T82</t>
        </is>
      </c>
      <c r="E831" t="n">
        <v>1</v>
      </c>
      <c r="F831" t="inlineStr">
        <is>
          <t>semantic override</t>
        </is>
      </c>
      <c r="G831" t="n">
        <v>0.7298219447914125</v>
      </c>
    </row>
    <row r="832">
      <c r="A832" t="inlineStr">
        <is>
          <t>SoESCaOMCbIC-variableOM.csv</t>
        </is>
      </c>
      <c r="B832" t="inlineStr">
        <is>
          <t>geothermal</t>
        </is>
      </c>
      <c r="C832" t="inlineStr">
        <is>
          <t>ISIC 77T82</t>
        </is>
      </c>
      <c r="D832" t="inlineStr">
        <is>
          <t>ISIC 69T82</t>
        </is>
      </c>
      <c r="E832" t="n">
        <v>0</v>
      </c>
      <c r="F832" t="inlineStr">
        <is>
          <t>semantic override</t>
        </is>
      </c>
      <c r="G832" t="n">
        <v>0.2701780552085875</v>
      </c>
    </row>
    <row r="833">
      <c r="A833" t="inlineStr">
        <is>
          <t>SoESCaOMCbIC-variableOM.csv</t>
        </is>
      </c>
      <c r="B833" t="inlineStr">
        <is>
          <t>geothermal</t>
        </is>
      </c>
      <c r="C833" t="inlineStr">
        <is>
          <t>ISIC 90T93</t>
        </is>
      </c>
      <c r="D833" t="inlineStr">
        <is>
          <t>ISIC 90T96</t>
        </is>
      </c>
      <c r="E833" t="n">
        <v>0.4216249514352275</v>
      </c>
      <c r="F833" t="inlineStr">
        <is>
          <t>BEA 2024 output share (default)</t>
        </is>
      </c>
      <c r="G833" t="n">
        <v>0.4216249514352275</v>
      </c>
    </row>
    <row r="834">
      <c r="A834" t="inlineStr">
        <is>
          <t>SoESCaOMCbIC-variableOM.csv</t>
        </is>
      </c>
      <c r="B834" t="inlineStr">
        <is>
          <t>geothermal</t>
        </is>
      </c>
      <c r="C834" t="inlineStr">
        <is>
          <t>ISIC 94T96</t>
        </is>
      </c>
      <c r="D834" t="inlineStr">
        <is>
          <t>ISIC 90T96</t>
        </is>
      </c>
      <c r="E834" t="n">
        <v>0.5783750485647725</v>
      </c>
      <c r="F834" t="inlineStr">
        <is>
          <t>BEA 2024 output share (default)</t>
        </is>
      </c>
      <c r="G834" t="n">
        <v>0.5783750485647725</v>
      </c>
    </row>
    <row r="835">
      <c r="A835" t="inlineStr">
        <is>
          <t>SoESCaOMCbIC-variableOM.csv</t>
        </is>
      </c>
      <c r="B835" t="inlineStr">
        <is>
          <t>hard coal</t>
        </is>
      </c>
      <c r="C835" t="inlineStr">
        <is>
          <t>ISIC 01</t>
        </is>
      </c>
      <c r="D835" t="inlineStr">
        <is>
          <t>ISIC 01T03</t>
        </is>
      </c>
      <c r="E835" t="n">
        <v>0.9429986826432329</v>
      </c>
      <c r="F835" t="inlineStr">
        <is>
          <t>BEA 2024 output share (default)</t>
        </is>
      </c>
      <c r="G835" t="n">
        <v>0.9429986826432329</v>
      </c>
    </row>
    <row r="836">
      <c r="A836" t="inlineStr">
        <is>
          <t>SoESCaOMCbIC-variableOM.csv</t>
        </is>
      </c>
      <c r="B836" t="inlineStr">
        <is>
          <t>hard coal</t>
        </is>
      </c>
      <c r="C836" t="inlineStr">
        <is>
          <t>ISIC 02</t>
        </is>
      </c>
      <c r="D836" t="inlineStr">
        <is>
          <t>ISIC 01T03</t>
        </is>
      </c>
      <c r="E836" t="n">
        <v>0.04176573136965662</v>
      </c>
      <c r="F836" t="inlineStr">
        <is>
          <t>BEA 2024 output share (default)</t>
        </is>
      </c>
      <c r="G836" t="n">
        <v>0.04176573136965662</v>
      </c>
    </row>
    <row r="837">
      <c r="A837" t="inlineStr">
        <is>
          <t>SoESCaOMCbIC-variableOM.csv</t>
        </is>
      </c>
      <c r="B837" t="inlineStr">
        <is>
          <t>hard coal</t>
        </is>
      </c>
      <c r="C837" t="inlineStr">
        <is>
          <t>ISIC 03</t>
        </is>
      </c>
      <c r="D837" t="inlineStr">
        <is>
          <t>ISIC 01T03</t>
        </is>
      </c>
      <c r="E837" t="n">
        <v>0.01523558598711041</v>
      </c>
      <c r="F837" t="inlineStr">
        <is>
          <t>BEA 2024 output share (default)</t>
        </is>
      </c>
      <c r="G837" t="n">
        <v>0.01523558598711041</v>
      </c>
    </row>
    <row r="838">
      <c r="A838" t="inlineStr">
        <is>
          <t>SoESCaOMCbIC-variableOM.csv</t>
        </is>
      </c>
      <c r="B838" t="inlineStr">
        <is>
          <t>hard coal</t>
        </is>
      </c>
      <c r="C838" t="inlineStr">
        <is>
          <t>ISIC 07</t>
        </is>
      </c>
      <c r="D838" t="inlineStr">
        <is>
          <t>ISIC 07T08</t>
        </is>
      </c>
      <c r="E838" t="n">
        <v>0.4327368836123752</v>
      </c>
      <c r="F838" t="inlineStr">
        <is>
          <t>BEA 2024 output share (default)</t>
        </is>
      </c>
      <c r="G838" t="n">
        <v>0.4327368836123752</v>
      </c>
    </row>
    <row r="839">
      <c r="A839" t="inlineStr">
        <is>
          <t>SoESCaOMCbIC-variableOM.csv</t>
        </is>
      </c>
      <c r="B839" t="inlineStr">
        <is>
          <t>hard coal</t>
        </is>
      </c>
      <c r="C839" t="inlineStr">
        <is>
          <t>ISIC 08</t>
        </is>
      </c>
      <c r="D839" t="inlineStr">
        <is>
          <t>ISIC 07T08</t>
        </is>
      </c>
      <c r="E839" t="n">
        <v>0.5672631163876248</v>
      </c>
      <c r="F839" t="inlineStr">
        <is>
          <t>BEA 2024 output share (default)</t>
        </is>
      </c>
      <c r="G839" t="n">
        <v>0.5672631163876248</v>
      </c>
    </row>
    <row r="840">
      <c r="A840" t="inlineStr">
        <is>
          <t>SoESCaOMCbIC-variableOM.csv</t>
        </is>
      </c>
      <c r="B840" t="inlineStr">
        <is>
          <t>hard coal</t>
        </is>
      </c>
      <c r="C840" t="inlineStr">
        <is>
          <t>ISIC 301</t>
        </is>
      </c>
      <c r="D840" t="inlineStr">
        <is>
          <t>ISIC 30</t>
        </is>
      </c>
      <c r="E840" t="n">
        <v>0.1171368722490322</v>
      </c>
      <c r="F840" t="inlineStr">
        <is>
          <t>BEA 2024 output share (default)</t>
        </is>
      </c>
      <c r="G840" t="n">
        <v>0.1171368722490322</v>
      </c>
    </row>
    <row r="841">
      <c r="A841" t="inlineStr">
        <is>
          <t>SoESCaOMCbIC-variableOM.csv</t>
        </is>
      </c>
      <c r="B841" t="inlineStr">
        <is>
          <t>hard coal</t>
        </is>
      </c>
      <c r="C841" t="inlineStr">
        <is>
          <t>ISIC 302T309</t>
        </is>
      </c>
      <c r="D841" t="inlineStr">
        <is>
          <t>ISIC 30</t>
        </is>
      </c>
      <c r="E841" t="n">
        <v>0.8828631277509678</v>
      </c>
      <c r="F841" t="inlineStr">
        <is>
          <t>BEA 2024 output share (default)</t>
        </is>
      </c>
      <c r="G841" t="n">
        <v>0.8828631277509678</v>
      </c>
    </row>
    <row r="842">
      <c r="A842" t="inlineStr">
        <is>
          <t>SoESCaOMCbIC-variableOM.csv</t>
        </is>
      </c>
      <c r="B842" t="inlineStr">
        <is>
          <t>hard coal</t>
        </is>
      </c>
      <c r="C842" t="inlineStr">
        <is>
          <t>ISIC 49</t>
        </is>
      </c>
      <c r="D842" t="inlineStr">
        <is>
          <t>ISIC 49T53</t>
        </is>
      </c>
      <c r="E842" t="n">
        <v>0.4781643011829615</v>
      </c>
      <c r="F842" t="inlineStr">
        <is>
          <t>BEA 2024 output share (default)</t>
        </is>
      </c>
      <c r="G842" t="n">
        <v>0.4781643011829615</v>
      </c>
    </row>
    <row r="843">
      <c r="A843" t="inlineStr">
        <is>
          <t>SoESCaOMCbIC-variableOM.csv</t>
        </is>
      </c>
      <c r="B843" t="inlineStr">
        <is>
          <t>hard coal</t>
        </is>
      </c>
      <c r="C843" t="inlineStr">
        <is>
          <t>ISIC 50</t>
        </is>
      </c>
      <c r="D843" t="inlineStr">
        <is>
          <t>ISIC 49T53</t>
        </is>
      </c>
      <c r="E843" t="n">
        <v>0.04258639396614965</v>
      </c>
      <c r="F843" t="inlineStr">
        <is>
          <t>BEA 2024 output share (default)</t>
        </is>
      </c>
      <c r="G843" t="n">
        <v>0.04258639396614965</v>
      </c>
    </row>
    <row r="844">
      <c r="A844" t="inlineStr">
        <is>
          <t>SoESCaOMCbIC-variableOM.csv</t>
        </is>
      </c>
      <c r="B844" t="inlineStr">
        <is>
          <t>hard coal</t>
        </is>
      </c>
      <c r="C844" t="inlineStr">
        <is>
          <t>ISIC 51</t>
        </is>
      </c>
      <c r="D844" t="inlineStr">
        <is>
          <t>ISIC 49T53</t>
        </is>
      </c>
      <c r="E844" t="n">
        <v>0.1808024634415262</v>
      </c>
      <c r="F844" t="inlineStr">
        <is>
          <t>BEA 2024 output share (default)</t>
        </is>
      </c>
      <c r="G844" t="n">
        <v>0.1808024634415262</v>
      </c>
    </row>
    <row r="845">
      <c r="A845" t="inlineStr">
        <is>
          <t>SoESCaOMCbIC-variableOM.csv</t>
        </is>
      </c>
      <c r="B845" t="inlineStr">
        <is>
          <t>hard coal</t>
        </is>
      </c>
      <c r="C845" t="inlineStr">
        <is>
          <t>ISIC 52</t>
        </is>
      </c>
      <c r="D845" t="inlineStr">
        <is>
          <t>ISIC 49T53</t>
        </is>
      </c>
      <c r="E845" t="n">
        <v>0.2139060571318126</v>
      </c>
      <c r="F845" t="inlineStr">
        <is>
          <t>BEA 2024 output share (default)</t>
        </is>
      </c>
      <c r="G845" t="n">
        <v>0.2139060571318126</v>
      </c>
    </row>
    <row r="846">
      <c r="A846" t="inlineStr">
        <is>
          <t>SoESCaOMCbIC-variableOM.csv</t>
        </is>
      </c>
      <c r="B846" t="inlineStr">
        <is>
          <t>hard coal</t>
        </is>
      </c>
      <c r="C846" t="inlineStr">
        <is>
          <t>ISIC 53</t>
        </is>
      </c>
      <c r="D846" t="inlineStr">
        <is>
          <t>ISIC 49T53</t>
        </is>
      </c>
      <c r="E846" t="n">
        <v>0.08454078427755009</v>
      </c>
      <c r="F846" t="inlineStr">
        <is>
          <t>BEA 2024 output share (default)</t>
        </is>
      </c>
      <c r="G846" t="n">
        <v>0.08454078427755009</v>
      </c>
    </row>
    <row r="847">
      <c r="A847" t="inlineStr">
        <is>
          <t>SoESCaOMCbIC-variableOM.csv</t>
        </is>
      </c>
      <c r="B847" t="inlineStr">
        <is>
          <t>hard coal</t>
        </is>
      </c>
      <c r="C847" t="inlineStr">
        <is>
          <t>ISIC 69T75</t>
        </is>
      </c>
      <c r="D847" t="inlineStr">
        <is>
          <t>ISIC 69T82</t>
        </is>
      </c>
      <c r="E847" t="n">
        <v>1</v>
      </c>
      <c r="F847" t="inlineStr">
        <is>
          <t>semantic override</t>
        </is>
      </c>
      <c r="G847" t="n">
        <v>0.7298219447914125</v>
      </c>
    </row>
    <row r="848">
      <c r="A848" t="inlineStr">
        <is>
          <t>SoESCaOMCbIC-variableOM.csv</t>
        </is>
      </c>
      <c r="B848" t="inlineStr">
        <is>
          <t>hard coal</t>
        </is>
      </c>
      <c r="C848" t="inlineStr">
        <is>
          <t>ISIC 77T82</t>
        </is>
      </c>
      <c r="D848" t="inlineStr">
        <is>
          <t>ISIC 69T82</t>
        </is>
      </c>
      <c r="E848" t="n">
        <v>0</v>
      </c>
      <c r="F848" t="inlineStr">
        <is>
          <t>semantic override</t>
        </is>
      </c>
      <c r="G848" t="n">
        <v>0.2701780552085875</v>
      </c>
    </row>
    <row r="849">
      <c r="A849" t="inlineStr">
        <is>
          <t>SoESCaOMCbIC-variableOM.csv</t>
        </is>
      </c>
      <c r="B849" t="inlineStr">
        <is>
          <t>hard coal</t>
        </is>
      </c>
      <c r="C849" t="inlineStr">
        <is>
          <t>ISIC 90T93</t>
        </is>
      </c>
      <c r="D849" t="inlineStr">
        <is>
          <t>ISIC 90T96</t>
        </is>
      </c>
      <c r="E849" t="n">
        <v>0.4216249514352275</v>
      </c>
      <c r="F849" t="inlineStr">
        <is>
          <t>BEA 2024 output share (default)</t>
        </is>
      </c>
      <c r="G849" t="n">
        <v>0.4216249514352275</v>
      </c>
    </row>
    <row r="850">
      <c r="A850" t="inlineStr">
        <is>
          <t>SoESCaOMCbIC-variableOM.csv</t>
        </is>
      </c>
      <c r="B850" t="inlineStr">
        <is>
          <t>hard coal</t>
        </is>
      </c>
      <c r="C850" t="inlineStr">
        <is>
          <t>ISIC 94T96</t>
        </is>
      </c>
      <c r="D850" t="inlineStr">
        <is>
          <t>ISIC 90T96</t>
        </is>
      </c>
      <c r="E850" t="n">
        <v>0.5783750485647725</v>
      </c>
      <c r="F850" t="inlineStr">
        <is>
          <t>BEA 2024 output share (default)</t>
        </is>
      </c>
      <c r="G850" t="n">
        <v>0.5783750485647725</v>
      </c>
    </row>
    <row r="851">
      <c r="A851" t="inlineStr">
        <is>
          <t>SoESCaOMCbIC-variableOM.csv</t>
        </is>
      </c>
      <c r="B851" t="inlineStr">
        <is>
          <t>hard coal w CCS</t>
        </is>
      </c>
      <c r="C851" t="inlineStr">
        <is>
          <t>ISIC 01</t>
        </is>
      </c>
      <c r="D851" t="inlineStr">
        <is>
          <t>ISIC 01T03</t>
        </is>
      </c>
      <c r="E851" t="n">
        <v>0.9429986826432329</v>
      </c>
      <c r="F851" t="inlineStr">
        <is>
          <t>BEA 2024 output share (default)</t>
        </is>
      </c>
      <c r="G851" t="n">
        <v>0.9429986826432329</v>
      </c>
    </row>
    <row r="852">
      <c r="A852" t="inlineStr">
        <is>
          <t>SoESCaOMCbIC-variableOM.csv</t>
        </is>
      </c>
      <c r="B852" t="inlineStr">
        <is>
          <t>hard coal w CCS</t>
        </is>
      </c>
      <c r="C852" t="inlineStr">
        <is>
          <t>ISIC 02</t>
        </is>
      </c>
      <c r="D852" t="inlineStr">
        <is>
          <t>ISIC 01T03</t>
        </is>
      </c>
      <c r="E852" t="n">
        <v>0.04176573136965662</v>
      </c>
      <c r="F852" t="inlineStr">
        <is>
          <t>BEA 2024 output share (default)</t>
        </is>
      </c>
      <c r="G852" t="n">
        <v>0.04176573136965662</v>
      </c>
    </row>
    <row r="853">
      <c r="A853" t="inlineStr">
        <is>
          <t>SoESCaOMCbIC-variableOM.csv</t>
        </is>
      </c>
      <c r="B853" t="inlineStr">
        <is>
          <t>hard coal w CCS</t>
        </is>
      </c>
      <c r="C853" t="inlineStr">
        <is>
          <t>ISIC 03</t>
        </is>
      </c>
      <c r="D853" t="inlineStr">
        <is>
          <t>ISIC 01T03</t>
        </is>
      </c>
      <c r="E853" t="n">
        <v>0.01523558598711041</v>
      </c>
      <c r="F853" t="inlineStr">
        <is>
          <t>BEA 2024 output share (default)</t>
        </is>
      </c>
      <c r="G853" t="n">
        <v>0.01523558598711041</v>
      </c>
    </row>
    <row r="854">
      <c r="A854" t="inlineStr">
        <is>
          <t>SoESCaOMCbIC-variableOM.csv</t>
        </is>
      </c>
      <c r="B854" t="inlineStr">
        <is>
          <t>hard coal w CCS</t>
        </is>
      </c>
      <c r="C854" t="inlineStr">
        <is>
          <t>ISIC 07</t>
        </is>
      </c>
      <c r="D854" t="inlineStr">
        <is>
          <t>ISIC 07T08</t>
        </is>
      </c>
      <c r="E854" t="n">
        <v>0.4327368836123752</v>
      </c>
      <c r="F854" t="inlineStr">
        <is>
          <t>BEA 2024 output share (default)</t>
        </is>
      </c>
      <c r="G854" t="n">
        <v>0.4327368836123752</v>
      </c>
    </row>
    <row r="855">
      <c r="A855" t="inlineStr">
        <is>
          <t>SoESCaOMCbIC-variableOM.csv</t>
        </is>
      </c>
      <c r="B855" t="inlineStr">
        <is>
          <t>hard coal w CCS</t>
        </is>
      </c>
      <c r="C855" t="inlineStr">
        <is>
          <t>ISIC 08</t>
        </is>
      </c>
      <c r="D855" t="inlineStr">
        <is>
          <t>ISIC 07T08</t>
        </is>
      </c>
      <c r="E855" t="n">
        <v>0.5672631163876248</v>
      </c>
      <c r="F855" t="inlineStr">
        <is>
          <t>BEA 2024 output share (default)</t>
        </is>
      </c>
      <c r="G855" t="n">
        <v>0.5672631163876248</v>
      </c>
    </row>
    <row r="856">
      <c r="A856" t="inlineStr">
        <is>
          <t>SoESCaOMCbIC-variableOM.csv</t>
        </is>
      </c>
      <c r="B856" t="inlineStr">
        <is>
          <t>hard coal w CCS</t>
        </is>
      </c>
      <c r="C856" t="inlineStr">
        <is>
          <t>ISIC 301</t>
        </is>
      </c>
      <c r="D856" t="inlineStr">
        <is>
          <t>ISIC 30</t>
        </is>
      </c>
      <c r="E856" t="n">
        <v>0.1171368722490322</v>
      </c>
      <c r="F856" t="inlineStr">
        <is>
          <t>BEA 2024 output share (default)</t>
        </is>
      </c>
      <c r="G856" t="n">
        <v>0.1171368722490322</v>
      </c>
    </row>
    <row r="857">
      <c r="A857" t="inlineStr">
        <is>
          <t>SoESCaOMCbIC-variableOM.csv</t>
        </is>
      </c>
      <c r="B857" t="inlineStr">
        <is>
          <t>hard coal w CCS</t>
        </is>
      </c>
      <c r="C857" t="inlineStr">
        <is>
          <t>ISIC 302T309</t>
        </is>
      </c>
      <c r="D857" t="inlineStr">
        <is>
          <t>ISIC 30</t>
        </is>
      </c>
      <c r="E857" t="n">
        <v>0.8828631277509678</v>
      </c>
      <c r="F857" t="inlineStr">
        <is>
          <t>BEA 2024 output share (default)</t>
        </is>
      </c>
      <c r="G857" t="n">
        <v>0.8828631277509678</v>
      </c>
    </row>
    <row r="858">
      <c r="A858" t="inlineStr">
        <is>
          <t>SoESCaOMCbIC-variableOM.csv</t>
        </is>
      </c>
      <c r="B858" t="inlineStr">
        <is>
          <t>hard coal w CCS</t>
        </is>
      </c>
      <c r="C858" t="inlineStr">
        <is>
          <t>ISIC 49</t>
        </is>
      </c>
      <c r="D858" t="inlineStr">
        <is>
          <t>ISIC 49T53</t>
        </is>
      </c>
      <c r="E858" t="n">
        <v>0.4781643011829615</v>
      </c>
      <c r="F858" t="inlineStr">
        <is>
          <t>BEA 2024 output share (default)</t>
        </is>
      </c>
      <c r="G858" t="n">
        <v>0.4781643011829615</v>
      </c>
    </row>
    <row r="859">
      <c r="A859" t="inlineStr">
        <is>
          <t>SoESCaOMCbIC-variableOM.csv</t>
        </is>
      </c>
      <c r="B859" t="inlineStr">
        <is>
          <t>hard coal w CCS</t>
        </is>
      </c>
      <c r="C859" t="inlineStr">
        <is>
          <t>ISIC 50</t>
        </is>
      </c>
      <c r="D859" t="inlineStr">
        <is>
          <t>ISIC 49T53</t>
        </is>
      </c>
      <c r="E859" t="n">
        <v>0.04258639396614965</v>
      </c>
      <c r="F859" t="inlineStr">
        <is>
          <t>BEA 2024 output share (default)</t>
        </is>
      </c>
      <c r="G859" t="n">
        <v>0.04258639396614965</v>
      </c>
    </row>
    <row r="860">
      <c r="A860" t="inlineStr">
        <is>
          <t>SoESCaOMCbIC-variableOM.csv</t>
        </is>
      </c>
      <c r="B860" t="inlineStr">
        <is>
          <t>hard coal w CCS</t>
        </is>
      </c>
      <c r="C860" t="inlineStr">
        <is>
          <t>ISIC 51</t>
        </is>
      </c>
      <c r="D860" t="inlineStr">
        <is>
          <t>ISIC 49T53</t>
        </is>
      </c>
      <c r="E860" t="n">
        <v>0.1808024634415262</v>
      </c>
      <c r="F860" t="inlineStr">
        <is>
          <t>BEA 2024 output share (default)</t>
        </is>
      </c>
      <c r="G860" t="n">
        <v>0.1808024634415262</v>
      </c>
    </row>
    <row r="861">
      <c r="A861" t="inlineStr">
        <is>
          <t>SoESCaOMCbIC-variableOM.csv</t>
        </is>
      </c>
      <c r="B861" t="inlineStr">
        <is>
          <t>hard coal w CCS</t>
        </is>
      </c>
      <c r="C861" t="inlineStr">
        <is>
          <t>ISIC 52</t>
        </is>
      </c>
      <c r="D861" t="inlineStr">
        <is>
          <t>ISIC 49T53</t>
        </is>
      </c>
      <c r="E861" t="n">
        <v>0.2139060571318126</v>
      </c>
      <c r="F861" t="inlineStr">
        <is>
          <t>BEA 2024 output share (default)</t>
        </is>
      </c>
      <c r="G861" t="n">
        <v>0.2139060571318126</v>
      </c>
    </row>
    <row r="862">
      <c r="A862" t="inlineStr">
        <is>
          <t>SoESCaOMCbIC-variableOM.csv</t>
        </is>
      </c>
      <c r="B862" t="inlineStr">
        <is>
          <t>hard coal w CCS</t>
        </is>
      </c>
      <c r="C862" t="inlineStr">
        <is>
          <t>ISIC 53</t>
        </is>
      </c>
      <c r="D862" t="inlineStr">
        <is>
          <t>ISIC 49T53</t>
        </is>
      </c>
      <c r="E862" t="n">
        <v>0.08454078427755009</v>
      </c>
      <c r="F862" t="inlineStr">
        <is>
          <t>BEA 2024 output share (default)</t>
        </is>
      </c>
      <c r="G862" t="n">
        <v>0.08454078427755009</v>
      </c>
    </row>
    <row r="863">
      <c r="A863" t="inlineStr">
        <is>
          <t>SoESCaOMCbIC-variableOM.csv</t>
        </is>
      </c>
      <c r="B863" t="inlineStr">
        <is>
          <t>hard coal w CCS</t>
        </is>
      </c>
      <c r="C863" t="inlineStr">
        <is>
          <t>ISIC 69T75</t>
        </is>
      </c>
      <c r="D863" t="inlineStr">
        <is>
          <t>ISIC 69T82</t>
        </is>
      </c>
      <c r="E863" t="n">
        <v>1</v>
      </c>
      <c r="F863" t="inlineStr">
        <is>
          <t>semantic override</t>
        </is>
      </c>
      <c r="G863" t="n">
        <v>0.7298219447914125</v>
      </c>
    </row>
    <row r="864">
      <c r="A864" t="inlineStr">
        <is>
          <t>SoESCaOMCbIC-variableOM.csv</t>
        </is>
      </c>
      <c r="B864" t="inlineStr">
        <is>
          <t>hard coal w CCS</t>
        </is>
      </c>
      <c r="C864" t="inlineStr">
        <is>
          <t>ISIC 77T82</t>
        </is>
      </c>
      <c r="D864" t="inlineStr">
        <is>
          <t>ISIC 69T82</t>
        </is>
      </c>
      <c r="E864" t="n">
        <v>0</v>
      </c>
      <c r="F864" t="inlineStr">
        <is>
          <t>semantic override</t>
        </is>
      </c>
      <c r="G864" t="n">
        <v>0.2701780552085875</v>
      </c>
    </row>
    <row r="865">
      <c r="A865" t="inlineStr">
        <is>
          <t>SoESCaOMCbIC-variableOM.csv</t>
        </is>
      </c>
      <c r="B865" t="inlineStr">
        <is>
          <t>hard coal w CCS</t>
        </is>
      </c>
      <c r="C865" t="inlineStr">
        <is>
          <t>ISIC 90T93</t>
        </is>
      </c>
      <c r="D865" t="inlineStr">
        <is>
          <t>ISIC 90T96</t>
        </is>
      </c>
      <c r="E865" t="n">
        <v>0.4216249514352275</v>
      </c>
      <c r="F865" t="inlineStr">
        <is>
          <t>BEA 2024 output share (default)</t>
        </is>
      </c>
      <c r="G865" t="n">
        <v>0.4216249514352275</v>
      </c>
    </row>
    <row r="866">
      <c r="A866" t="inlineStr">
        <is>
          <t>SoESCaOMCbIC-variableOM.csv</t>
        </is>
      </c>
      <c r="B866" t="inlineStr">
        <is>
          <t>hard coal w CCS</t>
        </is>
      </c>
      <c r="C866" t="inlineStr">
        <is>
          <t>ISIC 94T96</t>
        </is>
      </c>
      <c r="D866" t="inlineStr">
        <is>
          <t>ISIC 90T96</t>
        </is>
      </c>
      <c r="E866" t="n">
        <v>0.5783750485647725</v>
      </c>
      <c r="F866" t="inlineStr">
        <is>
          <t>BEA 2024 output share (default)</t>
        </is>
      </c>
      <c r="G866" t="n">
        <v>0.5783750485647725</v>
      </c>
    </row>
    <row r="867">
      <c r="A867" t="inlineStr">
        <is>
          <t>SoESCaOMCbIC-variableOM.csv</t>
        </is>
      </c>
      <c r="B867" t="inlineStr">
        <is>
          <t>heavy or residual fuel oil</t>
        </is>
      </c>
      <c r="C867" t="inlineStr">
        <is>
          <t>ISIC 01</t>
        </is>
      </c>
      <c r="D867" t="inlineStr">
        <is>
          <t>ISIC 01T03</t>
        </is>
      </c>
      <c r="E867" t="n">
        <v>0.9429986826432329</v>
      </c>
      <c r="F867" t="inlineStr">
        <is>
          <t>BEA 2024 output share (default)</t>
        </is>
      </c>
      <c r="G867" t="n">
        <v>0.9429986826432329</v>
      </c>
    </row>
    <row r="868">
      <c r="A868" t="inlineStr">
        <is>
          <t>SoESCaOMCbIC-variableOM.csv</t>
        </is>
      </c>
      <c r="B868" t="inlineStr">
        <is>
          <t>heavy or residual fuel oil</t>
        </is>
      </c>
      <c r="C868" t="inlineStr">
        <is>
          <t>ISIC 02</t>
        </is>
      </c>
      <c r="D868" t="inlineStr">
        <is>
          <t>ISIC 01T03</t>
        </is>
      </c>
      <c r="E868" t="n">
        <v>0.04176573136965662</v>
      </c>
      <c r="F868" t="inlineStr">
        <is>
          <t>BEA 2024 output share (default)</t>
        </is>
      </c>
      <c r="G868" t="n">
        <v>0.04176573136965662</v>
      </c>
    </row>
    <row r="869">
      <c r="A869" t="inlineStr">
        <is>
          <t>SoESCaOMCbIC-variableOM.csv</t>
        </is>
      </c>
      <c r="B869" t="inlineStr">
        <is>
          <t>heavy or residual fuel oil</t>
        </is>
      </c>
      <c r="C869" t="inlineStr">
        <is>
          <t>ISIC 03</t>
        </is>
      </c>
      <c r="D869" t="inlineStr">
        <is>
          <t>ISIC 01T03</t>
        </is>
      </c>
      <c r="E869" t="n">
        <v>0.01523558598711041</v>
      </c>
      <c r="F869" t="inlineStr">
        <is>
          <t>BEA 2024 output share (default)</t>
        </is>
      </c>
      <c r="G869" t="n">
        <v>0.01523558598711041</v>
      </c>
    </row>
    <row r="870">
      <c r="A870" t="inlineStr">
        <is>
          <t>SoESCaOMCbIC-variableOM.csv</t>
        </is>
      </c>
      <c r="B870" t="inlineStr">
        <is>
          <t>heavy or residual fuel oil</t>
        </is>
      </c>
      <c r="C870" t="inlineStr">
        <is>
          <t>ISIC 07</t>
        </is>
      </c>
      <c r="D870" t="inlineStr">
        <is>
          <t>ISIC 07T08</t>
        </is>
      </c>
      <c r="E870" t="n">
        <v>0.4327368836123752</v>
      </c>
      <c r="F870" t="inlineStr">
        <is>
          <t>BEA 2024 output share (default)</t>
        </is>
      </c>
      <c r="G870" t="n">
        <v>0.4327368836123752</v>
      </c>
    </row>
    <row r="871">
      <c r="A871" t="inlineStr">
        <is>
          <t>SoESCaOMCbIC-variableOM.csv</t>
        </is>
      </c>
      <c r="B871" t="inlineStr">
        <is>
          <t>heavy or residual fuel oil</t>
        </is>
      </c>
      <c r="C871" t="inlineStr">
        <is>
          <t>ISIC 08</t>
        </is>
      </c>
      <c r="D871" t="inlineStr">
        <is>
          <t>ISIC 07T08</t>
        </is>
      </c>
      <c r="E871" t="n">
        <v>0.5672631163876248</v>
      </c>
      <c r="F871" t="inlineStr">
        <is>
          <t>BEA 2024 output share (default)</t>
        </is>
      </c>
      <c r="G871" t="n">
        <v>0.5672631163876248</v>
      </c>
    </row>
    <row r="872">
      <c r="A872" t="inlineStr">
        <is>
          <t>SoESCaOMCbIC-variableOM.csv</t>
        </is>
      </c>
      <c r="B872" t="inlineStr">
        <is>
          <t>heavy or residual fuel oil</t>
        </is>
      </c>
      <c r="C872" t="inlineStr">
        <is>
          <t>ISIC 301</t>
        </is>
      </c>
      <c r="D872" t="inlineStr">
        <is>
          <t>ISIC 30</t>
        </is>
      </c>
      <c r="E872" t="n">
        <v>0.1171368722490322</v>
      </c>
      <c r="F872" t="inlineStr">
        <is>
          <t>BEA 2024 output share (default)</t>
        </is>
      </c>
      <c r="G872" t="n">
        <v>0.1171368722490322</v>
      </c>
    </row>
    <row r="873">
      <c r="A873" t="inlineStr">
        <is>
          <t>SoESCaOMCbIC-variableOM.csv</t>
        </is>
      </c>
      <c r="B873" t="inlineStr">
        <is>
          <t>heavy or residual fuel oil</t>
        </is>
      </c>
      <c r="C873" t="inlineStr">
        <is>
          <t>ISIC 302T309</t>
        </is>
      </c>
      <c r="D873" t="inlineStr">
        <is>
          <t>ISIC 30</t>
        </is>
      </c>
      <c r="E873" t="n">
        <v>0.8828631277509678</v>
      </c>
      <c r="F873" t="inlineStr">
        <is>
          <t>BEA 2024 output share (default)</t>
        </is>
      </c>
      <c r="G873" t="n">
        <v>0.8828631277509678</v>
      </c>
    </row>
    <row r="874">
      <c r="A874" t="inlineStr">
        <is>
          <t>SoESCaOMCbIC-variableOM.csv</t>
        </is>
      </c>
      <c r="B874" t="inlineStr">
        <is>
          <t>heavy or residual fuel oil</t>
        </is>
      </c>
      <c r="C874" t="inlineStr">
        <is>
          <t>ISIC 49</t>
        </is>
      </c>
      <c r="D874" t="inlineStr">
        <is>
          <t>ISIC 49T53</t>
        </is>
      </c>
      <c r="E874" t="n">
        <v>0.4781643011829615</v>
      </c>
      <c r="F874" t="inlineStr">
        <is>
          <t>BEA 2024 output share (default)</t>
        </is>
      </c>
      <c r="G874" t="n">
        <v>0.4781643011829615</v>
      </c>
    </row>
    <row r="875">
      <c r="A875" t="inlineStr">
        <is>
          <t>SoESCaOMCbIC-variableOM.csv</t>
        </is>
      </c>
      <c r="B875" t="inlineStr">
        <is>
          <t>heavy or residual fuel oil</t>
        </is>
      </c>
      <c r="C875" t="inlineStr">
        <is>
          <t>ISIC 50</t>
        </is>
      </c>
      <c r="D875" t="inlineStr">
        <is>
          <t>ISIC 49T53</t>
        </is>
      </c>
      <c r="E875" t="n">
        <v>0.04258639396614965</v>
      </c>
      <c r="F875" t="inlineStr">
        <is>
          <t>BEA 2024 output share (default)</t>
        </is>
      </c>
      <c r="G875" t="n">
        <v>0.04258639396614965</v>
      </c>
    </row>
    <row r="876">
      <c r="A876" t="inlineStr">
        <is>
          <t>SoESCaOMCbIC-variableOM.csv</t>
        </is>
      </c>
      <c r="B876" t="inlineStr">
        <is>
          <t>heavy or residual fuel oil</t>
        </is>
      </c>
      <c r="C876" t="inlineStr">
        <is>
          <t>ISIC 51</t>
        </is>
      </c>
      <c r="D876" t="inlineStr">
        <is>
          <t>ISIC 49T53</t>
        </is>
      </c>
      <c r="E876" t="n">
        <v>0.1808024634415262</v>
      </c>
      <c r="F876" t="inlineStr">
        <is>
          <t>BEA 2024 output share (default)</t>
        </is>
      </c>
      <c r="G876" t="n">
        <v>0.1808024634415262</v>
      </c>
    </row>
    <row r="877">
      <c r="A877" t="inlineStr">
        <is>
          <t>SoESCaOMCbIC-variableOM.csv</t>
        </is>
      </c>
      <c r="B877" t="inlineStr">
        <is>
          <t>heavy or residual fuel oil</t>
        </is>
      </c>
      <c r="C877" t="inlineStr">
        <is>
          <t>ISIC 52</t>
        </is>
      </c>
      <c r="D877" t="inlineStr">
        <is>
          <t>ISIC 49T53</t>
        </is>
      </c>
      <c r="E877" t="n">
        <v>0.2139060571318126</v>
      </c>
      <c r="F877" t="inlineStr">
        <is>
          <t>BEA 2024 output share (default)</t>
        </is>
      </c>
      <c r="G877" t="n">
        <v>0.2139060571318126</v>
      </c>
    </row>
    <row r="878">
      <c r="A878" t="inlineStr">
        <is>
          <t>SoESCaOMCbIC-variableOM.csv</t>
        </is>
      </c>
      <c r="B878" t="inlineStr">
        <is>
          <t>heavy or residual fuel oil</t>
        </is>
      </c>
      <c r="C878" t="inlineStr">
        <is>
          <t>ISIC 53</t>
        </is>
      </c>
      <c r="D878" t="inlineStr">
        <is>
          <t>ISIC 49T53</t>
        </is>
      </c>
      <c r="E878" t="n">
        <v>0.08454078427755009</v>
      </c>
      <c r="F878" t="inlineStr">
        <is>
          <t>BEA 2024 output share (default)</t>
        </is>
      </c>
      <c r="G878" t="n">
        <v>0.08454078427755009</v>
      </c>
    </row>
    <row r="879">
      <c r="A879" t="inlineStr">
        <is>
          <t>SoESCaOMCbIC-variableOM.csv</t>
        </is>
      </c>
      <c r="B879" t="inlineStr">
        <is>
          <t>heavy or residual fuel oil</t>
        </is>
      </c>
      <c r="C879" t="inlineStr">
        <is>
          <t>ISIC 69T75</t>
        </is>
      </c>
      <c r="D879" t="inlineStr">
        <is>
          <t>ISIC 69T82</t>
        </is>
      </c>
      <c r="E879" t="n">
        <v>1</v>
      </c>
      <c r="F879" t="inlineStr">
        <is>
          <t>semantic override</t>
        </is>
      </c>
      <c r="G879" t="n">
        <v>0.7298219447914125</v>
      </c>
    </row>
    <row r="880">
      <c r="A880" t="inlineStr">
        <is>
          <t>SoESCaOMCbIC-variableOM.csv</t>
        </is>
      </c>
      <c r="B880" t="inlineStr">
        <is>
          <t>heavy or residual fuel oil</t>
        </is>
      </c>
      <c r="C880" t="inlineStr">
        <is>
          <t>ISIC 77T82</t>
        </is>
      </c>
      <c r="D880" t="inlineStr">
        <is>
          <t>ISIC 69T82</t>
        </is>
      </c>
      <c r="E880" t="n">
        <v>0</v>
      </c>
      <c r="F880" t="inlineStr">
        <is>
          <t>semantic override</t>
        </is>
      </c>
      <c r="G880" t="n">
        <v>0.2701780552085875</v>
      </c>
    </row>
    <row r="881">
      <c r="A881" t="inlineStr">
        <is>
          <t>SoESCaOMCbIC-variableOM.csv</t>
        </is>
      </c>
      <c r="B881" t="inlineStr">
        <is>
          <t>heavy or residual fuel oil</t>
        </is>
      </c>
      <c r="C881" t="inlineStr">
        <is>
          <t>ISIC 90T93</t>
        </is>
      </c>
      <c r="D881" t="inlineStr">
        <is>
          <t>ISIC 90T96</t>
        </is>
      </c>
      <c r="E881" t="n">
        <v>0.4216249514352275</v>
      </c>
      <c r="F881" t="inlineStr">
        <is>
          <t>BEA 2024 output share (default)</t>
        </is>
      </c>
      <c r="G881" t="n">
        <v>0.4216249514352275</v>
      </c>
    </row>
    <row r="882">
      <c r="A882" t="inlineStr">
        <is>
          <t>SoESCaOMCbIC-variableOM.csv</t>
        </is>
      </c>
      <c r="B882" t="inlineStr">
        <is>
          <t>heavy or residual fuel oil</t>
        </is>
      </c>
      <c r="C882" t="inlineStr">
        <is>
          <t>ISIC 94T96</t>
        </is>
      </c>
      <c r="D882" t="inlineStr">
        <is>
          <t>ISIC 90T96</t>
        </is>
      </c>
      <c r="E882" t="n">
        <v>0.5783750485647725</v>
      </c>
      <c r="F882" t="inlineStr">
        <is>
          <t>BEA 2024 output share (default)</t>
        </is>
      </c>
      <c r="G882" t="n">
        <v>0.5783750485647725</v>
      </c>
    </row>
    <row r="883">
      <c r="A883" t="inlineStr">
        <is>
          <t>SoESCaOMCbIC-variableOM.csv</t>
        </is>
      </c>
      <c r="B883" t="inlineStr">
        <is>
          <t>hydro</t>
        </is>
      </c>
      <c r="C883" t="inlineStr">
        <is>
          <t>ISIC 01</t>
        </is>
      </c>
      <c r="D883" t="inlineStr">
        <is>
          <t>ISIC 01T03</t>
        </is>
      </c>
      <c r="E883" t="n">
        <v>0.9429986826432329</v>
      </c>
      <c r="F883" t="inlineStr">
        <is>
          <t>BEA 2024 output share (default)</t>
        </is>
      </c>
      <c r="G883" t="n">
        <v>0.9429986826432329</v>
      </c>
    </row>
    <row r="884">
      <c r="A884" t="inlineStr">
        <is>
          <t>SoESCaOMCbIC-variableOM.csv</t>
        </is>
      </c>
      <c r="B884" t="inlineStr">
        <is>
          <t>hydro</t>
        </is>
      </c>
      <c r="C884" t="inlineStr">
        <is>
          <t>ISIC 02</t>
        </is>
      </c>
      <c r="D884" t="inlineStr">
        <is>
          <t>ISIC 01T03</t>
        </is>
      </c>
      <c r="E884" t="n">
        <v>0.04176573136965662</v>
      </c>
      <c r="F884" t="inlineStr">
        <is>
          <t>BEA 2024 output share (default)</t>
        </is>
      </c>
      <c r="G884" t="n">
        <v>0.04176573136965662</v>
      </c>
    </row>
    <row r="885">
      <c r="A885" t="inlineStr">
        <is>
          <t>SoESCaOMCbIC-variableOM.csv</t>
        </is>
      </c>
      <c r="B885" t="inlineStr">
        <is>
          <t>hydro</t>
        </is>
      </c>
      <c r="C885" t="inlineStr">
        <is>
          <t>ISIC 03</t>
        </is>
      </c>
      <c r="D885" t="inlineStr">
        <is>
          <t>ISIC 01T03</t>
        </is>
      </c>
      <c r="E885" t="n">
        <v>0.01523558598711041</v>
      </c>
      <c r="F885" t="inlineStr">
        <is>
          <t>BEA 2024 output share (default)</t>
        </is>
      </c>
      <c r="G885" t="n">
        <v>0.01523558598711041</v>
      </c>
    </row>
    <row r="886">
      <c r="A886" t="inlineStr">
        <is>
          <t>SoESCaOMCbIC-variableOM.csv</t>
        </is>
      </c>
      <c r="B886" t="inlineStr">
        <is>
          <t>hydro</t>
        </is>
      </c>
      <c r="C886" t="inlineStr">
        <is>
          <t>ISIC 07</t>
        </is>
      </c>
      <c r="D886" t="inlineStr">
        <is>
          <t>ISIC 07T08</t>
        </is>
      </c>
      <c r="E886" t="n">
        <v>0.4327368836123752</v>
      </c>
      <c r="F886" t="inlineStr">
        <is>
          <t>BEA 2024 output share (default)</t>
        </is>
      </c>
      <c r="G886" t="n">
        <v>0.4327368836123752</v>
      </c>
    </row>
    <row r="887">
      <c r="A887" t="inlineStr">
        <is>
          <t>SoESCaOMCbIC-variableOM.csv</t>
        </is>
      </c>
      <c r="B887" t="inlineStr">
        <is>
          <t>hydro</t>
        </is>
      </c>
      <c r="C887" t="inlineStr">
        <is>
          <t>ISIC 08</t>
        </is>
      </c>
      <c r="D887" t="inlineStr">
        <is>
          <t>ISIC 07T08</t>
        </is>
      </c>
      <c r="E887" t="n">
        <v>0.5672631163876248</v>
      </c>
      <c r="F887" t="inlineStr">
        <is>
          <t>BEA 2024 output share (default)</t>
        </is>
      </c>
      <c r="G887" t="n">
        <v>0.5672631163876248</v>
      </c>
    </row>
    <row r="888">
      <c r="A888" t="inlineStr">
        <is>
          <t>SoESCaOMCbIC-variableOM.csv</t>
        </is>
      </c>
      <c r="B888" t="inlineStr">
        <is>
          <t>hydro</t>
        </is>
      </c>
      <c r="C888" t="inlineStr">
        <is>
          <t>ISIC 301</t>
        </is>
      </c>
      <c r="D888" t="inlineStr">
        <is>
          <t>ISIC 30</t>
        </is>
      </c>
      <c r="E888" t="n">
        <v>0.1171368722490322</v>
      </c>
      <c r="F888" t="inlineStr">
        <is>
          <t>BEA 2024 output share (default)</t>
        </is>
      </c>
      <c r="G888" t="n">
        <v>0.1171368722490322</v>
      </c>
    </row>
    <row r="889">
      <c r="A889" t="inlineStr">
        <is>
          <t>SoESCaOMCbIC-variableOM.csv</t>
        </is>
      </c>
      <c r="B889" t="inlineStr">
        <is>
          <t>hydro</t>
        </is>
      </c>
      <c r="C889" t="inlineStr">
        <is>
          <t>ISIC 302T309</t>
        </is>
      </c>
      <c r="D889" t="inlineStr">
        <is>
          <t>ISIC 30</t>
        </is>
      </c>
      <c r="E889" t="n">
        <v>0.8828631277509678</v>
      </c>
      <c r="F889" t="inlineStr">
        <is>
          <t>BEA 2024 output share (default)</t>
        </is>
      </c>
      <c r="G889" t="n">
        <v>0.8828631277509678</v>
      </c>
    </row>
    <row r="890">
      <c r="A890" t="inlineStr">
        <is>
          <t>SoESCaOMCbIC-variableOM.csv</t>
        </is>
      </c>
      <c r="B890" t="inlineStr">
        <is>
          <t>hydro</t>
        </is>
      </c>
      <c r="C890" t="inlineStr">
        <is>
          <t>ISIC 49</t>
        </is>
      </c>
      <c r="D890" t="inlineStr">
        <is>
          <t>ISIC 49T53</t>
        </is>
      </c>
      <c r="E890" t="n">
        <v>0.4781643011829615</v>
      </c>
      <c r="F890" t="inlineStr">
        <is>
          <t>BEA 2024 output share (default)</t>
        </is>
      </c>
      <c r="G890" t="n">
        <v>0.4781643011829615</v>
      </c>
    </row>
    <row r="891">
      <c r="A891" t="inlineStr">
        <is>
          <t>SoESCaOMCbIC-variableOM.csv</t>
        </is>
      </c>
      <c r="B891" t="inlineStr">
        <is>
          <t>hydro</t>
        </is>
      </c>
      <c r="C891" t="inlineStr">
        <is>
          <t>ISIC 50</t>
        </is>
      </c>
      <c r="D891" t="inlineStr">
        <is>
          <t>ISIC 49T53</t>
        </is>
      </c>
      <c r="E891" t="n">
        <v>0.04258639396614965</v>
      </c>
      <c r="F891" t="inlineStr">
        <is>
          <t>BEA 2024 output share (default)</t>
        </is>
      </c>
      <c r="G891" t="n">
        <v>0.04258639396614965</v>
      </c>
    </row>
    <row r="892">
      <c r="A892" t="inlineStr">
        <is>
          <t>SoESCaOMCbIC-variableOM.csv</t>
        </is>
      </c>
      <c r="B892" t="inlineStr">
        <is>
          <t>hydro</t>
        </is>
      </c>
      <c r="C892" t="inlineStr">
        <is>
          <t>ISIC 51</t>
        </is>
      </c>
      <c r="D892" t="inlineStr">
        <is>
          <t>ISIC 49T53</t>
        </is>
      </c>
      <c r="E892" t="n">
        <v>0.1808024634415262</v>
      </c>
      <c r="F892" t="inlineStr">
        <is>
          <t>BEA 2024 output share (default)</t>
        </is>
      </c>
      <c r="G892" t="n">
        <v>0.1808024634415262</v>
      </c>
    </row>
    <row r="893">
      <c r="A893" t="inlineStr">
        <is>
          <t>SoESCaOMCbIC-variableOM.csv</t>
        </is>
      </c>
      <c r="B893" t="inlineStr">
        <is>
          <t>hydro</t>
        </is>
      </c>
      <c r="C893" t="inlineStr">
        <is>
          <t>ISIC 52</t>
        </is>
      </c>
      <c r="D893" t="inlineStr">
        <is>
          <t>ISIC 49T53</t>
        </is>
      </c>
      <c r="E893" t="n">
        <v>0.2139060571318126</v>
      </c>
      <c r="F893" t="inlineStr">
        <is>
          <t>BEA 2024 output share (default)</t>
        </is>
      </c>
      <c r="G893" t="n">
        <v>0.2139060571318126</v>
      </c>
    </row>
    <row r="894">
      <c r="A894" t="inlineStr">
        <is>
          <t>SoESCaOMCbIC-variableOM.csv</t>
        </is>
      </c>
      <c r="B894" t="inlineStr">
        <is>
          <t>hydro</t>
        </is>
      </c>
      <c r="C894" t="inlineStr">
        <is>
          <t>ISIC 53</t>
        </is>
      </c>
      <c r="D894" t="inlineStr">
        <is>
          <t>ISIC 49T53</t>
        </is>
      </c>
      <c r="E894" t="n">
        <v>0.08454078427755009</v>
      </c>
      <c r="F894" t="inlineStr">
        <is>
          <t>BEA 2024 output share (default)</t>
        </is>
      </c>
      <c r="G894" t="n">
        <v>0.08454078427755009</v>
      </c>
    </row>
    <row r="895">
      <c r="A895" t="inlineStr">
        <is>
          <t>SoESCaOMCbIC-variableOM.csv</t>
        </is>
      </c>
      <c r="B895" t="inlineStr">
        <is>
          <t>hydro</t>
        </is>
      </c>
      <c r="C895" t="inlineStr">
        <is>
          <t>ISIC 69T75</t>
        </is>
      </c>
      <c r="D895" t="inlineStr">
        <is>
          <t>ISIC 69T82</t>
        </is>
      </c>
      <c r="E895" t="n">
        <v>1</v>
      </c>
      <c r="F895" t="inlineStr">
        <is>
          <t>semantic override</t>
        </is>
      </c>
      <c r="G895" t="n">
        <v>0.7298219447914125</v>
      </c>
    </row>
    <row r="896">
      <c r="A896" t="inlineStr">
        <is>
          <t>SoESCaOMCbIC-variableOM.csv</t>
        </is>
      </c>
      <c r="B896" t="inlineStr">
        <is>
          <t>hydro</t>
        </is>
      </c>
      <c r="C896" t="inlineStr">
        <is>
          <t>ISIC 77T82</t>
        </is>
      </c>
      <c r="D896" t="inlineStr">
        <is>
          <t>ISIC 69T82</t>
        </is>
      </c>
      <c r="E896" t="n">
        <v>0</v>
      </c>
      <c r="F896" t="inlineStr">
        <is>
          <t>semantic override</t>
        </is>
      </c>
      <c r="G896" t="n">
        <v>0.2701780552085875</v>
      </c>
    </row>
    <row r="897">
      <c r="A897" t="inlineStr">
        <is>
          <t>SoESCaOMCbIC-variableOM.csv</t>
        </is>
      </c>
      <c r="B897" t="inlineStr">
        <is>
          <t>hydro</t>
        </is>
      </c>
      <c r="C897" t="inlineStr">
        <is>
          <t>ISIC 90T93</t>
        </is>
      </c>
      <c r="D897" t="inlineStr">
        <is>
          <t>ISIC 90T96</t>
        </is>
      </c>
      <c r="E897" t="n">
        <v>0.4216249514352275</v>
      </c>
      <c r="F897" t="inlineStr">
        <is>
          <t>BEA 2024 output share (default)</t>
        </is>
      </c>
      <c r="G897" t="n">
        <v>0.4216249514352275</v>
      </c>
    </row>
    <row r="898">
      <c r="A898" t="inlineStr">
        <is>
          <t>SoESCaOMCbIC-variableOM.csv</t>
        </is>
      </c>
      <c r="B898" t="inlineStr">
        <is>
          <t>hydro</t>
        </is>
      </c>
      <c r="C898" t="inlineStr">
        <is>
          <t>ISIC 94T96</t>
        </is>
      </c>
      <c r="D898" t="inlineStr">
        <is>
          <t>ISIC 90T96</t>
        </is>
      </c>
      <c r="E898" t="n">
        <v>0.5783750485647725</v>
      </c>
      <c r="F898" t="inlineStr">
        <is>
          <t>BEA 2024 output share (default)</t>
        </is>
      </c>
      <c r="G898" t="n">
        <v>0.5783750485647725</v>
      </c>
    </row>
    <row r="899">
      <c r="A899" t="inlineStr">
        <is>
          <t>SoESCaOMCbIC-variableOM.csv</t>
        </is>
      </c>
      <c r="B899" t="inlineStr">
        <is>
          <t>hydrogen combined cycle</t>
        </is>
      </c>
      <c r="C899" t="inlineStr">
        <is>
          <t>ISIC 01</t>
        </is>
      </c>
      <c r="D899" t="inlineStr">
        <is>
          <t>ISIC 01T03</t>
        </is>
      </c>
      <c r="E899" t="n">
        <v>0.9429986826432329</v>
      </c>
      <c r="F899" t="inlineStr">
        <is>
          <t>BEA 2024 output share (default)</t>
        </is>
      </c>
      <c r="G899" t="n">
        <v>0.9429986826432329</v>
      </c>
    </row>
    <row r="900">
      <c r="A900" t="inlineStr">
        <is>
          <t>SoESCaOMCbIC-variableOM.csv</t>
        </is>
      </c>
      <c r="B900" t="inlineStr">
        <is>
          <t>hydrogen combined cycle</t>
        </is>
      </c>
      <c r="C900" t="inlineStr">
        <is>
          <t>ISIC 02</t>
        </is>
      </c>
      <c r="D900" t="inlineStr">
        <is>
          <t>ISIC 01T03</t>
        </is>
      </c>
      <c r="E900" t="n">
        <v>0.04176573136965662</v>
      </c>
      <c r="F900" t="inlineStr">
        <is>
          <t>BEA 2024 output share (default)</t>
        </is>
      </c>
      <c r="G900" t="n">
        <v>0.04176573136965662</v>
      </c>
    </row>
    <row r="901">
      <c r="A901" t="inlineStr">
        <is>
          <t>SoESCaOMCbIC-variableOM.csv</t>
        </is>
      </c>
      <c r="B901" t="inlineStr">
        <is>
          <t>hydrogen combined cycle</t>
        </is>
      </c>
      <c r="C901" t="inlineStr">
        <is>
          <t>ISIC 03</t>
        </is>
      </c>
      <c r="D901" t="inlineStr">
        <is>
          <t>ISIC 01T03</t>
        </is>
      </c>
      <c r="E901" t="n">
        <v>0.01523558598711041</v>
      </c>
      <c r="F901" t="inlineStr">
        <is>
          <t>BEA 2024 output share (default)</t>
        </is>
      </c>
      <c r="G901" t="n">
        <v>0.01523558598711041</v>
      </c>
    </row>
    <row r="902">
      <c r="A902" t="inlineStr">
        <is>
          <t>SoESCaOMCbIC-variableOM.csv</t>
        </is>
      </c>
      <c r="B902" t="inlineStr">
        <is>
          <t>hydrogen combined cycle</t>
        </is>
      </c>
      <c r="C902" t="inlineStr">
        <is>
          <t>ISIC 07</t>
        </is>
      </c>
      <c r="D902" t="inlineStr">
        <is>
          <t>ISIC 07T08</t>
        </is>
      </c>
      <c r="E902" t="n">
        <v>0.4327368836123752</v>
      </c>
      <c r="F902" t="inlineStr">
        <is>
          <t>BEA 2024 output share (default)</t>
        </is>
      </c>
      <c r="G902" t="n">
        <v>0.4327368836123752</v>
      </c>
    </row>
    <row r="903">
      <c r="A903" t="inlineStr">
        <is>
          <t>SoESCaOMCbIC-variableOM.csv</t>
        </is>
      </c>
      <c r="B903" t="inlineStr">
        <is>
          <t>hydrogen combined cycle</t>
        </is>
      </c>
      <c r="C903" t="inlineStr">
        <is>
          <t>ISIC 08</t>
        </is>
      </c>
      <c r="D903" t="inlineStr">
        <is>
          <t>ISIC 07T08</t>
        </is>
      </c>
      <c r="E903" t="n">
        <v>0.5672631163876248</v>
      </c>
      <c r="F903" t="inlineStr">
        <is>
          <t>BEA 2024 output share (default)</t>
        </is>
      </c>
      <c r="G903" t="n">
        <v>0.5672631163876248</v>
      </c>
    </row>
    <row r="904">
      <c r="A904" t="inlineStr">
        <is>
          <t>SoESCaOMCbIC-variableOM.csv</t>
        </is>
      </c>
      <c r="B904" t="inlineStr">
        <is>
          <t>hydrogen combined cycle</t>
        </is>
      </c>
      <c r="C904" t="inlineStr">
        <is>
          <t>ISIC 301</t>
        </is>
      </c>
      <c r="D904" t="inlineStr">
        <is>
          <t>ISIC 30</t>
        </is>
      </c>
      <c r="E904" t="n">
        <v>0.1171368722490322</v>
      </c>
      <c r="F904" t="inlineStr">
        <is>
          <t>BEA 2024 output share (default)</t>
        </is>
      </c>
      <c r="G904" t="n">
        <v>0.1171368722490322</v>
      </c>
    </row>
    <row r="905">
      <c r="A905" t="inlineStr">
        <is>
          <t>SoESCaOMCbIC-variableOM.csv</t>
        </is>
      </c>
      <c r="B905" t="inlineStr">
        <is>
          <t>hydrogen combined cycle</t>
        </is>
      </c>
      <c r="C905" t="inlineStr">
        <is>
          <t>ISIC 302T309</t>
        </is>
      </c>
      <c r="D905" t="inlineStr">
        <is>
          <t>ISIC 30</t>
        </is>
      </c>
      <c r="E905" t="n">
        <v>0.8828631277509678</v>
      </c>
      <c r="F905" t="inlineStr">
        <is>
          <t>BEA 2024 output share (default)</t>
        </is>
      </c>
      <c r="G905" t="n">
        <v>0.8828631277509678</v>
      </c>
    </row>
    <row r="906">
      <c r="A906" t="inlineStr">
        <is>
          <t>SoESCaOMCbIC-variableOM.csv</t>
        </is>
      </c>
      <c r="B906" t="inlineStr">
        <is>
          <t>hydrogen combined cycle</t>
        </is>
      </c>
      <c r="C906" t="inlineStr">
        <is>
          <t>ISIC 49</t>
        </is>
      </c>
      <c r="D906" t="inlineStr">
        <is>
          <t>ISIC 49T53</t>
        </is>
      </c>
      <c r="E906" t="n">
        <v>0.4781643011829615</v>
      </c>
      <c r="F906" t="inlineStr">
        <is>
          <t>BEA 2024 output share (default)</t>
        </is>
      </c>
      <c r="G906" t="n">
        <v>0.4781643011829615</v>
      </c>
    </row>
    <row r="907">
      <c r="A907" t="inlineStr">
        <is>
          <t>SoESCaOMCbIC-variableOM.csv</t>
        </is>
      </c>
      <c r="B907" t="inlineStr">
        <is>
          <t>hydrogen combined cycle</t>
        </is>
      </c>
      <c r="C907" t="inlineStr">
        <is>
          <t>ISIC 50</t>
        </is>
      </c>
      <c r="D907" t="inlineStr">
        <is>
          <t>ISIC 49T53</t>
        </is>
      </c>
      <c r="E907" t="n">
        <v>0.04258639396614965</v>
      </c>
      <c r="F907" t="inlineStr">
        <is>
          <t>BEA 2024 output share (default)</t>
        </is>
      </c>
      <c r="G907" t="n">
        <v>0.04258639396614965</v>
      </c>
    </row>
    <row r="908">
      <c r="A908" t="inlineStr">
        <is>
          <t>SoESCaOMCbIC-variableOM.csv</t>
        </is>
      </c>
      <c r="B908" t="inlineStr">
        <is>
          <t>hydrogen combined cycle</t>
        </is>
      </c>
      <c r="C908" t="inlineStr">
        <is>
          <t>ISIC 51</t>
        </is>
      </c>
      <c r="D908" t="inlineStr">
        <is>
          <t>ISIC 49T53</t>
        </is>
      </c>
      <c r="E908" t="n">
        <v>0.1808024634415262</v>
      </c>
      <c r="F908" t="inlineStr">
        <is>
          <t>BEA 2024 output share (default)</t>
        </is>
      </c>
      <c r="G908" t="n">
        <v>0.1808024634415262</v>
      </c>
    </row>
    <row r="909">
      <c r="A909" t="inlineStr">
        <is>
          <t>SoESCaOMCbIC-variableOM.csv</t>
        </is>
      </c>
      <c r="B909" t="inlineStr">
        <is>
          <t>hydrogen combined cycle</t>
        </is>
      </c>
      <c r="C909" t="inlineStr">
        <is>
          <t>ISIC 52</t>
        </is>
      </c>
      <c r="D909" t="inlineStr">
        <is>
          <t>ISIC 49T53</t>
        </is>
      </c>
      <c r="E909" t="n">
        <v>0.2139060571318126</v>
      </c>
      <c r="F909" t="inlineStr">
        <is>
          <t>BEA 2024 output share (default)</t>
        </is>
      </c>
      <c r="G909" t="n">
        <v>0.2139060571318126</v>
      </c>
    </row>
    <row r="910">
      <c r="A910" t="inlineStr">
        <is>
          <t>SoESCaOMCbIC-variableOM.csv</t>
        </is>
      </c>
      <c r="B910" t="inlineStr">
        <is>
          <t>hydrogen combined cycle</t>
        </is>
      </c>
      <c r="C910" t="inlineStr">
        <is>
          <t>ISIC 53</t>
        </is>
      </c>
      <c r="D910" t="inlineStr">
        <is>
          <t>ISIC 49T53</t>
        </is>
      </c>
      <c r="E910" t="n">
        <v>0.08454078427755009</v>
      </c>
      <c r="F910" t="inlineStr">
        <is>
          <t>BEA 2024 output share (default)</t>
        </is>
      </c>
      <c r="G910" t="n">
        <v>0.08454078427755009</v>
      </c>
    </row>
    <row r="911">
      <c r="A911" t="inlineStr">
        <is>
          <t>SoESCaOMCbIC-variableOM.csv</t>
        </is>
      </c>
      <c r="B911" t="inlineStr">
        <is>
          <t>hydrogen combined cycle</t>
        </is>
      </c>
      <c r="C911" t="inlineStr">
        <is>
          <t>ISIC 69T75</t>
        </is>
      </c>
      <c r="D911" t="inlineStr">
        <is>
          <t>ISIC 69T82</t>
        </is>
      </c>
      <c r="E911" t="n">
        <v>1</v>
      </c>
      <c r="F911" t="inlineStr">
        <is>
          <t>semantic override</t>
        </is>
      </c>
      <c r="G911" t="n">
        <v>0.7298219447914125</v>
      </c>
    </row>
    <row r="912">
      <c r="A912" t="inlineStr">
        <is>
          <t>SoESCaOMCbIC-variableOM.csv</t>
        </is>
      </c>
      <c r="B912" t="inlineStr">
        <is>
          <t>hydrogen combined cycle</t>
        </is>
      </c>
      <c r="C912" t="inlineStr">
        <is>
          <t>ISIC 77T82</t>
        </is>
      </c>
      <c r="D912" t="inlineStr">
        <is>
          <t>ISIC 69T82</t>
        </is>
      </c>
      <c r="E912" t="n">
        <v>0</v>
      </c>
      <c r="F912" t="inlineStr">
        <is>
          <t>semantic override</t>
        </is>
      </c>
      <c r="G912" t="n">
        <v>0.2701780552085875</v>
      </c>
    </row>
    <row r="913">
      <c r="A913" t="inlineStr">
        <is>
          <t>SoESCaOMCbIC-variableOM.csv</t>
        </is>
      </c>
      <c r="B913" t="inlineStr">
        <is>
          <t>hydrogen combined cycle</t>
        </is>
      </c>
      <c r="C913" t="inlineStr">
        <is>
          <t>ISIC 90T93</t>
        </is>
      </c>
      <c r="D913" t="inlineStr">
        <is>
          <t>ISIC 90T96</t>
        </is>
      </c>
      <c r="E913" t="n">
        <v>0.4216249514352275</v>
      </c>
      <c r="F913" t="inlineStr">
        <is>
          <t>BEA 2024 output share (default)</t>
        </is>
      </c>
      <c r="G913" t="n">
        <v>0.4216249514352275</v>
      </c>
    </row>
    <row r="914">
      <c r="A914" t="inlineStr">
        <is>
          <t>SoESCaOMCbIC-variableOM.csv</t>
        </is>
      </c>
      <c r="B914" t="inlineStr">
        <is>
          <t>hydrogen combined cycle</t>
        </is>
      </c>
      <c r="C914" t="inlineStr">
        <is>
          <t>ISIC 94T96</t>
        </is>
      </c>
      <c r="D914" t="inlineStr">
        <is>
          <t>ISIC 90T96</t>
        </is>
      </c>
      <c r="E914" t="n">
        <v>0.5783750485647725</v>
      </c>
      <c r="F914" t="inlineStr">
        <is>
          <t>BEA 2024 output share (default)</t>
        </is>
      </c>
      <c r="G914" t="n">
        <v>0.5783750485647725</v>
      </c>
    </row>
    <row r="915">
      <c r="A915" t="inlineStr">
        <is>
          <t>SoESCaOMCbIC-variableOM.csv</t>
        </is>
      </c>
      <c r="B915" t="inlineStr">
        <is>
          <t>hydrogen combustion turbine</t>
        </is>
      </c>
      <c r="C915" t="inlineStr">
        <is>
          <t>ISIC 01</t>
        </is>
      </c>
      <c r="D915" t="inlineStr">
        <is>
          <t>ISIC 01T03</t>
        </is>
      </c>
      <c r="E915" t="n">
        <v>0.9429986826432329</v>
      </c>
      <c r="F915" t="inlineStr">
        <is>
          <t>BEA 2024 output share (default)</t>
        </is>
      </c>
      <c r="G915" t="n">
        <v>0.9429986826432329</v>
      </c>
    </row>
    <row r="916">
      <c r="A916" t="inlineStr">
        <is>
          <t>SoESCaOMCbIC-variableOM.csv</t>
        </is>
      </c>
      <c r="B916" t="inlineStr">
        <is>
          <t>hydrogen combustion turbine</t>
        </is>
      </c>
      <c r="C916" t="inlineStr">
        <is>
          <t>ISIC 02</t>
        </is>
      </c>
      <c r="D916" t="inlineStr">
        <is>
          <t>ISIC 01T03</t>
        </is>
      </c>
      <c r="E916" t="n">
        <v>0.04176573136965662</v>
      </c>
      <c r="F916" t="inlineStr">
        <is>
          <t>BEA 2024 output share (default)</t>
        </is>
      </c>
      <c r="G916" t="n">
        <v>0.04176573136965662</v>
      </c>
    </row>
    <row r="917">
      <c r="A917" t="inlineStr">
        <is>
          <t>SoESCaOMCbIC-variableOM.csv</t>
        </is>
      </c>
      <c r="B917" t="inlineStr">
        <is>
          <t>hydrogen combustion turbine</t>
        </is>
      </c>
      <c r="C917" t="inlineStr">
        <is>
          <t>ISIC 03</t>
        </is>
      </c>
      <c r="D917" t="inlineStr">
        <is>
          <t>ISIC 01T03</t>
        </is>
      </c>
      <c r="E917" t="n">
        <v>0.01523558598711041</v>
      </c>
      <c r="F917" t="inlineStr">
        <is>
          <t>BEA 2024 output share (default)</t>
        </is>
      </c>
      <c r="G917" t="n">
        <v>0.01523558598711041</v>
      </c>
    </row>
    <row r="918">
      <c r="A918" t="inlineStr">
        <is>
          <t>SoESCaOMCbIC-variableOM.csv</t>
        </is>
      </c>
      <c r="B918" t="inlineStr">
        <is>
          <t>hydrogen combustion turbine</t>
        </is>
      </c>
      <c r="C918" t="inlineStr">
        <is>
          <t>ISIC 07</t>
        </is>
      </c>
      <c r="D918" t="inlineStr">
        <is>
          <t>ISIC 07T08</t>
        </is>
      </c>
      <c r="E918" t="n">
        <v>0.4327368836123752</v>
      </c>
      <c r="F918" t="inlineStr">
        <is>
          <t>BEA 2024 output share (default)</t>
        </is>
      </c>
      <c r="G918" t="n">
        <v>0.4327368836123752</v>
      </c>
    </row>
    <row r="919">
      <c r="A919" t="inlineStr">
        <is>
          <t>SoESCaOMCbIC-variableOM.csv</t>
        </is>
      </c>
      <c r="B919" t="inlineStr">
        <is>
          <t>hydrogen combustion turbine</t>
        </is>
      </c>
      <c r="C919" t="inlineStr">
        <is>
          <t>ISIC 08</t>
        </is>
      </c>
      <c r="D919" t="inlineStr">
        <is>
          <t>ISIC 07T08</t>
        </is>
      </c>
      <c r="E919" t="n">
        <v>0.5672631163876248</v>
      </c>
      <c r="F919" t="inlineStr">
        <is>
          <t>BEA 2024 output share (default)</t>
        </is>
      </c>
      <c r="G919" t="n">
        <v>0.5672631163876248</v>
      </c>
    </row>
    <row r="920">
      <c r="A920" t="inlineStr">
        <is>
          <t>SoESCaOMCbIC-variableOM.csv</t>
        </is>
      </c>
      <c r="B920" t="inlineStr">
        <is>
          <t>hydrogen combustion turbine</t>
        </is>
      </c>
      <c r="C920" t="inlineStr">
        <is>
          <t>ISIC 301</t>
        </is>
      </c>
      <c r="D920" t="inlineStr">
        <is>
          <t>ISIC 30</t>
        </is>
      </c>
      <c r="E920" t="n">
        <v>0.1171368722490322</v>
      </c>
      <c r="F920" t="inlineStr">
        <is>
          <t>BEA 2024 output share (default)</t>
        </is>
      </c>
      <c r="G920" t="n">
        <v>0.1171368722490322</v>
      </c>
    </row>
    <row r="921">
      <c r="A921" t="inlineStr">
        <is>
          <t>SoESCaOMCbIC-variableOM.csv</t>
        </is>
      </c>
      <c r="B921" t="inlineStr">
        <is>
          <t>hydrogen combustion turbine</t>
        </is>
      </c>
      <c r="C921" t="inlineStr">
        <is>
          <t>ISIC 302T309</t>
        </is>
      </c>
      <c r="D921" t="inlineStr">
        <is>
          <t>ISIC 30</t>
        </is>
      </c>
      <c r="E921" t="n">
        <v>0.8828631277509678</v>
      </c>
      <c r="F921" t="inlineStr">
        <is>
          <t>BEA 2024 output share (default)</t>
        </is>
      </c>
      <c r="G921" t="n">
        <v>0.8828631277509678</v>
      </c>
    </row>
    <row r="922">
      <c r="A922" t="inlineStr">
        <is>
          <t>SoESCaOMCbIC-variableOM.csv</t>
        </is>
      </c>
      <c r="B922" t="inlineStr">
        <is>
          <t>hydrogen combustion turbine</t>
        </is>
      </c>
      <c r="C922" t="inlineStr">
        <is>
          <t>ISIC 49</t>
        </is>
      </c>
      <c r="D922" t="inlineStr">
        <is>
          <t>ISIC 49T53</t>
        </is>
      </c>
      <c r="E922" t="n">
        <v>0.4781643011829615</v>
      </c>
      <c r="F922" t="inlineStr">
        <is>
          <t>BEA 2024 output share (default)</t>
        </is>
      </c>
      <c r="G922" t="n">
        <v>0.4781643011829615</v>
      </c>
    </row>
    <row r="923">
      <c r="A923" t="inlineStr">
        <is>
          <t>SoESCaOMCbIC-variableOM.csv</t>
        </is>
      </c>
      <c r="B923" t="inlineStr">
        <is>
          <t>hydrogen combustion turbine</t>
        </is>
      </c>
      <c r="C923" t="inlineStr">
        <is>
          <t>ISIC 50</t>
        </is>
      </c>
      <c r="D923" t="inlineStr">
        <is>
          <t>ISIC 49T53</t>
        </is>
      </c>
      <c r="E923" t="n">
        <v>0.04258639396614965</v>
      </c>
      <c r="F923" t="inlineStr">
        <is>
          <t>BEA 2024 output share (default)</t>
        </is>
      </c>
      <c r="G923" t="n">
        <v>0.04258639396614965</v>
      </c>
    </row>
    <row r="924">
      <c r="A924" t="inlineStr">
        <is>
          <t>SoESCaOMCbIC-variableOM.csv</t>
        </is>
      </c>
      <c r="B924" t="inlineStr">
        <is>
          <t>hydrogen combustion turbine</t>
        </is>
      </c>
      <c r="C924" t="inlineStr">
        <is>
          <t>ISIC 51</t>
        </is>
      </c>
      <c r="D924" t="inlineStr">
        <is>
          <t>ISIC 49T53</t>
        </is>
      </c>
      <c r="E924" t="n">
        <v>0.1808024634415262</v>
      </c>
      <c r="F924" t="inlineStr">
        <is>
          <t>BEA 2024 output share (default)</t>
        </is>
      </c>
      <c r="G924" t="n">
        <v>0.1808024634415262</v>
      </c>
    </row>
    <row r="925">
      <c r="A925" t="inlineStr">
        <is>
          <t>SoESCaOMCbIC-variableOM.csv</t>
        </is>
      </c>
      <c r="B925" t="inlineStr">
        <is>
          <t>hydrogen combustion turbine</t>
        </is>
      </c>
      <c r="C925" t="inlineStr">
        <is>
          <t>ISIC 52</t>
        </is>
      </c>
      <c r="D925" t="inlineStr">
        <is>
          <t>ISIC 49T53</t>
        </is>
      </c>
      <c r="E925" t="n">
        <v>0.2139060571318126</v>
      </c>
      <c r="F925" t="inlineStr">
        <is>
          <t>BEA 2024 output share (default)</t>
        </is>
      </c>
      <c r="G925" t="n">
        <v>0.2139060571318126</v>
      </c>
    </row>
    <row r="926">
      <c r="A926" t="inlineStr">
        <is>
          <t>SoESCaOMCbIC-variableOM.csv</t>
        </is>
      </c>
      <c r="B926" t="inlineStr">
        <is>
          <t>hydrogen combustion turbine</t>
        </is>
      </c>
      <c r="C926" t="inlineStr">
        <is>
          <t>ISIC 53</t>
        </is>
      </c>
      <c r="D926" t="inlineStr">
        <is>
          <t>ISIC 49T53</t>
        </is>
      </c>
      <c r="E926" t="n">
        <v>0.08454078427755009</v>
      </c>
      <c r="F926" t="inlineStr">
        <is>
          <t>BEA 2024 output share (default)</t>
        </is>
      </c>
      <c r="G926" t="n">
        <v>0.08454078427755009</v>
      </c>
    </row>
    <row r="927">
      <c r="A927" t="inlineStr">
        <is>
          <t>SoESCaOMCbIC-variableOM.csv</t>
        </is>
      </c>
      <c r="B927" t="inlineStr">
        <is>
          <t>hydrogen combustion turbine</t>
        </is>
      </c>
      <c r="C927" t="inlineStr">
        <is>
          <t>ISIC 69T75</t>
        </is>
      </c>
      <c r="D927" t="inlineStr">
        <is>
          <t>ISIC 69T82</t>
        </is>
      </c>
      <c r="E927" t="n">
        <v>1</v>
      </c>
      <c r="F927" t="inlineStr">
        <is>
          <t>semantic override</t>
        </is>
      </c>
      <c r="G927" t="n">
        <v>0.7298219447914125</v>
      </c>
    </row>
    <row r="928">
      <c r="A928" t="inlineStr">
        <is>
          <t>SoESCaOMCbIC-variableOM.csv</t>
        </is>
      </c>
      <c r="B928" t="inlineStr">
        <is>
          <t>hydrogen combustion turbine</t>
        </is>
      </c>
      <c r="C928" t="inlineStr">
        <is>
          <t>ISIC 77T82</t>
        </is>
      </c>
      <c r="D928" t="inlineStr">
        <is>
          <t>ISIC 69T82</t>
        </is>
      </c>
      <c r="E928" t="n">
        <v>0</v>
      </c>
      <c r="F928" t="inlineStr">
        <is>
          <t>semantic override</t>
        </is>
      </c>
      <c r="G928" t="n">
        <v>0.2701780552085875</v>
      </c>
    </row>
    <row r="929">
      <c r="A929" t="inlineStr">
        <is>
          <t>SoESCaOMCbIC-variableOM.csv</t>
        </is>
      </c>
      <c r="B929" t="inlineStr">
        <is>
          <t>hydrogen combustion turbine</t>
        </is>
      </c>
      <c r="C929" t="inlineStr">
        <is>
          <t>ISIC 90T93</t>
        </is>
      </c>
      <c r="D929" t="inlineStr">
        <is>
          <t>ISIC 90T96</t>
        </is>
      </c>
      <c r="E929" t="n">
        <v>0.4216249514352275</v>
      </c>
      <c r="F929" t="inlineStr">
        <is>
          <t>BEA 2024 output share (default)</t>
        </is>
      </c>
      <c r="G929" t="n">
        <v>0.4216249514352275</v>
      </c>
    </row>
    <row r="930">
      <c r="A930" t="inlineStr">
        <is>
          <t>SoESCaOMCbIC-variableOM.csv</t>
        </is>
      </c>
      <c r="B930" t="inlineStr">
        <is>
          <t>hydrogen combustion turbine</t>
        </is>
      </c>
      <c r="C930" t="inlineStr">
        <is>
          <t>ISIC 94T96</t>
        </is>
      </c>
      <c r="D930" t="inlineStr">
        <is>
          <t>ISIC 90T96</t>
        </is>
      </c>
      <c r="E930" t="n">
        <v>0.5783750485647725</v>
      </c>
      <c r="F930" t="inlineStr">
        <is>
          <t>BEA 2024 output share (default)</t>
        </is>
      </c>
      <c r="G930" t="n">
        <v>0.5783750485647725</v>
      </c>
    </row>
    <row r="931">
      <c r="A931" t="inlineStr">
        <is>
          <t>SoESCaOMCbIC-variableOM.csv</t>
        </is>
      </c>
      <c r="B931" t="inlineStr">
        <is>
          <t>lignite</t>
        </is>
      </c>
      <c r="C931" t="inlineStr">
        <is>
          <t>ISIC 01</t>
        </is>
      </c>
      <c r="D931" t="inlineStr">
        <is>
          <t>ISIC 01T03</t>
        </is>
      </c>
      <c r="E931" t="n">
        <v>0.9429986826432329</v>
      </c>
      <c r="F931" t="inlineStr">
        <is>
          <t>BEA 2024 output share (default)</t>
        </is>
      </c>
      <c r="G931" t="n">
        <v>0.9429986826432329</v>
      </c>
    </row>
    <row r="932">
      <c r="A932" t="inlineStr">
        <is>
          <t>SoESCaOMCbIC-variableOM.csv</t>
        </is>
      </c>
      <c r="B932" t="inlineStr">
        <is>
          <t>lignite</t>
        </is>
      </c>
      <c r="C932" t="inlineStr">
        <is>
          <t>ISIC 02</t>
        </is>
      </c>
      <c r="D932" t="inlineStr">
        <is>
          <t>ISIC 01T03</t>
        </is>
      </c>
      <c r="E932" t="n">
        <v>0.04176573136965662</v>
      </c>
      <c r="F932" t="inlineStr">
        <is>
          <t>BEA 2024 output share (default)</t>
        </is>
      </c>
      <c r="G932" t="n">
        <v>0.04176573136965662</v>
      </c>
    </row>
    <row r="933">
      <c r="A933" t="inlineStr">
        <is>
          <t>SoESCaOMCbIC-variableOM.csv</t>
        </is>
      </c>
      <c r="B933" t="inlineStr">
        <is>
          <t>lignite</t>
        </is>
      </c>
      <c r="C933" t="inlineStr">
        <is>
          <t>ISIC 03</t>
        </is>
      </c>
      <c r="D933" t="inlineStr">
        <is>
          <t>ISIC 01T03</t>
        </is>
      </c>
      <c r="E933" t="n">
        <v>0.01523558598711041</v>
      </c>
      <c r="F933" t="inlineStr">
        <is>
          <t>BEA 2024 output share (default)</t>
        </is>
      </c>
      <c r="G933" t="n">
        <v>0.01523558598711041</v>
      </c>
    </row>
    <row r="934">
      <c r="A934" t="inlineStr">
        <is>
          <t>SoESCaOMCbIC-variableOM.csv</t>
        </is>
      </c>
      <c r="B934" t="inlineStr">
        <is>
          <t>lignite</t>
        </is>
      </c>
      <c r="C934" t="inlineStr">
        <is>
          <t>ISIC 07</t>
        </is>
      </c>
      <c r="D934" t="inlineStr">
        <is>
          <t>ISIC 07T08</t>
        </is>
      </c>
      <c r="E934" t="n">
        <v>0.4327368836123752</v>
      </c>
      <c r="F934" t="inlineStr">
        <is>
          <t>BEA 2024 output share (default)</t>
        </is>
      </c>
      <c r="G934" t="n">
        <v>0.4327368836123752</v>
      </c>
    </row>
    <row r="935">
      <c r="A935" t="inlineStr">
        <is>
          <t>SoESCaOMCbIC-variableOM.csv</t>
        </is>
      </c>
      <c r="B935" t="inlineStr">
        <is>
          <t>lignite</t>
        </is>
      </c>
      <c r="C935" t="inlineStr">
        <is>
          <t>ISIC 08</t>
        </is>
      </c>
      <c r="D935" t="inlineStr">
        <is>
          <t>ISIC 07T08</t>
        </is>
      </c>
      <c r="E935" t="n">
        <v>0.5672631163876248</v>
      </c>
      <c r="F935" t="inlineStr">
        <is>
          <t>BEA 2024 output share (default)</t>
        </is>
      </c>
      <c r="G935" t="n">
        <v>0.5672631163876248</v>
      </c>
    </row>
    <row r="936">
      <c r="A936" t="inlineStr">
        <is>
          <t>SoESCaOMCbIC-variableOM.csv</t>
        </is>
      </c>
      <c r="B936" t="inlineStr">
        <is>
          <t>lignite</t>
        </is>
      </c>
      <c r="C936" t="inlineStr">
        <is>
          <t>ISIC 301</t>
        </is>
      </c>
      <c r="D936" t="inlineStr">
        <is>
          <t>ISIC 30</t>
        </is>
      </c>
      <c r="E936" t="n">
        <v>0.1171368722490322</v>
      </c>
      <c r="F936" t="inlineStr">
        <is>
          <t>BEA 2024 output share (default)</t>
        </is>
      </c>
      <c r="G936" t="n">
        <v>0.1171368722490322</v>
      </c>
    </row>
    <row r="937">
      <c r="A937" t="inlineStr">
        <is>
          <t>SoESCaOMCbIC-variableOM.csv</t>
        </is>
      </c>
      <c r="B937" t="inlineStr">
        <is>
          <t>lignite</t>
        </is>
      </c>
      <c r="C937" t="inlineStr">
        <is>
          <t>ISIC 302T309</t>
        </is>
      </c>
      <c r="D937" t="inlineStr">
        <is>
          <t>ISIC 30</t>
        </is>
      </c>
      <c r="E937" t="n">
        <v>0.8828631277509678</v>
      </c>
      <c r="F937" t="inlineStr">
        <is>
          <t>BEA 2024 output share (default)</t>
        </is>
      </c>
      <c r="G937" t="n">
        <v>0.8828631277509678</v>
      </c>
    </row>
    <row r="938">
      <c r="A938" t="inlineStr">
        <is>
          <t>SoESCaOMCbIC-variableOM.csv</t>
        </is>
      </c>
      <c r="B938" t="inlineStr">
        <is>
          <t>lignite</t>
        </is>
      </c>
      <c r="C938" t="inlineStr">
        <is>
          <t>ISIC 49</t>
        </is>
      </c>
      <c r="D938" t="inlineStr">
        <is>
          <t>ISIC 49T53</t>
        </is>
      </c>
      <c r="E938" t="n">
        <v>0.4781643011829615</v>
      </c>
      <c r="F938" t="inlineStr">
        <is>
          <t>BEA 2024 output share (default)</t>
        </is>
      </c>
      <c r="G938" t="n">
        <v>0.4781643011829615</v>
      </c>
    </row>
    <row r="939">
      <c r="A939" t="inlineStr">
        <is>
          <t>SoESCaOMCbIC-variableOM.csv</t>
        </is>
      </c>
      <c r="B939" t="inlineStr">
        <is>
          <t>lignite</t>
        </is>
      </c>
      <c r="C939" t="inlineStr">
        <is>
          <t>ISIC 50</t>
        </is>
      </c>
      <c r="D939" t="inlineStr">
        <is>
          <t>ISIC 49T53</t>
        </is>
      </c>
      <c r="E939" t="n">
        <v>0.04258639396614965</v>
      </c>
      <c r="F939" t="inlineStr">
        <is>
          <t>BEA 2024 output share (default)</t>
        </is>
      </c>
      <c r="G939" t="n">
        <v>0.04258639396614965</v>
      </c>
    </row>
    <row r="940">
      <c r="A940" t="inlineStr">
        <is>
          <t>SoESCaOMCbIC-variableOM.csv</t>
        </is>
      </c>
      <c r="B940" t="inlineStr">
        <is>
          <t>lignite</t>
        </is>
      </c>
      <c r="C940" t="inlineStr">
        <is>
          <t>ISIC 51</t>
        </is>
      </c>
      <c r="D940" t="inlineStr">
        <is>
          <t>ISIC 49T53</t>
        </is>
      </c>
      <c r="E940" t="n">
        <v>0.1808024634415262</v>
      </c>
      <c r="F940" t="inlineStr">
        <is>
          <t>BEA 2024 output share (default)</t>
        </is>
      </c>
      <c r="G940" t="n">
        <v>0.1808024634415262</v>
      </c>
    </row>
    <row r="941">
      <c r="A941" t="inlineStr">
        <is>
          <t>SoESCaOMCbIC-variableOM.csv</t>
        </is>
      </c>
      <c r="B941" t="inlineStr">
        <is>
          <t>lignite</t>
        </is>
      </c>
      <c r="C941" t="inlineStr">
        <is>
          <t>ISIC 52</t>
        </is>
      </c>
      <c r="D941" t="inlineStr">
        <is>
          <t>ISIC 49T53</t>
        </is>
      </c>
      <c r="E941" t="n">
        <v>0.2139060571318126</v>
      </c>
      <c r="F941" t="inlineStr">
        <is>
          <t>BEA 2024 output share (default)</t>
        </is>
      </c>
      <c r="G941" t="n">
        <v>0.2139060571318126</v>
      </c>
    </row>
    <row r="942">
      <c r="A942" t="inlineStr">
        <is>
          <t>SoESCaOMCbIC-variableOM.csv</t>
        </is>
      </c>
      <c r="B942" t="inlineStr">
        <is>
          <t>lignite</t>
        </is>
      </c>
      <c r="C942" t="inlineStr">
        <is>
          <t>ISIC 53</t>
        </is>
      </c>
      <c r="D942" t="inlineStr">
        <is>
          <t>ISIC 49T53</t>
        </is>
      </c>
      <c r="E942" t="n">
        <v>0.08454078427755009</v>
      </c>
      <c r="F942" t="inlineStr">
        <is>
          <t>BEA 2024 output share (default)</t>
        </is>
      </c>
      <c r="G942" t="n">
        <v>0.08454078427755009</v>
      </c>
    </row>
    <row r="943">
      <c r="A943" t="inlineStr">
        <is>
          <t>SoESCaOMCbIC-variableOM.csv</t>
        </is>
      </c>
      <c r="B943" t="inlineStr">
        <is>
          <t>lignite</t>
        </is>
      </c>
      <c r="C943" t="inlineStr">
        <is>
          <t>ISIC 69T75</t>
        </is>
      </c>
      <c r="D943" t="inlineStr">
        <is>
          <t>ISIC 69T82</t>
        </is>
      </c>
      <c r="E943" t="n">
        <v>1</v>
      </c>
      <c r="F943" t="inlineStr">
        <is>
          <t>semantic override</t>
        </is>
      </c>
      <c r="G943" t="n">
        <v>0.7298219447914125</v>
      </c>
    </row>
    <row r="944">
      <c r="A944" t="inlineStr">
        <is>
          <t>SoESCaOMCbIC-variableOM.csv</t>
        </is>
      </c>
      <c r="B944" t="inlineStr">
        <is>
          <t>lignite</t>
        </is>
      </c>
      <c r="C944" t="inlineStr">
        <is>
          <t>ISIC 77T82</t>
        </is>
      </c>
      <c r="D944" t="inlineStr">
        <is>
          <t>ISIC 69T82</t>
        </is>
      </c>
      <c r="E944" t="n">
        <v>0</v>
      </c>
      <c r="F944" t="inlineStr">
        <is>
          <t>semantic override</t>
        </is>
      </c>
      <c r="G944" t="n">
        <v>0.2701780552085875</v>
      </c>
    </row>
    <row r="945">
      <c r="A945" t="inlineStr">
        <is>
          <t>SoESCaOMCbIC-variableOM.csv</t>
        </is>
      </c>
      <c r="B945" t="inlineStr">
        <is>
          <t>lignite</t>
        </is>
      </c>
      <c r="C945" t="inlineStr">
        <is>
          <t>ISIC 90T93</t>
        </is>
      </c>
      <c r="D945" t="inlineStr">
        <is>
          <t>ISIC 90T96</t>
        </is>
      </c>
      <c r="E945" t="n">
        <v>0.4216249514352275</v>
      </c>
      <c r="F945" t="inlineStr">
        <is>
          <t>BEA 2024 output share (default)</t>
        </is>
      </c>
      <c r="G945" t="n">
        <v>0.4216249514352275</v>
      </c>
    </row>
    <row r="946">
      <c r="A946" t="inlineStr">
        <is>
          <t>SoESCaOMCbIC-variableOM.csv</t>
        </is>
      </c>
      <c r="B946" t="inlineStr">
        <is>
          <t>lignite</t>
        </is>
      </c>
      <c r="C946" t="inlineStr">
        <is>
          <t>ISIC 94T96</t>
        </is>
      </c>
      <c r="D946" t="inlineStr">
        <is>
          <t>ISIC 90T96</t>
        </is>
      </c>
      <c r="E946" t="n">
        <v>0.5783750485647725</v>
      </c>
      <c r="F946" t="inlineStr">
        <is>
          <t>BEA 2024 output share (default)</t>
        </is>
      </c>
      <c r="G946" t="n">
        <v>0.5783750485647725</v>
      </c>
    </row>
    <row r="947">
      <c r="A947" t="inlineStr">
        <is>
          <t>SoESCaOMCbIC-variableOM.csv</t>
        </is>
      </c>
      <c r="B947" t="inlineStr">
        <is>
          <t>lignite w CCS</t>
        </is>
      </c>
      <c r="C947" t="inlineStr">
        <is>
          <t>ISIC 01</t>
        </is>
      </c>
      <c r="D947" t="inlineStr">
        <is>
          <t>ISIC 01T03</t>
        </is>
      </c>
      <c r="E947" t="n">
        <v>0.9429986826432329</v>
      </c>
      <c r="F947" t="inlineStr">
        <is>
          <t>BEA 2024 output share (default)</t>
        </is>
      </c>
      <c r="G947" t="n">
        <v>0.9429986826432329</v>
      </c>
    </row>
    <row r="948">
      <c r="A948" t="inlineStr">
        <is>
          <t>SoESCaOMCbIC-variableOM.csv</t>
        </is>
      </c>
      <c r="B948" t="inlineStr">
        <is>
          <t>lignite w CCS</t>
        </is>
      </c>
      <c r="C948" t="inlineStr">
        <is>
          <t>ISIC 02</t>
        </is>
      </c>
      <c r="D948" t="inlineStr">
        <is>
          <t>ISIC 01T03</t>
        </is>
      </c>
      <c r="E948" t="n">
        <v>0.04176573136965662</v>
      </c>
      <c r="F948" t="inlineStr">
        <is>
          <t>BEA 2024 output share (default)</t>
        </is>
      </c>
      <c r="G948" t="n">
        <v>0.04176573136965662</v>
      </c>
    </row>
    <row r="949">
      <c r="A949" t="inlineStr">
        <is>
          <t>SoESCaOMCbIC-variableOM.csv</t>
        </is>
      </c>
      <c r="B949" t="inlineStr">
        <is>
          <t>lignite w CCS</t>
        </is>
      </c>
      <c r="C949" t="inlineStr">
        <is>
          <t>ISIC 03</t>
        </is>
      </c>
      <c r="D949" t="inlineStr">
        <is>
          <t>ISIC 01T03</t>
        </is>
      </c>
      <c r="E949" t="n">
        <v>0.01523558598711041</v>
      </c>
      <c r="F949" t="inlineStr">
        <is>
          <t>BEA 2024 output share (default)</t>
        </is>
      </c>
      <c r="G949" t="n">
        <v>0.01523558598711041</v>
      </c>
    </row>
    <row r="950">
      <c r="A950" t="inlineStr">
        <is>
          <t>SoESCaOMCbIC-variableOM.csv</t>
        </is>
      </c>
      <c r="B950" t="inlineStr">
        <is>
          <t>lignite w CCS</t>
        </is>
      </c>
      <c r="C950" t="inlineStr">
        <is>
          <t>ISIC 07</t>
        </is>
      </c>
      <c r="D950" t="inlineStr">
        <is>
          <t>ISIC 07T08</t>
        </is>
      </c>
      <c r="E950" t="n">
        <v>0.4327368836123752</v>
      </c>
      <c r="F950" t="inlineStr">
        <is>
          <t>BEA 2024 output share (default)</t>
        </is>
      </c>
      <c r="G950" t="n">
        <v>0.4327368836123752</v>
      </c>
    </row>
    <row r="951">
      <c r="A951" t="inlineStr">
        <is>
          <t>SoESCaOMCbIC-variableOM.csv</t>
        </is>
      </c>
      <c r="B951" t="inlineStr">
        <is>
          <t>lignite w CCS</t>
        </is>
      </c>
      <c r="C951" t="inlineStr">
        <is>
          <t>ISIC 08</t>
        </is>
      </c>
      <c r="D951" t="inlineStr">
        <is>
          <t>ISIC 07T08</t>
        </is>
      </c>
      <c r="E951" t="n">
        <v>0.5672631163876248</v>
      </c>
      <c r="F951" t="inlineStr">
        <is>
          <t>BEA 2024 output share (default)</t>
        </is>
      </c>
      <c r="G951" t="n">
        <v>0.5672631163876248</v>
      </c>
    </row>
    <row r="952">
      <c r="A952" t="inlineStr">
        <is>
          <t>SoESCaOMCbIC-variableOM.csv</t>
        </is>
      </c>
      <c r="B952" t="inlineStr">
        <is>
          <t>lignite w CCS</t>
        </is>
      </c>
      <c r="C952" t="inlineStr">
        <is>
          <t>ISIC 301</t>
        </is>
      </c>
      <c r="D952" t="inlineStr">
        <is>
          <t>ISIC 30</t>
        </is>
      </c>
      <c r="E952" t="n">
        <v>0.1171368722490322</v>
      </c>
      <c r="F952" t="inlineStr">
        <is>
          <t>BEA 2024 output share (default)</t>
        </is>
      </c>
      <c r="G952" t="n">
        <v>0.1171368722490322</v>
      </c>
    </row>
    <row r="953">
      <c r="A953" t="inlineStr">
        <is>
          <t>SoESCaOMCbIC-variableOM.csv</t>
        </is>
      </c>
      <c r="B953" t="inlineStr">
        <is>
          <t>lignite w CCS</t>
        </is>
      </c>
      <c r="C953" t="inlineStr">
        <is>
          <t>ISIC 302T309</t>
        </is>
      </c>
      <c r="D953" t="inlineStr">
        <is>
          <t>ISIC 30</t>
        </is>
      </c>
      <c r="E953" t="n">
        <v>0.8828631277509678</v>
      </c>
      <c r="F953" t="inlineStr">
        <is>
          <t>BEA 2024 output share (default)</t>
        </is>
      </c>
      <c r="G953" t="n">
        <v>0.8828631277509678</v>
      </c>
    </row>
    <row r="954">
      <c r="A954" t="inlineStr">
        <is>
          <t>SoESCaOMCbIC-variableOM.csv</t>
        </is>
      </c>
      <c r="B954" t="inlineStr">
        <is>
          <t>lignite w CCS</t>
        </is>
      </c>
      <c r="C954" t="inlineStr">
        <is>
          <t>ISIC 49</t>
        </is>
      </c>
      <c r="D954" t="inlineStr">
        <is>
          <t>ISIC 49T53</t>
        </is>
      </c>
      <c r="E954" t="n">
        <v>0.4781643011829615</v>
      </c>
      <c r="F954" t="inlineStr">
        <is>
          <t>BEA 2024 output share (default)</t>
        </is>
      </c>
      <c r="G954" t="n">
        <v>0.4781643011829615</v>
      </c>
    </row>
    <row r="955">
      <c r="A955" t="inlineStr">
        <is>
          <t>SoESCaOMCbIC-variableOM.csv</t>
        </is>
      </c>
      <c r="B955" t="inlineStr">
        <is>
          <t>lignite w CCS</t>
        </is>
      </c>
      <c r="C955" t="inlineStr">
        <is>
          <t>ISIC 50</t>
        </is>
      </c>
      <c r="D955" t="inlineStr">
        <is>
          <t>ISIC 49T53</t>
        </is>
      </c>
      <c r="E955" t="n">
        <v>0.04258639396614965</v>
      </c>
      <c r="F955" t="inlineStr">
        <is>
          <t>BEA 2024 output share (default)</t>
        </is>
      </c>
      <c r="G955" t="n">
        <v>0.04258639396614965</v>
      </c>
    </row>
    <row r="956">
      <c r="A956" t="inlineStr">
        <is>
          <t>SoESCaOMCbIC-variableOM.csv</t>
        </is>
      </c>
      <c r="B956" t="inlineStr">
        <is>
          <t>lignite w CCS</t>
        </is>
      </c>
      <c r="C956" t="inlineStr">
        <is>
          <t>ISIC 51</t>
        </is>
      </c>
      <c r="D956" t="inlineStr">
        <is>
          <t>ISIC 49T53</t>
        </is>
      </c>
      <c r="E956" t="n">
        <v>0.1808024634415262</v>
      </c>
      <c r="F956" t="inlineStr">
        <is>
          <t>BEA 2024 output share (default)</t>
        </is>
      </c>
      <c r="G956" t="n">
        <v>0.1808024634415262</v>
      </c>
    </row>
    <row r="957">
      <c r="A957" t="inlineStr">
        <is>
          <t>SoESCaOMCbIC-variableOM.csv</t>
        </is>
      </c>
      <c r="B957" t="inlineStr">
        <is>
          <t>lignite w CCS</t>
        </is>
      </c>
      <c r="C957" t="inlineStr">
        <is>
          <t>ISIC 52</t>
        </is>
      </c>
      <c r="D957" t="inlineStr">
        <is>
          <t>ISIC 49T53</t>
        </is>
      </c>
      <c r="E957" t="n">
        <v>0.2139060571318126</v>
      </c>
      <c r="F957" t="inlineStr">
        <is>
          <t>BEA 2024 output share (default)</t>
        </is>
      </c>
      <c r="G957" t="n">
        <v>0.2139060571318126</v>
      </c>
    </row>
    <row r="958">
      <c r="A958" t="inlineStr">
        <is>
          <t>SoESCaOMCbIC-variableOM.csv</t>
        </is>
      </c>
      <c r="B958" t="inlineStr">
        <is>
          <t>lignite w CCS</t>
        </is>
      </c>
      <c r="C958" t="inlineStr">
        <is>
          <t>ISIC 53</t>
        </is>
      </c>
      <c r="D958" t="inlineStr">
        <is>
          <t>ISIC 49T53</t>
        </is>
      </c>
      <c r="E958" t="n">
        <v>0.08454078427755009</v>
      </c>
      <c r="F958" t="inlineStr">
        <is>
          <t>BEA 2024 output share (default)</t>
        </is>
      </c>
      <c r="G958" t="n">
        <v>0.08454078427755009</v>
      </c>
    </row>
    <row r="959">
      <c r="A959" t="inlineStr">
        <is>
          <t>SoESCaOMCbIC-variableOM.csv</t>
        </is>
      </c>
      <c r="B959" t="inlineStr">
        <is>
          <t>lignite w CCS</t>
        </is>
      </c>
      <c r="C959" t="inlineStr">
        <is>
          <t>ISIC 69T75</t>
        </is>
      </c>
      <c r="D959" t="inlineStr">
        <is>
          <t>ISIC 69T82</t>
        </is>
      </c>
      <c r="E959" t="n">
        <v>1</v>
      </c>
      <c r="F959" t="inlineStr">
        <is>
          <t>semantic override</t>
        </is>
      </c>
      <c r="G959" t="n">
        <v>0.7298219447914125</v>
      </c>
    </row>
    <row r="960">
      <c r="A960" t="inlineStr">
        <is>
          <t>SoESCaOMCbIC-variableOM.csv</t>
        </is>
      </c>
      <c r="B960" t="inlineStr">
        <is>
          <t>lignite w CCS</t>
        </is>
      </c>
      <c r="C960" t="inlineStr">
        <is>
          <t>ISIC 77T82</t>
        </is>
      </c>
      <c r="D960" t="inlineStr">
        <is>
          <t>ISIC 69T82</t>
        </is>
      </c>
      <c r="E960" t="n">
        <v>0</v>
      </c>
      <c r="F960" t="inlineStr">
        <is>
          <t>semantic override</t>
        </is>
      </c>
      <c r="G960" t="n">
        <v>0.2701780552085875</v>
      </c>
    </row>
    <row r="961">
      <c r="A961" t="inlineStr">
        <is>
          <t>SoESCaOMCbIC-variableOM.csv</t>
        </is>
      </c>
      <c r="B961" t="inlineStr">
        <is>
          <t>lignite w CCS</t>
        </is>
      </c>
      <c r="C961" t="inlineStr">
        <is>
          <t>ISIC 90T93</t>
        </is>
      </c>
      <c r="D961" t="inlineStr">
        <is>
          <t>ISIC 90T96</t>
        </is>
      </c>
      <c r="E961" t="n">
        <v>0.4216249514352275</v>
      </c>
      <c r="F961" t="inlineStr">
        <is>
          <t>BEA 2024 output share (default)</t>
        </is>
      </c>
      <c r="G961" t="n">
        <v>0.4216249514352275</v>
      </c>
    </row>
    <row r="962">
      <c r="A962" t="inlineStr">
        <is>
          <t>SoESCaOMCbIC-variableOM.csv</t>
        </is>
      </c>
      <c r="B962" t="inlineStr">
        <is>
          <t>lignite w CCS</t>
        </is>
      </c>
      <c r="C962" t="inlineStr">
        <is>
          <t>ISIC 94T96</t>
        </is>
      </c>
      <c r="D962" t="inlineStr">
        <is>
          <t>ISIC 90T96</t>
        </is>
      </c>
      <c r="E962" t="n">
        <v>0.5783750485647725</v>
      </c>
      <c r="F962" t="inlineStr">
        <is>
          <t>BEA 2024 output share (default)</t>
        </is>
      </c>
      <c r="G962" t="n">
        <v>0.5783750485647725</v>
      </c>
    </row>
    <row r="963">
      <c r="A963" t="inlineStr">
        <is>
          <t>SoESCaOMCbIC-variableOM.csv</t>
        </is>
      </c>
      <c r="B963" t="inlineStr">
        <is>
          <t>municipal solid waste</t>
        </is>
      </c>
      <c r="C963" t="inlineStr">
        <is>
          <t>ISIC 01</t>
        </is>
      </c>
      <c r="D963" t="inlineStr">
        <is>
          <t>ISIC 01T03</t>
        </is>
      </c>
      <c r="E963" t="n">
        <v>0.9429986826432329</v>
      </c>
      <c r="F963" t="inlineStr">
        <is>
          <t>BEA 2024 output share (default)</t>
        </is>
      </c>
      <c r="G963" t="n">
        <v>0.9429986826432329</v>
      </c>
    </row>
    <row r="964">
      <c r="A964" t="inlineStr">
        <is>
          <t>SoESCaOMCbIC-variableOM.csv</t>
        </is>
      </c>
      <c r="B964" t="inlineStr">
        <is>
          <t>municipal solid waste</t>
        </is>
      </c>
      <c r="C964" t="inlineStr">
        <is>
          <t>ISIC 02</t>
        </is>
      </c>
      <c r="D964" t="inlineStr">
        <is>
          <t>ISIC 01T03</t>
        </is>
      </c>
      <c r="E964" t="n">
        <v>0.04176573136965662</v>
      </c>
      <c r="F964" t="inlineStr">
        <is>
          <t>BEA 2024 output share (default)</t>
        </is>
      </c>
      <c r="G964" t="n">
        <v>0.04176573136965662</v>
      </c>
    </row>
    <row r="965">
      <c r="A965" t="inlineStr">
        <is>
          <t>SoESCaOMCbIC-variableOM.csv</t>
        </is>
      </c>
      <c r="B965" t="inlineStr">
        <is>
          <t>municipal solid waste</t>
        </is>
      </c>
      <c r="C965" t="inlineStr">
        <is>
          <t>ISIC 03</t>
        </is>
      </c>
      <c r="D965" t="inlineStr">
        <is>
          <t>ISIC 01T03</t>
        </is>
      </c>
      <c r="E965" t="n">
        <v>0.01523558598711041</v>
      </c>
      <c r="F965" t="inlineStr">
        <is>
          <t>BEA 2024 output share (default)</t>
        </is>
      </c>
      <c r="G965" t="n">
        <v>0.01523558598711041</v>
      </c>
    </row>
    <row r="966">
      <c r="A966" t="inlineStr">
        <is>
          <t>SoESCaOMCbIC-variableOM.csv</t>
        </is>
      </c>
      <c r="B966" t="inlineStr">
        <is>
          <t>municipal solid waste</t>
        </is>
      </c>
      <c r="C966" t="inlineStr">
        <is>
          <t>ISIC 07</t>
        </is>
      </c>
      <c r="D966" t="inlineStr">
        <is>
          <t>ISIC 07T08</t>
        </is>
      </c>
      <c r="E966" t="n">
        <v>0.4327368836123752</v>
      </c>
      <c r="F966" t="inlineStr">
        <is>
          <t>BEA 2024 output share (default)</t>
        </is>
      </c>
      <c r="G966" t="n">
        <v>0.4327368836123752</v>
      </c>
    </row>
    <row r="967">
      <c r="A967" t="inlineStr">
        <is>
          <t>SoESCaOMCbIC-variableOM.csv</t>
        </is>
      </c>
      <c r="B967" t="inlineStr">
        <is>
          <t>municipal solid waste</t>
        </is>
      </c>
      <c r="C967" t="inlineStr">
        <is>
          <t>ISIC 08</t>
        </is>
      </c>
      <c r="D967" t="inlineStr">
        <is>
          <t>ISIC 07T08</t>
        </is>
      </c>
      <c r="E967" t="n">
        <v>0.5672631163876248</v>
      </c>
      <c r="F967" t="inlineStr">
        <is>
          <t>BEA 2024 output share (default)</t>
        </is>
      </c>
      <c r="G967" t="n">
        <v>0.5672631163876248</v>
      </c>
    </row>
    <row r="968">
      <c r="A968" t="inlineStr">
        <is>
          <t>SoESCaOMCbIC-variableOM.csv</t>
        </is>
      </c>
      <c r="B968" t="inlineStr">
        <is>
          <t>municipal solid waste</t>
        </is>
      </c>
      <c r="C968" t="inlineStr">
        <is>
          <t>ISIC 301</t>
        </is>
      </c>
      <c r="D968" t="inlineStr">
        <is>
          <t>ISIC 30</t>
        </is>
      </c>
      <c r="E968" t="n">
        <v>0.1171368722490322</v>
      </c>
      <c r="F968" t="inlineStr">
        <is>
          <t>BEA 2024 output share (default)</t>
        </is>
      </c>
      <c r="G968" t="n">
        <v>0.1171368722490322</v>
      </c>
    </row>
    <row r="969">
      <c r="A969" t="inlineStr">
        <is>
          <t>SoESCaOMCbIC-variableOM.csv</t>
        </is>
      </c>
      <c r="B969" t="inlineStr">
        <is>
          <t>municipal solid waste</t>
        </is>
      </c>
      <c r="C969" t="inlineStr">
        <is>
          <t>ISIC 302T309</t>
        </is>
      </c>
      <c r="D969" t="inlineStr">
        <is>
          <t>ISIC 30</t>
        </is>
      </c>
      <c r="E969" t="n">
        <v>0.8828631277509678</v>
      </c>
      <c r="F969" t="inlineStr">
        <is>
          <t>BEA 2024 output share (default)</t>
        </is>
      </c>
      <c r="G969" t="n">
        <v>0.8828631277509678</v>
      </c>
    </row>
    <row r="970">
      <c r="A970" t="inlineStr">
        <is>
          <t>SoESCaOMCbIC-variableOM.csv</t>
        </is>
      </c>
      <c r="B970" t="inlineStr">
        <is>
          <t>municipal solid waste</t>
        </is>
      </c>
      <c r="C970" t="inlineStr">
        <is>
          <t>ISIC 49</t>
        </is>
      </c>
      <c r="D970" t="inlineStr">
        <is>
          <t>ISIC 49T53</t>
        </is>
      </c>
      <c r="E970" t="n">
        <v>0.4781643011829615</v>
      </c>
      <c r="F970" t="inlineStr">
        <is>
          <t>BEA 2024 output share (default)</t>
        </is>
      </c>
      <c r="G970" t="n">
        <v>0.4781643011829615</v>
      </c>
    </row>
    <row r="971">
      <c r="A971" t="inlineStr">
        <is>
          <t>SoESCaOMCbIC-variableOM.csv</t>
        </is>
      </c>
      <c r="B971" t="inlineStr">
        <is>
          <t>municipal solid waste</t>
        </is>
      </c>
      <c r="C971" t="inlineStr">
        <is>
          <t>ISIC 50</t>
        </is>
      </c>
      <c r="D971" t="inlineStr">
        <is>
          <t>ISIC 49T53</t>
        </is>
      </c>
      <c r="E971" t="n">
        <v>0.04258639396614965</v>
      </c>
      <c r="F971" t="inlineStr">
        <is>
          <t>BEA 2024 output share (default)</t>
        </is>
      </c>
      <c r="G971" t="n">
        <v>0.04258639396614965</v>
      </c>
    </row>
    <row r="972">
      <c r="A972" t="inlineStr">
        <is>
          <t>SoESCaOMCbIC-variableOM.csv</t>
        </is>
      </c>
      <c r="B972" t="inlineStr">
        <is>
          <t>municipal solid waste</t>
        </is>
      </c>
      <c r="C972" t="inlineStr">
        <is>
          <t>ISIC 51</t>
        </is>
      </c>
      <c r="D972" t="inlineStr">
        <is>
          <t>ISIC 49T53</t>
        </is>
      </c>
      <c r="E972" t="n">
        <v>0.1808024634415262</v>
      </c>
      <c r="F972" t="inlineStr">
        <is>
          <t>BEA 2024 output share (default)</t>
        </is>
      </c>
      <c r="G972" t="n">
        <v>0.1808024634415262</v>
      </c>
    </row>
    <row r="973">
      <c r="A973" t="inlineStr">
        <is>
          <t>SoESCaOMCbIC-variableOM.csv</t>
        </is>
      </c>
      <c r="B973" t="inlineStr">
        <is>
          <t>municipal solid waste</t>
        </is>
      </c>
      <c r="C973" t="inlineStr">
        <is>
          <t>ISIC 52</t>
        </is>
      </c>
      <c r="D973" t="inlineStr">
        <is>
          <t>ISIC 49T53</t>
        </is>
      </c>
      <c r="E973" t="n">
        <v>0.2139060571318126</v>
      </c>
      <c r="F973" t="inlineStr">
        <is>
          <t>BEA 2024 output share (default)</t>
        </is>
      </c>
      <c r="G973" t="n">
        <v>0.2139060571318126</v>
      </c>
    </row>
    <row r="974">
      <c r="A974" t="inlineStr">
        <is>
          <t>SoESCaOMCbIC-variableOM.csv</t>
        </is>
      </c>
      <c r="B974" t="inlineStr">
        <is>
          <t>municipal solid waste</t>
        </is>
      </c>
      <c r="C974" t="inlineStr">
        <is>
          <t>ISIC 53</t>
        </is>
      </c>
      <c r="D974" t="inlineStr">
        <is>
          <t>ISIC 49T53</t>
        </is>
      </c>
      <c r="E974" t="n">
        <v>0.08454078427755009</v>
      </c>
      <c r="F974" t="inlineStr">
        <is>
          <t>BEA 2024 output share (default)</t>
        </is>
      </c>
      <c r="G974" t="n">
        <v>0.08454078427755009</v>
      </c>
    </row>
    <row r="975">
      <c r="A975" t="inlineStr">
        <is>
          <t>SoESCaOMCbIC-variableOM.csv</t>
        </is>
      </c>
      <c r="B975" t="inlineStr">
        <is>
          <t>municipal solid waste</t>
        </is>
      </c>
      <c r="C975" t="inlineStr">
        <is>
          <t>ISIC 69T75</t>
        </is>
      </c>
      <c r="D975" t="inlineStr">
        <is>
          <t>ISIC 69T82</t>
        </is>
      </c>
      <c r="E975" t="n">
        <v>1</v>
      </c>
      <c r="F975" t="inlineStr">
        <is>
          <t>semantic override</t>
        </is>
      </c>
      <c r="G975" t="n">
        <v>0.7298219447914125</v>
      </c>
    </row>
    <row r="976">
      <c r="A976" t="inlineStr">
        <is>
          <t>SoESCaOMCbIC-variableOM.csv</t>
        </is>
      </c>
      <c r="B976" t="inlineStr">
        <is>
          <t>municipal solid waste</t>
        </is>
      </c>
      <c r="C976" t="inlineStr">
        <is>
          <t>ISIC 77T82</t>
        </is>
      </c>
      <c r="D976" t="inlineStr">
        <is>
          <t>ISIC 69T82</t>
        </is>
      </c>
      <c r="E976" t="n">
        <v>0</v>
      </c>
      <c r="F976" t="inlineStr">
        <is>
          <t>semantic override</t>
        </is>
      </c>
      <c r="G976" t="n">
        <v>0.2701780552085875</v>
      </c>
    </row>
    <row r="977">
      <c r="A977" t="inlineStr">
        <is>
          <t>SoESCaOMCbIC-variableOM.csv</t>
        </is>
      </c>
      <c r="B977" t="inlineStr">
        <is>
          <t>municipal solid waste</t>
        </is>
      </c>
      <c r="C977" t="inlineStr">
        <is>
          <t>ISIC 90T93</t>
        </is>
      </c>
      <c r="D977" t="inlineStr">
        <is>
          <t>ISIC 90T96</t>
        </is>
      </c>
      <c r="E977" t="n">
        <v>0.4216249514352275</v>
      </c>
      <c r="F977" t="inlineStr">
        <is>
          <t>BEA 2024 output share (default)</t>
        </is>
      </c>
      <c r="G977" t="n">
        <v>0.4216249514352275</v>
      </c>
    </row>
    <row r="978">
      <c r="A978" t="inlineStr">
        <is>
          <t>SoESCaOMCbIC-variableOM.csv</t>
        </is>
      </c>
      <c r="B978" t="inlineStr">
        <is>
          <t>municipal solid waste</t>
        </is>
      </c>
      <c r="C978" t="inlineStr">
        <is>
          <t>ISIC 94T96</t>
        </is>
      </c>
      <c r="D978" t="inlineStr">
        <is>
          <t>ISIC 90T96</t>
        </is>
      </c>
      <c r="E978" t="n">
        <v>0.5783750485647725</v>
      </c>
      <c r="F978" t="inlineStr">
        <is>
          <t>BEA 2024 output share (default)</t>
        </is>
      </c>
      <c r="G978" t="n">
        <v>0.5783750485647725</v>
      </c>
    </row>
    <row r="979">
      <c r="A979" t="inlineStr">
        <is>
          <t>SoESCaOMCbIC-variableOM.csv</t>
        </is>
      </c>
      <c r="B979" t="inlineStr">
        <is>
          <t>natural gas combined cycle</t>
        </is>
      </c>
      <c r="C979" t="inlineStr">
        <is>
          <t>ISIC 01</t>
        </is>
      </c>
      <c r="D979" t="inlineStr">
        <is>
          <t>ISIC 01T03</t>
        </is>
      </c>
      <c r="E979" t="n">
        <v>0.9429986826432329</v>
      </c>
      <c r="F979" t="inlineStr">
        <is>
          <t>BEA 2024 output share (default)</t>
        </is>
      </c>
      <c r="G979" t="n">
        <v>0.9429986826432329</v>
      </c>
    </row>
    <row r="980">
      <c r="A980" t="inlineStr">
        <is>
          <t>SoESCaOMCbIC-variableOM.csv</t>
        </is>
      </c>
      <c r="B980" t="inlineStr">
        <is>
          <t>natural gas combined cycle</t>
        </is>
      </c>
      <c r="C980" t="inlineStr">
        <is>
          <t>ISIC 02</t>
        </is>
      </c>
      <c r="D980" t="inlineStr">
        <is>
          <t>ISIC 01T03</t>
        </is>
      </c>
      <c r="E980" t="n">
        <v>0.04176573136965662</v>
      </c>
      <c r="F980" t="inlineStr">
        <is>
          <t>BEA 2024 output share (default)</t>
        </is>
      </c>
      <c r="G980" t="n">
        <v>0.04176573136965662</v>
      </c>
    </row>
    <row r="981">
      <c r="A981" t="inlineStr">
        <is>
          <t>SoESCaOMCbIC-variableOM.csv</t>
        </is>
      </c>
      <c r="B981" t="inlineStr">
        <is>
          <t>natural gas combined cycle</t>
        </is>
      </c>
      <c r="C981" t="inlineStr">
        <is>
          <t>ISIC 03</t>
        </is>
      </c>
      <c r="D981" t="inlineStr">
        <is>
          <t>ISIC 01T03</t>
        </is>
      </c>
      <c r="E981" t="n">
        <v>0.01523558598711041</v>
      </c>
      <c r="F981" t="inlineStr">
        <is>
          <t>BEA 2024 output share (default)</t>
        </is>
      </c>
      <c r="G981" t="n">
        <v>0.01523558598711041</v>
      </c>
    </row>
    <row r="982">
      <c r="A982" t="inlineStr">
        <is>
          <t>SoESCaOMCbIC-variableOM.csv</t>
        </is>
      </c>
      <c r="B982" t="inlineStr">
        <is>
          <t>natural gas combined cycle</t>
        </is>
      </c>
      <c r="C982" t="inlineStr">
        <is>
          <t>ISIC 07</t>
        </is>
      </c>
      <c r="D982" t="inlineStr">
        <is>
          <t>ISIC 07T08</t>
        </is>
      </c>
      <c r="E982" t="n">
        <v>0.4327368836123752</v>
      </c>
      <c r="F982" t="inlineStr">
        <is>
          <t>BEA 2024 output share (default)</t>
        </is>
      </c>
      <c r="G982" t="n">
        <v>0.4327368836123752</v>
      </c>
    </row>
    <row r="983">
      <c r="A983" t="inlineStr">
        <is>
          <t>SoESCaOMCbIC-variableOM.csv</t>
        </is>
      </c>
      <c r="B983" t="inlineStr">
        <is>
          <t>natural gas combined cycle</t>
        </is>
      </c>
      <c r="C983" t="inlineStr">
        <is>
          <t>ISIC 08</t>
        </is>
      </c>
      <c r="D983" t="inlineStr">
        <is>
          <t>ISIC 07T08</t>
        </is>
      </c>
      <c r="E983" t="n">
        <v>0.5672631163876248</v>
      </c>
      <c r="F983" t="inlineStr">
        <is>
          <t>BEA 2024 output share (default)</t>
        </is>
      </c>
      <c r="G983" t="n">
        <v>0.5672631163876248</v>
      </c>
    </row>
    <row r="984">
      <c r="A984" t="inlineStr">
        <is>
          <t>SoESCaOMCbIC-variableOM.csv</t>
        </is>
      </c>
      <c r="B984" t="inlineStr">
        <is>
          <t>natural gas combined cycle</t>
        </is>
      </c>
      <c r="C984" t="inlineStr">
        <is>
          <t>ISIC 301</t>
        </is>
      </c>
      <c r="D984" t="inlineStr">
        <is>
          <t>ISIC 30</t>
        </is>
      </c>
      <c r="E984" t="n">
        <v>0.1171368722490322</v>
      </c>
      <c r="F984" t="inlineStr">
        <is>
          <t>BEA 2024 output share (default)</t>
        </is>
      </c>
      <c r="G984" t="n">
        <v>0.1171368722490322</v>
      </c>
    </row>
    <row r="985">
      <c r="A985" t="inlineStr">
        <is>
          <t>SoESCaOMCbIC-variableOM.csv</t>
        </is>
      </c>
      <c r="B985" t="inlineStr">
        <is>
          <t>natural gas combined cycle</t>
        </is>
      </c>
      <c r="C985" t="inlineStr">
        <is>
          <t>ISIC 302T309</t>
        </is>
      </c>
      <c r="D985" t="inlineStr">
        <is>
          <t>ISIC 30</t>
        </is>
      </c>
      <c r="E985" t="n">
        <v>0.8828631277509678</v>
      </c>
      <c r="F985" t="inlineStr">
        <is>
          <t>BEA 2024 output share (default)</t>
        </is>
      </c>
      <c r="G985" t="n">
        <v>0.8828631277509678</v>
      </c>
    </row>
    <row r="986">
      <c r="A986" t="inlineStr">
        <is>
          <t>SoESCaOMCbIC-variableOM.csv</t>
        </is>
      </c>
      <c r="B986" t="inlineStr">
        <is>
          <t>natural gas combined cycle</t>
        </is>
      </c>
      <c r="C986" t="inlineStr">
        <is>
          <t>ISIC 49</t>
        </is>
      </c>
      <c r="D986" t="inlineStr">
        <is>
          <t>ISIC 49T53</t>
        </is>
      </c>
      <c r="E986" t="n">
        <v>0.4781643011829615</v>
      </c>
      <c r="F986" t="inlineStr">
        <is>
          <t>BEA 2024 output share (default)</t>
        </is>
      </c>
      <c r="G986" t="n">
        <v>0.4781643011829615</v>
      </c>
    </row>
    <row r="987">
      <c r="A987" t="inlineStr">
        <is>
          <t>SoESCaOMCbIC-variableOM.csv</t>
        </is>
      </c>
      <c r="B987" t="inlineStr">
        <is>
          <t>natural gas combined cycle</t>
        </is>
      </c>
      <c r="C987" t="inlineStr">
        <is>
          <t>ISIC 50</t>
        </is>
      </c>
      <c r="D987" t="inlineStr">
        <is>
          <t>ISIC 49T53</t>
        </is>
      </c>
      <c r="E987" t="n">
        <v>0.04258639396614965</v>
      </c>
      <c r="F987" t="inlineStr">
        <is>
          <t>BEA 2024 output share (default)</t>
        </is>
      </c>
      <c r="G987" t="n">
        <v>0.04258639396614965</v>
      </c>
    </row>
    <row r="988">
      <c r="A988" t="inlineStr">
        <is>
          <t>SoESCaOMCbIC-variableOM.csv</t>
        </is>
      </c>
      <c r="B988" t="inlineStr">
        <is>
          <t>natural gas combined cycle</t>
        </is>
      </c>
      <c r="C988" t="inlineStr">
        <is>
          <t>ISIC 51</t>
        </is>
      </c>
      <c r="D988" t="inlineStr">
        <is>
          <t>ISIC 49T53</t>
        </is>
      </c>
      <c r="E988" t="n">
        <v>0.1808024634415262</v>
      </c>
      <c r="F988" t="inlineStr">
        <is>
          <t>BEA 2024 output share (default)</t>
        </is>
      </c>
      <c r="G988" t="n">
        <v>0.1808024634415262</v>
      </c>
    </row>
    <row r="989">
      <c r="A989" t="inlineStr">
        <is>
          <t>SoESCaOMCbIC-variableOM.csv</t>
        </is>
      </c>
      <c r="B989" t="inlineStr">
        <is>
          <t>natural gas combined cycle</t>
        </is>
      </c>
      <c r="C989" t="inlineStr">
        <is>
          <t>ISIC 52</t>
        </is>
      </c>
      <c r="D989" t="inlineStr">
        <is>
          <t>ISIC 49T53</t>
        </is>
      </c>
      <c r="E989" t="n">
        <v>0.2139060571318126</v>
      </c>
      <c r="F989" t="inlineStr">
        <is>
          <t>BEA 2024 output share (default)</t>
        </is>
      </c>
      <c r="G989" t="n">
        <v>0.2139060571318126</v>
      </c>
    </row>
    <row r="990">
      <c r="A990" t="inlineStr">
        <is>
          <t>SoESCaOMCbIC-variableOM.csv</t>
        </is>
      </c>
      <c r="B990" t="inlineStr">
        <is>
          <t>natural gas combined cycle</t>
        </is>
      </c>
      <c r="C990" t="inlineStr">
        <is>
          <t>ISIC 53</t>
        </is>
      </c>
      <c r="D990" t="inlineStr">
        <is>
          <t>ISIC 49T53</t>
        </is>
      </c>
      <c r="E990" t="n">
        <v>0.08454078427755009</v>
      </c>
      <c r="F990" t="inlineStr">
        <is>
          <t>BEA 2024 output share (default)</t>
        </is>
      </c>
      <c r="G990" t="n">
        <v>0.08454078427755009</v>
      </c>
    </row>
    <row r="991">
      <c r="A991" t="inlineStr">
        <is>
          <t>SoESCaOMCbIC-variableOM.csv</t>
        </is>
      </c>
      <c r="B991" t="inlineStr">
        <is>
          <t>natural gas combined cycle</t>
        </is>
      </c>
      <c r="C991" t="inlineStr">
        <is>
          <t>ISIC 69T75</t>
        </is>
      </c>
      <c r="D991" t="inlineStr">
        <is>
          <t>ISIC 69T82</t>
        </is>
      </c>
      <c r="E991" t="n">
        <v>1</v>
      </c>
      <c r="F991" t="inlineStr">
        <is>
          <t>semantic override</t>
        </is>
      </c>
      <c r="G991" t="n">
        <v>0.7298219447914125</v>
      </c>
    </row>
    <row r="992">
      <c r="A992" t="inlineStr">
        <is>
          <t>SoESCaOMCbIC-variableOM.csv</t>
        </is>
      </c>
      <c r="B992" t="inlineStr">
        <is>
          <t>natural gas combined cycle</t>
        </is>
      </c>
      <c r="C992" t="inlineStr">
        <is>
          <t>ISIC 77T82</t>
        </is>
      </c>
      <c r="D992" t="inlineStr">
        <is>
          <t>ISIC 69T82</t>
        </is>
      </c>
      <c r="E992" t="n">
        <v>0</v>
      </c>
      <c r="F992" t="inlineStr">
        <is>
          <t>semantic override</t>
        </is>
      </c>
      <c r="G992" t="n">
        <v>0.2701780552085875</v>
      </c>
    </row>
    <row r="993">
      <c r="A993" t="inlineStr">
        <is>
          <t>SoESCaOMCbIC-variableOM.csv</t>
        </is>
      </c>
      <c r="B993" t="inlineStr">
        <is>
          <t>natural gas combined cycle</t>
        </is>
      </c>
      <c r="C993" t="inlineStr">
        <is>
          <t>ISIC 90T93</t>
        </is>
      </c>
      <c r="D993" t="inlineStr">
        <is>
          <t>ISIC 90T96</t>
        </is>
      </c>
      <c r="E993" t="n">
        <v>0.4216249514352275</v>
      </c>
      <c r="F993" t="inlineStr">
        <is>
          <t>BEA 2024 output share (default)</t>
        </is>
      </c>
      <c r="G993" t="n">
        <v>0.4216249514352275</v>
      </c>
    </row>
    <row r="994">
      <c r="A994" t="inlineStr">
        <is>
          <t>SoESCaOMCbIC-variableOM.csv</t>
        </is>
      </c>
      <c r="B994" t="inlineStr">
        <is>
          <t>natural gas combined cycle</t>
        </is>
      </c>
      <c r="C994" t="inlineStr">
        <is>
          <t>ISIC 94T96</t>
        </is>
      </c>
      <c r="D994" t="inlineStr">
        <is>
          <t>ISIC 90T96</t>
        </is>
      </c>
      <c r="E994" t="n">
        <v>0.5783750485647725</v>
      </c>
      <c r="F994" t="inlineStr">
        <is>
          <t>BEA 2024 output share (default)</t>
        </is>
      </c>
      <c r="G994" t="n">
        <v>0.5783750485647725</v>
      </c>
    </row>
    <row r="995">
      <c r="A995" t="inlineStr">
        <is>
          <t>SoESCaOMCbIC-variableOM.csv</t>
        </is>
      </c>
      <c r="B995" t="inlineStr">
        <is>
          <t>natural gas combined cycle w CCS</t>
        </is>
      </c>
      <c r="C995" t="inlineStr">
        <is>
          <t>ISIC 01</t>
        </is>
      </c>
      <c r="D995" t="inlineStr">
        <is>
          <t>ISIC 01T03</t>
        </is>
      </c>
      <c r="E995" t="n">
        <v>0.9429986826432329</v>
      </c>
      <c r="F995" t="inlineStr">
        <is>
          <t>BEA 2024 output share (default)</t>
        </is>
      </c>
      <c r="G995" t="n">
        <v>0.9429986826432329</v>
      </c>
    </row>
    <row r="996">
      <c r="A996" t="inlineStr">
        <is>
          <t>SoESCaOMCbIC-variableOM.csv</t>
        </is>
      </c>
      <c r="B996" t="inlineStr">
        <is>
          <t>natural gas combined cycle w CCS</t>
        </is>
      </c>
      <c r="C996" t="inlineStr">
        <is>
          <t>ISIC 02</t>
        </is>
      </c>
      <c r="D996" t="inlineStr">
        <is>
          <t>ISIC 01T03</t>
        </is>
      </c>
      <c r="E996" t="n">
        <v>0.04176573136965662</v>
      </c>
      <c r="F996" t="inlineStr">
        <is>
          <t>BEA 2024 output share (default)</t>
        </is>
      </c>
      <c r="G996" t="n">
        <v>0.04176573136965662</v>
      </c>
    </row>
    <row r="997">
      <c r="A997" t="inlineStr">
        <is>
          <t>SoESCaOMCbIC-variableOM.csv</t>
        </is>
      </c>
      <c r="B997" t="inlineStr">
        <is>
          <t>natural gas combined cycle w CCS</t>
        </is>
      </c>
      <c r="C997" t="inlineStr">
        <is>
          <t>ISIC 03</t>
        </is>
      </c>
      <c r="D997" t="inlineStr">
        <is>
          <t>ISIC 01T03</t>
        </is>
      </c>
      <c r="E997" t="n">
        <v>0.01523558598711041</v>
      </c>
      <c r="F997" t="inlineStr">
        <is>
          <t>BEA 2024 output share (default)</t>
        </is>
      </c>
      <c r="G997" t="n">
        <v>0.01523558598711041</v>
      </c>
    </row>
    <row r="998">
      <c r="A998" t="inlineStr">
        <is>
          <t>SoESCaOMCbIC-variableOM.csv</t>
        </is>
      </c>
      <c r="B998" t="inlineStr">
        <is>
          <t>natural gas combined cycle w CCS</t>
        </is>
      </c>
      <c r="C998" t="inlineStr">
        <is>
          <t>ISIC 07</t>
        </is>
      </c>
      <c r="D998" t="inlineStr">
        <is>
          <t>ISIC 07T08</t>
        </is>
      </c>
      <c r="E998" t="n">
        <v>0.4327368836123752</v>
      </c>
      <c r="F998" t="inlineStr">
        <is>
          <t>BEA 2024 output share (default)</t>
        </is>
      </c>
      <c r="G998" t="n">
        <v>0.4327368836123752</v>
      </c>
    </row>
    <row r="999">
      <c r="A999" t="inlineStr">
        <is>
          <t>SoESCaOMCbIC-variableOM.csv</t>
        </is>
      </c>
      <c r="B999" t="inlineStr">
        <is>
          <t>natural gas combined cycle w CCS</t>
        </is>
      </c>
      <c r="C999" t="inlineStr">
        <is>
          <t>ISIC 08</t>
        </is>
      </c>
      <c r="D999" t="inlineStr">
        <is>
          <t>ISIC 07T08</t>
        </is>
      </c>
      <c r="E999" t="n">
        <v>0.5672631163876248</v>
      </c>
      <c r="F999" t="inlineStr">
        <is>
          <t>BEA 2024 output share (default)</t>
        </is>
      </c>
      <c r="G999" t="n">
        <v>0.5672631163876248</v>
      </c>
    </row>
    <row r="1000">
      <c r="A1000" t="inlineStr">
        <is>
          <t>SoESCaOMCbIC-variableOM.csv</t>
        </is>
      </c>
      <c r="B1000" t="inlineStr">
        <is>
          <t>natural gas combined cycle w CCS</t>
        </is>
      </c>
      <c r="C1000" t="inlineStr">
        <is>
          <t>ISIC 301</t>
        </is>
      </c>
      <c r="D1000" t="inlineStr">
        <is>
          <t>ISIC 30</t>
        </is>
      </c>
      <c r="E1000" t="n">
        <v>0.1171368722490322</v>
      </c>
      <c r="F1000" t="inlineStr">
        <is>
          <t>BEA 2024 output share (default)</t>
        </is>
      </c>
      <c r="G1000" t="n">
        <v>0.1171368722490322</v>
      </c>
    </row>
    <row r="1001">
      <c r="A1001" t="inlineStr">
        <is>
          <t>SoESCaOMCbIC-variableOM.csv</t>
        </is>
      </c>
      <c r="B1001" t="inlineStr">
        <is>
          <t>natural gas combined cycle w CCS</t>
        </is>
      </c>
      <c r="C1001" t="inlineStr">
        <is>
          <t>ISIC 302T309</t>
        </is>
      </c>
      <c r="D1001" t="inlineStr">
        <is>
          <t>ISIC 30</t>
        </is>
      </c>
      <c r="E1001" t="n">
        <v>0.8828631277509678</v>
      </c>
      <c r="F1001" t="inlineStr">
        <is>
          <t>BEA 2024 output share (default)</t>
        </is>
      </c>
      <c r="G1001" t="n">
        <v>0.8828631277509678</v>
      </c>
    </row>
    <row r="1002">
      <c r="A1002" t="inlineStr">
        <is>
          <t>SoESCaOMCbIC-variableOM.csv</t>
        </is>
      </c>
      <c r="B1002" t="inlineStr">
        <is>
          <t>natural gas combined cycle w CCS</t>
        </is>
      </c>
      <c r="C1002" t="inlineStr">
        <is>
          <t>ISIC 49</t>
        </is>
      </c>
      <c r="D1002" t="inlineStr">
        <is>
          <t>ISIC 49T53</t>
        </is>
      </c>
      <c r="E1002" t="n">
        <v>0.4781643011829615</v>
      </c>
      <c r="F1002" t="inlineStr">
        <is>
          <t>BEA 2024 output share (default)</t>
        </is>
      </c>
      <c r="G1002" t="n">
        <v>0.4781643011829615</v>
      </c>
    </row>
    <row r="1003">
      <c r="A1003" t="inlineStr">
        <is>
          <t>SoESCaOMCbIC-variableOM.csv</t>
        </is>
      </c>
      <c r="B1003" t="inlineStr">
        <is>
          <t>natural gas combined cycle w CCS</t>
        </is>
      </c>
      <c r="C1003" t="inlineStr">
        <is>
          <t>ISIC 50</t>
        </is>
      </c>
      <c r="D1003" t="inlineStr">
        <is>
          <t>ISIC 49T53</t>
        </is>
      </c>
      <c r="E1003" t="n">
        <v>0.04258639396614965</v>
      </c>
      <c r="F1003" t="inlineStr">
        <is>
          <t>BEA 2024 output share (default)</t>
        </is>
      </c>
      <c r="G1003" t="n">
        <v>0.04258639396614965</v>
      </c>
    </row>
    <row r="1004">
      <c r="A1004" t="inlineStr">
        <is>
          <t>SoESCaOMCbIC-variableOM.csv</t>
        </is>
      </c>
      <c r="B1004" t="inlineStr">
        <is>
          <t>natural gas combined cycle w CCS</t>
        </is>
      </c>
      <c r="C1004" t="inlineStr">
        <is>
          <t>ISIC 51</t>
        </is>
      </c>
      <c r="D1004" t="inlineStr">
        <is>
          <t>ISIC 49T53</t>
        </is>
      </c>
      <c r="E1004" t="n">
        <v>0.1808024634415262</v>
      </c>
      <c r="F1004" t="inlineStr">
        <is>
          <t>BEA 2024 output share (default)</t>
        </is>
      </c>
      <c r="G1004" t="n">
        <v>0.1808024634415262</v>
      </c>
    </row>
    <row r="1005">
      <c r="A1005" t="inlineStr">
        <is>
          <t>SoESCaOMCbIC-variableOM.csv</t>
        </is>
      </c>
      <c r="B1005" t="inlineStr">
        <is>
          <t>natural gas combined cycle w CCS</t>
        </is>
      </c>
      <c r="C1005" t="inlineStr">
        <is>
          <t>ISIC 52</t>
        </is>
      </c>
      <c r="D1005" t="inlineStr">
        <is>
          <t>ISIC 49T53</t>
        </is>
      </c>
      <c r="E1005" t="n">
        <v>0.2139060571318126</v>
      </c>
      <c r="F1005" t="inlineStr">
        <is>
          <t>BEA 2024 output share (default)</t>
        </is>
      </c>
      <c r="G1005" t="n">
        <v>0.2139060571318126</v>
      </c>
    </row>
    <row r="1006">
      <c r="A1006" t="inlineStr">
        <is>
          <t>SoESCaOMCbIC-variableOM.csv</t>
        </is>
      </c>
      <c r="B1006" t="inlineStr">
        <is>
          <t>natural gas combined cycle w CCS</t>
        </is>
      </c>
      <c r="C1006" t="inlineStr">
        <is>
          <t>ISIC 53</t>
        </is>
      </c>
      <c r="D1006" t="inlineStr">
        <is>
          <t>ISIC 49T53</t>
        </is>
      </c>
      <c r="E1006" t="n">
        <v>0.08454078427755009</v>
      </c>
      <c r="F1006" t="inlineStr">
        <is>
          <t>BEA 2024 output share (default)</t>
        </is>
      </c>
      <c r="G1006" t="n">
        <v>0.08454078427755009</v>
      </c>
    </row>
    <row r="1007">
      <c r="A1007" t="inlineStr">
        <is>
          <t>SoESCaOMCbIC-variableOM.csv</t>
        </is>
      </c>
      <c r="B1007" t="inlineStr">
        <is>
          <t>natural gas combined cycle w CCS</t>
        </is>
      </c>
      <c r="C1007" t="inlineStr">
        <is>
          <t>ISIC 69T75</t>
        </is>
      </c>
      <c r="D1007" t="inlineStr">
        <is>
          <t>ISIC 69T82</t>
        </is>
      </c>
      <c r="E1007" t="n">
        <v>1</v>
      </c>
      <c r="F1007" t="inlineStr">
        <is>
          <t>semantic override</t>
        </is>
      </c>
      <c r="G1007" t="n">
        <v>0.7298219447914125</v>
      </c>
    </row>
    <row r="1008">
      <c r="A1008" t="inlineStr">
        <is>
          <t>SoESCaOMCbIC-variableOM.csv</t>
        </is>
      </c>
      <c r="B1008" t="inlineStr">
        <is>
          <t>natural gas combined cycle w CCS</t>
        </is>
      </c>
      <c r="C1008" t="inlineStr">
        <is>
          <t>ISIC 77T82</t>
        </is>
      </c>
      <c r="D1008" t="inlineStr">
        <is>
          <t>ISIC 69T82</t>
        </is>
      </c>
      <c r="E1008" t="n">
        <v>0</v>
      </c>
      <c r="F1008" t="inlineStr">
        <is>
          <t>semantic override</t>
        </is>
      </c>
      <c r="G1008" t="n">
        <v>0.2701780552085875</v>
      </c>
    </row>
    <row r="1009">
      <c r="A1009" t="inlineStr">
        <is>
          <t>SoESCaOMCbIC-variableOM.csv</t>
        </is>
      </c>
      <c r="B1009" t="inlineStr">
        <is>
          <t>natural gas combined cycle w CCS</t>
        </is>
      </c>
      <c r="C1009" t="inlineStr">
        <is>
          <t>ISIC 90T93</t>
        </is>
      </c>
      <c r="D1009" t="inlineStr">
        <is>
          <t>ISIC 90T96</t>
        </is>
      </c>
      <c r="E1009" t="n">
        <v>0.4216249514352275</v>
      </c>
      <c r="F1009" t="inlineStr">
        <is>
          <t>BEA 2024 output share (default)</t>
        </is>
      </c>
      <c r="G1009" t="n">
        <v>0.4216249514352275</v>
      </c>
    </row>
    <row r="1010">
      <c r="A1010" t="inlineStr">
        <is>
          <t>SoESCaOMCbIC-variableOM.csv</t>
        </is>
      </c>
      <c r="B1010" t="inlineStr">
        <is>
          <t>natural gas combined cycle w CCS</t>
        </is>
      </c>
      <c r="C1010" t="inlineStr">
        <is>
          <t>ISIC 94T96</t>
        </is>
      </c>
      <c r="D1010" t="inlineStr">
        <is>
          <t>ISIC 90T96</t>
        </is>
      </c>
      <c r="E1010" t="n">
        <v>0.5783750485647725</v>
      </c>
      <c r="F1010" t="inlineStr">
        <is>
          <t>BEA 2024 output share (default)</t>
        </is>
      </c>
      <c r="G1010" t="n">
        <v>0.5783750485647725</v>
      </c>
    </row>
    <row r="1011">
      <c r="A1011" t="inlineStr">
        <is>
          <t>SoESCaOMCbIC-variableOM.csv</t>
        </is>
      </c>
      <c r="B1011" t="inlineStr">
        <is>
          <t>natural gas peaker</t>
        </is>
      </c>
      <c r="C1011" t="inlineStr">
        <is>
          <t>ISIC 01</t>
        </is>
      </c>
      <c r="D1011" t="inlineStr">
        <is>
          <t>ISIC 01T03</t>
        </is>
      </c>
      <c r="E1011" t="n">
        <v>0.9429986826432329</v>
      </c>
      <c r="F1011" t="inlineStr">
        <is>
          <t>BEA 2024 output share (default)</t>
        </is>
      </c>
      <c r="G1011" t="n">
        <v>0.9429986826432329</v>
      </c>
    </row>
    <row r="1012">
      <c r="A1012" t="inlineStr">
        <is>
          <t>SoESCaOMCbIC-variableOM.csv</t>
        </is>
      </c>
      <c r="B1012" t="inlineStr">
        <is>
          <t>natural gas peaker</t>
        </is>
      </c>
      <c r="C1012" t="inlineStr">
        <is>
          <t>ISIC 02</t>
        </is>
      </c>
      <c r="D1012" t="inlineStr">
        <is>
          <t>ISIC 01T03</t>
        </is>
      </c>
      <c r="E1012" t="n">
        <v>0.04176573136965662</v>
      </c>
      <c r="F1012" t="inlineStr">
        <is>
          <t>BEA 2024 output share (default)</t>
        </is>
      </c>
      <c r="G1012" t="n">
        <v>0.04176573136965662</v>
      </c>
    </row>
    <row r="1013">
      <c r="A1013" t="inlineStr">
        <is>
          <t>SoESCaOMCbIC-variableOM.csv</t>
        </is>
      </c>
      <c r="B1013" t="inlineStr">
        <is>
          <t>natural gas peaker</t>
        </is>
      </c>
      <c r="C1013" t="inlineStr">
        <is>
          <t>ISIC 03</t>
        </is>
      </c>
      <c r="D1013" t="inlineStr">
        <is>
          <t>ISIC 01T03</t>
        </is>
      </c>
      <c r="E1013" t="n">
        <v>0.01523558598711041</v>
      </c>
      <c r="F1013" t="inlineStr">
        <is>
          <t>BEA 2024 output share (default)</t>
        </is>
      </c>
      <c r="G1013" t="n">
        <v>0.01523558598711041</v>
      </c>
    </row>
    <row r="1014">
      <c r="A1014" t="inlineStr">
        <is>
          <t>SoESCaOMCbIC-variableOM.csv</t>
        </is>
      </c>
      <c r="B1014" t="inlineStr">
        <is>
          <t>natural gas peaker</t>
        </is>
      </c>
      <c r="C1014" t="inlineStr">
        <is>
          <t>ISIC 07</t>
        </is>
      </c>
      <c r="D1014" t="inlineStr">
        <is>
          <t>ISIC 07T08</t>
        </is>
      </c>
      <c r="E1014" t="n">
        <v>0.4327368836123752</v>
      </c>
      <c r="F1014" t="inlineStr">
        <is>
          <t>BEA 2024 output share (default)</t>
        </is>
      </c>
      <c r="G1014" t="n">
        <v>0.4327368836123752</v>
      </c>
    </row>
    <row r="1015">
      <c r="A1015" t="inlineStr">
        <is>
          <t>SoESCaOMCbIC-variableOM.csv</t>
        </is>
      </c>
      <c r="B1015" t="inlineStr">
        <is>
          <t>natural gas peaker</t>
        </is>
      </c>
      <c r="C1015" t="inlineStr">
        <is>
          <t>ISIC 08</t>
        </is>
      </c>
      <c r="D1015" t="inlineStr">
        <is>
          <t>ISIC 07T08</t>
        </is>
      </c>
      <c r="E1015" t="n">
        <v>0.5672631163876248</v>
      </c>
      <c r="F1015" t="inlineStr">
        <is>
          <t>BEA 2024 output share (default)</t>
        </is>
      </c>
      <c r="G1015" t="n">
        <v>0.5672631163876248</v>
      </c>
    </row>
    <row r="1016">
      <c r="A1016" t="inlineStr">
        <is>
          <t>SoESCaOMCbIC-variableOM.csv</t>
        </is>
      </c>
      <c r="B1016" t="inlineStr">
        <is>
          <t>natural gas peaker</t>
        </is>
      </c>
      <c r="C1016" t="inlineStr">
        <is>
          <t>ISIC 301</t>
        </is>
      </c>
      <c r="D1016" t="inlineStr">
        <is>
          <t>ISIC 30</t>
        </is>
      </c>
      <c r="E1016" t="n">
        <v>0.1171368722490322</v>
      </c>
      <c r="F1016" t="inlineStr">
        <is>
          <t>BEA 2024 output share (default)</t>
        </is>
      </c>
      <c r="G1016" t="n">
        <v>0.1171368722490322</v>
      </c>
    </row>
    <row r="1017">
      <c r="A1017" t="inlineStr">
        <is>
          <t>SoESCaOMCbIC-variableOM.csv</t>
        </is>
      </c>
      <c r="B1017" t="inlineStr">
        <is>
          <t>natural gas peaker</t>
        </is>
      </c>
      <c r="C1017" t="inlineStr">
        <is>
          <t>ISIC 302T309</t>
        </is>
      </c>
      <c r="D1017" t="inlineStr">
        <is>
          <t>ISIC 30</t>
        </is>
      </c>
      <c r="E1017" t="n">
        <v>0.8828631277509678</v>
      </c>
      <c r="F1017" t="inlineStr">
        <is>
          <t>BEA 2024 output share (default)</t>
        </is>
      </c>
      <c r="G1017" t="n">
        <v>0.8828631277509678</v>
      </c>
    </row>
    <row r="1018">
      <c r="A1018" t="inlineStr">
        <is>
          <t>SoESCaOMCbIC-variableOM.csv</t>
        </is>
      </c>
      <c r="B1018" t="inlineStr">
        <is>
          <t>natural gas peaker</t>
        </is>
      </c>
      <c r="C1018" t="inlineStr">
        <is>
          <t>ISIC 49</t>
        </is>
      </c>
      <c r="D1018" t="inlineStr">
        <is>
          <t>ISIC 49T53</t>
        </is>
      </c>
      <c r="E1018" t="n">
        <v>0.4781643011829615</v>
      </c>
      <c r="F1018" t="inlineStr">
        <is>
          <t>BEA 2024 output share (default)</t>
        </is>
      </c>
      <c r="G1018" t="n">
        <v>0.4781643011829615</v>
      </c>
    </row>
    <row r="1019">
      <c r="A1019" t="inlineStr">
        <is>
          <t>SoESCaOMCbIC-variableOM.csv</t>
        </is>
      </c>
      <c r="B1019" t="inlineStr">
        <is>
          <t>natural gas peaker</t>
        </is>
      </c>
      <c r="C1019" t="inlineStr">
        <is>
          <t>ISIC 50</t>
        </is>
      </c>
      <c r="D1019" t="inlineStr">
        <is>
          <t>ISIC 49T53</t>
        </is>
      </c>
      <c r="E1019" t="n">
        <v>0.04258639396614965</v>
      </c>
      <c r="F1019" t="inlineStr">
        <is>
          <t>BEA 2024 output share (default)</t>
        </is>
      </c>
      <c r="G1019" t="n">
        <v>0.04258639396614965</v>
      </c>
    </row>
    <row r="1020">
      <c r="A1020" t="inlineStr">
        <is>
          <t>SoESCaOMCbIC-variableOM.csv</t>
        </is>
      </c>
      <c r="B1020" t="inlineStr">
        <is>
          <t>natural gas peaker</t>
        </is>
      </c>
      <c r="C1020" t="inlineStr">
        <is>
          <t>ISIC 51</t>
        </is>
      </c>
      <c r="D1020" t="inlineStr">
        <is>
          <t>ISIC 49T53</t>
        </is>
      </c>
      <c r="E1020" t="n">
        <v>0.1808024634415262</v>
      </c>
      <c r="F1020" t="inlineStr">
        <is>
          <t>BEA 2024 output share (default)</t>
        </is>
      </c>
      <c r="G1020" t="n">
        <v>0.1808024634415262</v>
      </c>
    </row>
    <row r="1021">
      <c r="A1021" t="inlineStr">
        <is>
          <t>SoESCaOMCbIC-variableOM.csv</t>
        </is>
      </c>
      <c r="B1021" t="inlineStr">
        <is>
          <t>natural gas peaker</t>
        </is>
      </c>
      <c r="C1021" t="inlineStr">
        <is>
          <t>ISIC 52</t>
        </is>
      </c>
      <c r="D1021" t="inlineStr">
        <is>
          <t>ISIC 49T53</t>
        </is>
      </c>
      <c r="E1021" t="n">
        <v>0.2139060571318126</v>
      </c>
      <c r="F1021" t="inlineStr">
        <is>
          <t>BEA 2024 output share (default)</t>
        </is>
      </c>
      <c r="G1021" t="n">
        <v>0.2139060571318126</v>
      </c>
    </row>
    <row r="1022">
      <c r="A1022" t="inlineStr">
        <is>
          <t>SoESCaOMCbIC-variableOM.csv</t>
        </is>
      </c>
      <c r="B1022" t="inlineStr">
        <is>
          <t>natural gas peaker</t>
        </is>
      </c>
      <c r="C1022" t="inlineStr">
        <is>
          <t>ISIC 53</t>
        </is>
      </c>
      <c r="D1022" t="inlineStr">
        <is>
          <t>ISIC 49T53</t>
        </is>
      </c>
      <c r="E1022" t="n">
        <v>0.08454078427755009</v>
      </c>
      <c r="F1022" t="inlineStr">
        <is>
          <t>BEA 2024 output share (default)</t>
        </is>
      </c>
      <c r="G1022" t="n">
        <v>0.08454078427755009</v>
      </c>
    </row>
    <row r="1023">
      <c r="A1023" t="inlineStr">
        <is>
          <t>SoESCaOMCbIC-variableOM.csv</t>
        </is>
      </c>
      <c r="B1023" t="inlineStr">
        <is>
          <t>natural gas peaker</t>
        </is>
      </c>
      <c r="C1023" t="inlineStr">
        <is>
          <t>ISIC 69T75</t>
        </is>
      </c>
      <c r="D1023" t="inlineStr">
        <is>
          <t>ISIC 69T82</t>
        </is>
      </c>
      <c r="E1023" t="n">
        <v>1</v>
      </c>
      <c r="F1023" t="inlineStr">
        <is>
          <t>semantic override</t>
        </is>
      </c>
      <c r="G1023" t="n">
        <v>0.7298219447914125</v>
      </c>
    </row>
    <row r="1024">
      <c r="A1024" t="inlineStr">
        <is>
          <t>SoESCaOMCbIC-variableOM.csv</t>
        </is>
      </c>
      <c r="B1024" t="inlineStr">
        <is>
          <t>natural gas peaker</t>
        </is>
      </c>
      <c r="C1024" t="inlineStr">
        <is>
          <t>ISIC 77T82</t>
        </is>
      </c>
      <c r="D1024" t="inlineStr">
        <is>
          <t>ISIC 69T82</t>
        </is>
      </c>
      <c r="E1024" t="n">
        <v>0</v>
      </c>
      <c r="F1024" t="inlineStr">
        <is>
          <t>semantic override</t>
        </is>
      </c>
      <c r="G1024" t="n">
        <v>0.2701780552085875</v>
      </c>
    </row>
    <row r="1025">
      <c r="A1025" t="inlineStr">
        <is>
          <t>SoESCaOMCbIC-variableOM.csv</t>
        </is>
      </c>
      <c r="B1025" t="inlineStr">
        <is>
          <t>natural gas peaker</t>
        </is>
      </c>
      <c r="C1025" t="inlineStr">
        <is>
          <t>ISIC 90T93</t>
        </is>
      </c>
      <c r="D1025" t="inlineStr">
        <is>
          <t>ISIC 90T96</t>
        </is>
      </c>
      <c r="E1025" t="n">
        <v>0.4216249514352275</v>
      </c>
      <c r="F1025" t="inlineStr">
        <is>
          <t>BEA 2024 output share (default)</t>
        </is>
      </c>
      <c r="G1025" t="n">
        <v>0.4216249514352275</v>
      </c>
    </row>
    <row r="1026">
      <c r="A1026" t="inlineStr">
        <is>
          <t>SoESCaOMCbIC-variableOM.csv</t>
        </is>
      </c>
      <c r="B1026" t="inlineStr">
        <is>
          <t>natural gas peaker</t>
        </is>
      </c>
      <c r="C1026" t="inlineStr">
        <is>
          <t>ISIC 94T96</t>
        </is>
      </c>
      <c r="D1026" t="inlineStr">
        <is>
          <t>ISIC 90T96</t>
        </is>
      </c>
      <c r="E1026" t="n">
        <v>0.5783750485647725</v>
      </c>
      <c r="F1026" t="inlineStr">
        <is>
          <t>BEA 2024 output share (default)</t>
        </is>
      </c>
      <c r="G1026" t="n">
        <v>0.5783750485647725</v>
      </c>
    </row>
    <row r="1027">
      <c r="A1027" t="inlineStr">
        <is>
          <t>SoESCaOMCbIC-variableOM.csv</t>
        </is>
      </c>
      <c r="B1027" t="inlineStr">
        <is>
          <t>natural gas steam turbine</t>
        </is>
      </c>
      <c r="C1027" t="inlineStr">
        <is>
          <t>ISIC 01</t>
        </is>
      </c>
      <c r="D1027" t="inlineStr">
        <is>
          <t>ISIC 01T03</t>
        </is>
      </c>
      <c r="E1027" t="n">
        <v>0.9429986826432329</v>
      </c>
      <c r="F1027" t="inlineStr">
        <is>
          <t>BEA 2024 output share (default)</t>
        </is>
      </c>
      <c r="G1027" t="n">
        <v>0.9429986826432329</v>
      </c>
    </row>
    <row r="1028">
      <c r="A1028" t="inlineStr">
        <is>
          <t>SoESCaOMCbIC-variableOM.csv</t>
        </is>
      </c>
      <c r="B1028" t="inlineStr">
        <is>
          <t>natural gas steam turbine</t>
        </is>
      </c>
      <c r="C1028" t="inlineStr">
        <is>
          <t>ISIC 02</t>
        </is>
      </c>
      <c r="D1028" t="inlineStr">
        <is>
          <t>ISIC 01T03</t>
        </is>
      </c>
      <c r="E1028" t="n">
        <v>0.04176573136965662</v>
      </c>
      <c r="F1028" t="inlineStr">
        <is>
          <t>BEA 2024 output share (default)</t>
        </is>
      </c>
      <c r="G1028" t="n">
        <v>0.04176573136965662</v>
      </c>
    </row>
    <row r="1029">
      <c r="A1029" t="inlineStr">
        <is>
          <t>SoESCaOMCbIC-variableOM.csv</t>
        </is>
      </c>
      <c r="B1029" t="inlineStr">
        <is>
          <t>natural gas steam turbine</t>
        </is>
      </c>
      <c r="C1029" t="inlineStr">
        <is>
          <t>ISIC 03</t>
        </is>
      </c>
      <c r="D1029" t="inlineStr">
        <is>
          <t>ISIC 01T03</t>
        </is>
      </c>
      <c r="E1029" t="n">
        <v>0.01523558598711041</v>
      </c>
      <c r="F1029" t="inlineStr">
        <is>
          <t>BEA 2024 output share (default)</t>
        </is>
      </c>
      <c r="G1029" t="n">
        <v>0.01523558598711041</v>
      </c>
    </row>
    <row r="1030">
      <c r="A1030" t="inlineStr">
        <is>
          <t>SoESCaOMCbIC-variableOM.csv</t>
        </is>
      </c>
      <c r="B1030" t="inlineStr">
        <is>
          <t>natural gas steam turbine</t>
        </is>
      </c>
      <c r="C1030" t="inlineStr">
        <is>
          <t>ISIC 07</t>
        </is>
      </c>
      <c r="D1030" t="inlineStr">
        <is>
          <t>ISIC 07T08</t>
        </is>
      </c>
      <c r="E1030" t="n">
        <v>0.4327368836123752</v>
      </c>
      <c r="F1030" t="inlineStr">
        <is>
          <t>BEA 2024 output share (default)</t>
        </is>
      </c>
      <c r="G1030" t="n">
        <v>0.4327368836123752</v>
      </c>
    </row>
    <row r="1031">
      <c r="A1031" t="inlineStr">
        <is>
          <t>SoESCaOMCbIC-variableOM.csv</t>
        </is>
      </c>
      <c r="B1031" t="inlineStr">
        <is>
          <t>natural gas steam turbine</t>
        </is>
      </c>
      <c r="C1031" t="inlineStr">
        <is>
          <t>ISIC 08</t>
        </is>
      </c>
      <c r="D1031" t="inlineStr">
        <is>
          <t>ISIC 07T08</t>
        </is>
      </c>
      <c r="E1031" t="n">
        <v>0.5672631163876248</v>
      </c>
      <c r="F1031" t="inlineStr">
        <is>
          <t>BEA 2024 output share (default)</t>
        </is>
      </c>
      <c r="G1031" t="n">
        <v>0.5672631163876248</v>
      </c>
    </row>
    <row r="1032">
      <c r="A1032" t="inlineStr">
        <is>
          <t>SoESCaOMCbIC-variableOM.csv</t>
        </is>
      </c>
      <c r="B1032" t="inlineStr">
        <is>
          <t>natural gas steam turbine</t>
        </is>
      </c>
      <c r="C1032" t="inlineStr">
        <is>
          <t>ISIC 301</t>
        </is>
      </c>
      <c r="D1032" t="inlineStr">
        <is>
          <t>ISIC 30</t>
        </is>
      </c>
      <c r="E1032" t="n">
        <v>0.1171368722490322</v>
      </c>
      <c r="F1032" t="inlineStr">
        <is>
          <t>BEA 2024 output share (default)</t>
        </is>
      </c>
      <c r="G1032" t="n">
        <v>0.1171368722490322</v>
      </c>
    </row>
    <row r="1033">
      <c r="A1033" t="inlineStr">
        <is>
          <t>SoESCaOMCbIC-variableOM.csv</t>
        </is>
      </c>
      <c r="B1033" t="inlineStr">
        <is>
          <t>natural gas steam turbine</t>
        </is>
      </c>
      <c r="C1033" t="inlineStr">
        <is>
          <t>ISIC 302T309</t>
        </is>
      </c>
      <c r="D1033" t="inlineStr">
        <is>
          <t>ISIC 30</t>
        </is>
      </c>
      <c r="E1033" t="n">
        <v>0.8828631277509678</v>
      </c>
      <c r="F1033" t="inlineStr">
        <is>
          <t>BEA 2024 output share (default)</t>
        </is>
      </c>
      <c r="G1033" t="n">
        <v>0.8828631277509678</v>
      </c>
    </row>
    <row r="1034">
      <c r="A1034" t="inlineStr">
        <is>
          <t>SoESCaOMCbIC-variableOM.csv</t>
        </is>
      </c>
      <c r="B1034" t="inlineStr">
        <is>
          <t>natural gas steam turbine</t>
        </is>
      </c>
      <c r="C1034" t="inlineStr">
        <is>
          <t>ISIC 49</t>
        </is>
      </c>
      <c r="D1034" t="inlineStr">
        <is>
          <t>ISIC 49T53</t>
        </is>
      </c>
      <c r="E1034" t="n">
        <v>0.4781643011829615</v>
      </c>
      <c r="F1034" t="inlineStr">
        <is>
          <t>BEA 2024 output share (default)</t>
        </is>
      </c>
      <c r="G1034" t="n">
        <v>0.4781643011829615</v>
      </c>
    </row>
    <row r="1035">
      <c r="A1035" t="inlineStr">
        <is>
          <t>SoESCaOMCbIC-variableOM.csv</t>
        </is>
      </c>
      <c r="B1035" t="inlineStr">
        <is>
          <t>natural gas steam turbine</t>
        </is>
      </c>
      <c r="C1035" t="inlineStr">
        <is>
          <t>ISIC 50</t>
        </is>
      </c>
      <c r="D1035" t="inlineStr">
        <is>
          <t>ISIC 49T53</t>
        </is>
      </c>
      <c r="E1035" t="n">
        <v>0.04258639396614965</v>
      </c>
      <c r="F1035" t="inlineStr">
        <is>
          <t>BEA 2024 output share (default)</t>
        </is>
      </c>
      <c r="G1035" t="n">
        <v>0.04258639396614965</v>
      </c>
    </row>
    <row r="1036">
      <c r="A1036" t="inlineStr">
        <is>
          <t>SoESCaOMCbIC-variableOM.csv</t>
        </is>
      </c>
      <c r="B1036" t="inlineStr">
        <is>
          <t>natural gas steam turbine</t>
        </is>
      </c>
      <c r="C1036" t="inlineStr">
        <is>
          <t>ISIC 51</t>
        </is>
      </c>
      <c r="D1036" t="inlineStr">
        <is>
          <t>ISIC 49T53</t>
        </is>
      </c>
      <c r="E1036" t="n">
        <v>0.1808024634415262</v>
      </c>
      <c r="F1036" t="inlineStr">
        <is>
          <t>BEA 2024 output share (default)</t>
        </is>
      </c>
      <c r="G1036" t="n">
        <v>0.1808024634415262</v>
      </c>
    </row>
    <row r="1037">
      <c r="A1037" t="inlineStr">
        <is>
          <t>SoESCaOMCbIC-variableOM.csv</t>
        </is>
      </c>
      <c r="B1037" t="inlineStr">
        <is>
          <t>natural gas steam turbine</t>
        </is>
      </c>
      <c r="C1037" t="inlineStr">
        <is>
          <t>ISIC 52</t>
        </is>
      </c>
      <c r="D1037" t="inlineStr">
        <is>
          <t>ISIC 49T53</t>
        </is>
      </c>
      <c r="E1037" t="n">
        <v>0.2139060571318126</v>
      </c>
      <c r="F1037" t="inlineStr">
        <is>
          <t>BEA 2024 output share (default)</t>
        </is>
      </c>
      <c r="G1037" t="n">
        <v>0.2139060571318126</v>
      </c>
    </row>
    <row r="1038">
      <c r="A1038" t="inlineStr">
        <is>
          <t>SoESCaOMCbIC-variableOM.csv</t>
        </is>
      </c>
      <c r="B1038" t="inlineStr">
        <is>
          <t>natural gas steam turbine</t>
        </is>
      </c>
      <c r="C1038" t="inlineStr">
        <is>
          <t>ISIC 53</t>
        </is>
      </c>
      <c r="D1038" t="inlineStr">
        <is>
          <t>ISIC 49T53</t>
        </is>
      </c>
      <c r="E1038" t="n">
        <v>0.08454078427755009</v>
      </c>
      <c r="F1038" t="inlineStr">
        <is>
          <t>BEA 2024 output share (default)</t>
        </is>
      </c>
      <c r="G1038" t="n">
        <v>0.08454078427755009</v>
      </c>
    </row>
    <row r="1039">
      <c r="A1039" t="inlineStr">
        <is>
          <t>SoESCaOMCbIC-variableOM.csv</t>
        </is>
      </c>
      <c r="B1039" t="inlineStr">
        <is>
          <t>natural gas steam turbine</t>
        </is>
      </c>
      <c r="C1039" t="inlineStr">
        <is>
          <t>ISIC 69T75</t>
        </is>
      </c>
      <c r="D1039" t="inlineStr">
        <is>
          <t>ISIC 69T82</t>
        </is>
      </c>
      <c r="E1039" t="n">
        <v>1</v>
      </c>
      <c r="F1039" t="inlineStr">
        <is>
          <t>semantic override</t>
        </is>
      </c>
      <c r="G1039" t="n">
        <v>0.7298219447914125</v>
      </c>
    </row>
    <row r="1040">
      <c r="A1040" t="inlineStr">
        <is>
          <t>SoESCaOMCbIC-variableOM.csv</t>
        </is>
      </c>
      <c r="B1040" t="inlineStr">
        <is>
          <t>natural gas steam turbine</t>
        </is>
      </c>
      <c r="C1040" t="inlineStr">
        <is>
          <t>ISIC 77T82</t>
        </is>
      </c>
      <c r="D1040" t="inlineStr">
        <is>
          <t>ISIC 69T82</t>
        </is>
      </c>
      <c r="E1040" t="n">
        <v>0</v>
      </c>
      <c r="F1040" t="inlineStr">
        <is>
          <t>semantic override</t>
        </is>
      </c>
      <c r="G1040" t="n">
        <v>0.2701780552085875</v>
      </c>
    </row>
    <row r="1041">
      <c r="A1041" t="inlineStr">
        <is>
          <t>SoESCaOMCbIC-variableOM.csv</t>
        </is>
      </c>
      <c r="B1041" t="inlineStr">
        <is>
          <t>natural gas steam turbine</t>
        </is>
      </c>
      <c r="C1041" t="inlineStr">
        <is>
          <t>ISIC 90T93</t>
        </is>
      </c>
      <c r="D1041" t="inlineStr">
        <is>
          <t>ISIC 90T96</t>
        </is>
      </c>
      <c r="E1041" t="n">
        <v>0.4216249514352275</v>
      </c>
      <c r="F1041" t="inlineStr">
        <is>
          <t>BEA 2024 output share (default)</t>
        </is>
      </c>
      <c r="G1041" t="n">
        <v>0.4216249514352275</v>
      </c>
    </row>
    <row r="1042">
      <c r="A1042" t="inlineStr">
        <is>
          <t>SoESCaOMCbIC-variableOM.csv</t>
        </is>
      </c>
      <c r="B1042" t="inlineStr">
        <is>
          <t>natural gas steam turbine</t>
        </is>
      </c>
      <c r="C1042" t="inlineStr">
        <is>
          <t>ISIC 94T96</t>
        </is>
      </c>
      <c r="D1042" t="inlineStr">
        <is>
          <t>ISIC 90T96</t>
        </is>
      </c>
      <c r="E1042" t="n">
        <v>0.5783750485647725</v>
      </c>
      <c r="F1042" t="inlineStr">
        <is>
          <t>BEA 2024 output share (default)</t>
        </is>
      </c>
      <c r="G1042" t="n">
        <v>0.5783750485647725</v>
      </c>
    </row>
    <row r="1043">
      <c r="A1043" t="inlineStr">
        <is>
          <t>SoESCaOMCbIC-variableOM.csv</t>
        </is>
      </c>
      <c r="B1043" t="inlineStr">
        <is>
          <t>nuclear</t>
        </is>
      </c>
      <c r="C1043" t="inlineStr">
        <is>
          <t>ISIC 01</t>
        </is>
      </c>
      <c r="D1043" t="inlineStr">
        <is>
          <t>ISIC 01T03</t>
        </is>
      </c>
      <c r="E1043" t="n">
        <v>0.9429986826432329</v>
      </c>
      <c r="F1043" t="inlineStr">
        <is>
          <t>BEA 2024 output share (default)</t>
        </is>
      </c>
      <c r="G1043" t="n">
        <v>0.9429986826432329</v>
      </c>
    </row>
    <row r="1044">
      <c r="A1044" t="inlineStr">
        <is>
          <t>SoESCaOMCbIC-variableOM.csv</t>
        </is>
      </c>
      <c r="B1044" t="inlineStr">
        <is>
          <t>nuclear</t>
        </is>
      </c>
      <c r="C1044" t="inlineStr">
        <is>
          <t>ISIC 02</t>
        </is>
      </c>
      <c r="D1044" t="inlineStr">
        <is>
          <t>ISIC 01T03</t>
        </is>
      </c>
      <c r="E1044" t="n">
        <v>0.04176573136965662</v>
      </c>
      <c r="F1044" t="inlineStr">
        <is>
          <t>BEA 2024 output share (default)</t>
        </is>
      </c>
      <c r="G1044" t="n">
        <v>0.04176573136965662</v>
      </c>
    </row>
    <row r="1045">
      <c r="A1045" t="inlineStr">
        <is>
          <t>SoESCaOMCbIC-variableOM.csv</t>
        </is>
      </c>
      <c r="B1045" t="inlineStr">
        <is>
          <t>nuclear</t>
        </is>
      </c>
      <c r="C1045" t="inlineStr">
        <is>
          <t>ISIC 03</t>
        </is>
      </c>
      <c r="D1045" t="inlineStr">
        <is>
          <t>ISIC 01T03</t>
        </is>
      </c>
      <c r="E1045" t="n">
        <v>0.01523558598711041</v>
      </c>
      <c r="F1045" t="inlineStr">
        <is>
          <t>BEA 2024 output share (default)</t>
        </is>
      </c>
      <c r="G1045" t="n">
        <v>0.01523558598711041</v>
      </c>
    </row>
    <row r="1046">
      <c r="A1046" t="inlineStr">
        <is>
          <t>SoESCaOMCbIC-variableOM.csv</t>
        </is>
      </c>
      <c r="B1046" t="inlineStr">
        <is>
          <t>nuclear</t>
        </is>
      </c>
      <c r="C1046" t="inlineStr">
        <is>
          <t>ISIC 07</t>
        </is>
      </c>
      <c r="D1046" t="inlineStr">
        <is>
          <t>ISIC 07T08</t>
        </is>
      </c>
      <c r="E1046" t="n">
        <v>0.4327368836123752</v>
      </c>
      <c r="F1046" t="inlineStr">
        <is>
          <t>BEA 2024 output share (default)</t>
        </is>
      </c>
      <c r="G1046" t="n">
        <v>0.4327368836123752</v>
      </c>
    </row>
    <row r="1047">
      <c r="A1047" t="inlineStr">
        <is>
          <t>SoESCaOMCbIC-variableOM.csv</t>
        </is>
      </c>
      <c r="B1047" t="inlineStr">
        <is>
          <t>nuclear</t>
        </is>
      </c>
      <c r="C1047" t="inlineStr">
        <is>
          <t>ISIC 08</t>
        </is>
      </c>
      <c r="D1047" t="inlineStr">
        <is>
          <t>ISIC 07T08</t>
        </is>
      </c>
      <c r="E1047" t="n">
        <v>0.5672631163876248</v>
      </c>
      <c r="F1047" t="inlineStr">
        <is>
          <t>BEA 2024 output share (default)</t>
        </is>
      </c>
      <c r="G1047" t="n">
        <v>0.5672631163876248</v>
      </c>
    </row>
    <row r="1048">
      <c r="A1048" t="inlineStr">
        <is>
          <t>SoESCaOMCbIC-variableOM.csv</t>
        </is>
      </c>
      <c r="B1048" t="inlineStr">
        <is>
          <t>nuclear</t>
        </is>
      </c>
      <c r="C1048" t="inlineStr">
        <is>
          <t>ISIC 301</t>
        </is>
      </c>
      <c r="D1048" t="inlineStr">
        <is>
          <t>ISIC 30</t>
        </is>
      </c>
      <c r="E1048" t="n">
        <v>0.1171368722490322</v>
      </c>
      <c r="F1048" t="inlineStr">
        <is>
          <t>BEA 2024 output share (default)</t>
        </is>
      </c>
      <c r="G1048" t="n">
        <v>0.1171368722490322</v>
      </c>
    </row>
    <row r="1049">
      <c r="A1049" t="inlineStr">
        <is>
          <t>SoESCaOMCbIC-variableOM.csv</t>
        </is>
      </c>
      <c r="B1049" t="inlineStr">
        <is>
          <t>nuclear</t>
        </is>
      </c>
      <c r="C1049" t="inlineStr">
        <is>
          <t>ISIC 302T309</t>
        </is>
      </c>
      <c r="D1049" t="inlineStr">
        <is>
          <t>ISIC 30</t>
        </is>
      </c>
      <c r="E1049" t="n">
        <v>0.8828631277509678</v>
      </c>
      <c r="F1049" t="inlineStr">
        <is>
          <t>BEA 2024 output share (default)</t>
        </is>
      </c>
      <c r="G1049" t="n">
        <v>0.8828631277509678</v>
      </c>
    </row>
    <row r="1050">
      <c r="A1050" t="inlineStr">
        <is>
          <t>SoESCaOMCbIC-variableOM.csv</t>
        </is>
      </c>
      <c r="B1050" t="inlineStr">
        <is>
          <t>nuclear</t>
        </is>
      </c>
      <c r="C1050" t="inlineStr">
        <is>
          <t>ISIC 49</t>
        </is>
      </c>
      <c r="D1050" t="inlineStr">
        <is>
          <t>ISIC 49T53</t>
        </is>
      </c>
      <c r="E1050" t="n">
        <v>0.4781643011829615</v>
      </c>
      <c r="F1050" t="inlineStr">
        <is>
          <t>BEA 2024 output share (default)</t>
        </is>
      </c>
      <c r="G1050" t="n">
        <v>0.4781643011829615</v>
      </c>
    </row>
    <row r="1051">
      <c r="A1051" t="inlineStr">
        <is>
          <t>SoESCaOMCbIC-variableOM.csv</t>
        </is>
      </c>
      <c r="B1051" t="inlineStr">
        <is>
          <t>nuclear</t>
        </is>
      </c>
      <c r="C1051" t="inlineStr">
        <is>
          <t>ISIC 50</t>
        </is>
      </c>
      <c r="D1051" t="inlineStr">
        <is>
          <t>ISIC 49T53</t>
        </is>
      </c>
      <c r="E1051" t="n">
        <v>0.04258639396614965</v>
      </c>
      <c r="F1051" t="inlineStr">
        <is>
          <t>BEA 2024 output share (default)</t>
        </is>
      </c>
      <c r="G1051" t="n">
        <v>0.04258639396614965</v>
      </c>
    </row>
    <row r="1052">
      <c r="A1052" t="inlineStr">
        <is>
          <t>SoESCaOMCbIC-variableOM.csv</t>
        </is>
      </c>
      <c r="B1052" t="inlineStr">
        <is>
          <t>nuclear</t>
        </is>
      </c>
      <c r="C1052" t="inlineStr">
        <is>
          <t>ISIC 51</t>
        </is>
      </c>
      <c r="D1052" t="inlineStr">
        <is>
          <t>ISIC 49T53</t>
        </is>
      </c>
      <c r="E1052" t="n">
        <v>0.1808024634415262</v>
      </c>
      <c r="F1052" t="inlineStr">
        <is>
          <t>BEA 2024 output share (default)</t>
        </is>
      </c>
      <c r="G1052" t="n">
        <v>0.1808024634415262</v>
      </c>
    </row>
    <row r="1053">
      <c r="A1053" t="inlineStr">
        <is>
          <t>SoESCaOMCbIC-variableOM.csv</t>
        </is>
      </c>
      <c r="B1053" t="inlineStr">
        <is>
          <t>nuclear</t>
        </is>
      </c>
      <c r="C1053" t="inlineStr">
        <is>
          <t>ISIC 52</t>
        </is>
      </c>
      <c r="D1053" t="inlineStr">
        <is>
          <t>ISIC 49T53</t>
        </is>
      </c>
      <c r="E1053" t="n">
        <v>0.2139060571318126</v>
      </c>
      <c r="F1053" t="inlineStr">
        <is>
          <t>BEA 2024 output share (default)</t>
        </is>
      </c>
      <c r="G1053" t="n">
        <v>0.2139060571318126</v>
      </c>
    </row>
    <row r="1054">
      <c r="A1054" t="inlineStr">
        <is>
          <t>SoESCaOMCbIC-variableOM.csv</t>
        </is>
      </c>
      <c r="B1054" t="inlineStr">
        <is>
          <t>nuclear</t>
        </is>
      </c>
      <c r="C1054" t="inlineStr">
        <is>
          <t>ISIC 53</t>
        </is>
      </c>
      <c r="D1054" t="inlineStr">
        <is>
          <t>ISIC 49T53</t>
        </is>
      </c>
      <c r="E1054" t="n">
        <v>0.08454078427755009</v>
      </c>
      <c r="F1054" t="inlineStr">
        <is>
          <t>BEA 2024 output share (default)</t>
        </is>
      </c>
      <c r="G1054" t="n">
        <v>0.08454078427755009</v>
      </c>
    </row>
    <row r="1055">
      <c r="A1055" t="inlineStr">
        <is>
          <t>SoESCaOMCbIC-variableOM.csv</t>
        </is>
      </c>
      <c r="B1055" t="inlineStr">
        <is>
          <t>nuclear</t>
        </is>
      </c>
      <c r="C1055" t="inlineStr">
        <is>
          <t>ISIC 69T75</t>
        </is>
      </c>
      <c r="D1055" t="inlineStr">
        <is>
          <t>ISIC 69T82</t>
        </is>
      </c>
      <c r="E1055" t="n">
        <v>1</v>
      </c>
      <c r="F1055" t="inlineStr">
        <is>
          <t>semantic override</t>
        </is>
      </c>
      <c r="G1055" t="n">
        <v>0.7298219447914125</v>
      </c>
    </row>
    <row r="1056">
      <c r="A1056" t="inlineStr">
        <is>
          <t>SoESCaOMCbIC-variableOM.csv</t>
        </is>
      </c>
      <c r="B1056" t="inlineStr">
        <is>
          <t>nuclear</t>
        </is>
      </c>
      <c r="C1056" t="inlineStr">
        <is>
          <t>ISIC 77T82</t>
        </is>
      </c>
      <c r="D1056" t="inlineStr">
        <is>
          <t>ISIC 69T82</t>
        </is>
      </c>
      <c r="E1056" t="n">
        <v>0</v>
      </c>
      <c r="F1056" t="inlineStr">
        <is>
          <t>semantic override</t>
        </is>
      </c>
      <c r="G1056" t="n">
        <v>0.2701780552085875</v>
      </c>
    </row>
    <row r="1057">
      <c r="A1057" t="inlineStr">
        <is>
          <t>SoESCaOMCbIC-variableOM.csv</t>
        </is>
      </c>
      <c r="B1057" t="inlineStr">
        <is>
          <t>nuclear</t>
        </is>
      </c>
      <c r="C1057" t="inlineStr">
        <is>
          <t>ISIC 90T93</t>
        </is>
      </c>
      <c r="D1057" t="inlineStr">
        <is>
          <t>ISIC 90T96</t>
        </is>
      </c>
      <c r="E1057" t="n">
        <v>0.4216249514352275</v>
      </c>
      <c r="F1057" t="inlineStr">
        <is>
          <t>BEA 2024 output share (default)</t>
        </is>
      </c>
      <c r="G1057" t="n">
        <v>0.4216249514352275</v>
      </c>
    </row>
    <row r="1058">
      <c r="A1058" t="inlineStr">
        <is>
          <t>SoESCaOMCbIC-variableOM.csv</t>
        </is>
      </c>
      <c r="B1058" t="inlineStr">
        <is>
          <t>nuclear</t>
        </is>
      </c>
      <c r="C1058" t="inlineStr">
        <is>
          <t>ISIC 94T96</t>
        </is>
      </c>
      <c r="D1058" t="inlineStr">
        <is>
          <t>ISIC 90T96</t>
        </is>
      </c>
      <c r="E1058" t="n">
        <v>0.5783750485647725</v>
      </c>
      <c r="F1058" t="inlineStr">
        <is>
          <t>BEA 2024 output share (default)</t>
        </is>
      </c>
      <c r="G1058" t="n">
        <v>0.5783750485647725</v>
      </c>
    </row>
    <row r="1059">
      <c r="A1059" t="inlineStr">
        <is>
          <t>SoESCaOMCbIC-variableOM.csv</t>
        </is>
      </c>
      <c r="B1059" t="inlineStr">
        <is>
          <t>offshore wind</t>
        </is>
      </c>
      <c r="C1059" t="inlineStr">
        <is>
          <t>ISIC 01</t>
        </is>
      </c>
      <c r="D1059" t="inlineStr">
        <is>
          <t>ISIC 01T03</t>
        </is>
      </c>
      <c r="E1059" t="n">
        <v>0.9429986826432329</v>
      </c>
      <c r="F1059" t="inlineStr">
        <is>
          <t>BEA 2024 output share (default)</t>
        </is>
      </c>
      <c r="G1059" t="n">
        <v>0.9429986826432329</v>
      </c>
    </row>
    <row r="1060">
      <c r="A1060" t="inlineStr">
        <is>
          <t>SoESCaOMCbIC-variableOM.csv</t>
        </is>
      </c>
      <c r="B1060" t="inlineStr">
        <is>
          <t>offshore wind</t>
        </is>
      </c>
      <c r="C1060" t="inlineStr">
        <is>
          <t>ISIC 02</t>
        </is>
      </c>
      <c r="D1060" t="inlineStr">
        <is>
          <t>ISIC 01T03</t>
        </is>
      </c>
      <c r="E1060" t="n">
        <v>0.04176573136965662</v>
      </c>
      <c r="F1060" t="inlineStr">
        <is>
          <t>BEA 2024 output share (default)</t>
        </is>
      </c>
      <c r="G1060" t="n">
        <v>0.04176573136965662</v>
      </c>
    </row>
    <row r="1061">
      <c r="A1061" t="inlineStr">
        <is>
          <t>SoESCaOMCbIC-variableOM.csv</t>
        </is>
      </c>
      <c r="B1061" t="inlineStr">
        <is>
          <t>offshore wind</t>
        </is>
      </c>
      <c r="C1061" t="inlineStr">
        <is>
          <t>ISIC 03</t>
        </is>
      </c>
      <c r="D1061" t="inlineStr">
        <is>
          <t>ISIC 01T03</t>
        </is>
      </c>
      <c r="E1061" t="n">
        <v>0.01523558598711041</v>
      </c>
      <c r="F1061" t="inlineStr">
        <is>
          <t>BEA 2024 output share (default)</t>
        </is>
      </c>
      <c r="G1061" t="n">
        <v>0.01523558598711041</v>
      </c>
    </row>
    <row r="1062">
      <c r="A1062" t="inlineStr">
        <is>
          <t>SoESCaOMCbIC-variableOM.csv</t>
        </is>
      </c>
      <c r="B1062" t="inlineStr">
        <is>
          <t>offshore wind</t>
        </is>
      </c>
      <c r="C1062" t="inlineStr">
        <is>
          <t>ISIC 07</t>
        </is>
      </c>
      <c r="D1062" t="inlineStr">
        <is>
          <t>ISIC 07T08</t>
        </is>
      </c>
      <c r="E1062" t="n">
        <v>0.4327368836123752</v>
      </c>
      <c r="F1062" t="inlineStr">
        <is>
          <t>BEA 2024 output share (default)</t>
        </is>
      </c>
      <c r="G1062" t="n">
        <v>0.4327368836123752</v>
      </c>
    </row>
    <row r="1063">
      <c r="A1063" t="inlineStr">
        <is>
          <t>SoESCaOMCbIC-variableOM.csv</t>
        </is>
      </c>
      <c r="B1063" t="inlineStr">
        <is>
          <t>offshore wind</t>
        </is>
      </c>
      <c r="C1063" t="inlineStr">
        <is>
          <t>ISIC 08</t>
        </is>
      </c>
      <c r="D1063" t="inlineStr">
        <is>
          <t>ISIC 07T08</t>
        </is>
      </c>
      <c r="E1063" t="n">
        <v>0.5672631163876248</v>
      </c>
      <c r="F1063" t="inlineStr">
        <is>
          <t>BEA 2024 output share (default)</t>
        </is>
      </c>
      <c r="G1063" t="n">
        <v>0.5672631163876248</v>
      </c>
    </row>
    <row r="1064">
      <c r="A1064" t="inlineStr">
        <is>
          <t>SoESCaOMCbIC-variableOM.csv</t>
        </is>
      </c>
      <c r="B1064" t="inlineStr">
        <is>
          <t>offshore wind</t>
        </is>
      </c>
      <c r="C1064" t="inlineStr">
        <is>
          <t>ISIC 301</t>
        </is>
      </c>
      <c r="D1064" t="inlineStr">
        <is>
          <t>ISIC 30</t>
        </is>
      </c>
      <c r="E1064" t="n">
        <v>0.1171368722490322</v>
      </c>
      <c r="F1064" t="inlineStr">
        <is>
          <t>BEA 2024 output share (default)</t>
        </is>
      </c>
      <c r="G1064" t="n">
        <v>0.1171368722490322</v>
      </c>
    </row>
    <row r="1065">
      <c r="A1065" t="inlineStr">
        <is>
          <t>SoESCaOMCbIC-variableOM.csv</t>
        </is>
      </c>
      <c r="B1065" t="inlineStr">
        <is>
          <t>offshore wind</t>
        </is>
      </c>
      <c r="C1065" t="inlineStr">
        <is>
          <t>ISIC 302T309</t>
        </is>
      </c>
      <c r="D1065" t="inlineStr">
        <is>
          <t>ISIC 30</t>
        </is>
      </c>
      <c r="E1065" t="n">
        <v>0.8828631277509678</v>
      </c>
      <c r="F1065" t="inlineStr">
        <is>
          <t>BEA 2024 output share (default)</t>
        </is>
      </c>
      <c r="G1065" t="n">
        <v>0.8828631277509678</v>
      </c>
    </row>
    <row r="1066">
      <c r="A1066" t="inlineStr">
        <is>
          <t>SoESCaOMCbIC-variableOM.csv</t>
        </is>
      </c>
      <c r="B1066" t="inlineStr">
        <is>
          <t>offshore wind</t>
        </is>
      </c>
      <c r="C1066" t="inlineStr">
        <is>
          <t>ISIC 49</t>
        </is>
      </c>
      <c r="D1066" t="inlineStr">
        <is>
          <t>ISIC 49T53</t>
        </is>
      </c>
      <c r="E1066" t="n">
        <v>0.4781643011829615</v>
      </c>
      <c r="F1066" t="inlineStr">
        <is>
          <t>BEA 2024 output share (default)</t>
        </is>
      </c>
      <c r="G1066" t="n">
        <v>0.4781643011829615</v>
      </c>
    </row>
    <row r="1067">
      <c r="A1067" t="inlineStr">
        <is>
          <t>SoESCaOMCbIC-variableOM.csv</t>
        </is>
      </c>
      <c r="B1067" t="inlineStr">
        <is>
          <t>offshore wind</t>
        </is>
      </c>
      <c r="C1067" t="inlineStr">
        <is>
          <t>ISIC 50</t>
        </is>
      </c>
      <c r="D1067" t="inlineStr">
        <is>
          <t>ISIC 49T53</t>
        </is>
      </c>
      <c r="E1067" t="n">
        <v>0.04258639396614965</v>
      </c>
      <c r="F1067" t="inlineStr">
        <is>
          <t>BEA 2024 output share (default)</t>
        </is>
      </c>
      <c r="G1067" t="n">
        <v>0.04258639396614965</v>
      </c>
    </row>
    <row r="1068">
      <c r="A1068" t="inlineStr">
        <is>
          <t>SoESCaOMCbIC-variableOM.csv</t>
        </is>
      </c>
      <c r="B1068" t="inlineStr">
        <is>
          <t>offshore wind</t>
        </is>
      </c>
      <c r="C1068" t="inlineStr">
        <is>
          <t>ISIC 51</t>
        </is>
      </c>
      <c r="D1068" t="inlineStr">
        <is>
          <t>ISIC 49T53</t>
        </is>
      </c>
      <c r="E1068" t="n">
        <v>0.1808024634415262</v>
      </c>
      <c r="F1068" t="inlineStr">
        <is>
          <t>BEA 2024 output share (default)</t>
        </is>
      </c>
      <c r="G1068" t="n">
        <v>0.1808024634415262</v>
      </c>
    </row>
    <row r="1069">
      <c r="A1069" t="inlineStr">
        <is>
          <t>SoESCaOMCbIC-variableOM.csv</t>
        </is>
      </c>
      <c r="B1069" t="inlineStr">
        <is>
          <t>offshore wind</t>
        </is>
      </c>
      <c r="C1069" t="inlineStr">
        <is>
          <t>ISIC 52</t>
        </is>
      </c>
      <c r="D1069" t="inlineStr">
        <is>
          <t>ISIC 49T53</t>
        </is>
      </c>
      <c r="E1069" t="n">
        <v>0.2139060571318126</v>
      </c>
      <c r="F1069" t="inlineStr">
        <is>
          <t>BEA 2024 output share (default)</t>
        </is>
      </c>
      <c r="G1069" t="n">
        <v>0.2139060571318126</v>
      </c>
    </row>
    <row r="1070">
      <c r="A1070" t="inlineStr">
        <is>
          <t>SoESCaOMCbIC-variableOM.csv</t>
        </is>
      </c>
      <c r="B1070" t="inlineStr">
        <is>
          <t>offshore wind</t>
        </is>
      </c>
      <c r="C1070" t="inlineStr">
        <is>
          <t>ISIC 53</t>
        </is>
      </c>
      <c r="D1070" t="inlineStr">
        <is>
          <t>ISIC 49T53</t>
        </is>
      </c>
      <c r="E1070" t="n">
        <v>0.08454078427755009</v>
      </c>
      <c r="F1070" t="inlineStr">
        <is>
          <t>BEA 2024 output share (default)</t>
        </is>
      </c>
      <c r="G1070" t="n">
        <v>0.08454078427755009</v>
      </c>
    </row>
    <row r="1071">
      <c r="A1071" t="inlineStr">
        <is>
          <t>SoESCaOMCbIC-variableOM.csv</t>
        </is>
      </c>
      <c r="B1071" t="inlineStr">
        <is>
          <t>offshore wind</t>
        </is>
      </c>
      <c r="C1071" t="inlineStr">
        <is>
          <t>ISIC 69T75</t>
        </is>
      </c>
      <c r="D1071" t="inlineStr">
        <is>
          <t>ISIC 69T82</t>
        </is>
      </c>
      <c r="E1071" t="n">
        <v>1</v>
      </c>
      <c r="F1071" t="inlineStr">
        <is>
          <t>semantic override</t>
        </is>
      </c>
      <c r="G1071" t="n">
        <v>0.7298219447914125</v>
      </c>
    </row>
    <row r="1072">
      <c r="A1072" t="inlineStr">
        <is>
          <t>SoESCaOMCbIC-variableOM.csv</t>
        </is>
      </c>
      <c r="B1072" t="inlineStr">
        <is>
          <t>offshore wind</t>
        </is>
      </c>
      <c r="C1072" t="inlineStr">
        <is>
          <t>ISIC 77T82</t>
        </is>
      </c>
      <c r="D1072" t="inlineStr">
        <is>
          <t>ISIC 69T82</t>
        </is>
      </c>
      <c r="E1072" t="n">
        <v>0</v>
      </c>
      <c r="F1072" t="inlineStr">
        <is>
          <t>semantic override</t>
        </is>
      </c>
      <c r="G1072" t="n">
        <v>0.2701780552085875</v>
      </c>
    </row>
    <row r="1073">
      <c r="A1073" t="inlineStr">
        <is>
          <t>SoESCaOMCbIC-variableOM.csv</t>
        </is>
      </c>
      <c r="B1073" t="inlineStr">
        <is>
          <t>offshore wind</t>
        </is>
      </c>
      <c r="C1073" t="inlineStr">
        <is>
          <t>ISIC 90T93</t>
        </is>
      </c>
      <c r="D1073" t="inlineStr">
        <is>
          <t>ISIC 90T96</t>
        </is>
      </c>
      <c r="E1073" t="n">
        <v>0.4216249514352275</v>
      </c>
      <c r="F1073" t="inlineStr">
        <is>
          <t>BEA 2024 output share (default)</t>
        </is>
      </c>
      <c r="G1073" t="n">
        <v>0.4216249514352275</v>
      </c>
    </row>
    <row r="1074">
      <c r="A1074" t="inlineStr">
        <is>
          <t>SoESCaOMCbIC-variableOM.csv</t>
        </is>
      </c>
      <c r="B1074" t="inlineStr">
        <is>
          <t>offshore wind</t>
        </is>
      </c>
      <c r="C1074" t="inlineStr">
        <is>
          <t>ISIC 94T96</t>
        </is>
      </c>
      <c r="D1074" t="inlineStr">
        <is>
          <t>ISIC 90T96</t>
        </is>
      </c>
      <c r="E1074" t="n">
        <v>0.5783750485647725</v>
      </c>
      <c r="F1074" t="inlineStr">
        <is>
          <t>BEA 2024 output share (default)</t>
        </is>
      </c>
      <c r="G1074" t="n">
        <v>0.5783750485647725</v>
      </c>
    </row>
    <row r="1075">
      <c r="A1075" t="inlineStr">
        <is>
          <t>SoESCaOMCbIC-variableOM.csv</t>
        </is>
      </c>
      <c r="B1075" t="inlineStr">
        <is>
          <t>petroleum</t>
        </is>
      </c>
      <c r="C1075" t="inlineStr">
        <is>
          <t>ISIC 01</t>
        </is>
      </c>
      <c r="D1075" t="inlineStr">
        <is>
          <t>ISIC 01T03</t>
        </is>
      </c>
      <c r="E1075" t="n">
        <v>0.9429986826432329</v>
      </c>
      <c r="F1075" t="inlineStr">
        <is>
          <t>BEA 2024 output share (default)</t>
        </is>
      </c>
      <c r="G1075" t="n">
        <v>0.9429986826432329</v>
      </c>
    </row>
    <row r="1076">
      <c r="A1076" t="inlineStr">
        <is>
          <t>SoESCaOMCbIC-variableOM.csv</t>
        </is>
      </c>
      <c r="B1076" t="inlineStr">
        <is>
          <t>petroleum</t>
        </is>
      </c>
      <c r="C1076" t="inlineStr">
        <is>
          <t>ISIC 02</t>
        </is>
      </c>
      <c r="D1076" t="inlineStr">
        <is>
          <t>ISIC 01T03</t>
        </is>
      </c>
      <c r="E1076" t="n">
        <v>0.04176573136965662</v>
      </c>
      <c r="F1076" t="inlineStr">
        <is>
          <t>BEA 2024 output share (default)</t>
        </is>
      </c>
      <c r="G1076" t="n">
        <v>0.04176573136965662</v>
      </c>
    </row>
    <row r="1077">
      <c r="A1077" t="inlineStr">
        <is>
          <t>SoESCaOMCbIC-variableOM.csv</t>
        </is>
      </c>
      <c r="B1077" t="inlineStr">
        <is>
          <t>petroleum</t>
        </is>
      </c>
      <c r="C1077" t="inlineStr">
        <is>
          <t>ISIC 03</t>
        </is>
      </c>
      <c r="D1077" t="inlineStr">
        <is>
          <t>ISIC 01T03</t>
        </is>
      </c>
      <c r="E1077" t="n">
        <v>0.01523558598711041</v>
      </c>
      <c r="F1077" t="inlineStr">
        <is>
          <t>BEA 2024 output share (default)</t>
        </is>
      </c>
      <c r="G1077" t="n">
        <v>0.01523558598711041</v>
      </c>
    </row>
    <row r="1078">
      <c r="A1078" t="inlineStr">
        <is>
          <t>SoESCaOMCbIC-variableOM.csv</t>
        </is>
      </c>
      <c r="B1078" t="inlineStr">
        <is>
          <t>petroleum</t>
        </is>
      </c>
      <c r="C1078" t="inlineStr">
        <is>
          <t>ISIC 07</t>
        </is>
      </c>
      <c r="D1078" t="inlineStr">
        <is>
          <t>ISIC 07T08</t>
        </is>
      </c>
      <c r="E1078" t="n">
        <v>0.4327368836123752</v>
      </c>
      <c r="F1078" t="inlineStr">
        <is>
          <t>BEA 2024 output share (default)</t>
        </is>
      </c>
      <c r="G1078" t="n">
        <v>0.4327368836123752</v>
      </c>
    </row>
    <row r="1079">
      <c r="A1079" t="inlineStr">
        <is>
          <t>SoESCaOMCbIC-variableOM.csv</t>
        </is>
      </c>
      <c r="B1079" t="inlineStr">
        <is>
          <t>petroleum</t>
        </is>
      </c>
      <c r="C1079" t="inlineStr">
        <is>
          <t>ISIC 08</t>
        </is>
      </c>
      <c r="D1079" t="inlineStr">
        <is>
          <t>ISIC 07T08</t>
        </is>
      </c>
      <c r="E1079" t="n">
        <v>0.5672631163876248</v>
      </c>
      <c r="F1079" t="inlineStr">
        <is>
          <t>BEA 2024 output share (default)</t>
        </is>
      </c>
      <c r="G1079" t="n">
        <v>0.5672631163876248</v>
      </c>
    </row>
    <row r="1080">
      <c r="A1080" t="inlineStr">
        <is>
          <t>SoESCaOMCbIC-variableOM.csv</t>
        </is>
      </c>
      <c r="B1080" t="inlineStr">
        <is>
          <t>petroleum</t>
        </is>
      </c>
      <c r="C1080" t="inlineStr">
        <is>
          <t>ISIC 301</t>
        </is>
      </c>
      <c r="D1080" t="inlineStr">
        <is>
          <t>ISIC 30</t>
        </is>
      </c>
      <c r="E1080" t="n">
        <v>0.1171368722490322</v>
      </c>
      <c r="F1080" t="inlineStr">
        <is>
          <t>BEA 2024 output share (default)</t>
        </is>
      </c>
      <c r="G1080" t="n">
        <v>0.1171368722490322</v>
      </c>
    </row>
    <row r="1081">
      <c r="A1081" t="inlineStr">
        <is>
          <t>SoESCaOMCbIC-variableOM.csv</t>
        </is>
      </c>
      <c r="B1081" t="inlineStr">
        <is>
          <t>petroleum</t>
        </is>
      </c>
      <c r="C1081" t="inlineStr">
        <is>
          <t>ISIC 302T309</t>
        </is>
      </c>
      <c r="D1081" t="inlineStr">
        <is>
          <t>ISIC 30</t>
        </is>
      </c>
      <c r="E1081" t="n">
        <v>0.8828631277509678</v>
      </c>
      <c r="F1081" t="inlineStr">
        <is>
          <t>BEA 2024 output share (default)</t>
        </is>
      </c>
      <c r="G1081" t="n">
        <v>0.8828631277509678</v>
      </c>
    </row>
    <row r="1082">
      <c r="A1082" t="inlineStr">
        <is>
          <t>SoESCaOMCbIC-variableOM.csv</t>
        </is>
      </c>
      <c r="B1082" t="inlineStr">
        <is>
          <t>petroleum</t>
        </is>
      </c>
      <c r="C1082" t="inlineStr">
        <is>
          <t>ISIC 49</t>
        </is>
      </c>
      <c r="D1082" t="inlineStr">
        <is>
          <t>ISIC 49T53</t>
        </is>
      </c>
      <c r="E1082" t="n">
        <v>0.4781643011829615</v>
      </c>
      <c r="F1082" t="inlineStr">
        <is>
          <t>BEA 2024 output share (default)</t>
        </is>
      </c>
      <c r="G1082" t="n">
        <v>0.4781643011829615</v>
      </c>
    </row>
    <row r="1083">
      <c r="A1083" t="inlineStr">
        <is>
          <t>SoESCaOMCbIC-variableOM.csv</t>
        </is>
      </c>
      <c r="B1083" t="inlineStr">
        <is>
          <t>petroleum</t>
        </is>
      </c>
      <c r="C1083" t="inlineStr">
        <is>
          <t>ISIC 50</t>
        </is>
      </c>
      <c r="D1083" t="inlineStr">
        <is>
          <t>ISIC 49T53</t>
        </is>
      </c>
      <c r="E1083" t="n">
        <v>0.04258639396614965</v>
      </c>
      <c r="F1083" t="inlineStr">
        <is>
          <t>BEA 2024 output share (default)</t>
        </is>
      </c>
      <c r="G1083" t="n">
        <v>0.04258639396614965</v>
      </c>
    </row>
    <row r="1084">
      <c r="A1084" t="inlineStr">
        <is>
          <t>SoESCaOMCbIC-variableOM.csv</t>
        </is>
      </c>
      <c r="B1084" t="inlineStr">
        <is>
          <t>petroleum</t>
        </is>
      </c>
      <c r="C1084" t="inlineStr">
        <is>
          <t>ISIC 51</t>
        </is>
      </c>
      <c r="D1084" t="inlineStr">
        <is>
          <t>ISIC 49T53</t>
        </is>
      </c>
      <c r="E1084" t="n">
        <v>0.1808024634415262</v>
      </c>
      <c r="F1084" t="inlineStr">
        <is>
          <t>BEA 2024 output share (default)</t>
        </is>
      </c>
      <c r="G1084" t="n">
        <v>0.1808024634415262</v>
      </c>
    </row>
    <row r="1085">
      <c r="A1085" t="inlineStr">
        <is>
          <t>SoESCaOMCbIC-variableOM.csv</t>
        </is>
      </c>
      <c r="B1085" t="inlineStr">
        <is>
          <t>petroleum</t>
        </is>
      </c>
      <c r="C1085" t="inlineStr">
        <is>
          <t>ISIC 52</t>
        </is>
      </c>
      <c r="D1085" t="inlineStr">
        <is>
          <t>ISIC 49T53</t>
        </is>
      </c>
      <c r="E1085" t="n">
        <v>0.2139060571318126</v>
      </c>
      <c r="F1085" t="inlineStr">
        <is>
          <t>BEA 2024 output share (default)</t>
        </is>
      </c>
      <c r="G1085" t="n">
        <v>0.2139060571318126</v>
      </c>
    </row>
    <row r="1086">
      <c r="A1086" t="inlineStr">
        <is>
          <t>SoESCaOMCbIC-variableOM.csv</t>
        </is>
      </c>
      <c r="B1086" t="inlineStr">
        <is>
          <t>petroleum</t>
        </is>
      </c>
      <c r="C1086" t="inlineStr">
        <is>
          <t>ISIC 53</t>
        </is>
      </c>
      <c r="D1086" t="inlineStr">
        <is>
          <t>ISIC 49T53</t>
        </is>
      </c>
      <c r="E1086" t="n">
        <v>0.08454078427755009</v>
      </c>
      <c r="F1086" t="inlineStr">
        <is>
          <t>BEA 2024 output share (default)</t>
        </is>
      </c>
      <c r="G1086" t="n">
        <v>0.08454078427755009</v>
      </c>
    </row>
    <row r="1087">
      <c r="A1087" t="inlineStr">
        <is>
          <t>SoESCaOMCbIC-variableOM.csv</t>
        </is>
      </c>
      <c r="B1087" t="inlineStr">
        <is>
          <t>petroleum</t>
        </is>
      </c>
      <c r="C1087" t="inlineStr">
        <is>
          <t>ISIC 69T75</t>
        </is>
      </c>
      <c r="D1087" t="inlineStr">
        <is>
          <t>ISIC 69T82</t>
        </is>
      </c>
      <c r="E1087" t="n">
        <v>1</v>
      </c>
      <c r="F1087" t="inlineStr">
        <is>
          <t>semantic override</t>
        </is>
      </c>
      <c r="G1087" t="n">
        <v>0.7298219447914125</v>
      </c>
    </row>
    <row r="1088">
      <c r="A1088" t="inlineStr">
        <is>
          <t>SoESCaOMCbIC-variableOM.csv</t>
        </is>
      </c>
      <c r="B1088" t="inlineStr">
        <is>
          <t>petroleum</t>
        </is>
      </c>
      <c r="C1088" t="inlineStr">
        <is>
          <t>ISIC 77T82</t>
        </is>
      </c>
      <c r="D1088" t="inlineStr">
        <is>
          <t>ISIC 69T82</t>
        </is>
      </c>
      <c r="E1088" t="n">
        <v>0</v>
      </c>
      <c r="F1088" t="inlineStr">
        <is>
          <t>semantic override</t>
        </is>
      </c>
      <c r="G1088" t="n">
        <v>0.2701780552085875</v>
      </c>
    </row>
    <row r="1089">
      <c r="A1089" t="inlineStr">
        <is>
          <t>SoESCaOMCbIC-variableOM.csv</t>
        </is>
      </c>
      <c r="B1089" t="inlineStr">
        <is>
          <t>petroleum</t>
        </is>
      </c>
      <c r="C1089" t="inlineStr">
        <is>
          <t>ISIC 90T93</t>
        </is>
      </c>
      <c r="D1089" t="inlineStr">
        <is>
          <t>ISIC 90T96</t>
        </is>
      </c>
      <c r="E1089" t="n">
        <v>0.4216249514352275</v>
      </c>
      <c r="F1089" t="inlineStr">
        <is>
          <t>BEA 2024 output share (default)</t>
        </is>
      </c>
      <c r="G1089" t="n">
        <v>0.4216249514352275</v>
      </c>
    </row>
    <row r="1090">
      <c r="A1090" t="inlineStr">
        <is>
          <t>SoESCaOMCbIC-variableOM.csv</t>
        </is>
      </c>
      <c r="B1090" t="inlineStr">
        <is>
          <t>petroleum</t>
        </is>
      </c>
      <c r="C1090" t="inlineStr">
        <is>
          <t>ISIC 94T96</t>
        </is>
      </c>
      <c r="D1090" t="inlineStr">
        <is>
          <t>ISIC 90T96</t>
        </is>
      </c>
      <c r="E1090" t="n">
        <v>0.5783750485647725</v>
      </c>
      <c r="F1090" t="inlineStr">
        <is>
          <t>BEA 2024 output share (default)</t>
        </is>
      </c>
      <c r="G1090" t="n">
        <v>0.5783750485647725</v>
      </c>
    </row>
    <row r="1091">
      <c r="A1091" t="inlineStr">
        <is>
          <t>SoESCaOMCbIC-variableOM.csv</t>
        </is>
      </c>
      <c r="B1091" t="inlineStr">
        <is>
          <t>small modular reactor</t>
        </is>
      </c>
      <c r="C1091" t="inlineStr">
        <is>
          <t>ISIC 01</t>
        </is>
      </c>
      <c r="D1091" t="inlineStr">
        <is>
          <t>ISIC 01T03</t>
        </is>
      </c>
      <c r="E1091" t="n">
        <v>0.9429986826432329</v>
      </c>
      <c r="F1091" t="inlineStr">
        <is>
          <t>BEA 2024 output share (default)</t>
        </is>
      </c>
      <c r="G1091" t="n">
        <v>0.9429986826432329</v>
      </c>
    </row>
    <row r="1092">
      <c r="A1092" t="inlineStr">
        <is>
          <t>SoESCaOMCbIC-variableOM.csv</t>
        </is>
      </c>
      <c r="B1092" t="inlineStr">
        <is>
          <t>small modular reactor</t>
        </is>
      </c>
      <c r="C1092" t="inlineStr">
        <is>
          <t>ISIC 02</t>
        </is>
      </c>
      <c r="D1092" t="inlineStr">
        <is>
          <t>ISIC 01T03</t>
        </is>
      </c>
      <c r="E1092" t="n">
        <v>0.04176573136965662</v>
      </c>
      <c r="F1092" t="inlineStr">
        <is>
          <t>BEA 2024 output share (default)</t>
        </is>
      </c>
      <c r="G1092" t="n">
        <v>0.04176573136965662</v>
      </c>
    </row>
    <row r="1093">
      <c r="A1093" t="inlineStr">
        <is>
          <t>SoESCaOMCbIC-variableOM.csv</t>
        </is>
      </c>
      <c r="B1093" t="inlineStr">
        <is>
          <t>small modular reactor</t>
        </is>
      </c>
      <c r="C1093" t="inlineStr">
        <is>
          <t>ISIC 03</t>
        </is>
      </c>
      <c r="D1093" t="inlineStr">
        <is>
          <t>ISIC 01T03</t>
        </is>
      </c>
      <c r="E1093" t="n">
        <v>0.01523558598711041</v>
      </c>
      <c r="F1093" t="inlineStr">
        <is>
          <t>BEA 2024 output share (default)</t>
        </is>
      </c>
      <c r="G1093" t="n">
        <v>0.01523558598711041</v>
      </c>
    </row>
    <row r="1094">
      <c r="A1094" t="inlineStr">
        <is>
          <t>SoESCaOMCbIC-variableOM.csv</t>
        </is>
      </c>
      <c r="B1094" t="inlineStr">
        <is>
          <t>small modular reactor</t>
        </is>
      </c>
      <c r="C1094" t="inlineStr">
        <is>
          <t>ISIC 07</t>
        </is>
      </c>
      <c r="D1094" t="inlineStr">
        <is>
          <t>ISIC 07T08</t>
        </is>
      </c>
      <c r="E1094" t="n">
        <v>0.4327368836123752</v>
      </c>
      <c r="F1094" t="inlineStr">
        <is>
          <t>BEA 2024 output share (default)</t>
        </is>
      </c>
      <c r="G1094" t="n">
        <v>0.4327368836123752</v>
      </c>
    </row>
    <row r="1095">
      <c r="A1095" t="inlineStr">
        <is>
          <t>SoESCaOMCbIC-variableOM.csv</t>
        </is>
      </c>
      <c r="B1095" t="inlineStr">
        <is>
          <t>small modular reactor</t>
        </is>
      </c>
      <c r="C1095" t="inlineStr">
        <is>
          <t>ISIC 08</t>
        </is>
      </c>
      <c r="D1095" t="inlineStr">
        <is>
          <t>ISIC 07T08</t>
        </is>
      </c>
      <c r="E1095" t="n">
        <v>0.5672631163876248</v>
      </c>
      <c r="F1095" t="inlineStr">
        <is>
          <t>BEA 2024 output share (default)</t>
        </is>
      </c>
      <c r="G1095" t="n">
        <v>0.5672631163876248</v>
      </c>
    </row>
    <row r="1096">
      <c r="A1096" t="inlineStr">
        <is>
          <t>SoESCaOMCbIC-variableOM.csv</t>
        </is>
      </c>
      <c r="B1096" t="inlineStr">
        <is>
          <t>small modular reactor</t>
        </is>
      </c>
      <c r="C1096" t="inlineStr">
        <is>
          <t>ISIC 301</t>
        </is>
      </c>
      <c r="D1096" t="inlineStr">
        <is>
          <t>ISIC 30</t>
        </is>
      </c>
      <c r="E1096" t="n">
        <v>0.1171368722490322</v>
      </c>
      <c r="F1096" t="inlineStr">
        <is>
          <t>BEA 2024 output share (default)</t>
        </is>
      </c>
      <c r="G1096" t="n">
        <v>0.1171368722490322</v>
      </c>
    </row>
    <row r="1097">
      <c r="A1097" t="inlineStr">
        <is>
          <t>SoESCaOMCbIC-variableOM.csv</t>
        </is>
      </c>
      <c r="B1097" t="inlineStr">
        <is>
          <t>small modular reactor</t>
        </is>
      </c>
      <c r="C1097" t="inlineStr">
        <is>
          <t>ISIC 302T309</t>
        </is>
      </c>
      <c r="D1097" t="inlineStr">
        <is>
          <t>ISIC 30</t>
        </is>
      </c>
      <c r="E1097" t="n">
        <v>0.8828631277509678</v>
      </c>
      <c r="F1097" t="inlineStr">
        <is>
          <t>BEA 2024 output share (default)</t>
        </is>
      </c>
      <c r="G1097" t="n">
        <v>0.8828631277509678</v>
      </c>
    </row>
    <row r="1098">
      <c r="A1098" t="inlineStr">
        <is>
          <t>SoESCaOMCbIC-variableOM.csv</t>
        </is>
      </c>
      <c r="B1098" t="inlineStr">
        <is>
          <t>small modular reactor</t>
        </is>
      </c>
      <c r="C1098" t="inlineStr">
        <is>
          <t>ISIC 49</t>
        </is>
      </c>
      <c r="D1098" t="inlineStr">
        <is>
          <t>ISIC 49T53</t>
        </is>
      </c>
      <c r="E1098" t="n">
        <v>0.4781643011829615</v>
      </c>
      <c r="F1098" t="inlineStr">
        <is>
          <t>BEA 2024 output share (default)</t>
        </is>
      </c>
      <c r="G1098" t="n">
        <v>0.4781643011829615</v>
      </c>
    </row>
    <row r="1099">
      <c r="A1099" t="inlineStr">
        <is>
          <t>SoESCaOMCbIC-variableOM.csv</t>
        </is>
      </c>
      <c r="B1099" t="inlineStr">
        <is>
          <t>small modular reactor</t>
        </is>
      </c>
      <c r="C1099" t="inlineStr">
        <is>
          <t>ISIC 50</t>
        </is>
      </c>
      <c r="D1099" t="inlineStr">
        <is>
          <t>ISIC 49T53</t>
        </is>
      </c>
      <c r="E1099" t="n">
        <v>0.04258639396614965</v>
      </c>
      <c r="F1099" t="inlineStr">
        <is>
          <t>BEA 2024 output share (default)</t>
        </is>
      </c>
      <c r="G1099" t="n">
        <v>0.04258639396614965</v>
      </c>
    </row>
    <row r="1100">
      <c r="A1100" t="inlineStr">
        <is>
          <t>SoESCaOMCbIC-variableOM.csv</t>
        </is>
      </c>
      <c r="B1100" t="inlineStr">
        <is>
          <t>small modular reactor</t>
        </is>
      </c>
      <c r="C1100" t="inlineStr">
        <is>
          <t>ISIC 51</t>
        </is>
      </c>
      <c r="D1100" t="inlineStr">
        <is>
          <t>ISIC 49T53</t>
        </is>
      </c>
      <c r="E1100" t="n">
        <v>0.1808024634415262</v>
      </c>
      <c r="F1100" t="inlineStr">
        <is>
          <t>BEA 2024 output share (default)</t>
        </is>
      </c>
      <c r="G1100" t="n">
        <v>0.1808024634415262</v>
      </c>
    </row>
    <row r="1101">
      <c r="A1101" t="inlineStr">
        <is>
          <t>SoESCaOMCbIC-variableOM.csv</t>
        </is>
      </c>
      <c r="B1101" t="inlineStr">
        <is>
          <t>small modular reactor</t>
        </is>
      </c>
      <c r="C1101" t="inlineStr">
        <is>
          <t>ISIC 52</t>
        </is>
      </c>
      <c r="D1101" t="inlineStr">
        <is>
          <t>ISIC 49T53</t>
        </is>
      </c>
      <c r="E1101" t="n">
        <v>0.2139060571318126</v>
      </c>
      <c r="F1101" t="inlineStr">
        <is>
          <t>BEA 2024 output share (default)</t>
        </is>
      </c>
      <c r="G1101" t="n">
        <v>0.2139060571318126</v>
      </c>
    </row>
    <row r="1102">
      <c r="A1102" t="inlineStr">
        <is>
          <t>SoESCaOMCbIC-variableOM.csv</t>
        </is>
      </c>
      <c r="B1102" t="inlineStr">
        <is>
          <t>small modular reactor</t>
        </is>
      </c>
      <c r="C1102" t="inlineStr">
        <is>
          <t>ISIC 53</t>
        </is>
      </c>
      <c r="D1102" t="inlineStr">
        <is>
          <t>ISIC 49T53</t>
        </is>
      </c>
      <c r="E1102" t="n">
        <v>0.08454078427755009</v>
      </c>
      <c r="F1102" t="inlineStr">
        <is>
          <t>BEA 2024 output share (default)</t>
        </is>
      </c>
      <c r="G1102" t="n">
        <v>0.08454078427755009</v>
      </c>
    </row>
    <row r="1103">
      <c r="A1103" t="inlineStr">
        <is>
          <t>SoESCaOMCbIC-variableOM.csv</t>
        </is>
      </c>
      <c r="B1103" t="inlineStr">
        <is>
          <t>small modular reactor</t>
        </is>
      </c>
      <c r="C1103" t="inlineStr">
        <is>
          <t>ISIC 69T75</t>
        </is>
      </c>
      <c r="D1103" t="inlineStr">
        <is>
          <t>ISIC 69T82</t>
        </is>
      </c>
      <c r="E1103" t="n">
        <v>1</v>
      </c>
      <c r="F1103" t="inlineStr">
        <is>
          <t>semantic override</t>
        </is>
      </c>
      <c r="G1103" t="n">
        <v>0.7298219447914125</v>
      </c>
    </row>
    <row r="1104">
      <c r="A1104" t="inlineStr">
        <is>
          <t>SoESCaOMCbIC-variableOM.csv</t>
        </is>
      </c>
      <c r="B1104" t="inlineStr">
        <is>
          <t>small modular reactor</t>
        </is>
      </c>
      <c r="C1104" t="inlineStr">
        <is>
          <t>ISIC 77T82</t>
        </is>
      </c>
      <c r="D1104" t="inlineStr">
        <is>
          <t>ISIC 69T82</t>
        </is>
      </c>
      <c r="E1104" t="n">
        <v>0</v>
      </c>
      <c r="F1104" t="inlineStr">
        <is>
          <t>semantic override</t>
        </is>
      </c>
      <c r="G1104" t="n">
        <v>0.2701780552085875</v>
      </c>
    </row>
    <row r="1105">
      <c r="A1105" t="inlineStr">
        <is>
          <t>SoESCaOMCbIC-variableOM.csv</t>
        </is>
      </c>
      <c r="B1105" t="inlineStr">
        <is>
          <t>small modular reactor</t>
        </is>
      </c>
      <c r="C1105" t="inlineStr">
        <is>
          <t>ISIC 90T93</t>
        </is>
      </c>
      <c r="D1105" t="inlineStr">
        <is>
          <t>ISIC 90T96</t>
        </is>
      </c>
      <c r="E1105" t="n">
        <v>0.4216249514352275</v>
      </c>
      <c r="F1105" t="inlineStr">
        <is>
          <t>BEA 2024 output share (default)</t>
        </is>
      </c>
      <c r="G1105" t="n">
        <v>0.4216249514352275</v>
      </c>
    </row>
    <row r="1106">
      <c r="A1106" t="inlineStr">
        <is>
          <t>SoESCaOMCbIC-variableOM.csv</t>
        </is>
      </c>
      <c r="B1106" t="inlineStr">
        <is>
          <t>small modular reactor</t>
        </is>
      </c>
      <c r="C1106" t="inlineStr">
        <is>
          <t>ISIC 94T96</t>
        </is>
      </c>
      <c r="D1106" t="inlineStr">
        <is>
          <t>ISIC 90T96</t>
        </is>
      </c>
      <c r="E1106" t="n">
        <v>0.5783750485647725</v>
      </c>
      <c r="F1106" t="inlineStr">
        <is>
          <t>BEA 2024 output share (default)</t>
        </is>
      </c>
      <c r="G1106" t="n">
        <v>0.5783750485647725</v>
      </c>
    </row>
    <row r="1107">
      <c r="A1107" t="inlineStr">
        <is>
          <t>SoESCaOMCbIC-variableOM.csv</t>
        </is>
      </c>
      <c r="B1107" t="inlineStr">
        <is>
          <t>solar PV</t>
        </is>
      </c>
      <c r="C1107" t="inlineStr">
        <is>
          <t>ISIC 01</t>
        </is>
      </c>
      <c r="D1107" t="inlineStr">
        <is>
          <t>ISIC 01T03</t>
        </is>
      </c>
      <c r="E1107" t="n">
        <v>0.9429986826432329</v>
      </c>
      <c r="F1107" t="inlineStr">
        <is>
          <t>BEA 2024 output share (default)</t>
        </is>
      </c>
      <c r="G1107" t="n">
        <v>0.9429986826432329</v>
      </c>
    </row>
    <row r="1108">
      <c r="A1108" t="inlineStr">
        <is>
          <t>SoESCaOMCbIC-variableOM.csv</t>
        </is>
      </c>
      <c r="B1108" t="inlineStr">
        <is>
          <t>solar PV</t>
        </is>
      </c>
      <c r="C1108" t="inlineStr">
        <is>
          <t>ISIC 02</t>
        </is>
      </c>
      <c r="D1108" t="inlineStr">
        <is>
          <t>ISIC 01T03</t>
        </is>
      </c>
      <c r="E1108" t="n">
        <v>0.04176573136965662</v>
      </c>
      <c r="F1108" t="inlineStr">
        <is>
          <t>BEA 2024 output share (default)</t>
        </is>
      </c>
      <c r="G1108" t="n">
        <v>0.04176573136965662</v>
      </c>
    </row>
    <row r="1109">
      <c r="A1109" t="inlineStr">
        <is>
          <t>SoESCaOMCbIC-variableOM.csv</t>
        </is>
      </c>
      <c r="B1109" t="inlineStr">
        <is>
          <t>solar PV</t>
        </is>
      </c>
      <c r="C1109" t="inlineStr">
        <is>
          <t>ISIC 03</t>
        </is>
      </c>
      <c r="D1109" t="inlineStr">
        <is>
          <t>ISIC 01T03</t>
        </is>
      </c>
      <c r="E1109" t="n">
        <v>0.01523558598711041</v>
      </c>
      <c r="F1109" t="inlineStr">
        <is>
          <t>BEA 2024 output share (default)</t>
        </is>
      </c>
      <c r="G1109" t="n">
        <v>0.01523558598711041</v>
      </c>
    </row>
    <row r="1110">
      <c r="A1110" t="inlineStr">
        <is>
          <t>SoESCaOMCbIC-variableOM.csv</t>
        </is>
      </c>
      <c r="B1110" t="inlineStr">
        <is>
          <t>solar PV</t>
        </is>
      </c>
      <c r="C1110" t="inlineStr">
        <is>
          <t>ISIC 07</t>
        </is>
      </c>
      <c r="D1110" t="inlineStr">
        <is>
          <t>ISIC 07T08</t>
        </is>
      </c>
      <c r="E1110" t="n">
        <v>0.4327368836123752</v>
      </c>
      <c r="F1110" t="inlineStr">
        <is>
          <t>BEA 2024 output share (default)</t>
        </is>
      </c>
      <c r="G1110" t="n">
        <v>0.4327368836123752</v>
      </c>
    </row>
    <row r="1111">
      <c r="A1111" t="inlineStr">
        <is>
          <t>SoESCaOMCbIC-variableOM.csv</t>
        </is>
      </c>
      <c r="B1111" t="inlineStr">
        <is>
          <t>solar PV</t>
        </is>
      </c>
      <c r="C1111" t="inlineStr">
        <is>
          <t>ISIC 08</t>
        </is>
      </c>
      <c r="D1111" t="inlineStr">
        <is>
          <t>ISIC 07T08</t>
        </is>
      </c>
      <c r="E1111" t="n">
        <v>0.5672631163876248</v>
      </c>
      <c r="F1111" t="inlineStr">
        <is>
          <t>BEA 2024 output share (default)</t>
        </is>
      </c>
      <c r="G1111" t="n">
        <v>0.5672631163876248</v>
      </c>
    </row>
    <row r="1112">
      <c r="A1112" t="inlineStr">
        <is>
          <t>SoESCaOMCbIC-variableOM.csv</t>
        </is>
      </c>
      <c r="B1112" t="inlineStr">
        <is>
          <t>solar PV</t>
        </is>
      </c>
      <c r="C1112" t="inlineStr">
        <is>
          <t>ISIC 301</t>
        </is>
      </c>
      <c r="D1112" t="inlineStr">
        <is>
          <t>ISIC 30</t>
        </is>
      </c>
      <c r="E1112" t="n">
        <v>0.1171368722490322</v>
      </c>
      <c r="F1112" t="inlineStr">
        <is>
          <t>BEA 2024 output share (default)</t>
        </is>
      </c>
      <c r="G1112" t="n">
        <v>0.1171368722490322</v>
      </c>
    </row>
    <row r="1113">
      <c r="A1113" t="inlineStr">
        <is>
          <t>SoESCaOMCbIC-variableOM.csv</t>
        </is>
      </c>
      <c r="B1113" t="inlineStr">
        <is>
          <t>solar PV</t>
        </is>
      </c>
      <c r="C1113" t="inlineStr">
        <is>
          <t>ISIC 302T309</t>
        </is>
      </c>
      <c r="D1113" t="inlineStr">
        <is>
          <t>ISIC 30</t>
        </is>
      </c>
      <c r="E1113" t="n">
        <v>0.8828631277509678</v>
      </c>
      <c r="F1113" t="inlineStr">
        <is>
          <t>BEA 2024 output share (default)</t>
        </is>
      </c>
      <c r="G1113" t="n">
        <v>0.8828631277509678</v>
      </c>
    </row>
    <row r="1114">
      <c r="A1114" t="inlineStr">
        <is>
          <t>SoESCaOMCbIC-variableOM.csv</t>
        </is>
      </c>
      <c r="B1114" t="inlineStr">
        <is>
          <t>solar PV</t>
        </is>
      </c>
      <c r="C1114" t="inlineStr">
        <is>
          <t>ISIC 49</t>
        </is>
      </c>
      <c r="D1114" t="inlineStr">
        <is>
          <t>ISIC 49T53</t>
        </is>
      </c>
      <c r="E1114" t="n">
        <v>0.4781643011829615</v>
      </c>
      <c r="F1114" t="inlineStr">
        <is>
          <t>BEA 2024 output share (default)</t>
        </is>
      </c>
      <c r="G1114" t="n">
        <v>0.4781643011829615</v>
      </c>
    </row>
    <row r="1115">
      <c r="A1115" t="inlineStr">
        <is>
          <t>SoESCaOMCbIC-variableOM.csv</t>
        </is>
      </c>
      <c r="B1115" t="inlineStr">
        <is>
          <t>solar PV</t>
        </is>
      </c>
      <c r="C1115" t="inlineStr">
        <is>
          <t>ISIC 50</t>
        </is>
      </c>
      <c r="D1115" t="inlineStr">
        <is>
          <t>ISIC 49T53</t>
        </is>
      </c>
      <c r="E1115" t="n">
        <v>0.04258639396614965</v>
      </c>
      <c r="F1115" t="inlineStr">
        <is>
          <t>BEA 2024 output share (default)</t>
        </is>
      </c>
      <c r="G1115" t="n">
        <v>0.04258639396614965</v>
      </c>
    </row>
    <row r="1116">
      <c r="A1116" t="inlineStr">
        <is>
          <t>SoESCaOMCbIC-variableOM.csv</t>
        </is>
      </c>
      <c r="B1116" t="inlineStr">
        <is>
          <t>solar PV</t>
        </is>
      </c>
      <c r="C1116" t="inlineStr">
        <is>
          <t>ISIC 51</t>
        </is>
      </c>
      <c r="D1116" t="inlineStr">
        <is>
          <t>ISIC 49T53</t>
        </is>
      </c>
      <c r="E1116" t="n">
        <v>0.1808024634415262</v>
      </c>
      <c r="F1116" t="inlineStr">
        <is>
          <t>BEA 2024 output share (default)</t>
        </is>
      </c>
      <c r="G1116" t="n">
        <v>0.1808024634415262</v>
      </c>
    </row>
    <row r="1117">
      <c r="A1117" t="inlineStr">
        <is>
          <t>SoESCaOMCbIC-variableOM.csv</t>
        </is>
      </c>
      <c r="B1117" t="inlineStr">
        <is>
          <t>solar PV</t>
        </is>
      </c>
      <c r="C1117" t="inlineStr">
        <is>
          <t>ISIC 52</t>
        </is>
      </c>
      <c r="D1117" t="inlineStr">
        <is>
          <t>ISIC 49T53</t>
        </is>
      </c>
      <c r="E1117" t="n">
        <v>0.2139060571318126</v>
      </c>
      <c r="F1117" t="inlineStr">
        <is>
          <t>BEA 2024 output share (default)</t>
        </is>
      </c>
      <c r="G1117" t="n">
        <v>0.2139060571318126</v>
      </c>
    </row>
    <row r="1118">
      <c r="A1118" t="inlineStr">
        <is>
          <t>SoESCaOMCbIC-variableOM.csv</t>
        </is>
      </c>
      <c r="B1118" t="inlineStr">
        <is>
          <t>solar PV</t>
        </is>
      </c>
      <c r="C1118" t="inlineStr">
        <is>
          <t>ISIC 53</t>
        </is>
      </c>
      <c r="D1118" t="inlineStr">
        <is>
          <t>ISIC 49T53</t>
        </is>
      </c>
      <c r="E1118" t="n">
        <v>0.08454078427755009</v>
      </c>
      <c r="F1118" t="inlineStr">
        <is>
          <t>BEA 2024 output share (default)</t>
        </is>
      </c>
      <c r="G1118" t="n">
        <v>0.08454078427755009</v>
      </c>
    </row>
    <row r="1119">
      <c r="A1119" t="inlineStr">
        <is>
          <t>SoESCaOMCbIC-variableOM.csv</t>
        </is>
      </c>
      <c r="B1119" t="inlineStr">
        <is>
          <t>solar PV</t>
        </is>
      </c>
      <c r="C1119" t="inlineStr">
        <is>
          <t>ISIC 69T75</t>
        </is>
      </c>
      <c r="D1119" t="inlineStr">
        <is>
          <t>ISIC 69T82</t>
        </is>
      </c>
      <c r="E1119" t="n">
        <v>1</v>
      </c>
      <c r="F1119" t="inlineStr">
        <is>
          <t>semantic override</t>
        </is>
      </c>
      <c r="G1119" t="n">
        <v>0.7298219447914125</v>
      </c>
    </row>
    <row r="1120">
      <c r="A1120" t="inlineStr">
        <is>
          <t>SoESCaOMCbIC-variableOM.csv</t>
        </is>
      </c>
      <c r="B1120" t="inlineStr">
        <is>
          <t>solar PV</t>
        </is>
      </c>
      <c r="C1120" t="inlineStr">
        <is>
          <t>ISIC 77T82</t>
        </is>
      </c>
      <c r="D1120" t="inlineStr">
        <is>
          <t>ISIC 69T82</t>
        </is>
      </c>
      <c r="E1120" t="n">
        <v>0</v>
      </c>
      <c r="F1120" t="inlineStr">
        <is>
          <t>semantic override</t>
        </is>
      </c>
      <c r="G1120" t="n">
        <v>0.2701780552085875</v>
      </c>
    </row>
    <row r="1121">
      <c r="A1121" t="inlineStr">
        <is>
          <t>SoESCaOMCbIC-variableOM.csv</t>
        </is>
      </c>
      <c r="B1121" t="inlineStr">
        <is>
          <t>solar PV</t>
        </is>
      </c>
      <c r="C1121" t="inlineStr">
        <is>
          <t>ISIC 90T93</t>
        </is>
      </c>
      <c r="D1121" t="inlineStr">
        <is>
          <t>ISIC 90T96</t>
        </is>
      </c>
      <c r="E1121" t="n">
        <v>0.4216249514352275</v>
      </c>
      <c r="F1121" t="inlineStr">
        <is>
          <t>BEA 2024 output share (default)</t>
        </is>
      </c>
      <c r="G1121" t="n">
        <v>0.4216249514352275</v>
      </c>
    </row>
    <row r="1122">
      <c r="A1122" t="inlineStr">
        <is>
          <t>SoESCaOMCbIC-variableOM.csv</t>
        </is>
      </c>
      <c r="B1122" t="inlineStr">
        <is>
          <t>solar PV</t>
        </is>
      </c>
      <c r="C1122" t="inlineStr">
        <is>
          <t>ISIC 94T96</t>
        </is>
      </c>
      <c r="D1122" t="inlineStr">
        <is>
          <t>ISIC 90T96</t>
        </is>
      </c>
      <c r="E1122" t="n">
        <v>0.5783750485647725</v>
      </c>
      <c r="F1122" t="inlineStr">
        <is>
          <t>BEA 2024 output share (default)</t>
        </is>
      </c>
      <c r="G1122" t="n">
        <v>0.5783750485647725</v>
      </c>
    </row>
    <row r="1123">
      <c r="A1123" t="inlineStr">
        <is>
          <t>SoESCaOMCbIC-variableOM.csv</t>
        </is>
      </c>
      <c r="B1123" t="inlineStr">
        <is>
          <t>solar thermal</t>
        </is>
      </c>
      <c r="C1123" t="inlineStr">
        <is>
          <t>ISIC 01</t>
        </is>
      </c>
      <c r="D1123" t="inlineStr">
        <is>
          <t>ISIC 01T03</t>
        </is>
      </c>
      <c r="E1123" t="n">
        <v>0.9429986826432329</v>
      </c>
      <c r="F1123" t="inlineStr">
        <is>
          <t>BEA 2024 output share (default)</t>
        </is>
      </c>
      <c r="G1123" t="n">
        <v>0.9429986826432329</v>
      </c>
    </row>
    <row r="1124">
      <c r="A1124" t="inlineStr">
        <is>
          <t>SoESCaOMCbIC-variableOM.csv</t>
        </is>
      </c>
      <c r="B1124" t="inlineStr">
        <is>
          <t>solar thermal</t>
        </is>
      </c>
      <c r="C1124" t="inlineStr">
        <is>
          <t>ISIC 02</t>
        </is>
      </c>
      <c r="D1124" t="inlineStr">
        <is>
          <t>ISIC 01T03</t>
        </is>
      </c>
      <c r="E1124" t="n">
        <v>0.04176573136965662</v>
      </c>
      <c r="F1124" t="inlineStr">
        <is>
          <t>BEA 2024 output share (default)</t>
        </is>
      </c>
      <c r="G1124" t="n">
        <v>0.04176573136965662</v>
      </c>
    </row>
    <row r="1125">
      <c r="A1125" t="inlineStr">
        <is>
          <t>SoESCaOMCbIC-variableOM.csv</t>
        </is>
      </c>
      <c r="B1125" t="inlineStr">
        <is>
          <t>solar thermal</t>
        </is>
      </c>
      <c r="C1125" t="inlineStr">
        <is>
          <t>ISIC 03</t>
        </is>
      </c>
      <c r="D1125" t="inlineStr">
        <is>
          <t>ISIC 01T03</t>
        </is>
      </c>
      <c r="E1125" t="n">
        <v>0.01523558598711041</v>
      </c>
      <c r="F1125" t="inlineStr">
        <is>
          <t>BEA 2024 output share (default)</t>
        </is>
      </c>
      <c r="G1125" t="n">
        <v>0.01523558598711041</v>
      </c>
    </row>
    <row r="1126">
      <c r="A1126" t="inlineStr">
        <is>
          <t>SoESCaOMCbIC-variableOM.csv</t>
        </is>
      </c>
      <c r="B1126" t="inlineStr">
        <is>
          <t>solar thermal</t>
        </is>
      </c>
      <c r="C1126" t="inlineStr">
        <is>
          <t>ISIC 07</t>
        </is>
      </c>
      <c r="D1126" t="inlineStr">
        <is>
          <t>ISIC 07T08</t>
        </is>
      </c>
      <c r="E1126" t="n">
        <v>0.4327368836123752</v>
      </c>
      <c r="F1126" t="inlineStr">
        <is>
          <t>BEA 2024 output share (default)</t>
        </is>
      </c>
      <c r="G1126" t="n">
        <v>0.4327368836123752</v>
      </c>
    </row>
    <row r="1127">
      <c r="A1127" t="inlineStr">
        <is>
          <t>SoESCaOMCbIC-variableOM.csv</t>
        </is>
      </c>
      <c r="B1127" t="inlineStr">
        <is>
          <t>solar thermal</t>
        </is>
      </c>
      <c r="C1127" t="inlineStr">
        <is>
          <t>ISIC 08</t>
        </is>
      </c>
      <c r="D1127" t="inlineStr">
        <is>
          <t>ISIC 07T08</t>
        </is>
      </c>
      <c r="E1127" t="n">
        <v>0.5672631163876248</v>
      </c>
      <c r="F1127" t="inlineStr">
        <is>
          <t>BEA 2024 output share (default)</t>
        </is>
      </c>
      <c r="G1127" t="n">
        <v>0.5672631163876248</v>
      </c>
    </row>
    <row r="1128">
      <c r="A1128" t="inlineStr">
        <is>
          <t>SoESCaOMCbIC-variableOM.csv</t>
        </is>
      </c>
      <c r="B1128" t="inlineStr">
        <is>
          <t>solar thermal</t>
        </is>
      </c>
      <c r="C1128" t="inlineStr">
        <is>
          <t>ISIC 301</t>
        </is>
      </c>
      <c r="D1128" t="inlineStr">
        <is>
          <t>ISIC 30</t>
        </is>
      </c>
      <c r="E1128" t="n">
        <v>0.1171368722490322</v>
      </c>
      <c r="F1128" t="inlineStr">
        <is>
          <t>BEA 2024 output share (default)</t>
        </is>
      </c>
      <c r="G1128" t="n">
        <v>0.1171368722490322</v>
      </c>
    </row>
    <row r="1129">
      <c r="A1129" t="inlineStr">
        <is>
          <t>SoESCaOMCbIC-variableOM.csv</t>
        </is>
      </c>
      <c r="B1129" t="inlineStr">
        <is>
          <t>solar thermal</t>
        </is>
      </c>
      <c r="C1129" t="inlineStr">
        <is>
          <t>ISIC 302T309</t>
        </is>
      </c>
      <c r="D1129" t="inlineStr">
        <is>
          <t>ISIC 30</t>
        </is>
      </c>
      <c r="E1129" t="n">
        <v>0.8828631277509678</v>
      </c>
      <c r="F1129" t="inlineStr">
        <is>
          <t>BEA 2024 output share (default)</t>
        </is>
      </c>
      <c r="G1129" t="n">
        <v>0.8828631277509678</v>
      </c>
    </row>
    <row r="1130">
      <c r="A1130" t="inlineStr">
        <is>
          <t>SoESCaOMCbIC-variableOM.csv</t>
        </is>
      </c>
      <c r="B1130" t="inlineStr">
        <is>
          <t>solar thermal</t>
        </is>
      </c>
      <c r="C1130" t="inlineStr">
        <is>
          <t>ISIC 49</t>
        </is>
      </c>
      <c r="D1130" t="inlineStr">
        <is>
          <t>ISIC 49T53</t>
        </is>
      </c>
      <c r="E1130" t="n">
        <v>0.4781643011829615</v>
      </c>
      <c r="F1130" t="inlineStr">
        <is>
          <t>BEA 2024 output share (default)</t>
        </is>
      </c>
      <c r="G1130" t="n">
        <v>0.4781643011829615</v>
      </c>
    </row>
    <row r="1131">
      <c r="A1131" t="inlineStr">
        <is>
          <t>SoESCaOMCbIC-variableOM.csv</t>
        </is>
      </c>
      <c r="B1131" t="inlineStr">
        <is>
          <t>solar thermal</t>
        </is>
      </c>
      <c r="C1131" t="inlineStr">
        <is>
          <t>ISIC 50</t>
        </is>
      </c>
      <c r="D1131" t="inlineStr">
        <is>
          <t>ISIC 49T53</t>
        </is>
      </c>
      <c r="E1131" t="n">
        <v>0.04258639396614965</v>
      </c>
      <c r="F1131" t="inlineStr">
        <is>
          <t>BEA 2024 output share (default)</t>
        </is>
      </c>
      <c r="G1131" t="n">
        <v>0.04258639396614965</v>
      </c>
    </row>
    <row r="1132">
      <c r="A1132" t="inlineStr">
        <is>
          <t>SoESCaOMCbIC-variableOM.csv</t>
        </is>
      </c>
      <c r="B1132" t="inlineStr">
        <is>
          <t>solar thermal</t>
        </is>
      </c>
      <c r="C1132" t="inlineStr">
        <is>
          <t>ISIC 51</t>
        </is>
      </c>
      <c r="D1132" t="inlineStr">
        <is>
          <t>ISIC 49T53</t>
        </is>
      </c>
      <c r="E1132" t="n">
        <v>0.1808024634415262</v>
      </c>
      <c r="F1132" t="inlineStr">
        <is>
          <t>BEA 2024 output share (default)</t>
        </is>
      </c>
      <c r="G1132" t="n">
        <v>0.1808024634415262</v>
      </c>
    </row>
    <row r="1133">
      <c r="A1133" t="inlineStr">
        <is>
          <t>SoESCaOMCbIC-variableOM.csv</t>
        </is>
      </c>
      <c r="B1133" t="inlineStr">
        <is>
          <t>solar thermal</t>
        </is>
      </c>
      <c r="C1133" t="inlineStr">
        <is>
          <t>ISIC 52</t>
        </is>
      </c>
      <c r="D1133" t="inlineStr">
        <is>
          <t>ISIC 49T53</t>
        </is>
      </c>
      <c r="E1133" t="n">
        <v>0.2139060571318126</v>
      </c>
      <c r="F1133" t="inlineStr">
        <is>
          <t>BEA 2024 output share (default)</t>
        </is>
      </c>
      <c r="G1133" t="n">
        <v>0.2139060571318126</v>
      </c>
    </row>
    <row r="1134">
      <c r="A1134" t="inlineStr">
        <is>
          <t>SoESCaOMCbIC-variableOM.csv</t>
        </is>
      </c>
      <c r="B1134" t="inlineStr">
        <is>
          <t>solar thermal</t>
        </is>
      </c>
      <c r="C1134" t="inlineStr">
        <is>
          <t>ISIC 53</t>
        </is>
      </c>
      <c r="D1134" t="inlineStr">
        <is>
          <t>ISIC 49T53</t>
        </is>
      </c>
      <c r="E1134" t="n">
        <v>0.08454078427755009</v>
      </c>
      <c r="F1134" t="inlineStr">
        <is>
          <t>BEA 2024 output share (default)</t>
        </is>
      </c>
      <c r="G1134" t="n">
        <v>0.08454078427755009</v>
      </c>
    </row>
    <row r="1135">
      <c r="A1135" t="inlineStr">
        <is>
          <t>SoESCaOMCbIC-variableOM.csv</t>
        </is>
      </c>
      <c r="B1135" t="inlineStr">
        <is>
          <t>solar thermal</t>
        </is>
      </c>
      <c r="C1135" t="inlineStr">
        <is>
          <t>ISIC 69T75</t>
        </is>
      </c>
      <c r="D1135" t="inlineStr">
        <is>
          <t>ISIC 69T82</t>
        </is>
      </c>
      <c r="E1135" t="n">
        <v>1</v>
      </c>
      <c r="F1135" t="inlineStr">
        <is>
          <t>semantic override</t>
        </is>
      </c>
      <c r="G1135" t="n">
        <v>0.7298219447914125</v>
      </c>
    </row>
    <row r="1136">
      <c r="A1136" t="inlineStr">
        <is>
          <t>SoESCaOMCbIC-variableOM.csv</t>
        </is>
      </c>
      <c r="B1136" t="inlineStr">
        <is>
          <t>solar thermal</t>
        </is>
      </c>
      <c r="C1136" t="inlineStr">
        <is>
          <t>ISIC 77T82</t>
        </is>
      </c>
      <c r="D1136" t="inlineStr">
        <is>
          <t>ISIC 69T82</t>
        </is>
      </c>
      <c r="E1136" t="n">
        <v>0</v>
      </c>
      <c r="F1136" t="inlineStr">
        <is>
          <t>semantic override</t>
        </is>
      </c>
      <c r="G1136" t="n">
        <v>0.2701780552085875</v>
      </c>
    </row>
    <row r="1137">
      <c r="A1137" t="inlineStr">
        <is>
          <t>SoESCaOMCbIC-variableOM.csv</t>
        </is>
      </c>
      <c r="B1137" t="inlineStr">
        <is>
          <t>solar thermal</t>
        </is>
      </c>
      <c r="C1137" t="inlineStr">
        <is>
          <t>ISIC 90T93</t>
        </is>
      </c>
      <c r="D1137" t="inlineStr">
        <is>
          <t>ISIC 90T96</t>
        </is>
      </c>
      <c r="E1137" t="n">
        <v>0.4216249514352275</v>
      </c>
      <c r="F1137" t="inlineStr">
        <is>
          <t>BEA 2024 output share (default)</t>
        </is>
      </c>
      <c r="G1137" t="n">
        <v>0.4216249514352275</v>
      </c>
    </row>
    <row r="1138">
      <c r="A1138" t="inlineStr">
        <is>
          <t>SoESCaOMCbIC-variableOM.csv</t>
        </is>
      </c>
      <c r="B1138" t="inlineStr">
        <is>
          <t>solar thermal</t>
        </is>
      </c>
      <c r="C1138" t="inlineStr">
        <is>
          <t>ISIC 94T96</t>
        </is>
      </c>
      <c r="D1138" t="inlineStr">
        <is>
          <t>ISIC 90T96</t>
        </is>
      </c>
      <c r="E1138" t="n">
        <v>0.5783750485647725</v>
      </c>
      <c r="F1138" t="inlineStr">
        <is>
          <t>BEA 2024 output share (default)</t>
        </is>
      </c>
      <c r="G1138" t="n">
        <v>0.5783750485647725</v>
      </c>
    </row>
    <row r="1139">
      <c r="A1139" t="inlineStr">
        <is>
          <t>SoESCaOMCbIC-variableOM.csv</t>
        </is>
      </c>
      <c r="B1139" t="inlineStr">
        <is>
          <t>wind</t>
        </is>
      </c>
      <c r="C1139" t="inlineStr">
        <is>
          <t>ISIC 01</t>
        </is>
      </c>
      <c r="D1139" t="inlineStr">
        <is>
          <t>ISIC 01T03</t>
        </is>
      </c>
      <c r="E1139" t="n">
        <v>0.9429986826432329</v>
      </c>
      <c r="F1139" t="inlineStr">
        <is>
          <t>BEA 2024 output share (default)</t>
        </is>
      </c>
      <c r="G1139" t="n">
        <v>0.9429986826432329</v>
      </c>
    </row>
    <row r="1140">
      <c r="A1140" t="inlineStr">
        <is>
          <t>SoESCaOMCbIC-variableOM.csv</t>
        </is>
      </c>
      <c r="B1140" t="inlineStr">
        <is>
          <t>wind</t>
        </is>
      </c>
      <c r="C1140" t="inlineStr">
        <is>
          <t>ISIC 02</t>
        </is>
      </c>
      <c r="D1140" t="inlineStr">
        <is>
          <t>ISIC 01T03</t>
        </is>
      </c>
      <c r="E1140" t="n">
        <v>0.04176573136965662</v>
      </c>
      <c r="F1140" t="inlineStr">
        <is>
          <t>BEA 2024 output share (default)</t>
        </is>
      </c>
      <c r="G1140" t="n">
        <v>0.04176573136965662</v>
      </c>
    </row>
    <row r="1141">
      <c r="A1141" t="inlineStr">
        <is>
          <t>SoESCaOMCbIC-variableOM.csv</t>
        </is>
      </c>
      <c r="B1141" t="inlineStr">
        <is>
          <t>wind</t>
        </is>
      </c>
      <c r="C1141" t="inlineStr">
        <is>
          <t>ISIC 03</t>
        </is>
      </c>
      <c r="D1141" t="inlineStr">
        <is>
          <t>ISIC 01T03</t>
        </is>
      </c>
      <c r="E1141" t="n">
        <v>0.01523558598711041</v>
      </c>
      <c r="F1141" t="inlineStr">
        <is>
          <t>BEA 2024 output share (default)</t>
        </is>
      </c>
      <c r="G1141" t="n">
        <v>0.01523558598711041</v>
      </c>
    </row>
    <row r="1142">
      <c r="A1142" t="inlineStr">
        <is>
          <t>SoESCaOMCbIC-variableOM.csv</t>
        </is>
      </c>
      <c r="B1142" t="inlineStr">
        <is>
          <t>wind</t>
        </is>
      </c>
      <c r="C1142" t="inlineStr">
        <is>
          <t>ISIC 07</t>
        </is>
      </c>
      <c r="D1142" t="inlineStr">
        <is>
          <t>ISIC 07T08</t>
        </is>
      </c>
      <c r="E1142" t="n">
        <v>0.4327368836123752</v>
      </c>
      <c r="F1142" t="inlineStr">
        <is>
          <t>BEA 2024 output share (default)</t>
        </is>
      </c>
      <c r="G1142" t="n">
        <v>0.4327368836123752</v>
      </c>
    </row>
    <row r="1143">
      <c r="A1143" t="inlineStr">
        <is>
          <t>SoESCaOMCbIC-variableOM.csv</t>
        </is>
      </c>
      <c r="B1143" t="inlineStr">
        <is>
          <t>wind</t>
        </is>
      </c>
      <c r="C1143" t="inlineStr">
        <is>
          <t>ISIC 08</t>
        </is>
      </c>
      <c r="D1143" t="inlineStr">
        <is>
          <t>ISIC 07T08</t>
        </is>
      </c>
      <c r="E1143" t="n">
        <v>0.5672631163876248</v>
      </c>
      <c r="F1143" t="inlineStr">
        <is>
          <t>BEA 2024 output share (default)</t>
        </is>
      </c>
      <c r="G1143" t="n">
        <v>0.5672631163876248</v>
      </c>
    </row>
    <row r="1144">
      <c r="A1144" t="inlineStr">
        <is>
          <t>SoESCaOMCbIC-variableOM.csv</t>
        </is>
      </c>
      <c r="B1144" t="inlineStr">
        <is>
          <t>wind</t>
        </is>
      </c>
      <c r="C1144" t="inlineStr">
        <is>
          <t>ISIC 301</t>
        </is>
      </c>
      <c r="D1144" t="inlineStr">
        <is>
          <t>ISIC 30</t>
        </is>
      </c>
      <c r="E1144" t="n">
        <v>0.1171368722490322</v>
      </c>
      <c r="F1144" t="inlineStr">
        <is>
          <t>BEA 2024 output share (default)</t>
        </is>
      </c>
      <c r="G1144" t="n">
        <v>0.1171368722490322</v>
      </c>
    </row>
    <row r="1145">
      <c r="A1145" t="inlineStr">
        <is>
          <t>SoESCaOMCbIC-variableOM.csv</t>
        </is>
      </c>
      <c r="B1145" t="inlineStr">
        <is>
          <t>wind</t>
        </is>
      </c>
      <c r="C1145" t="inlineStr">
        <is>
          <t>ISIC 302T309</t>
        </is>
      </c>
      <c r="D1145" t="inlineStr">
        <is>
          <t>ISIC 30</t>
        </is>
      </c>
      <c r="E1145" t="n">
        <v>0.8828631277509678</v>
      </c>
      <c r="F1145" t="inlineStr">
        <is>
          <t>BEA 2024 output share (default)</t>
        </is>
      </c>
      <c r="G1145" t="n">
        <v>0.8828631277509678</v>
      </c>
    </row>
    <row r="1146">
      <c r="A1146" t="inlineStr">
        <is>
          <t>SoESCaOMCbIC-variableOM.csv</t>
        </is>
      </c>
      <c r="B1146" t="inlineStr">
        <is>
          <t>wind</t>
        </is>
      </c>
      <c r="C1146" t="inlineStr">
        <is>
          <t>ISIC 49</t>
        </is>
      </c>
      <c r="D1146" t="inlineStr">
        <is>
          <t>ISIC 49T53</t>
        </is>
      </c>
      <c r="E1146" t="n">
        <v>0.4781643011829615</v>
      </c>
      <c r="F1146" t="inlineStr">
        <is>
          <t>BEA 2024 output share (default)</t>
        </is>
      </c>
      <c r="G1146" t="n">
        <v>0.4781643011829615</v>
      </c>
    </row>
    <row r="1147">
      <c r="A1147" t="inlineStr">
        <is>
          <t>SoESCaOMCbIC-variableOM.csv</t>
        </is>
      </c>
      <c r="B1147" t="inlineStr">
        <is>
          <t>wind</t>
        </is>
      </c>
      <c r="C1147" t="inlineStr">
        <is>
          <t>ISIC 50</t>
        </is>
      </c>
      <c r="D1147" t="inlineStr">
        <is>
          <t>ISIC 49T53</t>
        </is>
      </c>
      <c r="E1147" t="n">
        <v>0.04258639396614965</v>
      </c>
      <c r="F1147" t="inlineStr">
        <is>
          <t>BEA 2024 output share (default)</t>
        </is>
      </c>
      <c r="G1147" t="n">
        <v>0.04258639396614965</v>
      </c>
    </row>
    <row r="1148">
      <c r="A1148" t="inlineStr">
        <is>
          <t>SoESCaOMCbIC-variableOM.csv</t>
        </is>
      </c>
      <c r="B1148" t="inlineStr">
        <is>
          <t>wind</t>
        </is>
      </c>
      <c r="C1148" t="inlineStr">
        <is>
          <t>ISIC 51</t>
        </is>
      </c>
      <c r="D1148" t="inlineStr">
        <is>
          <t>ISIC 49T53</t>
        </is>
      </c>
      <c r="E1148" t="n">
        <v>0.1808024634415262</v>
      </c>
      <c r="F1148" t="inlineStr">
        <is>
          <t>BEA 2024 output share (default)</t>
        </is>
      </c>
      <c r="G1148" t="n">
        <v>0.1808024634415262</v>
      </c>
    </row>
    <row r="1149">
      <c r="A1149" t="inlineStr">
        <is>
          <t>SoESCaOMCbIC-variableOM.csv</t>
        </is>
      </c>
      <c r="B1149" t="inlineStr">
        <is>
          <t>wind</t>
        </is>
      </c>
      <c r="C1149" t="inlineStr">
        <is>
          <t>ISIC 52</t>
        </is>
      </c>
      <c r="D1149" t="inlineStr">
        <is>
          <t>ISIC 49T53</t>
        </is>
      </c>
      <c r="E1149" t="n">
        <v>0.2139060571318126</v>
      </c>
      <c r="F1149" t="inlineStr">
        <is>
          <t>BEA 2024 output share (default)</t>
        </is>
      </c>
      <c r="G1149" t="n">
        <v>0.2139060571318126</v>
      </c>
    </row>
    <row r="1150">
      <c r="A1150" t="inlineStr">
        <is>
          <t>SoESCaOMCbIC-variableOM.csv</t>
        </is>
      </c>
      <c r="B1150" t="inlineStr">
        <is>
          <t>wind</t>
        </is>
      </c>
      <c r="C1150" t="inlineStr">
        <is>
          <t>ISIC 53</t>
        </is>
      </c>
      <c r="D1150" t="inlineStr">
        <is>
          <t>ISIC 49T53</t>
        </is>
      </c>
      <c r="E1150" t="n">
        <v>0.08454078427755009</v>
      </c>
      <c r="F1150" t="inlineStr">
        <is>
          <t>BEA 2024 output share (default)</t>
        </is>
      </c>
      <c r="G1150" t="n">
        <v>0.08454078427755009</v>
      </c>
    </row>
    <row r="1151">
      <c r="A1151" t="inlineStr">
        <is>
          <t>SoESCaOMCbIC-variableOM.csv</t>
        </is>
      </c>
      <c r="B1151" t="inlineStr">
        <is>
          <t>wind</t>
        </is>
      </c>
      <c r="C1151" t="inlineStr">
        <is>
          <t>ISIC 69T75</t>
        </is>
      </c>
      <c r="D1151" t="inlineStr">
        <is>
          <t>ISIC 69T82</t>
        </is>
      </c>
      <c r="E1151" t="n">
        <v>1</v>
      </c>
      <c r="F1151" t="inlineStr">
        <is>
          <t>semantic override</t>
        </is>
      </c>
      <c r="G1151" t="n">
        <v>0.7298219447914125</v>
      </c>
    </row>
    <row r="1152">
      <c r="A1152" t="inlineStr">
        <is>
          <t>SoESCaOMCbIC-variableOM.csv</t>
        </is>
      </c>
      <c r="B1152" t="inlineStr">
        <is>
          <t>wind</t>
        </is>
      </c>
      <c r="C1152" t="inlineStr">
        <is>
          <t>ISIC 77T82</t>
        </is>
      </c>
      <c r="D1152" t="inlineStr">
        <is>
          <t>ISIC 69T82</t>
        </is>
      </c>
      <c r="E1152" t="n">
        <v>0</v>
      </c>
      <c r="F1152" t="inlineStr">
        <is>
          <t>semantic override</t>
        </is>
      </c>
      <c r="G1152" t="n">
        <v>0.2701780552085875</v>
      </c>
    </row>
    <row r="1153">
      <c r="A1153" t="inlineStr">
        <is>
          <t>SoESCaOMCbIC-variableOM.csv</t>
        </is>
      </c>
      <c r="B1153" t="inlineStr">
        <is>
          <t>wind</t>
        </is>
      </c>
      <c r="C1153" t="inlineStr">
        <is>
          <t>ISIC 90T93</t>
        </is>
      </c>
      <c r="D1153" t="inlineStr">
        <is>
          <t>ISIC 90T96</t>
        </is>
      </c>
      <c r="E1153" t="n">
        <v>0.4216249514352275</v>
      </c>
      <c r="F1153" t="inlineStr">
        <is>
          <t>BEA 2024 output share (default)</t>
        </is>
      </c>
      <c r="G1153" t="n">
        <v>0.4216249514352275</v>
      </c>
    </row>
    <row r="1154">
      <c r="A1154" t="inlineStr">
        <is>
          <t>SoESCaOMCbIC-variableOM.csv</t>
        </is>
      </c>
      <c r="B1154" t="inlineStr">
        <is>
          <t>wind</t>
        </is>
      </c>
      <c r="C1154" t="inlineStr">
        <is>
          <t>ISIC 94T96</t>
        </is>
      </c>
      <c r="D1154" t="inlineStr">
        <is>
          <t>ISIC 90T96</t>
        </is>
      </c>
      <c r="E1154" t="n">
        <v>0.5783750485647725</v>
      </c>
      <c r="F1154" t="inlineStr">
        <is>
          <t>BEA 2024 output share (default)</t>
        </is>
      </c>
      <c r="G1154" t="n">
        <v>0.5783750485647725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"/>
  <sheetViews>
    <sheetView zoomScaleNormal="100" workbookViewId="0">
      <selection activeCell="A1" sqref="A1:B1048576"/>
    </sheetView>
  </sheetViews>
  <sheetFormatPr baseColWidth="8" defaultRowHeight="14.5"/>
  <cols>
    <col width="77.453125" bestFit="1" customWidth="1" min="1" max="1"/>
    <col width="12.1796875" bestFit="1" customWidth="1" min="2" max="2"/>
    <col width="20.453125" bestFit="1" customWidth="1" min="3" max="3"/>
    <col width="17.7265625" bestFit="1" customWidth="1" min="4" max="4"/>
    <col width="17.7265625" customWidth="1" min="5" max="5"/>
    <col width="14" bestFit="1" customWidth="1" min="6" max="6"/>
    <col width="21.54296875" bestFit="1" customWidth="1" min="7" max="7"/>
    <col width="12" bestFit="1" customWidth="1" min="8" max="9"/>
  </cols>
  <sheetData>
    <row r="1" customFormat="1" s="71">
      <c r="A1" s="71" t="inlineStr">
        <is>
          <t>OECD Code</t>
        </is>
      </c>
      <c r="B1" s="71" t="inlineStr">
        <is>
          <t>ISIC Code</t>
        </is>
      </c>
    </row>
    <row r="2">
      <c r="A2" t="inlineStr">
        <is>
          <t>D01T03: Agriculture, forestry and fishing</t>
        </is>
      </c>
      <c r="B2" t="inlineStr">
        <is>
          <t>ISIC 01T03</t>
        </is>
      </c>
    </row>
    <row r="3">
      <c r="A3" t="inlineStr">
        <is>
          <t>D05: Coal mining</t>
        </is>
      </c>
      <c r="B3" t="inlineStr">
        <is>
          <t>ISIC 05</t>
        </is>
      </c>
    </row>
    <row r="4">
      <c r="A4" t="inlineStr">
        <is>
          <t>D06: Oil and gas extraction</t>
        </is>
      </c>
      <c r="B4" t="inlineStr">
        <is>
          <t>ISIC 06</t>
        </is>
      </c>
    </row>
    <row r="5">
      <c r="A5" t="inlineStr">
        <is>
          <t>D07T08: Mining and quarrying of uranium and non-energy-producing products</t>
        </is>
      </c>
      <c r="B5" t="inlineStr">
        <is>
          <t>ISIC 07T08</t>
        </is>
      </c>
    </row>
    <row r="6">
      <c r="A6" t="inlineStr">
        <is>
          <t>D09: Mining support service activities</t>
        </is>
      </c>
      <c r="B6" t="inlineStr">
        <is>
          <t>ISIC 09</t>
        </is>
      </c>
    </row>
    <row r="7">
      <c r="A7" t="inlineStr">
        <is>
          <t>D10T12: Food products, beverages and tobacco</t>
        </is>
      </c>
      <c r="B7" t="inlineStr">
        <is>
          <t>ISIC 10T12</t>
        </is>
      </c>
    </row>
    <row r="8">
      <c r="A8" t="inlineStr">
        <is>
          <t>D13T15: Textiles, wearing apparel, leather and related products</t>
        </is>
      </c>
      <c r="B8" t="inlineStr">
        <is>
          <t>ISIC 13T15</t>
        </is>
      </c>
    </row>
    <row r="9">
      <c r="A9" t="inlineStr">
        <is>
          <t>D16: Wood and products of wood and cork</t>
        </is>
      </c>
      <c r="B9" t="inlineStr">
        <is>
          <t>ISIC 16</t>
        </is>
      </c>
    </row>
    <row r="10">
      <c r="A10" t="inlineStr">
        <is>
          <t>D17T18: Paper products and printing</t>
        </is>
      </c>
      <c r="B10" t="inlineStr">
        <is>
          <t>ISIC 17T18</t>
        </is>
      </c>
    </row>
    <row r="11">
      <c r="A11" t="inlineStr">
        <is>
          <t>D19: Coke and refined petroleum products</t>
        </is>
      </c>
      <c r="B11" t="inlineStr">
        <is>
          <t>ISIC 19</t>
        </is>
      </c>
    </row>
    <row r="12">
      <c r="A12" t="inlineStr">
        <is>
          <t>D20: Chemicals</t>
        </is>
      </c>
      <c r="B12" t="inlineStr">
        <is>
          <t>ISIC 20</t>
        </is>
      </c>
    </row>
    <row r="13">
      <c r="A13" t="inlineStr">
        <is>
          <t>D21: Pharmaceuticals</t>
        </is>
      </c>
      <c r="B13" t="inlineStr">
        <is>
          <t>ISIC 21</t>
        </is>
      </c>
    </row>
    <row r="14">
      <c r="A14" t="inlineStr">
        <is>
          <t>D22: Rubber and plastic products</t>
        </is>
      </c>
      <c r="B14" t="inlineStr">
        <is>
          <t>ISIC 22</t>
        </is>
      </c>
    </row>
    <row r="15">
      <c r="A15" t="inlineStr">
        <is>
          <t>D231: Glass</t>
        </is>
      </c>
      <c r="B15" t="inlineStr">
        <is>
          <t>ISIC 231</t>
        </is>
      </c>
    </row>
    <row r="16">
      <c r="A16" t="inlineStr">
        <is>
          <t>D239: Cement and other nometallic minerals</t>
        </is>
      </c>
      <c r="B16" t="inlineStr">
        <is>
          <t>ISIC 239</t>
        </is>
      </c>
    </row>
    <row r="17">
      <c r="A17" t="inlineStr">
        <is>
          <t>D241: Iron and steel</t>
        </is>
      </c>
      <c r="B17" t="inlineStr">
        <is>
          <t>ISIC 241</t>
        </is>
      </c>
    </row>
    <row r="18">
      <c r="A18" t="inlineStr">
        <is>
          <t>D242: Other metals</t>
        </is>
      </c>
      <c r="B18" t="inlineStr">
        <is>
          <t>ISIC 242</t>
        </is>
      </c>
    </row>
    <row r="19">
      <c r="A19" t="inlineStr">
        <is>
          <t>D25: Fabricated metal products</t>
        </is>
      </c>
      <c r="B19" t="inlineStr">
        <is>
          <t>ISIC 25</t>
        </is>
      </c>
    </row>
    <row r="20">
      <c r="A20" t="inlineStr">
        <is>
          <t>D26: Computer, electronic and optical products</t>
        </is>
      </c>
      <c r="B20" t="inlineStr">
        <is>
          <t>ISIC 26</t>
        </is>
      </c>
    </row>
    <row r="21">
      <c r="A21" t="inlineStr">
        <is>
          <t>D27: Electrical equipment</t>
        </is>
      </c>
      <c r="B21" t="inlineStr">
        <is>
          <t>ISIC 27</t>
        </is>
      </c>
    </row>
    <row r="22">
      <c r="A22" t="inlineStr">
        <is>
          <t>D28: Machinery and equipment, nec</t>
        </is>
      </c>
      <c r="B22" t="inlineStr">
        <is>
          <t>ISIC 28</t>
        </is>
      </c>
    </row>
    <row r="23">
      <c r="A23" t="inlineStr">
        <is>
          <t>D29: Motor vehicles, trailers and semi-trailers</t>
        </is>
      </c>
      <c r="B23" t="inlineStr">
        <is>
          <t>ISIC 29</t>
        </is>
      </c>
    </row>
    <row r="24">
      <c r="A24" t="inlineStr">
        <is>
          <t>D30: Other transport equipment</t>
        </is>
      </c>
      <c r="B24" t="inlineStr">
        <is>
          <t>ISIC 30</t>
        </is>
      </c>
    </row>
    <row r="25">
      <c r="A25" t="inlineStr">
        <is>
          <t>D31T33: Other manufacturing; repair and installation of machinery and equipment</t>
        </is>
      </c>
      <c r="B25" t="inlineStr">
        <is>
          <t>ISIC 31T33</t>
        </is>
      </c>
    </row>
    <row r="26">
      <c r="A26" t="inlineStr">
        <is>
          <t>D351: Electricity generation and distribution</t>
        </is>
      </c>
      <c r="B26" t="inlineStr">
        <is>
          <t>ISIC 351</t>
        </is>
      </c>
    </row>
    <row r="27">
      <c r="A27" t="inlineStr">
        <is>
          <t>D352T353: Energy pipelines and gas processing</t>
        </is>
      </c>
      <c r="B27" t="inlineStr">
        <is>
          <t>ISIC 352T353</t>
        </is>
      </c>
    </row>
    <row r="28">
      <c r="A28" t="inlineStr">
        <is>
          <t>D36T39: Water and waste</t>
        </is>
      </c>
      <c r="B28" t="inlineStr">
        <is>
          <t>ISIC 36T39</t>
        </is>
      </c>
    </row>
    <row r="29">
      <c r="A29" t="inlineStr">
        <is>
          <t>D41T43: Construction</t>
        </is>
      </c>
      <c r="B29" t="inlineStr">
        <is>
          <t>ISIC 41T43</t>
        </is>
      </c>
    </row>
    <row r="30">
      <c r="A30" t="inlineStr">
        <is>
          <t>D45T47: Wholesale and retail trade; repair of motor vehicles</t>
        </is>
      </c>
      <c r="B30" t="inlineStr">
        <is>
          <t>ISIC 45T47</t>
        </is>
      </c>
    </row>
    <row r="31">
      <c r="A31" t="inlineStr">
        <is>
          <t>D49T53: Transportation and storage</t>
        </is>
      </c>
      <c r="B31" t="inlineStr">
        <is>
          <t>ISIC 49T53</t>
        </is>
      </c>
    </row>
    <row r="32">
      <c r="A32" t="inlineStr">
        <is>
          <t>D55T56: Accomodation and food services</t>
        </is>
      </c>
      <c r="B32" t="inlineStr">
        <is>
          <t>ISIC 55T56</t>
        </is>
      </c>
    </row>
    <row r="33">
      <c r="A33" t="inlineStr">
        <is>
          <t>D58T60: Publishing, audiovisual and broadcasting activities</t>
        </is>
      </c>
      <c r="B33" t="inlineStr">
        <is>
          <t>ISIC 58T60</t>
        </is>
      </c>
    </row>
    <row r="34">
      <c r="A34" t="inlineStr">
        <is>
          <t>D61: Telecommunications</t>
        </is>
      </c>
      <c r="B34" t="inlineStr">
        <is>
          <t>ISIC 61</t>
        </is>
      </c>
    </row>
    <row r="35">
      <c r="A35" t="inlineStr">
        <is>
          <t>D62T63: IT and other information services</t>
        </is>
      </c>
      <c r="B35" t="inlineStr">
        <is>
          <t>ISIC 62T63</t>
        </is>
      </c>
    </row>
    <row r="36">
      <c r="A36" t="inlineStr">
        <is>
          <t>D64T66: Financial and insurance activities</t>
        </is>
      </c>
      <c r="B36" t="inlineStr">
        <is>
          <t>ISIC 64T66</t>
        </is>
      </c>
    </row>
    <row r="37">
      <c r="A37" t="inlineStr">
        <is>
          <t>D68: Real estate activities</t>
        </is>
      </c>
      <c r="B37" t="inlineStr">
        <is>
          <t>ISIC 68</t>
        </is>
      </c>
    </row>
    <row r="38">
      <c r="A38" t="inlineStr">
        <is>
          <t>D69T82: Other business sector services</t>
        </is>
      </c>
      <c r="B38" t="inlineStr">
        <is>
          <t>ISIC 69T82</t>
        </is>
      </c>
    </row>
    <row r="39">
      <c r="A39" t="inlineStr">
        <is>
          <t>D84: Public admin. and defence; compulsory social security</t>
        </is>
      </c>
      <c r="B39" t="inlineStr">
        <is>
          <t>ISIC 84</t>
        </is>
      </c>
    </row>
    <row r="40">
      <c r="A40" t="inlineStr">
        <is>
          <t>D85: Education</t>
        </is>
      </c>
      <c r="B40" t="inlineStr">
        <is>
          <t>ISIC 85</t>
        </is>
      </c>
    </row>
    <row r="41">
      <c r="A41" t="inlineStr">
        <is>
          <t>D86T88: Human health and social work</t>
        </is>
      </c>
      <c r="B41" t="inlineStr">
        <is>
          <t>ISIC 86T88</t>
        </is>
      </c>
    </row>
    <row r="42">
      <c r="A42" t="inlineStr">
        <is>
          <t>D90T96: Arts, entertainment, recreation and other service activities</t>
        </is>
      </c>
      <c r="B42" t="inlineStr">
        <is>
          <t>ISIC 90T96</t>
        </is>
      </c>
    </row>
    <row r="43">
      <c r="A43" t="inlineStr">
        <is>
          <t>D97T98: Private households with employed persons</t>
        </is>
      </c>
      <c r="B43" t="inlineStr">
        <is>
          <t>ISIC 97T98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81"/>
  <sheetViews>
    <sheetView topLeftCell="A249" zoomScale="85" zoomScaleNormal="85" workbookViewId="0">
      <selection activeCell="B114" sqref="B114"/>
    </sheetView>
  </sheetViews>
  <sheetFormatPr baseColWidth="8" defaultRowHeight="14.5"/>
  <cols>
    <col width="65.7265625" bestFit="1" customWidth="1" min="1" max="1"/>
    <col width="11.54296875" bestFit="1" customWidth="1" min="2" max="2"/>
    <col width="46.1796875" customWidth="1" min="3" max="3"/>
    <col width="23.54296875" bestFit="1" customWidth="1" min="4" max="4"/>
    <col width="48.54296875" customWidth="1" min="5" max="5"/>
    <col width="60.453125" customWidth="1" min="6" max="6"/>
  </cols>
  <sheetData>
    <row r="1" ht="18.5" customHeight="1">
      <c r="A1" s="135" t="inlineStr">
        <is>
          <t>Solar PV</t>
        </is>
      </c>
      <c r="B1" s="140" t="n"/>
      <c r="C1" s="140" t="n"/>
      <c r="D1" s="140" t="n"/>
      <c r="E1" s="140" t="n"/>
      <c r="F1" s="141" t="n"/>
    </row>
    <row r="2">
      <c r="A2" s="1" t="inlineStr">
        <is>
          <t>Capital Costs</t>
        </is>
      </c>
      <c r="B2" s="2" t="inlineStr">
        <is>
          <t xml:space="preserve">Percent </t>
        </is>
      </c>
      <c r="C2" s="2" t="inlineStr">
        <is>
          <t>OECD Mapping</t>
        </is>
      </c>
      <c r="D2" s="2" t="inlineStr">
        <is>
          <t>ISIC Mapping</t>
        </is>
      </c>
      <c r="E2" s="2" t="inlineStr">
        <is>
          <t>Notes</t>
        </is>
      </c>
      <c r="F2" s="4" t="inlineStr">
        <is>
          <t>Sources</t>
        </is>
      </c>
    </row>
    <row r="3">
      <c r="A3" s="5" t="inlineStr">
        <is>
          <t>Construction Costs</t>
        </is>
      </c>
      <c r="B3" s="2" t="inlineStr">
        <is>
          <t>of Cost</t>
        </is>
      </c>
      <c r="C3" s="21" t="n"/>
      <c r="D3" s="21" t="n"/>
      <c r="E3" s="21" t="n"/>
      <c r="F3" s="6" t="n"/>
    </row>
    <row r="4">
      <c r="A4" s="7" t="inlineStr">
        <is>
          <t>Module</t>
        </is>
      </c>
      <c r="B4" s="117">
        <f>graphs_nrel!U5</f>
        <v/>
      </c>
      <c r="C4" s="74">
        <f>'OECD Mapping'!A20</f>
        <v/>
      </c>
      <c r="D4" s="74">
        <f>'OECD Mapping'!B20</f>
        <v/>
      </c>
      <c r="E4" s="90" t="inlineStr">
        <is>
          <t>Mapping based on I-JEDI and judgment</t>
        </is>
      </c>
      <c r="F4" s="16" t="inlineStr">
        <is>
          <t>https://www.nrel.gov/docs/fy19osti/72399.pdf, Figure 28</t>
        </is>
      </c>
    </row>
    <row r="5">
      <c r="A5" s="7" t="inlineStr">
        <is>
          <t>Inverter</t>
        </is>
      </c>
      <c r="B5" s="117">
        <f>graphs_nrel!U6</f>
        <v/>
      </c>
      <c r="C5" s="75">
        <f>'OECD Mapping'!A21</f>
        <v/>
      </c>
      <c r="D5" s="75">
        <f>'OECD Mapping'!B21</f>
        <v/>
      </c>
      <c r="E5" s="90" t="inlineStr">
        <is>
          <t>Mapping based on I-JEDI and judgment</t>
        </is>
      </c>
      <c r="F5" s="16" t="inlineStr">
        <is>
          <t>https://www.nrel.gov/docs/fy19osti/72399.pdf, Figure 28</t>
        </is>
      </c>
    </row>
    <row r="6">
      <c r="A6" s="7" t="inlineStr">
        <is>
          <t>Electrical BOS</t>
        </is>
      </c>
      <c r="B6" s="117">
        <f>graphs_nrel!U7</f>
        <v/>
      </c>
      <c r="C6" s="74">
        <f>'OECD Mapping'!A21</f>
        <v/>
      </c>
      <c r="D6" s="74">
        <f>'OECD Mapping'!B21</f>
        <v/>
      </c>
      <c r="E6" s="90" t="inlineStr">
        <is>
          <t>Mapping based on I-JEDI and judgment</t>
        </is>
      </c>
      <c r="F6" s="16" t="inlineStr">
        <is>
          <t>https://www.nrel.gov/docs/fy19osti/72399.pdf, Figure 28</t>
        </is>
      </c>
    </row>
    <row r="7">
      <c r="A7" s="7" t="inlineStr">
        <is>
          <t>Structural BOS</t>
        </is>
      </c>
      <c r="B7" s="117">
        <f>graphs_nrel!U8</f>
        <v/>
      </c>
      <c r="C7" s="74">
        <f>'OECD Mapping'!A29</f>
        <v/>
      </c>
      <c r="D7" s="74">
        <f>'OECD Mapping'!B29</f>
        <v/>
      </c>
      <c r="E7" s="90" t="inlineStr">
        <is>
          <t>Mapping based on I-JEDI and judgment</t>
        </is>
      </c>
      <c r="F7" s="16" t="inlineStr">
        <is>
          <t>https://www.nrel.gov/docs/fy19osti/72399.pdf, Figure 28</t>
        </is>
      </c>
    </row>
    <row r="8">
      <c r="A8" s="7" t="inlineStr">
        <is>
          <t>Install Labor and Equipment</t>
        </is>
      </c>
      <c r="B8" s="117">
        <f>graphs_nrel!U9</f>
        <v/>
      </c>
      <c r="C8" s="74">
        <f>'OECD Mapping'!A29</f>
        <v/>
      </c>
      <c r="D8" s="74">
        <f>'OECD Mapping'!B29</f>
        <v/>
      </c>
      <c r="E8" s="90" t="inlineStr">
        <is>
          <t>Mapping based on I-JEDI and judgment</t>
        </is>
      </c>
      <c r="F8" s="16" t="inlineStr">
        <is>
          <t>https://www.nrel.gov/docs/fy19osti/72399.pdf, Figure 28</t>
        </is>
      </c>
    </row>
    <row r="9">
      <c r="A9" s="7" t="inlineStr">
        <is>
          <t>EPC Overhead</t>
        </is>
      </c>
      <c r="B9" s="117">
        <f>graphs_nrel!U10</f>
        <v/>
      </c>
      <c r="C9" s="74">
        <f>'OECD Mapping'!A38</f>
        <v/>
      </c>
      <c r="D9" s="74">
        <f>'OECD Mapping'!B38</f>
        <v/>
      </c>
      <c r="E9" s="90" t="inlineStr">
        <is>
          <t>Mapping based on I-JEDI and judgment</t>
        </is>
      </c>
      <c r="F9" s="16" t="inlineStr">
        <is>
          <t>https://www.nrel.gov/docs/fy19osti/72399.pdf, Figure 28</t>
        </is>
      </c>
    </row>
    <row r="10">
      <c r="A10" s="7" t="inlineStr">
        <is>
          <t>Sales Tax</t>
        </is>
      </c>
      <c r="B10" s="117">
        <f>graphs_nrel!U11</f>
        <v/>
      </c>
      <c r="C10" s="74">
        <f>'OECD Mapping'!A39</f>
        <v/>
      </c>
      <c r="D10" s="74">
        <f>'OECD Mapping'!B39</f>
        <v/>
      </c>
      <c r="E10" s="90" t="inlineStr">
        <is>
          <t>Mapping based on I-JEDI and judgment</t>
        </is>
      </c>
      <c r="F10" s="16" t="inlineStr">
        <is>
          <t>https://www.nrel.gov/docs/fy19osti/72399.pdf, Figure 28</t>
        </is>
      </c>
    </row>
    <row r="11">
      <c r="A11" s="7" t="inlineStr">
        <is>
          <t>Developer Overhead</t>
        </is>
      </c>
      <c r="B11" s="117">
        <f>graphs_nrel!U12</f>
        <v/>
      </c>
      <c r="C11" s="74">
        <f>'OECD Mapping'!A38</f>
        <v/>
      </c>
      <c r="D11" s="74">
        <f>'OECD Mapping'!B38</f>
        <v/>
      </c>
      <c r="E11" s="90" t="inlineStr">
        <is>
          <t>Mapping based on I-JEDI and judgment</t>
        </is>
      </c>
      <c r="F11" s="16" t="inlineStr">
        <is>
          <t>https://www.nrel.gov/docs/fy19osti/72399.pdf, Figure 28</t>
        </is>
      </c>
    </row>
    <row r="12">
      <c r="A12" s="7" t="inlineStr">
        <is>
          <t>Contingency</t>
        </is>
      </c>
      <c r="B12" s="117">
        <f>graphs_nrel!U13</f>
        <v/>
      </c>
      <c r="C12" s="74">
        <f>'OECD Mapping'!A38</f>
        <v/>
      </c>
      <c r="D12" s="74">
        <f>'OECD Mapping'!B38</f>
        <v/>
      </c>
      <c r="E12" s="90" t="inlineStr">
        <is>
          <t>Mapping based on I-JEDI and judgment</t>
        </is>
      </c>
      <c r="F12" s="16" t="inlineStr">
        <is>
          <t>https://www.nrel.gov/docs/fy19osti/72399.pdf, Figure 28</t>
        </is>
      </c>
    </row>
    <row r="13" ht="15" customHeight="1" thickBot="1">
      <c r="A13" s="57" t="inlineStr">
        <is>
          <t>EPC/Developer Net Profit</t>
        </is>
      </c>
      <c r="B13" s="117">
        <f>graphs_nrel!U14</f>
        <v/>
      </c>
      <c r="C13" s="76">
        <f>'OECD Mapping'!A38</f>
        <v/>
      </c>
      <c r="D13" s="76">
        <f>'OECD Mapping'!B38</f>
        <v/>
      </c>
      <c r="E13" s="95" t="inlineStr">
        <is>
          <t>Mapping based on I-JEDI and judgment</t>
        </is>
      </c>
      <c r="F13" s="35" t="inlineStr">
        <is>
          <t>https://www.nrel.gov/docs/fy19osti/72399.pdf, Figure 28</t>
        </is>
      </c>
    </row>
    <row r="14" customFormat="1" s="88">
      <c r="A14" s="11" t="inlineStr">
        <is>
          <t>Fixed O&amp;M Costs</t>
        </is>
      </c>
      <c r="B14" s="118" t="n"/>
      <c r="C14" s="13" t="n"/>
      <c r="D14" s="13" t="n"/>
      <c r="E14" s="13" t="n"/>
      <c r="F14" s="14" t="n"/>
    </row>
    <row r="15">
      <c r="A15" s="7" t="inlineStr">
        <is>
          <t>Maintenance and repair services</t>
        </is>
      </c>
      <c r="B15" s="119">
        <f>graphs_nrel!R23</f>
        <v/>
      </c>
      <c r="C15" s="8">
        <f>'OECD Mapping'!A29</f>
        <v/>
      </c>
      <c r="D15" s="8">
        <f>'OECD Mapping'!B29</f>
        <v/>
      </c>
      <c r="E15" s="90" t="inlineStr">
        <is>
          <t>Mapping based on I-JEDI and judgment</t>
        </is>
      </c>
      <c r="F15" s="16" t="inlineStr">
        <is>
          <t>https://www.nrel.gov/analysis/jedi/international.html</t>
        </is>
      </c>
    </row>
    <row r="16" ht="15" customFormat="1" customHeight="1" s="87" thickBot="1">
      <c r="A16" s="17" t="inlineStr">
        <is>
          <t>Repair parts</t>
        </is>
      </c>
      <c r="B16" s="119">
        <f>graphs_nrel!R24</f>
        <v/>
      </c>
      <c r="C16" s="9">
        <f>'OECD Mapping'!A20</f>
        <v/>
      </c>
      <c r="D16" s="9">
        <f>'OECD Mapping'!B20</f>
        <v/>
      </c>
      <c r="E16" s="94" t="inlineStr">
        <is>
          <t>Mapping based on I-JEDI and judgment</t>
        </is>
      </c>
      <c r="F16" s="19" t="inlineStr">
        <is>
          <t>https://www.nrel.gov/analysis/jedi/international.html</t>
        </is>
      </c>
    </row>
    <row r="17" ht="15" customHeight="1" thickBot="1"/>
    <row r="18" ht="19" customHeight="1" thickBot="1">
      <c r="A18" s="131" t="inlineStr">
        <is>
          <t>Onshore Wind</t>
        </is>
      </c>
      <c r="B18" s="88" t="n"/>
      <c r="C18" s="88" t="n"/>
      <c r="D18" s="88" t="n"/>
      <c r="E18" s="88" t="n"/>
      <c r="F18" s="142" t="n"/>
    </row>
    <row r="19">
      <c r="A19" s="92" t="inlineStr">
        <is>
          <t>Capital Costs</t>
        </is>
      </c>
      <c r="B19" s="54" t="inlineStr">
        <is>
          <t xml:space="preserve">Percent </t>
        </is>
      </c>
      <c r="C19" s="54" t="inlineStr">
        <is>
          <t>I-O Mapping</t>
        </is>
      </c>
      <c r="D19" s="54" t="inlineStr">
        <is>
          <t>ISIC Mapping</t>
        </is>
      </c>
      <c r="E19" s="54" t="inlineStr">
        <is>
          <t>Notes</t>
        </is>
      </c>
      <c r="F19" s="82" t="inlineStr">
        <is>
          <t>Sources</t>
        </is>
      </c>
    </row>
    <row r="20">
      <c r="A20" s="5" t="inlineStr">
        <is>
          <t>Construction Costs</t>
        </is>
      </c>
      <c r="B20" s="2" t="inlineStr">
        <is>
          <t>of Cost</t>
        </is>
      </c>
      <c r="C20" s="21" t="n"/>
      <c r="D20" s="21" t="n"/>
      <c r="E20" s="21" t="n"/>
      <c r="F20" s="6" t="n"/>
    </row>
    <row r="21">
      <c r="A21" s="20" t="inlineStr">
        <is>
          <t>Equipment Costs</t>
        </is>
      </c>
      <c r="B21" s="111" t="n"/>
      <c r="C21" s="21" t="n"/>
      <c r="D21" s="21" t="n"/>
      <c r="E21" s="90" t="n"/>
      <c r="F21" s="56" t="n"/>
    </row>
    <row r="22">
      <c r="A22" s="20" t="inlineStr">
        <is>
          <t xml:space="preserve">  Turbines and other equipment (excluding blades and towers)</t>
        </is>
      </c>
      <c r="B22" s="111" t="n">
        <v>0.4223873552967589</v>
      </c>
      <c r="C22" s="21">
        <f>'OECD Mapping'!A22</f>
        <v/>
      </c>
      <c r="D22" s="21">
        <f>'OECD Mapping'!B22</f>
        <v/>
      </c>
      <c r="E22" s="90" t="inlineStr">
        <is>
          <t>Mapping based on Land Based Wind JEDI and judgment</t>
        </is>
      </c>
      <c r="F22" s="16" t="n"/>
    </row>
    <row r="23">
      <c r="A23" s="20" t="inlineStr">
        <is>
          <t xml:space="preserve">  Blades</t>
        </is>
      </c>
      <c r="B23" s="111" t="n">
        <v>0.09888667180860573</v>
      </c>
      <c r="C23" s="21">
        <f>'OECD Mapping'!A22</f>
        <v/>
      </c>
      <c r="D23" s="21">
        <f>'OECD Mapping'!B22</f>
        <v/>
      </c>
      <c r="E23" s="90" t="inlineStr">
        <is>
          <t>Mapping based on Land Based Wind JEDI and judgment</t>
        </is>
      </c>
      <c r="F23" s="16" t="n"/>
    </row>
    <row r="24">
      <c r="A24" s="20" t="inlineStr">
        <is>
          <t xml:space="preserve">  Towers</t>
        </is>
      </c>
      <c r="B24" s="111" t="n">
        <v>0.1094816723595278</v>
      </c>
      <c r="C24" s="21">
        <f>'OECD Mapping'!A19</f>
        <v/>
      </c>
      <c r="D24" s="21">
        <f>'OECD Mapping'!B19</f>
        <v/>
      </c>
      <c r="E24" s="90" t="inlineStr">
        <is>
          <t>Mapping based on Land Based Wind JEDI and judgment</t>
        </is>
      </c>
      <c r="F24" s="16" t="n"/>
    </row>
    <row r="25">
      <c r="A25" s="20" t="inlineStr">
        <is>
          <t xml:space="preserve">  Transportation</t>
        </is>
      </c>
      <c r="B25" s="111" t="n">
        <v>0.07557767059657726</v>
      </c>
      <c r="C25" s="21">
        <f>'OECD Mapping'!A31</f>
        <v/>
      </c>
      <c r="D25" s="21">
        <f>'OECD Mapping'!B31</f>
        <v/>
      </c>
      <c r="E25" s="90" t="inlineStr">
        <is>
          <t>Mapping based on Land Based Wind JEDI and judgment</t>
        </is>
      </c>
      <c r="F25" s="16" t="n"/>
    </row>
    <row r="26">
      <c r="A26" s="20" t="inlineStr">
        <is>
          <t xml:space="preserve">  Equipment Total</t>
        </is>
      </c>
      <c r="B26" s="111" t="n">
        <v>0.7063333700614697</v>
      </c>
      <c r="C26" s="21" t="n"/>
      <c r="D26" s="21" t="n"/>
      <c r="E26" s="90" t="n"/>
      <c r="F26" s="16" t="n"/>
    </row>
    <row r="27">
      <c r="A27" s="20" t="inlineStr">
        <is>
          <t>Balance of Plant</t>
        </is>
      </c>
      <c r="B27" s="111" t="n"/>
      <c r="C27" s="21" t="n"/>
      <c r="D27" s="21" t="n"/>
      <c r="E27" s="90" t="n"/>
      <c r="F27" s="16" t="n"/>
    </row>
    <row r="28">
      <c r="A28" s="20" t="inlineStr">
        <is>
          <t xml:space="preserve">  Materials</t>
        </is>
      </c>
      <c r="B28" s="111" t="n"/>
      <c r="C28" s="21" t="n"/>
      <c r="D28" s="21" t="n"/>
      <c r="E28" s="90" t="n"/>
      <c r="F28" s="16" t="n"/>
    </row>
    <row r="29">
      <c r="A29" s="20" t="inlineStr">
        <is>
          <t xml:space="preserve">    Construction (concrete, rebar, equip, roads and site prep)</t>
        </is>
      </c>
      <c r="B29" s="111" t="n">
        <v>0.1020651733441418</v>
      </c>
      <c r="C29" s="21">
        <f>'OECD Mapping'!A29</f>
        <v/>
      </c>
      <c r="D29" s="21">
        <f>'OECD Mapping'!B29</f>
        <v/>
      </c>
      <c r="E29" s="90" t="inlineStr">
        <is>
          <t>Mapping based on Land Based Wind JEDI and judgment</t>
        </is>
      </c>
      <c r="F29" s="16" t="n"/>
    </row>
    <row r="30">
      <c r="A30" s="20" t="inlineStr">
        <is>
          <t xml:space="preserve">    Transformer</t>
        </is>
      </c>
      <c r="B30" s="111" t="n">
        <v>0.01154568708684262</v>
      </c>
      <c r="C30" s="21">
        <f>'OECD Mapping'!A22</f>
        <v/>
      </c>
      <c r="D30" s="21">
        <f>'OECD Mapping'!B22</f>
        <v/>
      </c>
      <c r="E30" s="90" t="inlineStr">
        <is>
          <t>Mapping based on Land Based Wind JEDI and judgment</t>
        </is>
      </c>
      <c r="F30" s="16" t="n"/>
    </row>
    <row r="31">
      <c r="A31" s="20" t="inlineStr">
        <is>
          <t xml:space="preserve">    Electrical (drop cable, wire, )</t>
        </is>
      </c>
      <c r="B31" s="111" t="n">
        <v>0.01216993434476407</v>
      </c>
      <c r="C31" s="21">
        <f>'OECD Mapping'!A21</f>
        <v/>
      </c>
      <c r="D31" s="21">
        <f>'OECD Mapping'!B21</f>
        <v/>
      </c>
      <c r="E31" s="90" t="inlineStr">
        <is>
          <t>Mapping based on Land Based Wind JEDI and judgment</t>
        </is>
      </c>
      <c r="F31" s="16" t="n"/>
    </row>
    <row r="32">
      <c r="A32" s="20" t="inlineStr">
        <is>
          <t xml:space="preserve">    HV line extension</t>
        </is>
      </c>
      <c r="B32" s="111" t="n">
        <v>0.02223040995445555</v>
      </c>
      <c r="C32" s="93">
        <f>'OECD Mapping'!A29</f>
        <v/>
      </c>
      <c r="D32" s="93">
        <f>'OECD Mapping'!B29</f>
        <v/>
      </c>
      <c r="E32" s="90" t="inlineStr">
        <is>
          <t>Mapping based on Land Based Wind JEDI and judgment</t>
        </is>
      </c>
      <c r="F32" s="6" t="n"/>
    </row>
    <row r="33">
      <c r="A33" s="20" t="inlineStr">
        <is>
          <t xml:space="preserve">    Materials Subtotal</t>
        </is>
      </c>
      <c r="B33" s="111" t="n">
        <v>0.1480112047302041</v>
      </c>
      <c r="C33" s="8" t="n"/>
      <c r="D33" s="8" t="n"/>
      <c r="E33" s="90" t="n"/>
      <c r="F33" s="16" t="n"/>
    </row>
    <row r="34">
      <c r="A34" s="20" t="inlineStr">
        <is>
          <t xml:space="preserve">  Labor</t>
        </is>
      </c>
      <c r="B34" s="111" t="n"/>
      <c r="C34" s="8" t="n"/>
      <c r="D34" s="8" t="n"/>
      <c r="E34" s="90" t="n"/>
      <c r="F34" s="16" t="n"/>
    </row>
    <row r="35">
      <c r="A35" s="20" t="inlineStr">
        <is>
          <t xml:space="preserve">    Foundation</t>
        </is>
      </c>
      <c r="B35" s="111" t="n">
        <v>0.007273306948177962</v>
      </c>
      <c r="C35" s="21">
        <f>'OECD Mapping'!A29</f>
        <v/>
      </c>
      <c r="D35" s="21">
        <f>'OECD Mapping'!B29</f>
        <v/>
      </c>
      <c r="E35" s="90" t="inlineStr">
        <is>
          <t>Mapping based on Land Based Wind JEDI and judgment</t>
        </is>
      </c>
      <c r="F35" s="6" t="n"/>
    </row>
    <row r="36">
      <c r="A36" s="20" t="inlineStr">
        <is>
          <t xml:space="preserve">    Erection</t>
        </is>
      </c>
      <c r="B36" s="111" t="n">
        <v>0.008238052356697197</v>
      </c>
      <c r="C36" s="21">
        <f>'OECD Mapping'!A29</f>
        <v/>
      </c>
      <c r="D36" s="21">
        <f>'OECD Mapping'!B29</f>
        <v/>
      </c>
      <c r="E36" s="90" t="inlineStr">
        <is>
          <t>Mapping based on Land Based Wind JEDI and judgment</t>
        </is>
      </c>
      <c r="F36" s="6" t="n"/>
    </row>
    <row r="37">
      <c r="A37" s="20" t="inlineStr">
        <is>
          <t xml:space="preserve">    Electrical</t>
        </is>
      </c>
      <c r="B37" s="111" t="n">
        <v>0.01200532362477911</v>
      </c>
      <c r="C37" s="21">
        <f>'OECD Mapping'!A29</f>
        <v/>
      </c>
      <c r="D37" s="21">
        <f>'OECD Mapping'!B29</f>
        <v/>
      </c>
      <c r="E37" s="90" t="inlineStr">
        <is>
          <t>Mapping based on Land Based Wind JEDI and judgment</t>
        </is>
      </c>
      <c r="F37" s="6" t="n"/>
    </row>
    <row r="38">
      <c r="A38" s="20" t="inlineStr">
        <is>
          <t xml:space="preserve">    Management/Supervision</t>
        </is>
      </c>
      <c r="B38" s="111" t="n">
        <v>0.006229584633178713</v>
      </c>
      <c r="C38" s="21">
        <f>'OECD Mapping'!A29</f>
        <v/>
      </c>
      <c r="D38" s="21">
        <f>'OECD Mapping'!B29</f>
        <v/>
      </c>
      <c r="E38" s="90" t="inlineStr">
        <is>
          <t>Mapping based on Land Based Wind JEDI and judgment</t>
        </is>
      </c>
      <c r="F38" s="6" t="n"/>
    </row>
    <row r="39">
      <c r="A39" s="20" t="inlineStr">
        <is>
          <t xml:space="preserve">    Misc. </t>
        </is>
      </c>
      <c r="B39" s="111" t="n">
        <v>0.03611313353492009</v>
      </c>
      <c r="C39" s="21">
        <f>'OECD Mapping'!A38</f>
        <v/>
      </c>
      <c r="D39" s="21">
        <f>'OECD Mapping'!B38</f>
        <v/>
      </c>
      <c r="E39" s="90" t="inlineStr">
        <is>
          <t>Mapping based on Land Based Wind JEDI and judgment</t>
        </is>
      </c>
      <c r="F39" s="6" t="n"/>
    </row>
    <row r="40">
      <c r="A40" s="20" t="inlineStr">
        <is>
          <t xml:space="preserve">    Labor Subtotal</t>
        </is>
      </c>
      <c r="B40" s="111" t="n">
        <v>0.06985940109775307</v>
      </c>
      <c r="C40" s="21" t="n"/>
      <c r="D40" s="21" t="n"/>
      <c r="E40" s="21" t="n"/>
      <c r="F40" s="6" t="n"/>
    </row>
    <row r="41">
      <c r="A41" s="20" t="inlineStr">
        <is>
          <t xml:space="preserve">  Development/Other Costs</t>
        </is>
      </c>
      <c r="B41" s="111" t="n"/>
      <c r="C41" s="21" t="n"/>
      <c r="D41" s="21" t="n"/>
      <c r="E41" s="21" t="n"/>
      <c r="F41" s="6" t="n"/>
    </row>
    <row r="42">
      <c r="A42" s="20" t="inlineStr">
        <is>
          <t xml:space="preserve">    HV Sub/Interconnection</t>
        </is>
      </c>
      <c r="B42" s="111" t="n"/>
      <c r="C42" s="21" t="n"/>
      <c r="D42" s="21" t="n"/>
      <c r="E42" s="21" t="n"/>
      <c r="F42" s="6" t="n"/>
    </row>
    <row r="43">
      <c r="A43" s="20" t="inlineStr">
        <is>
          <t xml:space="preserve">       Materials</t>
        </is>
      </c>
      <c r="B43" s="111" t="n">
        <v>0.007014549101207153</v>
      </c>
      <c r="C43" s="21">
        <f>'OECD Mapping'!A22</f>
        <v/>
      </c>
      <c r="D43" s="21">
        <f>'OECD Mapping'!B22</f>
        <v/>
      </c>
      <c r="E43" s="90" t="inlineStr">
        <is>
          <t>Mapping based on Land Based Wind JEDI and judgment</t>
        </is>
      </c>
      <c r="F43" s="6" t="n"/>
    </row>
    <row r="44">
      <c r="A44" s="20" t="inlineStr">
        <is>
          <t xml:space="preserve">       Labor</t>
        </is>
      </c>
      <c r="B44" s="111" t="n">
        <v>0.002148694618509211</v>
      </c>
      <c r="C44" s="21">
        <f>'OECD Mapping'!A29</f>
        <v/>
      </c>
      <c r="D44" s="21">
        <f>'OECD Mapping'!B29</f>
        <v/>
      </c>
      <c r="E44" s="90" t="inlineStr">
        <is>
          <t>Mapping based on Land Based Wind JEDI and judgment</t>
        </is>
      </c>
      <c r="F44" s="6" t="n"/>
    </row>
    <row r="45">
      <c r="A45" s="20" t="inlineStr">
        <is>
          <t xml:space="preserve">    Engineering</t>
        </is>
      </c>
      <c r="B45" s="111" t="n">
        <v>0.00954504554137121</v>
      </c>
      <c r="C45" s="21">
        <f>'OECD Mapping'!A38</f>
        <v/>
      </c>
      <c r="D45" s="21">
        <f>'OECD Mapping'!B38</f>
        <v/>
      </c>
      <c r="E45" s="90" t="inlineStr">
        <is>
          <t>Mapping based on Land Based Wind JEDI and judgment</t>
        </is>
      </c>
      <c r="F45" s="6" t="n"/>
    </row>
    <row r="46">
      <c r="A46" s="20" t="inlineStr">
        <is>
          <t xml:space="preserve">    Legal Services</t>
        </is>
      </c>
      <c r="B46" s="111" t="n">
        <v>0.005202049820047309</v>
      </c>
      <c r="C46" s="21">
        <f>'OECD Mapping'!A38</f>
        <v/>
      </c>
      <c r="D46" s="21">
        <f>'OECD Mapping'!B38</f>
        <v/>
      </c>
      <c r="E46" s="90" t="inlineStr">
        <is>
          <t>Mapping based on Land Based Wind JEDI and judgment</t>
        </is>
      </c>
      <c r="F46" s="6" t="n"/>
    </row>
    <row r="47">
      <c r="A47" s="20" t="inlineStr">
        <is>
          <t xml:space="preserve">    Land Easements</t>
        </is>
      </c>
      <c r="B47" s="111" t="n">
        <v>0</v>
      </c>
      <c r="C47" s="21">
        <f>'OECD Mapping'!A37</f>
        <v/>
      </c>
      <c r="D47" s="21">
        <f>'OECD Mapping'!B37</f>
        <v/>
      </c>
      <c r="E47" s="90" t="inlineStr">
        <is>
          <t>Mapping based on Land Based Wind JEDI and judgment</t>
        </is>
      </c>
      <c r="F47" s="6" t="n"/>
    </row>
    <row r="48">
      <c r="A48" s="20" t="inlineStr">
        <is>
          <t xml:space="preserve">    Site Certificate/Permitting</t>
        </is>
      </c>
      <c r="B48" s="111" t="n">
        <v>0.00243398661304966</v>
      </c>
      <c r="C48" s="21">
        <f>'OECD Mapping'!A39</f>
        <v/>
      </c>
      <c r="D48" s="21">
        <f>'OECD Mapping'!B39</f>
        <v/>
      </c>
      <c r="E48" s="90" t="inlineStr">
        <is>
          <t>Mapping based on Land Based Wind JEDI and judgment</t>
        </is>
      </c>
      <c r="F48" s="6" t="n"/>
    </row>
    <row r="49">
      <c r="A49" s="20" t="inlineStr">
        <is>
          <t xml:space="preserve">    Development/Other Subtotal</t>
        </is>
      </c>
      <c r="B49" s="111" t="n">
        <v>0.02634432569418454</v>
      </c>
      <c r="C49" s="21" t="n"/>
      <c r="D49" s="21" t="n"/>
      <c r="E49" s="21" t="n"/>
      <c r="F49" s="6" t="n"/>
    </row>
    <row r="50">
      <c r="A50" s="20" t="inlineStr">
        <is>
          <t xml:space="preserve">  Balance of Plant Total</t>
        </is>
      </c>
      <c r="B50" s="111" t="n">
        <v>0.2442149315221417</v>
      </c>
      <c r="C50" s="21" t="n"/>
      <c r="D50" s="21" t="n"/>
      <c r="E50" s="21" t="n"/>
      <c r="F50" s="6" t="n"/>
    </row>
    <row r="51">
      <c r="A51" s="20" t="inlineStr">
        <is>
          <t>Subtotal (all cost without taxes)</t>
        </is>
      </c>
      <c r="B51" s="111" t="n">
        <v>0.9505483015836114</v>
      </c>
      <c r="C51" s="21" t="n"/>
      <c r="D51" s="21" t="n"/>
      <c r="E51" s="21" t="n"/>
      <c r="F51" s="6" t="n"/>
    </row>
    <row r="52">
      <c r="A52" s="20" t="inlineStr">
        <is>
          <t>Sales Tax (Material and Equipment Purchases)</t>
        </is>
      </c>
      <c r="B52" s="111" t="n">
        <v>0.04945169841638862</v>
      </c>
      <c r="C52" s="21">
        <f>'OECD Mapping'!A39</f>
        <v/>
      </c>
      <c r="D52" s="21">
        <f>'OECD Mapping'!B39</f>
        <v/>
      </c>
      <c r="E52" s="90" t="inlineStr">
        <is>
          <t>Mapping based on Land Based Wind JEDI and judgment</t>
        </is>
      </c>
      <c r="F52" s="6" t="n"/>
    </row>
    <row r="53" ht="15" customHeight="1" thickBot="1">
      <c r="A53" s="24" t="inlineStr">
        <is>
          <t>Total</t>
        </is>
      </c>
      <c r="B53" s="18" t="n">
        <v>1</v>
      </c>
      <c r="C53" s="25" t="n"/>
      <c r="D53" s="25" t="n"/>
      <c r="E53" s="25" t="n"/>
      <c r="F53" s="10" t="n"/>
    </row>
    <row r="54" customFormat="1" s="88">
      <c r="A54" s="11" t="inlineStr">
        <is>
          <t>Fixed O&amp;M Costs</t>
        </is>
      </c>
      <c r="B54" s="12" t="n"/>
      <c r="C54" s="13" t="n"/>
      <c r="D54" s="13" t="n"/>
      <c r="E54" s="13" t="n"/>
      <c r="F54" s="14" t="n"/>
    </row>
    <row r="55">
      <c r="A55" s="20" t="inlineStr">
        <is>
          <t>Labor</t>
        </is>
      </c>
      <c r="B55" s="21" t="n"/>
      <c r="C55" s="21" t="n"/>
      <c r="D55" s="21" t="n"/>
      <c r="E55" s="21" t="n"/>
      <c r="F55" s="6" t="n"/>
    </row>
    <row r="56">
      <c r="A56" s="20" t="inlineStr">
        <is>
          <t>Personnel</t>
        </is>
      </c>
      <c r="B56" s="21" t="n"/>
      <c r="C56" s="21" t="n"/>
      <c r="D56" s="21" t="n"/>
      <c r="E56" s="21" t="n"/>
      <c r="F56" s="6" t="n"/>
    </row>
    <row r="57">
      <c r="A57" s="20" t="inlineStr">
        <is>
          <t xml:space="preserve">  Field Salaries (i.e., onsite wind technicians, etc.)</t>
        </is>
      </c>
      <c r="B57" s="111" t="n">
        <v>0.0787642413724554</v>
      </c>
      <c r="C57" s="21">
        <f>'OECD Mapping'!A26</f>
        <v/>
      </c>
      <c r="D57" s="21">
        <f>'OECD Mapping'!B26</f>
        <v/>
      </c>
      <c r="E57" s="90" t="inlineStr">
        <is>
          <t>Mapping based on Land Based Wind JEDI and judgment</t>
        </is>
      </c>
      <c r="F57" s="6" t="n"/>
    </row>
    <row r="58">
      <c r="A58" s="20" t="inlineStr">
        <is>
          <t xml:space="preserve">  Administrative</t>
        </is>
      </c>
      <c r="B58" s="111" t="n">
        <v>0.007468016959758735</v>
      </c>
      <c r="C58" s="21">
        <f>'OECD Mapping'!A26</f>
        <v/>
      </c>
      <c r="D58" s="21">
        <f>'OECD Mapping'!B26</f>
        <v/>
      </c>
      <c r="E58" s="90" t="inlineStr">
        <is>
          <t>Mapping based on Land Based Wind JEDI and judgment</t>
        </is>
      </c>
      <c r="F58" s="6" t="n"/>
    </row>
    <row r="59">
      <c r="A59" s="20" t="inlineStr">
        <is>
          <t xml:space="preserve">  Management</t>
        </is>
      </c>
      <c r="B59" s="111" t="n">
        <v>0.01400253179954763</v>
      </c>
      <c r="C59" s="21">
        <f>'OECD Mapping'!A26</f>
        <v/>
      </c>
      <c r="D59" s="21">
        <f>'OECD Mapping'!B26</f>
        <v/>
      </c>
      <c r="E59" s="90" t="inlineStr">
        <is>
          <t>Mapping based on Land Based Wind JEDI and judgment</t>
        </is>
      </c>
      <c r="F59" s="6" t="n"/>
    </row>
    <row r="60">
      <c r="A60" s="20" t="inlineStr">
        <is>
          <t xml:space="preserve">  Labor/Personnel Subtotal</t>
        </is>
      </c>
      <c r="B60" s="111" t="n">
        <v>0.1002347901317618</v>
      </c>
      <c r="C60" s="21" t="n"/>
      <c r="D60" s="21" t="n"/>
      <c r="E60" s="21" t="n"/>
      <c r="F60" s="6" t="n"/>
    </row>
    <row r="61">
      <c r="A61" s="20" t="inlineStr">
        <is>
          <t>Materials and Services</t>
        </is>
      </c>
      <c r="B61" s="111" t="n"/>
      <c r="C61" s="21" t="n"/>
      <c r="D61" s="21" t="n"/>
      <c r="E61" s="21" t="n"/>
      <c r="F61" s="6" t="n"/>
    </row>
    <row r="62">
      <c r="A62" s="20" t="inlineStr">
        <is>
          <t xml:space="preserve">  Vehicles</t>
        </is>
      </c>
      <c r="B62" s="111" t="n">
        <v>0.0245568269722944</v>
      </c>
      <c r="C62" s="21">
        <f>'OECD Mapping'!A30</f>
        <v/>
      </c>
      <c r="D62" s="21">
        <f>'OECD Mapping'!B30</f>
        <v/>
      </c>
      <c r="E62" s="90" t="inlineStr">
        <is>
          <t>Mapping based on Land Based Wind JEDI and judgment</t>
        </is>
      </c>
      <c r="F62" s="6" t="n"/>
    </row>
    <row r="63">
      <c r="A63" s="20" t="inlineStr">
        <is>
          <t xml:space="preserve">  Site Maint/Misc. Services</t>
        </is>
      </c>
      <c r="B63" s="111" t="n">
        <v>0.009577162519194816</v>
      </c>
      <c r="C63" s="21">
        <f>'OECD Mapping'!A38</f>
        <v/>
      </c>
      <c r="D63" s="21">
        <f>'OECD Mapping'!B38</f>
        <v/>
      </c>
      <c r="E63" s="90" t="inlineStr">
        <is>
          <t>Mapping based on Land Based Wind JEDI and judgment</t>
        </is>
      </c>
      <c r="F63" s="6" t="n"/>
    </row>
    <row r="64">
      <c r="A64" s="20" t="inlineStr">
        <is>
          <t xml:space="preserve">  Fees, Permits, Licenses</t>
        </is>
      </c>
      <c r="B64" s="111" t="n">
        <v>0.004788581259597408</v>
      </c>
      <c r="C64" s="21">
        <f>'OECD Mapping'!A39</f>
        <v/>
      </c>
      <c r="D64" s="21">
        <f>'OECD Mapping'!B39</f>
        <v/>
      </c>
      <c r="E64" s="90" t="inlineStr">
        <is>
          <t>Mapping based on Land Based Wind JEDI and judgment</t>
        </is>
      </c>
      <c r="F64" s="6" t="n"/>
    </row>
    <row r="65">
      <c r="A65" s="20" t="inlineStr">
        <is>
          <t xml:space="preserve">  Utilities</t>
        </is>
      </c>
      <c r="B65" s="111" t="n">
        <v>0.01915432503838963</v>
      </c>
      <c r="C65" s="21">
        <f>'OECD Mapping'!A26</f>
        <v/>
      </c>
      <c r="D65" s="21">
        <f>'OECD Mapping'!B26</f>
        <v/>
      </c>
      <c r="E65" s="90" t="inlineStr">
        <is>
          <t>Mapping based on Land Based Wind JEDI and judgment</t>
        </is>
      </c>
      <c r="F65" s="6" t="n"/>
    </row>
    <row r="66">
      <c r="A66" s="20" t="inlineStr">
        <is>
          <t xml:space="preserve">  Insurance</t>
        </is>
      </c>
      <c r="B66" s="111" t="n">
        <v>0.184176202292208</v>
      </c>
      <c r="C66" s="21">
        <f>'OECD Mapping'!A36</f>
        <v/>
      </c>
      <c r="D66" s="21">
        <f>'OECD Mapping'!B36</f>
        <v/>
      </c>
      <c r="E66" s="90" t="inlineStr">
        <is>
          <t>Mapping based on Land Based Wind JEDI and judgment</t>
        </is>
      </c>
      <c r="F66" s="6" t="n"/>
    </row>
    <row r="67">
      <c r="A67" s="20" t="inlineStr">
        <is>
          <t xml:space="preserve">  Fuel (motor vehicle gasoline)</t>
        </is>
      </c>
      <c r="B67" s="111" t="n">
        <v>0.009577162519194816</v>
      </c>
      <c r="C67" s="21">
        <f>'OECD Mapping'!A11</f>
        <v/>
      </c>
      <c r="D67" s="21">
        <f>'OECD Mapping'!B11</f>
        <v/>
      </c>
      <c r="E67" s="90" t="inlineStr">
        <is>
          <t>Mapping based on Land Based Wind JEDI and judgment</t>
        </is>
      </c>
      <c r="F67" s="6" t="n"/>
    </row>
    <row r="68">
      <c r="A68" s="20" t="inlineStr">
        <is>
          <t xml:space="preserve">  Consumables/Tools and Misc. Supplies</t>
        </is>
      </c>
      <c r="B68" s="111" t="n">
        <v>0.06225155637476631</v>
      </c>
      <c r="C68" s="21">
        <f>'OECD Mapping'!A30</f>
        <v/>
      </c>
      <c r="D68" s="21">
        <f>'OECD Mapping'!B30</f>
        <v/>
      </c>
      <c r="E68" s="90" t="inlineStr">
        <is>
          <t>Mapping based on Land Based Wind JEDI and judgment</t>
        </is>
      </c>
      <c r="F68" s="6" t="n"/>
    </row>
    <row r="69">
      <c r="A69" s="20" t="inlineStr">
        <is>
          <t xml:space="preserve">  Replacement Parts/Equipment/ Spare Parts Inventory</t>
        </is>
      </c>
      <c r="B69" s="111" t="n">
        <v>0.54552991118952</v>
      </c>
      <c r="C69" s="21">
        <f>'OECD Mapping'!A22</f>
        <v/>
      </c>
      <c r="D69" s="21">
        <f>'OECD Mapping'!B22</f>
        <v/>
      </c>
      <c r="E69" s="90" t="inlineStr">
        <is>
          <t>Mapping based on Land Based Wind JEDI and judgment</t>
        </is>
      </c>
      <c r="F69" s="6" t="n"/>
    </row>
    <row r="70">
      <c r="A70" s="20" t="inlineStr">
        <is>
          <t xml:space="preserve">  Materials and Services Subtotal</t>
        </is>
      </c>
      <c r="B70" s="111" t="n">
        <v>0.8596117281651654</v>
      </c>
      <c r="C70" s="21" t="n"/>
      <c r="D70" s="21" t="n"/>
      <c r="E70" s="21" t="n"/>
      <c r="F70" s="6" t="n"/>
    </row>
    <row r="71">
      <c r="A71" s="20" t="inlineStr">
        <is>
          <t>Sales Tax (Materials &amp; Equipment Purchases)</t>
        </is>
      </c>
      <c r="B71" s="111" t="n">
        <v>0.04015348170307288</v>
      </c>
      <c r="C71" s="21">
        <f>'OECD Mapping'!A39</f>
        <v/>
      </c>
      <c r="D71" s="21">
        <f>'OECD Mapping'!B39</f>
        <v/>
      </c>
      <c r="E71" s="90" t="inlineStr">
        <is>
          <t>Mapping based on Land Based Wind JEDI and judgment</t>
        </is>
      </c>
      <c r="F71" s="6" t="n"/>
    </row>
    <row r="72">
      <c r="A72" s="20" t="inlineStr">
        <is>
          <t>Other Taxes/Payments</t>
        </is>
      </c>
      <c r="B72" s="111" t="n">
        <v>0</v>
      </c>
      <c r="C72" s="21" t="n"/>
      <c r="D72" s="21" t="n"/>
      <c r="E72" s="21" t="n"/>
      <c r="F72" s="6" t="n"/>
    </row>
    <row r="73" ht="15" customHeight="1" thickBot="1">
      <c r="A73" s="24" t="inlineStr">
        <is>
          <t>Total O&amp;M Cost</t>
        </is>
      </c>
      <c r="B73" s="18" t="n">
        <v>1</v>
      </c>
      <c r="C73" s="25" t="n"/>
      <c r="D73" s="25" t="n"/>
      <c r="E73" s="25" t="n"/>
      <c r="F73" s="10" t="n"/>
    </row>
    <row r="74" ht="15" customHeight="1" thickBot="1"/>
    <row r="75" ht="18.5" customHeight="1">
      <c r="A75" s="135" t="inlineStr">
        <is>
          <t>Coal</t>
        </is>
      </c>
      <c r="B75" s="140" t="n"/>
      <c r="C75" s="140" t="n"/>
      <c r="D75" s="140" t="n"/>
      <c r="E75" s="140" t="n"/>
      <c r="F75" s="141" t="n"/>
    </row>
    <row r="76">
      <c r="A76" s="1" t="inlineStr">
        <is>
          <t>Capital Costs</t>
        </is>
      </c>
      <c r="B76" s="2" t="inlineStr">
        <is>
          <t>Percent</t>
        </is>
      </c>
      <c r="C76" s="2" t="inlineStr">
        <is>
          <t>I-O Mapping</t>
        </is>
      </c>
      <c r="D76" s="3" t="inlineStr">
        <is>
          <t>ISIC Mapping</t>
        </is>
      </c>
      <c r="E76" s="3" t="inlineStr">
        <is>
          <t>Notes</t>
        </is>
      </c>
      <c r="F76" s="4" t="inlineStr">
        <is>
          <t>Sources</t>
        </is>
      </c>
    </row>
    <row r="77">
      <c r="A77" s="5" t="inlineStr">
        <is>
          <t>Construction Costs</t>
        </is>
      </c>
      <c r="B77" s="2" t="inlineStr">
        <is>
          <t>of Cost</t>
        </is>
      </c>
    </row>
    <row r="78">
      <c r="A78" s="7" t="inlineStr">
        <is>
          <t xml:space="preserve"> Facility and Equipment</t>
        </is>
      </c>
      <c r="C78" s="2" t="n"/>
      <c r="D78" s="3" t="n"/>
      <c r="E78" s="3" t="n"/>
      <c r="F78" s="16" t="inlineStr">
        <is>
          <t>https://www.nrel.gov/analysis/jedi/coal.html</t>
        </is>
      </c>
    </row>
    <row r="79">
      <c r="A79" s="7" t="inlineStr">
        <is>
          <t xml:space="preserve">   Power Generation</t>
        </is>
      </c>
      <c r="B79" s="27" t="n">
        <v>0.1371900826446281</v>
      </c>
      <c r="C79" s="28">
        <f>'OECD Mapping'!A22</f>
        <v/>
      </c>
      <c r="D79" s="28">
        <f>'OECD Mapping'!B22</f>
        <v/>
      </c>
      <c r="E79" s="73" t="inlineStr">
        <is>
          <t>Mapping based on JEDI and judgment</t>
        </is>
      </c>
      <c r="F79" s="16" t="inlineStr">
        <is>
          <t>https://www.nrel.gov/analysis/jedi/coal.html</t>
        </is>
      </c>
    </row>
    <row r="80">
      <c r="A80" s="7" t="inlineStr">
        <is>
          <t xml:space="preserve">   General facilities</t>
        </is>
      </c>
      <c r="B80" s="27" t="n">
        <v>0.0838507390748453</v>
      </c>
      <c r="C80" s="28">
        <f>'OECD Mapping'!A29</f>
        <v/>
      </c>
      <c r="D80" s="28">
        <f>'OECD Mapping'!B29</f>
        <v/>
      </c>
      <c r="E80" s="73" t="inlineStr">
        <is>
          <t>Mapping based on JEDI and judgment</t>
        </is>
      </c>
      <c r="F80" s="16" t="inlineStr">
        <is>
          <t>https://www.nrel.gov/analysis/jedi/coal.html</t>
        </is>
      </c>
    </row>
    <row r="81">
      <c r="A81" s="7" t="inlineStr">
        <is>
          <t xml:space="preserve">   Plant Equipment</t>
        </is>
      </c>
      <c r="B81" s="27" t="n">
        <v>0.2351575253879646</v>
      </c>
      <c r="C81" s="28">
        <f>'OECD Mapping'!A22</f>
        <v/>
      </c>
      <c r="D81" s="28">
        <f>'OECD Mapping'!B22</f>
        <v/>
      </c>
      <c r="E81" s="73" t="inlineStr">
        <is>
          <t>Mapping based on JEDI and judgment</t>
        </is>
      </c>
      <c r="F81" s="16" t="inlineStr">
        <is>
          <t>https://www.nrel.gov/analysis/jedi/coal.html</t>
        </is>
      </c>
    </row>
    <row r="82">
      <c r="A82" s="30" t="inlineStr">
        <is>
          <t xml:space="preserve">   Facility and Equipment Subtotal</t>
        </is>
      </c>
      <c r="B82" s="27">
        <f>SUM(B79:B81)</f>
        <v/>
      </c>
      <c r="C82" s="28" t="n"/>
      <c r="D82" s="28" t="n"/>
      <c r="E82" s="73" t="n"/>
      <c r="F82" s="16" t="inlineStr">
        <is>
          <t>https://www.nrel.gov/analysis/jedi/coal.html</t>
        </is>
      </c>
    </row>
    <row r="83">
      <c r="A83" s="7" t="inlineStr">
        <is>
          <t xml:space="preserve"> Labor</t>
        </is>
      </c>
      <c r="B83" s="27" t="n"/>
      <c r="C83" s="28" t="n"/>
      <c r="D83" s="28" t="n"/>
      <c r="E83" s="73" t="n"/>
      <c r="F83" s="16" t="inlineStr">
        <is>
          <t>https://www.nrel.gov/analysis/jedi/coal.html</t>
        </is>
      </c>
    </row>
    <row r="84">
      <c r="A84" s="7" t="inlineStr">
        <is>
          <t xml:space="preserve">   Construction Labor</t>
        </is>
      </c>
      <c r="B84" s="27" t="n">
        <v>0.2294214876033058</v>
      </c>
      <c r="C84" s="28">
        <f>'OECD Mapping'!A29</f>
        <v/>
      </c>
      <c r="D84" s="28">
        <f>'OECD Mapping'!B29</f>
        <v/>
      </c>
      <c r="E84" s="73" t="inlineStr">
        <is>
          <t>Mapping based on JEDI and judgment</t>
        </is>
      </c>
      <c r="F84" s="16" t="inlineStr">
        <is>
          <t>https://www.nrel.gov/analysis/jedi/coal.html</t>
        </is>
      </c>
    </row>
    <row r="85">
      <c r="A85" s="7" t="inlineStr">
        <is>
          <t xml:space="preserve">   Project management</t>
        </is>
      </c>
      <c r="B85" s="27" t="n">
        <v>0.006942148760330579</v>
      </c>
      <c r="C85" s="28">
        <f>'OECD Mapping'!A29</f>
        <v/>
      </c>
      <c r="D85" s="28">
        <f>'OECD Mapping'!B29</f>
        <v/>
      </c>
      <c r="E85" s="73" t="inlineStr">
        <is>
          <t>Mapping based on JEDI and judgment</t>
        </is>
      </c>
      <c r="F85" s="16" t="inlineStr">
        <is>
          <t>https://www.nrel.gov/analysis/jedi/coal.html</t>
        </is>
      </c>
    </row>
    <row r="86">
      <c r="A86" s="30" t="inlineStr">
        <is>
          <t xml:space="preserve">   Labor Subtotal</t>
        </is>
      </c>
      <c r="B86" s="27">
        <f>B85+B84</f>
        <v/>
      </c>
      <c r="C86" s="28" t="n"/>
      <c r="D86" s="28" t="n"/>
      <c r="E86" s="73" t="n"/>
      <c r="F86" s="16" t="inlineStr">
        <is>
          <t>https://www.nrel.gov/analysis/jedi/coal.html</t>
        </is>
      </c>
    </row>
    <row r="87">
      <c r="A87" s="30" t="inlineStr">
        <is>
          <t xml:space="preserve"> Construction Subtotal</t>
        </is>
      </c>
      <c r="B87" s="27">
        <f>B86+B82</f>
        <v/>
      </c>
      <c r="C87" s="28" t="n"/>
      <c r="D87" s="28" t="n"/>
      <c r="E87" s="73" t="n"/>
      <c r="F87" s="16" t="inlineStr">
        <is>
          <t>https://www.nrel.gov/analysis/jedi/coal.html</t>
        </is>
      </c>
    </row>
    <row r="88">
      <c r="A88" s="5" t="inlineStr">
        <is>
          <t>Other Costs</t>
        </is>
      </c>
      <c r="B88" s="27" t="n"/>
      <c r="C88" s="28" t="n"/>
      <c r="D88" s="28" t="n"/>
      <c r="E88" s="73" t="n"/>
      <c r="F88" s="16" t="inlineStr">
        <is>
          <t>https://www.nrel.gov/analysis/jedi/coal.html</t>
        </is>
      </c>
    </row>
    <row r="89">
      <c r="A89" s="7" t="inlineStr">
        <is>
          <t xml:space="preserve"> Engineering, Procurement, Construction Management</t>
        </is>
      </c>
      <c r="B89" s="27" t="n">
        <v>0.07107438016528927</v>
      </c>
      <c r="C89" s="28">
        <f>'OECD Mapping'!A38</f>
        <v/>
      </c>
      <c r="D89" s="28">
        <f>'OECD Mapping'!B38</f>
        <v/>
      </c>
      <c r="E89" s="73" t="inlineStr">
        <is>
          <t>Mapping based on JEDI and judgment</t>
        </is>
      </c>
      <c r="F89" s="16" t="inlineStr">
        <is>
          <t>https://www.nrel.gov/analysis/jedi/coal.html</t>
        </is>
      </c>
    </row>
    <row r="90">
      <c r="A90" s="7" t="inlineStr">
        <is>
          <t xml:space="preserve"> Construction insurance</t>
        </is>
      </c>
      <c r="B90" s="27" t="n">
        <v>0.01162663416750274</v>
      </c>
      <c r="C90" s="28">
        <f>'OECD Mapping'!A36</f>
        <v/>
      </c>
      <c r="D90" s="28">
        <f>'OECD Mapping'!B36</f>
        <v/>
      </c>
      <c r="E90" s="73" t="inlineStr">
        <is>
          <t>Mapping based on JEDI and judgment</t>
        </is>
      </c>
      <c r="F90" s="16" t="inlineStr">
        <is>
          <t>https://www.nrel.gov/analysis/jedi/coal.html</t>
        </is>
      </c>
    </row>
    <row r="91">
      <c r="A91" s="7" t="inlineStr">
        <is>
          <t xml:space="preserve"> Land</t>
        </is>
      </c>
      <c r="B91" s="27" t="n">
        <v>0</v>
      </c>
      <c r="C91" s="28">
        <f>'OECD Mapping'!A37</f>
        <v/>
      </c>
      <c r="D91" s="28">
        <f>'OECD Mapping'!B37</f>
        <v/>
      </c>
      <c r="E91" s="73" t="inlineStr">
        <is>
          <t>Mapping based on JEDI and judgment</t>
        </is>
      </c>
      <c r="F91" s="16" t="inlineStr">
        <is>
          <t>https://www.nrel.gov/analysis/jedi/coal.html</t>
        </is>
      </c>
    </row>
    <row r="92">
      <c r="A92" s="7" t="inlineStr">
        <is>
          <t xml:space="preserve"> Catalysts &amp; chemicals</t>
        </is>
      </c>
      <c r="B92" s="27" t="n">
        <v>0.001298854801788919</v>
      </c>
      <c r="C92" s="28">
        <f>'OECD Mapping'!A12</f>
        <v/>
      </c>
      <c r="D92" s="28">
        <f>'OECD Mapping'!B12</f>
        <v/>
      </c>
      <c r="E92" s="73" t="inlineStr">
        <is>
          <t>Mapping based on JEDI and judgment</t>
        </is>
      </c>
      <c r="F92" s="16" t="inlineStr">
        <is>
          <t>https://www.nrel.gov/analysis/jedi/coal.html</t>
        </is>
      </c>
    </row>
    <row r="93">
      <c r="A93" s="7" t="inlineStr">
        <is>
          <t xml:space="preserve"> Grid intertie</t>
        </is>
      </c>
      <c r="B93" s="27" t="n">
        <v>0.06842975206611571</v>
      </c>
      <c r="C93" s="28">
        <f>'OECD Mapping'!A29</f>
        <v/>
      </c>
      <c r="D93" s="28">
        <f>'OECD Mapping'!B29</f>
        <v/>
      </c>
      <c r="E93" s="73" t="inlineStr">
        <is>
          <t>Mapping based on JEDI and judgment</t>
        </is>
      </c>
      <c r="F93" s="16" t="inlineStr">
        <is>
          <t>https://www.nrel.gov/analysis/jedi/coal.html</t>
        </is>
      </c>
    </row>
    <row r="94">
      <c r="A94" s="7" t="inlineStr">
        <is>
          <t xml:space="preserve"> Owner costs </t>
        </is>
      </c>
      <c r="B94" s="27" t="n">
        <v>0.1163307093778158</v>
      </c>
      <c r="C94" s="28">
        <f>'OECD Mapping'!A38</f>
        <v/>
      </c>
      <c r="D94" s="28">
        <f>'OECD Mapping'!B38</f>
        <v/>
      </c>
      <c r="E94" s="73" t="inlineStr">
        <is>
          <t>Mapping based on JEDI and judgment</t>
        </is>
      </c>
      <c r="F94" s="16" t="inlineStr">
        <is>
          <t>https://www.nrel.gov/analysis/jedi/coal.html</t>
        </is>
      </c>
    </row>
    <row r="95">
      <c r="A95" s="7" t="inlineStr">
        <is>
          <t xml:space="preserve"> Legal and Advisory</t>
        </is>
      </c>
      <c r="B95" s="27" t="n">
        <v>0.03801652892561984</v>
      </c>
      <c r="C95" s="28">
        <f>'OECD Mapping'!A38</f>
        <v/>
      </c>
      <c r="D95" s="28">
        <f>'OECD Mapping'!B38</f>
        <v/>
      </c>
      <c r="E95" s="73" t="inlineStr">
        <is>
          <t>Mapping based on JEDI and judgment</t>
        </is>
      </c>
      <c r="F95" s="16" t="inlineStr">
        <is>
          <t>https://www.nrel.gov/analysis/jedi/coal.html</t>
        </is>
      </c>
    </row>
    <row r="96">
      <c r="A96" s="7" t="inlineStr">
        <is>
          <t xml:space="preserve"> Spare Parts</t>
        </is>
      </c>
      <c r="B96" s="27" t="n">
        <v>0.0006611570247933885</v>
      </c>
      <c r="C96" s="28">
        <f>'OECD Mapping'!A22</f>
        <v/>
      </c>
      <c r="D96" s="28">
        <f>'OECD Mapping'!B22</f>
        <v/>
      </c>
      <c r="E96" s="73" t="inlineStr">
        <is>
          <t>Mapping based on JEDI and judgment</t>
        </is>
      </c>
      <c r="F96" s="16" t="inlineStr">
        <is>
          <t>https://www.nrel.gov/analysis/jedi/coal.html</t>
        </is>
      </c>
    </row>
    <row r="97">
      <c r="A97" s="30" t="inlineStr">
        <is>
          <t xml:space="preserve"> Other Subtotal</t>
        </is>
      </c>
      <c r="B97" s="27">
        <f>SUM(B89:B96)</f>
        <v/>
      </c>
      <c r="C97" s="28" t="n"/>
      <c r="D97" s="29" t="n"/>
      <c r="E97" s="73" t="n"/>
      <c r="F97" s="16" t="n"/>
    </row>
    <row r="98" ht="15" customHeight="1" thickBot="1">
      <c r="A98" s="31" t="inlineStr">
        <is>
          <t xml:space="preserve">Total </t>
        </is>
      </c>
      <c r="B98" s="32">
        <f>B97+B87</f>
        <v/>
      </c>
      <c r="C98" s="33" t="n"/>
      <c r="D98" s="34" t="n"/>
      <c r="E98" s="34" t="n"/>
      <c r="F98" s="35" t="n"/>
    </row>
    <row r="99">
      <c r="A99" s="11" t="inlineStr">
        <is>
          <t>Fixed O&amp;M Costs</t>
        </is>
      </c>
      <c r="B99" s="12" t="n"/>
      <c r="C99" s="36" t="n"/>
      <c r="D99" s="37" t="n"/>
      <c r="E99" s="37" t="n"/>
      <c r="F99" s="14" t="n"/>
    </row>
    <row r="100">
      <c r="A100" s="38" t="inlineStr">
        <is>
          <t xml:space="preserve"> Labor</t>
        </is>
      </c>
      <c r="B100" s="27" t="n">
        <v>0.5974025974025974</v>
      </c>
      <c r="C100" s="39">
        <f>'OECD Mapping'!A26</f>
        <v/>
      </c>
      <c r="D100" s="39">
        <f>'OECD Mapping'!B26</f>
        <v/>
      </c>
      <c r="E100" s="73" t="inlineStr">
        <is>
          <t>Mapping based on JEDI and judgment</t>
        </is>
      </c>
      <c r="F100" s="16" t="inlineStr">
        <is>
          <t>https://www.nrel.gov/analysis/jedi/coal.html</t>
        </is>
      </c>
    </row>
    <row r="101">
      <c r="A101" s="38" t="inlineStr">
        <is>
          <t xml:space="preserve"> Materials</t>
        </is>
      </c>
      <c r="B101" s="27" t="n">
        <v>0.2510822510822511</v>
      </c>
      <c r="C101" s="39">
        <f>'OECD Mapping'!A22</f>
        <v/>
      </c>
      <c r="D101" s="39">
        <f>'OECD Mapping'!B22</f>
        <v/>
      </c>
      <c r="E101" s="73" t="inlineStr">
        <is>
          <t>Mapping based on JEDI and judgment</t>
        </is>
      </c>
      <c r="F101" s="16" t="inlineStr">
        <is>
          <t>https://www.nrel.gov/analysis/jedi/coal.html</t>
        </is>
      </c>
    </row>
    <row r="102">
      <c r="A102" s="38" t="inlineStr">
        <is>
          <t xml:space="preserve"> Services</t>
        </is>
      </c>
      <c r="B102" s="27" t="n">
        <v>0.1515151515151515</v>
      </c>
      <c r="C102" s="39">
        <f>'OECD Mapping'!A38</f>
        <v/>
      </c>
      <c r="D102" s="39">
        <f>'OECD Mapping'!B38</f>
        <v/>
      </c>
      <c r="E102" s="73" t="inlineStr">
        <is>
          <t>Mapping based on JEDI and judgment</t>
        </is>
      </c>
      <c r="F102" s="16" t="inlineStr">
        <is>
          <t>https://www.nrel.gov/analysis/jedi/coal.html</t>
        </is>
      </c>
    </row>
    <row r="103" ht="15" customHeight="1" thickBot="1">
      <c r="A103" s="40" t="inlineStr">
        <is>
          <t xml:space="preserve">Total </t>
        </is>
      </c>
      <c r="B103" s="41">
        <f>SUM(B100:B102)</f>
        <v/>
      </c>
      <c r="C103" s="42" t="n"/>
      <c r="D103" s="43" t="n"/>
      <c r="E103" s="43" t="n"/>
      <c r="F103" s="10" t="n"/>
    </row>
    <row r="104">
      <c r="A104" s="11" t="inlineStr">
        <is>
          <t>Variable O&amp;M Costs</t>
        </is>
      </c>
      <c r="B104" s="12" t="n"/>
      <c r="C104" s="36" t="n"/>
      <c r="D104" s="37" t="n"/>
      <c r="E104" s="37" t="n"/>
      <c r="F104" s="14" t="n"/>
    </row>
    <row r="105">
      <c r="A105" s="38" t="inlineStr">
        <is>
          <t xml:space="preserve"> Ash/sludge disposal</t>
        </is>
      </c>
      <c r="B105" s="27" t="n">
        <v>0.07103825136612021</v>
      </c>
      <c r="C105" s="39">
        <f>'OECD Mapping'!A38</f>
        <v/>
      </c>
      <c r="D105" s="39">
        <f>'OECD Mapping'!B38</f>
        <v/>
      </c>
      <c r="E105" s="73" t="inlineStr">
        <is>
          <t>Mapping based on JEDI and judgment</t>
        </is>
      </c>
      <c r="F105" s="16" t="inlineStr">
        <is>
          <t>https://www.nrel.gov/analysis/jedi/coal.html</t>
        </is>
      </c>
    </row>
    <row r="106">
      <c r="A106" s="38" t="inlineStr">
        <is>
          <t xml:space="preserve"> Water</t>
        </is>
      </c>
      <c r="B106" s="27" t="n">
        <v>0.7650273224043715</v>
      </c>
      <c r="C106" s="39">
        <f>'OECD Mapping'!A28</f>
        <v/>
      </c>
      <c r="D106" s="39">
        <f>'OECD Mapping'!B28</f>
        <v/>
      </c>
      <c r="E106" s="73" t="inlineStr">
        <is>
          <t>Mapping based on JEDI and judgment</t>
        </is>
      </c>
      <c r="F106" s="16" t="inlineStr">
        <is>
          <t>https://www.nrel.gov/analysis/jedi/coal.html</t>
        </is>
      </c>
    </row>
    <row r="107">
      <c r="A107" s="38" t="inlineStr">
        <is>
          <t xml:space="preserve"> Catalysts &amp; chemicals</t>
        </is>
      </c>
      <c r="B107" s="27" t="n">
        <v>0.1639344262295082</v>
      </c>
      <c r="C107" s="39">
        <f>'OECD Mapping'!A12</f>
        <v/>
      </c>
      <c r="D107" s="39">
        <f>'OECD Mapping'!B12</f>
        <v/>
      </c>
      <c r="E107" s="73" t="inlineStr">
        <is>
          <t>Mapping based on JEDI and judgment</t>
        </is>
      </c>
      <c r="F107" s="16" t="inlineStr">
        <is>
          <t>https://www.nrel.gov/analysis/jedi/coal.html</t>
        </is>
      </c>
    </row>
    <row r="108" ht="15" customHeight="1" thickBot="1">
      <c r="A108" s="40" t="inlineStr">
        <is>
          <t xml:space="preserve">Total </t>
        </is>
      </c>
      <c r="B108" s="44">
        <f>SUM(B105:B107)</f>
        <v/>
      </c>
      <c r="C108" s="42" t="n"/>
      <c r="D108" s="43" t="n"/>
      <c r="E108" s="43" t="n"/>
      <c r="F108" s="10" t="n"/>
    </row>
    <row r="109" ht="15" customHeight="1" thickBot="1"/>
    <row r="110" ht="18.5" customHeight="1">
      <c r="A110" s="135" t="inlineStr">
        <is>
          <t>Natural Gas Nonpeaker</t>
        </is>
      </c>
      <c r="B110" s="140" t="n"/>
      <c r="C110" s="140" t="n"/>
      <c r="D110" s="140" t="n"/>
      <c r="E110" s="140" t="n"/>
      <c r="F110" s="141" t="n"/>
    </row>
    <row r="111">
      <c r="A111" s="1" t="inlineStr">
        <is>
          <t>Capital Costs</t>
        </is>
      </c>
      <c r="B111" s="2" t="inlineStr">
        <is>
          <t>Percent</t>
        </is>
      </c>
      <c r="C111" s="2" t="inlineStr">
        <is>
          <t>I-O Mapping</t>
        </is>
      </c>
      <c r="D111" s="3" t="inlineStr">
        <is>
          <t>ISIC Mapping</t>
        </is>
      </c>
      <c r="E111" s="3" t="inlineStr">
        <is>
          <t>Notes</t>
        </is>
      </c>
      <c r="F111" s="4" t="inlineStr">
        <is>
          <t>Sources</t>
        </is>
      </c>
    </row>
    <row r="112">
      <c r="A112" s="5" t="inlineStr">
        <is>
          <t>Construction Costs</t>
        </is>
      </c>
      <c r="B112" s="2" t="inlineStr">
        <is>
          <t>of Cost</t>
        </is>
      </c>
      <c r="C112" s="2" t="n"/>
      <c r="D112" s="3" t="n"/>
      <c r="E112" s="3" t="n"/>
      <c r="F112" s="16" t="n"/>
    </row>
    <row r="113">
      <c r="A113" s="7" t="inlineStr">
        <is>
          <t xml:space="preserve"> Facility and Equipment</t>
        </is>
      </c>
    </row>
    <row r="114">
      <c r="A114" s="7" t="inlineStr">
        <is>
          <t xml:space="preserve">   Power Generation</t>
        </is>
      </c>
      <c r="B114" s="45" t="n">
        <v>0.3529411764705883</v>
      </c>
      <c r="C114" s="28">
        <f>'OECD Mapping'!A22</f>
        <v/>
      </c>
      <c r="D114" s="28">
        <f>'OECD Mapping'!B22</f>
        <v/>
      </c>
      <c r="E114" s="73" t="inlineStr">
        <is>
          <t>Mapping based on Natural Gas JEDI and judgment</t>
        </is>
      </c>
      <c r="F114" s="16" t="inlineStr">
        <is>
          <t>https://www.nrel.gov/analysis/jedi/natural-gas.html</t>
        </is>
      </c>
    </row>
    <row r="115">
      <c r="A115" s="7" t="inlineStr">
        <is>
          <t xml:space="preserve">   General facilities</t>
        </is>
      </c>
      <c r="B115" s="45" t="n">
        <v>0.08823529411764706</v>
      </c>
      <c r="C115" s="28">
        <f>'OECD Mapping'!A29</f>
        <v/>
      </c>
      <c r="D115" s="28">
        <f>'OECD Mapping'!B29</f>
        <v/>
      </c>
      <c r="E115" s="73" t="inlineStr">
        <is>
          <t>Mapping based on Natural Gas JEDI and judgment</t>
        </is>
      </c>
      <c r="F115" s="16" t="inlineStr">
        <is>
          <t>https://www.nrel.gov/analysis/jedi/natural-gas.html</t>
        </is>
      </c>
    </row>
    <row r="116">
      <c r="A116" s="7" t="inlineStr">
        <is>
          <t xml:space="preserve">   Plant Equipment</t>
        </is>
      </c>
      <c r="B116" s="45" t="n">
        <v>0.1588235294117647</v>
      </c>
      <c r="C116" s="28">
        <f>'OECD Mapping'!A22</f>
        <v/>
      </c>
      <c r="D116" s="28">
        <f>'OECD Mapping'!B22</f>
        <v/>
      </c>
      <c r="E116" s="73" t="inlineStr">
        <is>
          <t>Mapping based on Natural Gas JEDI and judgment</t>
        </is>
      </c>
      <c r="F116" s="16" t="inlineStr">
        <is>
          <t>https://www.nrel.gov/analysis/jedi/natural-gas.html</t>
        </is>
      </c>
    </row>
    <row r="117">
      <c r="A117" s="7" t="inlineStr">
        <is>
          <t xml:space="preserve">   Subtotal</t>
        </is>
      </c>
      <c r="B117" s="45" t="n">
        <v>0.6000000000000001</v>
      </c>
      <c r="C117" s="28" t="n"/>
      <c r="D117" s="28" t="n"/>
      <c r="E117" s="29" t="n"/>
      <c r="F117" s="16" t="inlineStr">
        <is>
          <t>https://www.nrel.gov/analysis/jedi/natural-gas.html</t>
        </is>
      </c>
    </row>
    <row r="118">
      <c r="A118" s="7" t="inlineStr">
        <is>
          <t xml:space="preserve"> Labor and Management</t>
        </is>
      </c>
      <c r="B118" s="46" t="n"/>
      <c r="C118" s="28" t="n"/>
      <c r="D118" s="28" t="n"/>
      <c r="E118" s="29" t="n"/>
      <c r="F118" s="16" t="inlineStr">
        <is>
          <t>https://www.nrel.gov/analysis/jedi/natural-gas.html</t>
        </is>
      </c>
    </row>
    <row r="119">
      <c r="A119" s="7" t="inlineStr">
        <is>
          <t xml:space="preserve">   Construction Labor</t>
        </is>
      </c>
      <c r="B119" s="46" t="n">
        <v>0.1705882352941177</v>
      </c>
      <c r="C119" s="28">
        <f>'OECD Mapping'!A29</f>
        <v/>
      </c>
      <c r="D119" s="28">
        <f>'OECD Mapping'!B29</f>
        <v/>
      </c>
      <c r="E119" s="73" t="inlineStr">
        <is>
          <t>Mapping based on Natural Gas JEDI and judgment</t>
        </is>
      </c>
      <c r="F119" s="16" t="inlineStr">
        <is>
          <t>https://www.nrel.gov/analysis/jedi/natural-gas.html</t>
        </is>
      </c>
    </row>
    <row r="120">
      <c r="A120" s="7" t="inlineStr">
        <is>
          <t xml:space="preserve">   Project management (contruction and owner's)</t>
        </is>
      </c>
      <c r="B120" s="45" t="n">
        <v>0.09411764705882353</v>
      </c>
      <c r="C120" s="28">
        <f>'OECD Mapping'!A38</f>
        <v/>
      </c>
      <c r="D120" s="28">
        <f>'OECD Mapping'!B38</f>
        <v/>
      </c>
      <c r="E120" s="73" t="inlineStr">
        <is>
          <t>Mapping based on Natural Gas JEDI and judgment</t>
        </is>
      </c>
      <c r="F120" s="16" t="inlineStr">
        <is>
          <t>https://www.nrel.gov/analysis/jedi/natural-gas.html</t>
        </is>
      </c>
    </row>
    <row r="121">
      <c r="A121" s="7" t="inlineStr">
        <is>
          <t xml:space="preserve">   Construction Utilities</t>
        </is>
      </c>
      <c r="B121" s="45" t="n">
        <v>0.005882352941176471</v>
      </c>
      <c r="C121" s="28">
        <f>'OECD Mapping'!A26</f>
        <v/>
      </c>
      <c r="D121" s="28">
        <f>'OECD Mapping'!B26</f>
        <v/>
      </c>
      <c r="E121" s="73" t="inlineStr">
        <is>
          <t>Mapping based on Natural Gas JEDI and judgment</t>
        </is>
      </c>
      <c r="F121" s="16" t="inlineStr">
        <is>
          <t>https://www.nrel.gov/analysis/jedi/natural-gas.html</t>
        </is>
      </c>
    </row>
    <row r="122">
      <c r="A122" s="7" t="inlineStr">
        <is>
          <t xml:space="preserve">   Subtotal</t>
        </is>
      </c>
      <c r="B122" s="45" t="n">
        <v>0.2705882352941176</v>
      </c>
      <c r="C122" s="28" t="n"/>
      <c r="D122" s="28" t="n"/>
      <c r="E122" s="29" t="n"/>
      <c r="F122" s="16" t="inlineStr">
        <is>
          <t>https://www.nrel.gov/analysis/jedi/natural-gas.html</t>
        </is>
      </c>
    </row>
    <row r="123">
      <c r="A123" s="7" t="inlineStr">
        <is>
          <t xml:space="preserve"> Construction Subtotal</t>
        </is>
      </c>
      <c r="B123" s="46" t="n">
        <v>0.8705882352941177</v>
      </c>
      <c r="C123" s="28" t="n"/>
      <c r="D123" s="28" t="n"/>
      <c r="E123" s="29" t="n"/>
      <c r="F123" s="16" t="inlineStr">
        <is>
          <t>https://www.nrel.gov/analysis/jedi/natural-gas.html</t>
        </is>
      </c>
    </row>
    <row r="124">
      <c r="A124" s="5" t="inlineStr">
        <is>
          <t>Other Costs</t>
        </is>
      </c>
      <c r="B124" s="46" t="n"/>
      <c r="C124" s="28" t="n"/>
      <c r="D124" s="28" t="n"/>
      <c r="E124" s="29" t="n"/>
      <c r="F124" s="16" t="inlineStr">
        <is>
          <t>https://www.nrel.gov/analysis/jedi/natural-gas.html</t>
        </is>
      </c>
    </row>
    <row r="125">
      <c r="A125" s="7" t="inlineStr">
        <is>
          <t xml:space="preserve"> Engineering/Design</t>
        </is>
      </c>
      <c r="B125" s="46" t="n">
        <v>0.02352941176470588</v>
      </c>
      <c r="C125" s="28">
        <f>'OECD Mapping'!A38</f>
        <v/>
      </c>
      <c r="D125" s="28">
        <f>'OECD Mapping'!B38</f>
        <v/>
      </c>
      <c r="E125" s="73" t="inlineStr">
        <is>
          <t>Mapping based on Natural Gas JEDI and judgment</t>
        </is>
      </c>
      <c r="F125" s="16" t="inlineStr">
        <is>
          <t>https://www.nrel.gov/analysis/jedi/natural-gas.html</t>
        </is>
      </c>
    </row>
    <row r="126">
      <c r="A126" s="7" t="inlineStr">
        <is>
          <t xml:space="preserve"> Construction insurance</t>
        </is>
      </c>
      <c r="B126" s="45" t="n">
        <v>0.005882352941176471</v>
      </c>
      <c r="C126" s="28">
        <f>'OECD Mapping'!A36</f>
        <v/>
      </c>
      <c r="D126" s="28">
        <f>'OECD Mapping'!B36</f>
        <v/>
      </c>
      <c r="E126" s="73" t="inlineStr">
        <is>
          <t>Mapping based on Natural Gas JEDI and judgment</t>
        </is>
      </c>
      <c r="F126" s="16" t="inlineStr">
        <is>
          <t>https://www.nrel.gov/analysis/jedi/natural-gas.html</t>
        </is>
      </c>
    </row>
    <row r="127">
      <c r="A127" s="7" t="inlineStr">
        <is>
          <t xml:space="preserve"> Land</t>
        </is>
      </c>
      <c r="B127" s="45" t="n">
        <v>0.04705882352941176</v>
      </c>
      <c r="C127" s="28">
        <f>'OECD Mapping'!A37</f>
        <v/>
      </c>
      <c r="D127" s="28">
        <f>'OECD Mapping'!B37</f>
        <v/>
      </c>
      <c r="E127" s="73" t="inlineStr">
        <is>
          <t>Mapping based on Natural Gas JEDI and judgment</t>
        </is>
      </c>
      <c r="F127" s="16" t="inlineStr">
        <is>
          <t>https://www.nrel.gov/analysis/jedi/natural-gas.html</t>
        </is>
      </c>
    </row>
    <row r="128">
      <c r="A128" s="7" t="inlineStr">
        <is>
          <t xml:space="preserve"> Permitting Fees</t>
        </is>
      </c>
      <c r="B128" s="45" t="n">
        <v>0.02352941176470588</v>
      </c>
      <c r="C128" s="28">
        <f>'OECD Mapping'!A39</f>
        <v/>
      </c>
      <c r="D128" s="28">
        <f>'OECD Mapping'!B39</f>
        <v/>
      </c>
      <c r="E128" s="73" t="inlineStr">
        <is>
          <t>Mapping based on Natural Gas JEDI and judgment</t>
        </is>
      </c>
      <c r="F128" s="16" t="inlineStr">
        <is>
          <t>https://www.nrel.gov/analysis/jedi/natural-gas.html</t>
        </is>
      </c>
    </row>
    <row r="129">
      <c r="A129" s="7" t="inlineStr">
        <is>
          <t xml:space="preserve"> Grid intertie</t>
        </is>
      </c>
      <c r="B129" s="45" t="n">
        <v>0.02352941176470588</v>
      </c>
      <c r="C129" s="28">
        <f>'OECD Mapping'!A29</f>
        <v/>
      </c>
      <c r="D129" s="28">
        <f>'OECD Mapping'!B29</f>
        <v/>
      </c>
      <c r="E129" s="73" t="inlineStr">
        <is>
          <t>Mapping based on Natural Gas JEDI and judgment</t>
        </is>
      </c>
      <c r="F129" s="16" t="inlineStr">
        <is>
          <t>https://www.nrel.gov/analysis/jedi/natural-gas.html</t>
        </is>
      </c>
    </row>
    <row r="130">
      <c r="A130" s="7" t="inlineStr">
        <is>
          <t xml:space="preserve"> Spare Parts</t>
        </is>
      </c>
      <c r="B130" s="45" t="n">
        <v>0.005882352941176471</v>
      </c>
      <c r="C130" s="28">
        <f>'OECD Mapping'!A22</f>
        <v/>
      </c>
      <c r="D130" s="28">
        <f>'OECD Mapping'!B22</f>
        <v/>
      </c>
      <c r="E130" s="73" t="inlineStr">
        <is>
          <t>Mapping based on Natural Gas JEDI and judgment</t>
        </is>
      </c>
      <c r="F130" s="16" t="inlineStr">
        <is>
          <t>https://www.nrel.gov/analysis/jedi/natural-gas.html</t>
        </is>
      </c>
    </row>
    <row r="131">
      <c r="A131" s="7" t="inlineStr">
        <is>
          <t xml:space="preserve"> Other Subtotal</t>
        </is>
      </c>
      <c r="B131" s="45" t="n">
        <v>0.1294117647058824</v>
      </c>
      <c r="C131" s="28" t="n"/>
      <c r="D131" s="28" t="n"/>
      <c r="E131" s="73" t="n"/>
      <c r="F131" s="16" t="n"/>
    </row>
    <row r="132">
      <c r="A132" s="5" t="inlineStr">
        <is>
          <t>Subtotal All Costs (without sales tax)</t>
        </is>
      </c>
      <c r="B132" s="46" t="n">
        <v>1</v>
      </c>
      <c r="C132" s="28" t="n"/>
      <c r="D132" s="29" t="n"/>
      <c r="E132" s="29" t="n"/>
      <c r="F132" s="16" t="inlineStr">
        <is>
          <t>https://www.nrel.gov/analysis/jedi/natural-gas.html</t>
        </is>
      </c>
    </row>
    <row r="133" ht="15" customHeight="1" thickBot="1">
      <c r="A133" s="47" t="inlineStr">
        <is>
          <t>Sales Tax (Materials &amp; Equipment Purchases)</t>
        </is>
      </c>
      <c r="B133" s="48">
        <f>B132+B124</f>
        <v/>
      </c>
      <c r="C133" s="49" t="n"/>
      <c r="D133" s="50" t="n"/>
      <c r="E133" s="50" t="n"/>
      <c r="F133" s="19" t="inlineStr">
        <is>
          <t>https://www.nrel.gov/analysis/jedi/natural-gas.html</t>
        </is>
      </c>
    </row>
    <row r="134">
      <c r="A134" s="11" t="inlineStr">
        <is>
          <t>Fixed O&amp;M Costs</t>
        </is>
      </c>
      <c r="B134" s="51" t="n"/>
      <c r="C134" s="36" t="n"/>
      <c r="D134" s="37" t="n"/>
      <c r="E134" s="37" t="n"/>
      <c r="F134" s="52" t="inlineStr">
        <is>
          <t>https://www.nrel.gov/analysis/jedi/natural-gas.html</t>
        </is>
      </c>
    </row>
    <row r="135">
      <c r="A135" s="38" t="inlineStr">
        <is>
          <t xml:space="preserve"> Labor</t>
        </is>
      </c>
      <c r="B135" s="23" t="n">
        <v>0.4182000000000002</v>
      </c>
      <c r="C135" s="39">
        <f>'OECD Mapping'!A26</f>
        <v/>
      </c>
      <c r="D135" s="39">
        <f>'OECD Mapping'!B26</f>
        <v/>
      </c>
      <c r="E135" s="73" t="inlineStr">
        <is>
          <t>Mapping based on Natural Gas JEDI and judgment</t>
        </is>
      </c>
      <c r="F135" s="16" t="inlineStr">
        <is>
          <t>https://www.nrel.gov/analysis/jedi/natural-gas.html</t>
        </is>
      </c>
    </row>
    <row r="136">
      <c r="A136" s="38" t="inlineStr">
        <is>
          <t xml:space="preserve"> Materials</t>
        </is>
      </c>
      <c r="B136" s="23" t="n">
        <v>0.06060416666666665</v>
      </c>
      <c r="C136" s="39">
        <f>'OECD Mapping'!A22</f>
        <v/>
      </c>
      <c r="D136" s="39">
        <f>'OECD Mapping'!B22</f>
        <v/>
      </c>
      <c r="E136" s="73" t="inlineStr">
        <is>
          <t>Mapping based on Natural Gas JEDI and judgment</t>
        </is>
      </c>
      <c r="F136" s="16" t="inlineStr">
        <is>
          <t>https://www.nrel.gov/analysis/jedi/natural-gas.html</t>
        </is>
      </c>
    </row>
    <row r="137">
      <c r="A137" s="38" t="inlineStr">
        <is>
          <t xml:space="preserve"> Services</t>
        </is>
      </c>
      <c r="B137" s="23" t="n">
        <v>0.5211958333333331</v>
      </c>
      <c r="C137" s="39">
        <f>'OECD Mapping'!A38</f>
        <v/>
      </c>
      <c r="D137" s="39">
        <f>'OECD Mapping'!B38</f>
        <v/>
      </c>
      <c r="E137" s="73" t="inlineStr">
        <is>
          <t>Mapping based on Natural Gas JEDI and judgment</t>
        </is>
      </c>
      <c r="F137" s="16" t="inlineStr">
        <is>
          <t>https://www.nrel.gov/analysis/jedi/natural-gas.html</t>
        </is>
      </c>
    </row>
    <row r="138" ht="15" customHeight="1" thickBot="1">
      <c r="A138" s="40" t="inlineStr">
        <is>
          <t xml:space="preserve">Total </t>
        </is>
      </c>
      <c r="B138" s="53">
        <f>SUM(B135:B137)</f>
        <v/>
      </c>
      <c r="C138" s="25" t="n"/>
      <c r="D138" s="26" t="n"/>
      <c r="E138" s="26" t="n"/>
      <c r="F138" s="19" t="inlineStr">
        <is>
          <t>https://www.nrel.gov/analysis/jedi/natural-gas.html</t>
        </is>
      </c>
    </row>
    <row r="139">
      <c r="A139" s="11" t="inlineStr">
        <is>
          <t>Variable O&amp;M Costs</t>
        </is>
      </c>
      <c r="B139" s="12" t="n"/>
      <c r="C139" s="36" t="n"/>
      <c r="D139" s="37" t="n"/>
      <c r="E139" s="37" t="n"/>
      <c r="F139" s="14" t="n"/>
    </row>
    <row r="140">
      <c r="A140" s="38" t="inlineStr">
        <is>
          <t xml:space="preserve"> Routine Turbine Maintenance</t>
        </is>
      </c>
      <c r="B140" s="27" t="n">
        <v>0.8448275862068966</v>
      </c>
      <c r="C140" s="39">
        <f>'OECD Mapping'!A25</f>
        <v/>
      </c>
      <c r="D140" s="39">
        <f>'OECD Mapping'!B25</f>
        <v/>
      </c>
      <c r="E140" s="73" t="inlineStr">
        <is>
          <t>Mapping based on Natural Gas JEDI and judgment</t>
        </is>
      </c>
      <c r="F140" s="16" t="inlineStr">
        <is>
          <t>https://www.nrel.gov/analysis/jedi/natural-gas.html</t>
        </is>
      </c>
    </row>
    <row r="141">
      <c r="A141" s="38" t="inlineStr">
        <is>
          <t xml:space="preserve"> Water</t>
        </is>
      </c>
      <c r="B141" s="27" t="n">
        <v>0.05172413793103448</v>
      </c>
      <c r="C141" s="39">
        <f>'OECD Mapping'!A28</f>
        <v/>
      </c>
      <c r="D141" s="39">
        <f>'OECD Mapping'!B28</f>
        <v/>
      </c>
      <c r="E141" s="73" t="inlineStr">
        <is>
          <t>Mapping based on Natural Gas JEDI and judgment</t>
        </is>
      </c>
      <c r="F141" s="16" t="inlineStr">
        <is>
          <t>https://www.nrel.gov/analysis/jedi/natural-gas.html</t>
        </is>
      </c>
    </row>
    <row r="142">
      <c r="A142" s="38" t="inlineStr">
        <is>
          <t xml:space="preserve"> Catalysts &amp; chemicals</t>
        </is>
      </c>
      <c r="B142" s="27" t="n">
        <v>0.103448275862069</v>
      </c>
      <c r="C142" s="39">
        <f>'OECD Mapping'!A12</f>
        <v/>
      </c>
      <c r="D142" s="39">
        <f>'OECD Mapping'!B12</f>
        <v/>
      </c>
      <c r="E142" s="73" t="inlineStr">
        <is>
          <t>Mapping based on Natural Gas JEDI and judgment</t>
        </is>
      </c>
      <c r="F142" s="16" t="inlineStr">
        <is>
          <t>https://www.nrel.gov/analysis/jedi/natural-gas.html</t>
        </is>
      </c>
    </row>
    <row r="143" ht="15" customHeight="1" thickBot="1">
      <c r="A143" s="40" t="inlineStr">
        <is>
          <t xml:space="preserve">Total </t>
        </is>
      </c>
      <c r="B143" s="44">
        <f>SUM(B140:B142)</f>
        <v/>
      </c>
      <c r="C143" s="25" t="n"/>
      <c r="D143" s="26" t="n"/>
      <c r="E143" s="26" t="n"/>
      <c r="F143" s="10" t="n"/>
    </row>
    <row r="144" ht="15" customHeight="1" thickBot="1"/>
    <row r="145" ht="18.5" customHeight="1">
      <c r="A145" s="131" t="inlineStr">
        <is>
          <t>Nuclear</t>
        </is>
      </c>
      <c r="B145" s="88" t="n"/>
      <c r="C145" s="88" t="n"/>
      <c r="D145" s="88" t="n"/>
      <c r="E145" s="88" t="n"/>
      <c r="F145" s="142" t="n"/>
    </row>
    <row r="146">
      <c r="A146" s="1" t="inlineStr">
        <is>
          <t>Capital Costs</t>
        </is>
      </c>
      <c r="B146" s="2" t="inlineStr">
        <is>
          <t>Percent</t>
        </is>
      </c>
      <c r="C146" s="2" t="inlineStr">
        <is>
          <t>I-O Mapping</t>
        </is>
      </c>
      <c r="D146" s="3" t="inlineStr">
        <is>
          <t>ISIC Mapping</t>
        </is>
      </c>
      <c r="E146" s="3" t="inlineStr">
        <is>
          <t>Notes</t>
        </is>
      </c>
      <c r="F146" s="4" t="inlineStr">
        <is>
          <t>Sources</t>
        </is>
      </c>
    </row>
    <row r="147">
      <c r="A147" s="5" t="inlineStr">
        <is>
          <t>Construction Costs</t>
        </is>
      </c>
      <c r="B147" s="2" t="inlineStr">
        <is>
          <t>of Cost</t>
        </is>
      </c>
      <c r="C147" s="2" t="n"/>
      <c r="D147" s="3" t="n"/>
      <c r="E147" s="3" t="n"/>
      <c r="F147" s="16" t="n"/>
    </row>
    <row r="148">
      <c r="A148" s="7" t="inlineStr">
        <is>
          <t>Equipment</t>
        </is>
      </c>
      <c r="B148" s="55" t="n"/>
      <c r="C148" s="21" t="n"/>
      <c r="D148" s="22" t="n"/>
      <c r="E148" s="22" t="n"/>
      <c r="F148" s="6" t="n"/>
    </row>
    <row r="149">
      <c r="A149" s="7" t="inlineStr">
        <is>
          <t xml:space="preserve">     Nuclear steam supply system</t>
        </is>
      </c>
      <c r="B149" s="55" t="n">
        <v>0.12</v>
      </c>
      <c r="C149" s="21">
        <f>'OECD Mapping'!A22</f>
        <v/>
      </c>
      <c r="D149" s="21">
        <f>'OECD Mapping'!B22</f>
        <v/>
      </c>
      <c r="E149" s="21" t="inlineStr">
        <is>
          <t>Assumption made by EI</t>
        </is>
      </c>
    </row>
    <row r="150">
      <c r="A150" s="7" t="inlineStr">
        <is>
          <t xml:space="preserve">     Electrical and generating equipment</t>
        </is>
      </c>
      <c r="B150" s="55" t="n">
        <v>0.12</v>
      </c>
      <c r="C150" s="21">
        <f>'OECD Mapping'!A22</f>
        <v/>
      </c>
      <c r="D150" s="21">
        <f>'OECD Mapping'!B22</f>
        <v/>
      </c>
      <c r="E150" s="21" t="inlineStr">
        <is>
          <t>Assumption made by EI</t>
        </is>
      </c>
      <c r="F150" s="56" t="inlineStr">
        <is>
          <t>https://www.world-nuclear.org/information-library/economic-aspects/economics-of-nuclear-power.aspx</t>
        </is>
      </c>
    </row>
    <row r="151">
      <c r="A151" s="7" t="inlineStr">
        <is>
          <t xml:space="preserve">     Mechanical equipment</t>
        </is>
      </c>
      <c r="B151" s="55" t="n">
        <v>0.16</v>
      </c>
      <c r="C151" s="21">
        <f>'OECD Mapping'!A22</f>
        <v/>
      </c>
      <c r="D151" s="21">
        <f>'OECD Mapping'!B22</f>
        <v/>
      </c>
      <c r="E151" s="21" t="inlineStr">
        <is>
          <t>Assumption made by EI</t>
        </is>
      </c>
      <c r="F151" s="56" t="inlineStr">
        <is>
          <t>https://www.world-nuclear.org/information-library/economic-aspects/economics-of-nuclear-power.aspx</t>
        </is>
      </c>
    </row>
    <row r="152">
      <c r="A152" s="7" t="inlineStr">
        <is>
          <t xml:space="preserve">     Instrumentation and control system (including software)</t>
        </is>
      </c>
      <c r="B152" s="55" t="n">
        <v>0.08</v>
      </c>
      <c r="C152" s="21">
        <f>'OECD Mapping'!A22</f>
        <v/>
      </c>
      <c r="D152" s="21">
        <f>'OECD Mapping'!B22</f>
        <v/>
      </c>
      <c r="E152" s="21" t="inlineStr">
        <is>
          <t>Assumption made by EI</t>
        </is>
      </c>
      <c r="F152" s="56" t="inlineStr">
        <is>
          <t>https://www.world-nuclear.org/information-library/economic-aspects/economics-of-nuclear-power.aspx</t>
        </is>
      </c>
    </row>
    <row r="153">
      <c r="A153" s="7" t="inlineStr">
        <is>
          <t>Construction materials</t>
        </is>
      </c>
      <c r="B153" s="55" t="n">
        <v>0.12</v>
      </c>
      <c r="C153" s="21">
        <f>'OECD Mapping'!A22</f>
        <v/>
      </c>
      <c r="D153" s="21">
        <f>'OECD Mapping'!B22</f>
        <v/>
      </c>
      <c r="E153" s="21" t="inlineStr">
        <is>
          <t>Assumption made by EI</t>
        </is>
      </c>
      <c r="F153" s="56" t="inlineStr">
        <is>
          <t>https://www.world-nuclear.org/information-library/economic-aspects/economics-of-nuclear-power.aspx</t>
        </is>
      </c>
    </row>
    <row r="154">
      <c r="A154" s="7" t="inlineStr">
        <is>
          <t>Labour onsite</t>
        </is>
      </c>
      <c r="B154" s="55" t="n">
        <v>0.25</v>
      </c>
      <c r="C154" s="21">
        <f>'OECD Mapping'!A29</f>
        <v/>
      </c>
      <c r="D154" s="21">
        <f>'OECD Mapping'!B29</f>
        <v/>
      </c>
      <c r="E154" s="21" t="inlineStr">
        <is>
          <t>Assumption made by EI</t>
        </is>
      </c>
      <c r="F154" s="56" t="inlineStr">
        <is>
          <t>https://www.world-nuclear.org/information-library/economic-aspects/economics-of-nuclear-power.aspx</t>
        </is>
      </c>
    </row>
    <row r="155">
      <c r="A155" s="7" t="inlineStr">
        <is>
          <t>Project management services</t>
        </is>
      </c>
      <c r="B155" s="55" t="n">
        <v>0.1</v>
      </c>
      <c r="C155" s="21">
        <f>'OECD Mapping'!A29</f>
        <v/>
      </c>
      <c r="D155" s="21">
        <f>'OECD Mapping'!B29</f>
        <v/>
      </c>
      <c r="E155" s="21" t="inlineStr">
        <is>
          <t>Assumption made by EI</t>
        </is>
      </c>
      <c r="F155" s="56" t="inlineStr">
        <is>
          <t>https://www.world-nuclear.org/information-library/economic-aspects/economics-of-nuclear-power.aspx</t>
        </is>
      </c>
    </row>
    <row r="156">
      <c r="A156" s="7" t="inlineStr">
        <is>
          <t>Other services</t>
        </is>
      </c>
      <c r="B156" s="55" t="n">
        <v>0.02</v>
      </c>
      <c r="C156" s="21">
        <f>'OECD Mapping'!A38</f>
        <v/>
      </c>
      <c r="D156" s="21">
        <f>'OECD Mapping'!B38</f>
        <v/>
      </c>
      <c r="E156" s="21" t="inlineStr">
        <is>
          <t>Assumption made by EI</t>
        </is>
      </c>
      <c r="F156" s="56" t="inlineStr">
        <is>
          <t>https://www.world-nuclear.org/information-library/economic-aspects/economics-of-nuclear-power.aspx</t>
        </is>
      </c>
    </row>
    <row r="157">
      <c r="A157" s="7" t="inlineStr">
        <is>
          <t>First fuel load</t>
        </is>
      </c>
      <c r="B157" s="55" t="n">
        <v>0.03</v>
      </c>
      <c r="C157" s="21">
        <f>'OECD Mapping'!A5</f>
        <v/>
      </c>
      <c r="D157" s="21">
        <f>'OECD Mapping'!B5</f>
        <v/>
      </c>
      <c r="E157" s="21" t="inlineStr">
        <is>
          <t>Assumption made by EI</t>
        </is>
      </c>
      <c r="F157" s="56" t="inlineStr">
        <is>
          <t>https://www.world-nuclear.org/information-library/economic-aspects/economics-of-nuclear-power.aspx</t>
        </is>
      </c>
    </row>
    <row r="158" ht="15" customHeight="1" thickBot="1">
      <c r="A158" s="57" t="inlineStr">
        <is>
          <t>Total</t>
        </is>
      </c>
      <c r="B158" s="58" t="n">
        <v>1</v>
      </c>
      <c r="C158" s="59" t="n"/>
      <c r="D158" s="59" t="n"/>
      <c r="E158" s="59" t="n"/>
      <c r="F158" s="56" t="inlineStr">
        <is>
          <t>https://www.world-nuclear.org/information-library/economic-aspects/economics-of-nuclear-power.aspx</t>
        </is>
      </c>
    </row>
    <row r="159">
      <c r="A159" s="11" t="inlineStr">
        <is>
          <t>Fixed O&amp;M Costs</t>
        </is>
      </c>
      <c r="B159" s="60" t="n"/>
      <c r="C159" s="60" t="n"/>
      <c r="D159" s="60" t="n"/>
      <c r="E159" s="60" t="n"/>
      <c r="F159" s="14" t="n"/>
    </row>
    <row r="160" ht="15" customHeight="1" thickBot="1">
      <c r="A160" s="57" t="inlineStr">
        <is>
          <t>Labor</t>
        </is>
      </c>
      <c r="B160" s="61" t="n">
        <v>1</v>
      </c>
      <c r="C160" s="59">
        <f>'OECD Mapping'!A26</f>
        <v/>
      </c>
      <c r="D160" s="59">
        <f>'OECD Mapping'!B26</f>
        <v/>
      </c>
      <c r="E160" s="59" t="inlineStr">
        <is>
          <t>Based on source, non-labor costs are neglible</t>
        </is>
      </c>
      <c r="F160" s="56" t="inlineStr">
        <is>
          <t>https://www.nei.org/CorporateSite/media/filefolder/resources/reports-and-briefs/nuclear-costs-context-201810.pdf</t>
        </is>
      </c>
    </row>
    <row r="161">
      <c r="A161" s="11" t="inlineStr">
        <is>
          <t>Variable O&amp;M Costs</t>
        </is>
      </c>
      <c r="B161" s="60" t="n"/>
      <c r="C161" s="60" t="n"/>
      <c r="D161" s="60" t="n"/>
      <c r="E161" s="60" t="n"/>
      <c r="F161" s="14" t="n"/>
    </row>
    <row r="162" ht="15" customHeight="1" thickBot="1">
      <c r="A162" s="24" t="inlineStr">
        <is>
          <t>water, water discharge treatment cost, chemicals, and consumables</t>
        </is>
      </c>
      <c r="B162" s="53" t="n">
        <v>1</v>
      </c>
      <c r="C162" s="25">
        <f>'OECD Mapping'!A28</f>
        <v/>
      </c>
      <c r="D162" s="25">
        <f>'OECD Mapping'!B28</f>
        <v/>
      </c>
      <c r="E162" s="25" t="inlineStr">
        <is>
          <t>Water considered to be the largest cost</t>
        </is>
      </c>
      <c r="F162" s="19" t="inlineStr">
        <is>
          <t>https://www.eia.gov/analysis/studies/powerplants/capitalcost/pdf/capital_cost_AEO2020.pdf</t>
        </is>
      </c>
    </row>
    <row r="163" ht="15" customHeight="1" thickBot="1"/>
    <row r="164" ht="18.5" customHeight="1">
      <c r="A164" s="131" t="inlineStr">
        <is>
          <t>Hydro</t>
        </is>
      </c>
      <c r="B164" s="88" t="n"/>
      <c r="C164" s="88" t="n"/>
      <c r="D164" s="88" t="n"/>
      <c r="E164" s="88" t="n"/>
      <c r="F164" s="142" t="n"/>
    </row>
    <row r="165">
      <c r="A165" s="1" t="inlineStr">
        <is>
          <t>Capital Costs</t>
        </is>
      </c>
      <c r="B165" s="2" t="inlineStr">
        <is>
          <t>Percent</t>
        </is>
      </c>
      <c r="C165" s="2" t="inlineStr">
        <is>
          <t>I-O Mapping</t>
        </is>
      </c>
      <c r="D165" s="3" t="inlineStr">
        <is>
          <t>ISIC Mapping</t>
        </is>
      </c>
      <c r="E165" s="3" t="inlineStr">
        <is>
          <t>Notes</t>
        </is>
      </c>
      <c r="F165" s="4" t="inlineStr">
        <is>
          <t>Sources</t>
        </is>
      </c>
    </row>
    <row r="166">
      <c r="A166" s="5" t="inlineStr">
        <is>
          <t>Construction Costs</t>
        </is>
      </c>
      <c r="B166" s="2" t="inlineStr">
        <is>
          <t>of Cost</t>
        </is>
      </c>
      <c r="C166" s="2" t="n"/>
      <c r="D166" s="3" t="n"/>
      <c r="E166" s="3" t="n"/>
      <c r="F166" s="16" t="n"/>
    </row>
    <row r="167">
      <c r="A167" s="62" t="inlineStr">
        <is>
          <t>Land, Water and Facility Rights</t>
        </is>
      </c>
      <c r="C167" s="63" t="n"/>
      <c r="D167" s="63" t="n"/>
      <c r="E167" s="63" t="n"/>
      <c r="F167" s="64" t="inlineStr">
        <is>
          <t>https://www.nrel.gov/analysis/jedi/conventional-hydro.html</t>
        </is>
      </c>
    </row>
    <row r="168">
      <c r="A168" s="7" t="inlineStr">
        <is>
          <t xml:space="preserve">  Land and Water Rights</t>
        </is>
      </c>
      <c r="B168" s="55" t="n">
        <v>0.005412429080140023</v>
      </c>
      <c r="C168" s="21">
        <f>'OECD Mapping'!A37</f>
        <v/>
      </c>
      <c r="D168" s="21">
        <f>'OECD Mapping'!B37</f>
        <v/>
      </c>
      <c r="E168" s="73" t="inlineStr">
        <is>
          <t>Mapping based on Conventional Hydro JEDI and judgment</t>
        </is>
      </c>
      <c r="F168" s="65" t="inlineStr">
        <is>
          <t>https://www.nrel.gov/analysis/jedi/conventional-hydro.html</t>
        </is>
      </c>
    </row>
    <row r="169">
      <c r="A169" s="7" t="inlineStr">
        <is>
          <t xml:space="preserve">  Transmission Line Right of Way</t>
        </is>
      </c>
      <c r="B169" s="55" t="n">
        <v>0.001312104019427885</v>
      </c>
      <c r="C169" s="21">
        <f>'OECD Mapping'!A37</f>
        <v/>
      </c>
      <c r="D169" s="21">
        <f>'OECD Mapping'!B37</f>
        <v/>
      </c>
      <c r="E169" s="73" t="inlineStr">
        <is>
          <t>Mapping based on Conventional Hydro JEDI and judgment</t>
        </is>
      </c>
      <c r="F169" s="65" t="inlineStr">
        <is>
          <t>https://www.nrel.gov/analysis/jedi/conventional-hydro.html</t>
        </is>
      </c>
    </row>
    <row r="170">
      <c r="A170" s="7" t="inlineStr">
        <is>
          <t xml:space="preserve">  Subtotal</t>
        </is>
      </c>
      <c r="B170" s="55" t="n">
        <v>0.006724533099567907</v>
      </c>
      <c r="C170" s="21" t="n"/>
      <c r="D170" s="21" t="n"/>
      <c r="E170" s="21" t="n"/>
      <c r="F170" s="65" t="inlineStr">
        <is>
          <t>https://www.nrel.gov/analysis/jedi/conventional-hydro.html</t>
        </is>
      </c>
    </row>
    <row r="171">
      <c r="A171" s="7" t="inlineStr">
        <is>
          <t>Construction Materials and Equipment</t>
        </is>
      </c>
      <c r="B171" s="55" t="n"/>
      <c r="C171" s="21" t="n"/>
      <c r="D171" s="21" t="n"/>
      <c r="E171" s="21" t="n"/>
      <c r="F171" s="65" t="inlineStr">
        <is>
          <t>https://www.nrel.gov/analysis/jedi/conventional-hydro.html</t>
        </is>
      </c>
    </row>
    <row r="172">
      <c r="A172" s="7" t="inlineStr">
        <is>
          <t xml:space="preserve"> Civil Works and Structures</t>
        </is>
      </c>
      <c r="B172" s="55" t="n">
        <v>0.3557048391468023</v>
      </c>
      <c r="C172" s="21">
        <f>'OECD Mapping'!A29</f>
        <v/>
      </c>
      <c r="D172" s="21">
        <f>'OECD Mapping'!B29</f>
        <v/>
      </c>
      <c r="E172" s="73" t="inlineStr">
        <is>
          <t>Mapping based on Conventional Hydro JEDI and judgment</t>
        </is>
      </c>
      <c r="F172" s="65" t="inlineStr">
        <is>
          <t>https://www.nrel.gov/analysis/jedi/conventional-hydro.html</t>
        </is>
      </c>
    </row>
    <row r="173">
      <c r="A173" s="7" t="inlineStr">
        <is>
          <t xml:space="preserve">  Civil Subtotal</t>
        </is>
      </c>
      <c r="B173" s="55" t="n">
        <v>0.3557048391468023</v>
      </c>
      <c r="C173" s="21" t="n"/>
      <c r="D173" s="21" t="n"/>
      <c r="E173" s="21" t="n"/>
      <c r="F173" s="65" t="inlineStr">
        <is>
          <t>https://www.nrel.gov/analysis/jedi/conventional-hydro.html</t>
        </is>
      </c>
    </row>
    <row r="174">
      <c r="A174" s="7" t="inlineStr">
        <is>
          <t xml:space="preserve"> Equipment</t>
        </is>
      </c>
      <c r="B174" s="55" t="n"/>
      <c r="C174" s="21" t="n"/>
      <c r="D174" s="21" t="n"/>
      <c r="E174" s="21" t="n"/>
      <c r="F174" s="65" t="inlineStr">
        <is>
          <t>https://www.nrel.gov/analysis/jedi/conventional-hydro.html</t>
        </is>
      </c>
    </row>
    <row r="175">
      <c r="A175" s="7" t="inlineStr">
        <is>
          <t xml:space="preserve">  Turbines</t>
        </is>
      </c>
      <c r="B175" s="55" t="n">
        <v>0.09020715133566705</v>
      </c>
      <c r="C175" s="21">
        <f>'OECD Mapping'!A22</f>
        <v/>
      </c>
      <c r="D175" s="21">
        <f>'OECD Mapping'!B22</f>
        <v/>
      </c>
      <c r="E175" s="73" t="inlineStr">
        <is>
          <t>Mapping based on Conventional Hydro JEDI and judgment</t>
        </is>
      </c>
      <c r="F175" s="65" t="inlineStr">
        <is>
          <t>https://www.nrel.gov/analysis/jedi/conventional-hydro.html</t>
        </is>
      </c>
    </row>
    <row r="176">
      <c r="A176" s="7" t="inlineStr">
        <is>
          <t xml:space="preserve">  Generators</t>
        </is>
      </c>
      <c r="B176" s="55" t="n">
        <v>0.05412429080140023</v>
      </c>
      <c r="C176" s="21">
        <f>'OECD Mapping'!A21</f>
        <v/>
      </c>
      <c r="D176" s="21">
        <f>'OECD Mapping'!B21</f>
        <v/>
      </c>
      <c r="E176" s="73" t="inlineStr">
        <is>
          <t>Mapping based on Conventional Hydro JEDI and judgment</t>
        </is>
      </c>
      <c r="F176" s="65" t="inlineStr">
        <is>
          <t>https://www.nrel.gov/analysis/jedi/conventional-hydro.html</t>
        </is>
      </c>
    </row>
    <row r="177">
      <c r="A177" s="7" t="inlineStr">
        <is>
          <t xml:space="preserve">  Balance of Plant - Electrical</t>
        </is>
      </c>
      <c r="B177" s="55" t="n">
        <v>0.01894350178049008</v>
      </c>
      <c r="C177" s="21">
        <f>'OECD Mapping'!A21</f>
        <v/>
      </c>
      <c r="D177" s="21">
        <f>'OECD Mapping'!B21</f>
        <v/>
      </c>
      <c r="E177" s="73" t="inlineStr">
        <is>
          <t>Mapping based on Conventional Hydro JEDI and judgment</t>
        </is>
      </c>
      <c r="F177" s="65" t="inlineStr">
        <is>
          <t>https://www.nrel.gov/analysis/jedi/conventional-hydro.html</t>
        </is>
      </c>
    </row>
    <row r="178">
      <c r="A178" s="7" t="inlineStr">
        <is>
          <t xml:space="preserve">  Balance of Plant - Mechanical</t>
        </is>
      </c>
      <c r="B178" s="55" t="n">
        <v>0.01804143026713341</v>
      </c>
      <c r="C178" s="21">
        <f>'OECD Mapping'!A22</f>
        <v/>
      </c>
      <c r="D178" s="21">
        <f>'OECD Mapping'!B22</f>
        <v/>
      </c>
      <c r="E178" s="73" t="inlineStr">
        <is>
          <t>Mapping based on Conventional Hydro JEDI and judgment</t>
        </is>
      </c>
      <c r="F178" s="65" t="inlineStr">
        <is>
          <t>https://www.nrel.gov/analysis/jedi/conventional-hydro.html</t>
        </is>
      </c>
    </row>
    <row r="179">
      <c r="A179" s="7" t="inlineStr">
        <is>
          <t xml:space="preserve">  Main Power Transformers</t>
        </is>
      </c>
      <c r="B179" s="111" t="n">
        <v>0.005783554486570412</v>
      </c>
      <c r="C179" s="21">
        <f>'OECD Mapping'!A21</f>
        <v/>
      </c>
      <c r="D179" s="21">
        <f>'OECD Mapping'!B21</f>
        <v/>
      </c>
      <c r="E179" s="73" t="inlineStr">
        <is>
          <t>Mapping based on Conventional Hydro JEDI and judgment</t>
        </is>
      </c>
      <c r="F179" s="65" t="inlineStr">
        <is>
          <t>https://www.nrel.gov/analysis/jedi/conventional-hydro.html</t>
        </is>
      </c>
    </row>
    <row r="180">
      <c r="A180" s="7" t="inlineStr">
        <is>
          <t xml:space="preserve">  Switchyard and Interconnection</t>
        </is>
      </c>
      <c r="B180" s="111" t="n">
        <v>0.01804143026713341</v>
      </c>
      <c r="C180" s="21">
        <f>'OECD Mapping'!A21</f>
        <v/>
      </c>
      <c r="D180" s="21">
        <f>'OECD Mapping'!B21</f>
        <v/>
      </c>
      <c r="E180" s="73" t="inlineStr">
        <is>
          <t>Mapping based on Conventional Hydro JEDI and judgment</t>
        </is>
      </c>
      <c r="F180" s="65" t="inlineStr">
        <is>
          <t>https://www.nrel.gov/analysis/jedi/conventional-hydro.html</t>
        </is>
      </c>
    </row>
    <row r="181">
      <c r="A181" s="7" t="inlineStr">
        <is>
          <t xml:space="preserve">  Transmission Line</t>
        </is>
      </c>
      <c r="B181" s="111" t="n">
        <v>0.008299057922881369</v>
      </c>
      <c r="C181" s="21">
        <f>'OECD Mapping'!A21</f>
        <v/>
      </c>
      <c r="D181" s="21">
        <f>'OECD Mapping'!B21</f>
        <v/>
      </c>
      <c r="E181" s="73" t="inlineStr">
        <is>
          <t>Mapping based on Conventional Hydro JEDI and judgment</t>
        </is>
      </c>
      <c r="F181" s="65" t="inlineStr">
        <is>
          <t>https://www.nrel.gov/analysis/jedi/conventional-hydro.html</t>
        </is>
      </c>
    </row>
    <row r="182">
      <c r="A182" s="7" t="inlineStr">
        <is>
          <t xml:space="preserve">  Equipment Subtotal</t>
        </is>
      </c>
      <c r="B182" s="111" t="n">
        <v>0.213440416861276</v>
      </c>
      <c r="C182" s="21" t="n"/>
      <c r="D182" s="21" t="n"/>
      <c r="E182" s="21" t="n"/>
      <c r="F182" s="65" t="inlineStr">
        <is>
          <t>https://www.nrel.gov/analysis/jedi/conventional-hydro.html</t>
        </is>
      </c>
    </row>
    <row r="183">
      <c r="A183" s="7" t="inlineStr">
        <is>
          <t>Installation/Labor</t>
        </is>
      </c>
      <c r="B183" s="111" t="n"/>
      <c r="C183" s="21" t="n"/>
      <c r="D183" s="21" t="n"/>
      <c r="E183" s="21" t="n"/>
      <c r="F183" s="65" t="inlineStr">
        <is>
          <t>https://www.nrel.gov/analysis/jedi/conventional-hydro.html</t>
        </is>
      </c>
    </row>
    <row r="184">
      <c r="A184" s="7" t="inlineStr">
        <is>
          <t xml:space="preserve"> Civil Works and Structures</t>
        </is>
      </c>
      <c r="B184" s="111" t="n">
        <v>0.1956376615307413</v>
      </c>
      <c r="C184" s="21">
        <f>'OECD Mapping'!A29</f>
        <v/>
      </c>
      <c r="D184" s="21">
        <f>'OECD Mapping'!B29</f>
        <v/>
      </c>
      <c r="E184" s="73" t="inlineStr">
        <is>
          <t>Mapping based on Conventional Hydro JEDI and judgment</t>
        </is>
      </c>
      <c r="F184" s="65" t="inlineStr">
        <is>
          <t>https://www.nrel.gov/analysis/jedi/conventional-hydro.html</t>
        </is>
      </c>
    </row>
    <row r="185">
      <c r="A185" s="7" t="inlineStr">
        <is>
          <t xml:space="preserve"> Turbines</t>
        </is>
      </c>
      <c r="B185" s="111" t="n">
        <v>0.01434293706237106</v>
      </c>
      <c r="C185" s="21">
        <f>'OECD Mapping'!A29</f>
        <v/>
      </c>
      <c r="D185" s="21">
        <f>'OECD Mapping'!B29</f>
        <v/>
      </c>
      <c r="E185" s="73" t="inlineStr">
        <is>
          <t>Mapping based on Conventional Hydro JEDI and judgment</t>
        </is>
      </c>
      <c r="F185" s="65" t="inlineStr">
        <is>
          <t>https://www.nrel.gov/analysis/jedi/conventional-hydro.html</t>
        </is>
      </c>
    </row>
    <row r="186">
      <c r="A186" s="7" t="inlineStr">
        <is>
          <t xml:space="preserve"> Generators</t>
        </is>
      </c>
      <c r="B186" s="111" t="n">
        <v>0.008605762237422637</v>
      </c>
      <c r="C186" s="21">
        <f>'OECD Mapping'!A29</f>
        <v/>
      </c>
      <c r="D186" s="21">
        <f>'OECD Mapping'!B29</f>
        <v/>
      </c>
      <c r="E186" s="73" t="inlineStr">
        <is>
          <t>Mapping based on Conventional Hydro JEDI and judgment</t>
        </is>
      </c>
      <c r="F186" s="65" t="inlineStr">
        <is>
          <t>https://www.nrel.gov/analysis/jedi/conventional-hydro.html</t>
        </is>
      </c>
    </row>
    <row r="187">
      <c r="A187" s="7" t="inlineStr">
        <is>
          <t xml:space="preserve"> Balance of Plant Electrical</t>
        </is>
      </c>
      <c r="B187" s="111" t="n">
        <v>0.003012016783097923</v>
      </c>
      <c r="C187" s="21">
        <f>'OECD Mapping'!A29</f>
        <v/>
      </c>
      <c r="D187" s="21">
        <f>'OECD Mapping'!B29</f>
        <v/>
      </c>
      <c r="E187" s="73" t="inlineStr">
        <is>
          <t>Mapping based on Conventional Hydro JEDI and judgment</t>
        </is>
      </c>
      <c r="F187" s="65" t="inlineStr">
        <is>
          <t>https://www.nrel.gov/analysis/jedi/conventional-hydro.html</t>
        </is>
      </c>
    </row>
    <row r="188">
      <c r="A188" s="7" t="inlineStr">
        <is>
          <t xml:space="preserve"> Balance of Plant Mechanical</t>
        </is>
      </c>
      <c r="B188" s="111" t="n">
        <v>0.002868587412474212</v>
      </c>
      <c r="C188" s="21">
        <f>'OECD Mapping'!A29</f>
        <v/>
      </c>
      <c r="D188" s="21">
        <f>'OECD Mapping'!B29</f>
        <v/>
      </c>
      <c r="E188" s="73" t="inlineStr">
        <is>
          <t>Mapping based on Conventional Hydro JEDI and judgment</t>
        </is>
      </c>
      <c r="F188" s="65" t="inlineStr">
        <is>
          <t>https://www.nrel.gov/analysis/jedi/conventional-hydro.html</t>
        </is>
      </c>
    </row>
    <row r="189">
      <c r="A189" s="7" t="inlineStr">
        <is>
          <t xml:space="preserve"> Main Power Transformers</t>
        </is>
      </c>
      <c r="B189" s="111" t="n">
        <v>0.0007171468531185531</v>
      </c>
      <c r="C189" s="21">
        <f>'OECD Mapping'!A29</f>
        <v/>
      </c>
      <c r="D189" s="21">
        <f>'OECD Mapping'!B29</f>
        <v/>
      </c>
      <c r="E189" s="73" t="inlineStr">
        <is>
          <t>Mapping based on Conventional Hydro JEDI and judgment</t>
        </is>
      </c>
      <c r="F189" s="65" t="inlineStr">
        <is>
          <t>https://www.nrel.gov/analysis/jedi/conventional-hydro.html</t>
        </is>
      </c>
    </row>
    <row r="190">
      <c r="A190" s="7" t="inlineStr">
        <is>
          <t xml:space="preserve"> Switchyard and Interconnection</t>
        </is>
      </c>
      <c r="B190" s="111" t="n">
        <v>0.002868587412474212</v>
      </c>
      <c r="C190" s="21">
        <f>'OECD Mapping'!A29</f>
        <v/>
      </c>
      <c r="D190" s="21">
        <f>'OECD Mapping'!B29</f>
        <v/>
      </c>
      <c r="E190" s="73" t="inlineStr">
        <is>
          <t>Mapping based on Conventional Hydro JEDI and judgment</t>
        </is>
      </c>
      <c r="F190" s="65" t="inlineStr">
        <is>
          <t>https://www.nrel.gov/analysis/jedi/conventional-hydro.html</t>
        </is>
      </c>
    </row>
    <row r="191">
      <c r="A191" s="7" t="inlineStr">
        <is>
          <t xml:space="preserve"> Transmission Lines</t>
        </is>
      </c>
      <c r="B191" s="111" t="n">
        <v>0.004838350769039838</v>
      </c>
      <c r="C191" s="21">
        <f>'OECD Mapping'!A29</f>
        <v/>
      </c>
      <c r="D191" s="21">
        <f>'OECD Mapping'!B29</f>
        <v/>
      </c>
      <c r="E191" s="73" t="inlineStr">
        <is>
          <t>Mapping based on Conventional Hydro JEDI and judgment</t>
        </is>
      </c>
      <c r="F191" s="65" t="inlineStr">
        <is>
          <t>https://www.nrel.gov/analysis/jedi/conventional-hydro.html</t>
        </is>
      </c>
    </row>
    <row r="192">
      <c r="A192" s="7" t="inlineStr">
        <is>
          <t xml:space="preserve"> Installation/Labor Subtotal</t>
        </is>
      </c>
      <c r="B192" s="111" t="n">
        <v>0.2328910500607397</v>
      </c>
      <c r="C192" s="21" t="n"/>
      <c r="D192" s="21" t="n"/>
      <c r="E192" s="21" t="n"/>
      <c r="F192" s="65" t="inlineStr">
        <is>
          <t>https://www.nrel.gov/analysis/jedi/conventional-hydro.html</t>
        </is>
      </c>
    </row>
    <row r="193">
      <c r="A193" s="7" t="inlineStr">
        <is>
          <t>Other Costs</t>
        </is>
      </c>
      <c r="B193" s="111" t="n"/>
      <c r="C193" s="21" t="n"/>
      <c r="D193" s="21" t="n"/>
      <c r="E193" s="21" t="n"/>
      <c r="F193" s="65" t="inlineStr">
        <is>
          <t>https://www.nrel.gov/analysis/jedi/conventional-hydro.html</t>
        </is>
      </c>
    </row>
    <row r="194">
      <c r="A194" s="7" t="inlineStr">
        <is>
          <t xml:space="preserve"> Mitigation</t>
        </is>
      </c>
      <c r="B194" s="111" t="n">
        <v>0</v>
      </c>
      <c r="C194" s="21">
        <f>'OECD Mapping'!A29</f>
        <v/>
      </c>
      <c r="D194" s="21">
        <f>'OECD Mapping'!B29</f>
        <v/>
      </c>
      <c r="E194" s="73" t="inlineStr">
        <is>
          <t>Mapping based on Conventional Hydro JEDI and judgment</t>
        </is>
      </c>
      <c r="F194" s="65" t="inlineStr">
        <is>
          <t>https://www.nrel.gov/analysis/jedi/conventional-hydro.html</t>
        </is>
      </c>
    </row>
    <row r="195">
      <c r="A195" s="7" t="inlineStr">
        <is>
          <t xml:space="preserve"> Licensing, Permitting and Interconnection Agreement</t>
        </is>
      </c>
      <c r="B195" s="111" t="n">
        <v>0.05737174824948425</v>
      </c>
      <c r="C195" s="21">
        <f>'OECD Mapping'!A38</f>
        <v/>
      </c>
      <c r="D195" s="21">
        <f>'OECD Mapping'!B38</f>
        <v/>
      </c>
      <c r="E195" s="73" t="inlineStr">
        <is>
          <t>Mapping based on Conventional Hydro JEDI and judgment</t>
        </is>
      </c>
      <c r="F195" s="65" t="inlineStr">
        <is>
          <t>https://www.nrel.gov/analysis/jedi/conventional-hydro.html</t>
        </is>
      </c>
    </row>
    <row r="196">
      <c r="A196" s="7" t="inlineStr">
        <is>
          <t xml:space="preserve"> Engineering and Other Professional Services</t>
        </is>
      </c>
      <c r="B196" s="111" t="n">
        <v>0.1338674125821299</v>
      </c>
      <c r="C196" s="21">
        <f>'OECD Mapping'!A38</f>
        <v/>
      </c>
      <c r="D196" s="21">
        <f>'OECD Mapping'!B38</f>
        <v/>
      </c>
      <c r="E196" s="73" t="inlineStr">
        <is>
          <t>Mapping based on Conventional Hydro JEDI and judgment</t>
        </is>
      </c>
      <c r="F196" s="65" t="inlineStr">
        <is>
          <t>https://www.nrel.gov/analysis/jedi/conventional-hydro.html</t>
        </is>
      </c>
    </row>
    <row r="197">
      <c r="A197" s="7" t="inlineStr">
        <is>
          <t xml:space="preserve"> Insurance</t>
        </is>
      </c>
      <c r="B197" s="111" t="n">
        <v>0</v>
      </c>
      <c r="C197" s="21">
        <f>'OECD Mapping'!A36</f>
        <v/>
      </c>
      <c r="D197" s="21">
        <f>'OECD Mapping'!B36</f>
        <v/>
      </c>
      <c r="E197" s="73" t="inlineStr">
        <is>
          <t>Mapping based on Conventional Hydro JEDI and judgment</t>
        </is>
      </c>
      <c r="F197" s="65" t="inlineStr">
        <is>
          <t>https://www.nrel.gov/analysis/jedi/conventional-hydro.html</t>
        </is>
      </c>
    </row>
    <row r="198">
      <c r="A198" s="7" t="inlineStr">
        <is>
          <t xml:space="preserve"> Other Development </t>
        </is>
      </c>
      <c r="B198" s="111" t="n">
        <v>0</v>
      </c>
      <c r="C198" s="21">
        <f>'OECD Mapping'!A38</f>
        <v/>
      </c>
      <c r="D198" s="21">
        <f>'OECD Mapping'!B38</f>
        <v/>
      </c>
      <c r="E198" s="73" t="inlineStr">
        <is>
          <t>Mapping based on Conventional Hydro JEDI and judgment</t>
        </is>
      </c>
      <c r="F198" s="65" t="inlineStr">
        <is>
          <t>https://www.nrel.gov/analysis/jedi/conventional-hydro.html</t>
        </is>
      </c>
    </row>
    <row r="199">
      <c r="A199" s="7" t="inlineStr">
        <is>
          <t xml:space="preserve"> Other Subtotal</t>
        </is>
      </c>
      <c r="B199" s="111" t="n">
        <v>0.1912391608316142</v>
      </c>
      <c r="C199" s="21" t="n"/>
      <c r="D199" s="21" t="n"/>
      <c r="E199" s="21" t="n"/>
      <c r="F199" s="65" t="inlineStr">
        <is>
          <t>https://www.nrel.gov/analysis/jedi/conventional-hydro.html</t>
        </is>
      </c>
    </row>
    <row r="200">
      <c r="A200" s="7" t="inlineStr">
        <is>
          <t>Subtotal</t>
        </is>
      </c>
      <c r="B200" s="111" t="n">
        <v>1</v>
      </c>
      <c r="C200" s="21" t="n"/>
      <c r="D200" s="21" t="n"/>
      <c r="E200" s="21" t="n"/>
      <c r="F200" s="65" t="inlineStr">
        <is>
          <t>https://www.nrel.gov/analysis/jedi/conventional-hydro.html</t>
        </is>
      </c>
    </row>
    <row r="201">
      <c r="A201" s="7" t="inlineStr">
        <is>
          <t>Sales Tax (Materials &amp; Equipment Purchases)</t>
        </is>
      </c>
      <c r="B201" s="111" t="n">
        <v>0</v>
      </c>
      <c r="C201" s="21" t="n"/>
      <c r="D201" s="21" t="n"/>
      <c r="E201" s="21" t="n"/>
      <c r="F201" s="65" t="inlineStr">
        <is>
          <t>https://www.nrel.gov/analysis/jedi/conventional-hydro.html</t>
        </is>
      </c>
    </row>
    <row r="202" ht="15" customHeight="1" thickBot="1">
      <c r="A202" s="57" t="inlineStr">
        <is>
          <t>Total</t>
        </is>
      </c>
      <c r="B202" s="66" t="n">
        <v>1</v>
      </c>
      <c r="C202" s="59" t="n"/>
      <c r="D202" s="59" t="n"/>
      <c r="E202" s="59" t="n"/>
      <c r="F202" s="35" t="inlineStr">
        <is>
          <t>https://www.nrel.gov/analysis/jedi/conventional-hydro.html</t>
        </is>
      </c>
    </row>
    <row r="203">
      <c r="A203" s="11" t="inlineStr">
        <is>
          <t>Fixed O&amp;M Costs</t>
        </is>
      </c>
      <c r="B203" s="60" t="n"/>
      <c r="C203" s="60" t="n"/>
      <c r="D203" s="60" t="n"/>
      <c r="E203" s="60" t="n"/>
      <c r="F203" s="52" t="inlineStr">
        <is>
          <t>https://www.nrel.gov/analysis/jedi/conventional-hydro.html</t>
        </is>
      </c>
    </row>
    <row r="204">
      <c r="A204" s="7" t="inlineStr">
        <is>
          <t>Personnel and Labor</t>
        </is>
      </c>
      <c r="B204" s="111" t="n">
        <v>0.2170563900369649</v>
      </c>
      <c r="C204" s="21">
        <f>'OECD Mapping'!A26</f>
        <v/>
      </c>
      <c r="D204" s="21">
        <f>'OECD Mapping'!B26</f>
        <v/>
      </c>
      <c r="E204" s="73" t="inlineStr">
        <is>
          <t>Mapping based on Conventional Hydro JEDI and judgment</t>
        </is>
      </c>
      <c r="F204" s="16" t="inlineStr">
        <is>
          <t>https://www.nrel.gov/analysis/jedi/conventional-hydro.html</t>
        </is>
      </c>
    </row>
    <row r="205">
      <c r="A205" s="7" t="inlineStr">
        <is>
          <t>Materials and Services</t>
        </is>
      </c>
      <c r="B205" s="111" t="n"/>
      <c r="C205" s="21" t="n"/>
      <c r="D205" s="21" t="n"/>
      <c r="E205" s="21" t="n"/>
      <c r="F205" s="16" t="inlineStr">
        <is>
          <t>https://www.nrel.gov/analysis/jedi/conventional-hydro.html</t>
        </is>
      </c>
    </row>
    <row r="206">
      <c r="A206" s="7" t="inlineStr">
        <is>
          <t xml:space="preserve"> Supplies, Tools, Vehicles, etc.</t>
        </is>
      </c>
      <c r="B206" s="111" t="n">
        <v>0.09658970720762054</v>
      </c>
      <c r="C206" s="21">
        <f>'OECD Mapping'!A22</f>
        <v/>
      </c>
      <c r="D206" s="21">
        <f>'OECD Mapping'!B22</f>
        <v/>
      </c>
      <c r="E206" s="73" t="inlineStr">
        <is>
          <t>Mapping based on Conventional Hydro JEDI and judgment</t>
        </is>
      </c>
      <c r="F206" s="16" t="inlineStr">
        <is>
          <t>https://www.nrel.gov/analysis/jedi/conventional-hydro.html</t>
        </is>
      </c>
    </row>
    <row r="207">
      <c r="A207" s="7" t="inlineStr">
        <is>
          <t xml:space="preserve"> Insurance</t>
        </is>
      </c>
      <c r="B207" s="111" t="n">
        <v>0.3125159976702563</v>
      </c>
      <c r="C207" s="21">
        <f>'OECD Mapping'!A36</f>
        <v/>
      </c>
      <c r="D207" s="21">
        <f>'OECD Mapping'!B36</f>
        <v/>
      </c>
      <c r="E207" s="73" t="inlineStr">
        <is>
          <t>Mapping based on Conventional Hydro JEDI and judgment</t>
        </is>
      </c>
      <c r="F207" s="16" t="inlineStr">
        <is>
          <t>https://www.nrel.gov/analysis/jedi/conventional-hydro.html</t>
        </is>
      </c>
    </row>
    <row r="208">
      <c r="A208" s="7" t="inlineStr">
        <is>
          <t xml:space="preserve"> Taxes and Duties</t>
        </is>
      </c>
      <c r="B208" s="111" t="n">
        <v>0</v>
      </c>
      <c r="C208" s="21">
        <f>'OECD Mapping'!A39</f>
        <v/>
      </c>
      <c r="D208" s="21">
        <f>'OECD Mapping'!B39</f>
        <v/>
      </c>
      <c r="E208" s="73" t="inlineStr">
        <is>
          <t>Mapping based on Conventional Hydro JEDI and judgment</t>
        </is>
      </c>
      <c r="F208" s="16" t="inlineStr">
        <is>
          <t>https://www.nrel.gov/analysis/jedi/conventional-hydro.html</t>
        </is>
      </c>
    </row>
    <row r="209">
      <c r="A209" s="7" t="inlineStr">
        <is>
          <t xml:space="preserve"> Regulatory Compliance</t>
        </is>
      </c>
      <c r="B209" s="111" t="n">
        <v>0.1806584906699172</v>
      </c>
      <c r="C209" s="21">
        <f>'OECD Mapping'!A38</f>
        <v/>
      </c>
      <c r="D209" s="21">
        <f>'OECD Mapping'!B38</f>
        <v/>
      </c>
      <c r="E209" s="73" t="inlineStr">
        <is>
          <t>Mapping based on Conventional Hydro JEDI and judgment</t>
        </is>
      </c>
      <c r="F209" s="16" t="inlineStr">
        <is>
          <t>https://www.nrel.gov/analysis/jedi/conventional-hydro.html</t>
        </is>
      </c>
    </row>
    <row r="210">
      <c r="A210" s="7" t="inlineStr">
        <is>
          <t xml:space="preserve"> Rents/Leases</t>
        </is>
      </c>
      <c r="B210" s="111" t="n">
        <v>0</v>
      </c>
      <c r="C210" s="21">
        <f>'OECD Mapping'!A37</f>
        <v/>
      </c>
      <c r="D210" s="21">
        <f>'OECD Mapping'!B37</f>
        <v/>
      </c>
      <c r="E210" s="73" t="inlineStr">
        <is>
          <t>Mapping based on Conventional Hydro JEDI and judgment</t>
        </is>
      </c>
      <c r="F210" s="16" t="inlineStr">
        <is>
          <t>https://www.nrel.gov/analysis/jedi/conventional-hydro.html</t>
        </is>
      </c>
    </row>
    <row r="211">
      <c r="A211" s="7" t="inlineStr">
        <is>
          <t xml:space="preserve"> Replacement Parts</t>
        </is>
      </c>
      <c r="B211" s="111" t="n">
        <v>0.1931794144152411</v>
      </c>
      <c r="C211" s="21">
        <f>'OECD Mapping'!A21</f>
        <v/>
      </c>
      <c r="D211" s="21">
        <f>'OECD Mapping'!B21</f>
        <v/>
      </c>
      <c r="E211" s="73" t="inlineStr">
        <is>
          <t>Mapping based on Conventional Hydro JEDI and judgment</t>
        </is>
      </c>
      <c r="F211" s="16" t="inlineStr">
        <is>
          <t>https://www.nrel.gov/analysis/jedi/conventional-hydro.html</t>
        </is>
      </c>
    </row>
    <row r="212">
      <c r="A212" s="7" t="inlineStr">
        <is>
          <t xml:space="preserve"> Subtotal</t>
        </is>
      </c>
      <c r="B212" s="111" t="n">
        <v>0.7829436099630351</v>
      </c>
      <c r="C212" s="21" t="n"/>
      <c r="D212" s="21" t="n"/>
      <c r="E212" s="21" t="n"/>
      <c r="F212" s="16" t="inlineStr">
        <is>
          <t>https://www.nrel.gov/analysis/jedi/conventional-hydro.html</t>
        </is>
      </c>
    </row>
    <row r="213">
      <c r="A213" s="7" t="inlineStr">
        <is>
          <t>Subtotal</t>
        </is>
      </c>
      <c r="B213" s="111" t="n">
        <v>1</v>
      </c>
      <c r="C213" s="21" t="n"/>
      <c r="D213" s="21" t="n"/>
      <c r="E213" s="21" t="n"/>
      <c r="F213" s="16" t="inlineStr">
        <is>
          <t>https://www.nrel.gov/analysis/jedi/conventional-hydro.html</t>
        </is>
      </c>
    </row>
    <row r="214">
      <c r="A214" s="7" t="inlineStr">
        <is>
          <t>Sales Tax (Materials &amp; Equipment Purchases)</t>
        </is>
      </c>
      <c r="B214" s="111" t="n">
        <v>0</v>
      </c>
      <c r="C214" s="21" t="n"/>
      <c r="D214" s="21" t="n"/>
      <c r="E214" s="21" t="n"/>
      <c r="F214" s="16" t="inlineStr">
        <is>
          <t>https://www.nrel.gov/analysis/jedi/conventional-hydro.html</t>
        </is>
      </c>
    </row>
    <row r="215" ht="15" customHeight="1" thickBot="1">
      <c r="A215" s="57" t="inlineStr">
        <is>
          <t>Total (without property taxes and debt financing)</t>
        </is>
      </c>
      <c r="B215" s="66" t="n">
        <v>1</v>
      </c>
      <c r="C215" s="59" t="n"/>
      <c r="D215" s="59" t="n"/>
      <c r="E215" s="59" t="n"/>
      <c r="F215" s="35" t="inlineStr">
        <is>
          <t>https://www.nrel.gov/analysis/jedi/conventional-hydro.html</t>
        </is>
      </c>
    </row>
    <row r="216">
      <c r="A216" s="11" t="inlineStr">
        <is>
          <t>Variable O&amp;M Costs</t>
        </is>
      </c>
      <c r="B216" s="60" t="n"/>
      <c r="C216" s="60" t="n"/>
      <c r="D216" s="60" t="n"/>
      <c r="E216" s="60" t="n"/>
      <c r="F216" s="14" t="n"/>
    </row>
    <row r="217" ht="15" customHeight="1" thickBot="1">
      <c r="A217" s="17" t="inlineStr">
        <is>
          <t>Water for power, hydraulic expenses, electric expenses, rent, misc.</t>
        </is>
      </c>
      <c r="B217" s="53" t="n">
        <v>1</v>
      </c>
      <c r="C217" s="25">
        <f>'OECD Mapping'!A28</f>
        <v/>
      </c>
      <c r="D217" s="25">
        <f>'OECD Mapping'!B28</f>
        <v/>
      </c>
      <c r="E217" s="25" t="inlineStr">
        <is>
          <t>Assigned 100% to utilities based on description</t>
        </is>
      </c>
      <c r="F217" s="19" t="inlineStr">
        <is>
          <t>https://www1.eere.energy.gov/water/pdfs/doewater-00662.pdf</t>
        </is>
      </c>
    </row>
    <row r="218" ht="15" customHeight="1" thickBot="1"/>
    <row r="219" ht="18.5" customHeight="1">
      <c r="A219" s="131" t="inlineStr">
        <is>
          <t>Biomass</t>
        </is>
      </c>
      <c r="B219" s="88" t="n"/>
      <c r="C219" s="88" t="n"/>
      <c r="D219" s="88" t="n"/>
      <c r="E219" s="88" t="n"/>
      <c r="F219" s="142" t="n"/>
    </row>
    <row r="220">
      <c r="A220" s="1" t="inlineStr">
        <is>
          <t>Capital Costs</t>
        </is>
      </c>
      <c r="B220" s="2" t="inlineStr">
        <is>
          <t>Percent</t>
        </is>
      </c>
      <c r="C220" s="2" t="inlineStr">
        <is>
          <t>I-O Mapping</t>
        </is>
      </c>
      <c r="D220" s="3" t="inlineStr">
        <is>
          <t>ISIC Mapping</t>
        </is>
      </c>
      <c r="E220" s="3" t="inlineStr">
        <is>
          <t>Notes</t>
        </is>
      </c>
      <c r="F220" s="4" t="inlineStr">
        <is>
          <t>Sources</t>
        </is>
      </c>
    </row>
    <row r="221">
      <c r="A221" s="5" t="inlineStr">
        <is>
          <t>Construction Costs</t>
        </is>
      </c>
      <c r="B221" s="2" t="inlineStr">
        <is>
          <t>of Cost</t>
        </is>
      </c>
      <c r="C221" s="2" t="n"/>
      <c r="D221" s="3" t="n"/>
      <c r="E221" s="3" t="n"/>
      <c r="F221" s="16" t="n"/>
    </row>
    <row r="222">
      <c r="A222" s="20" t="inlineStr">
        <is>
          <t>Feedstock handling equipment</t>
        </is>
      </c>
      <c r="B222" s="111" t="n">
        <v>0.14</v>
      </c>
      <c r="C222" s="21">
        <f>'OECD Mapping'!A22</f>
        <v/>
      </c>
      <c r="D222" s="21">
        <f>'OECD Mapping'!B22</f>
        <v/>
      </c>
      <c r="E222" s="73" t="inlineStr">
        <is>
          <t>Mapping based on I-JEDI and judgment</t>
        </is>
      </c>
      <c r="F222" s="56" t="inlineStr">
        <is>
          <t>https://www.nrel.gov/analysis/jedi/international.html</t>
        </is>
      </c>
    </row>
    <row r="223">
      <c r="A223" s="20" t="inlineStr">
        <is>
          <t>Turbines, boilers, and air quality control equipment</t>
        </is>
      </c>
      <c r="B223" s="111" t="n">
        <v>0.42</v>
      </c>
      <c r="C223" s="21">
        <f>'OECD Mapping'!A22</f>
        <v/>
      </c>
      <c r="D223" s="21">
        <f>'OECD Mapping'!B22</f>
        <v/>
      </c>
      <c r="E223" s="73" t="inlineStr">
        <is>
          <t>Mapping based on I-JEDI and judgment</t>
        </is>
      </c>
      <c r="F223" s="56" t="inlineStr">
        <is>
          <t>https://www.nrel.gov/analysis/jedi/international.html</t>
        </is>
      </c>
    </row>
    <row r="224">
      <c r="A224" s="20" t="inlineStr">
        <is>
          <t>Other equipment</t>
        </is>
      </c>
      <c r="B224" s="111" t="n">
        <v>0</v>
      </c>
      <c r="C224" s="21">
        <f>'OECD Mapping'!A22</f>
        <v/>
      </c>
      <c r="D224" s="21">
        <f>'OECD Mapping'!B22</f>
        <v/>
      </c>
      <c r="E224" s="73" t="inlineStr">
        <is>
          <t>Mapping based on I-JEDI and judgment</t>
        </is>
      </c>
      <c r="F224" s="56" t="inlineStr">
        <is>
          <t>https://www.nrel.gov/analysis/jedi/international.html</t>
        </is>
      </c>
    </row>
    <row r="225">
      <c r="A225" s="20" t="inlineStr">
        <is>
          <t>Construction Labor</t>
        </is>
      </c>
      <c r="B225" s="111" t="n">
        <v>0.14</v>
      </c>
      <c r="C225" s="21">
        <f>'OECD Mapping'!A29</f>
        <v/>
      </c>
      <c r="D225" s="21">
        <f>'OECD Mapping'!B29</f>
        <v/>
      </c>
      <c r="E225" s="73" t="inlineStr">
        <is>
          <t>Mapping based on I-JEDI and judgment</t>
        </is>
      </c>
      <c r="F225" s="56" t="inlineStr">
        <is>
          <t>https://www.nrel.gov/analysis/jedi/international.html</t>
        </is>
      </c>
    </row>
    <row r="226">
      <c r="A226" s="20" t="inlineStr">
        <is>
          <t>Balance of Plant</t>
        </is>
      </c>
      <c r="B226" s="111" t="n">
        <v>0.12</v>
      </c>
      <c r="C226" s="21">
        <f>'OECD Mapping'!A22</f>
        <v/>
      </c>
      <c r="D226" s="21">
        <f>'OECD Mapping'!B22</f>
        <v/>
      </c>
      <c r="E226" s="73" t="inlineStr">
        <is>
          <t>Mapping based on I-JEDI and judgment</t>
        </is>
      </c>
      <c r="F226" s="56" t="inlineStr">
        <is>
          <t>https://www.nrel.gov/analysis/jedi/international.html</t>
        </is>
      </c>
    </row>
    <row r="227" ht="15" customHeight="1" thickBot="1">
      <c r="A227" s="67" t="inlineStr">
        <is>
          <t>Professional Services (legal, engineering, development, etc.)</t>
        </is>
      </c>
      <c r="B227" s="66" t="n">
        <v>0.18</v>
      </c>
      <c r="C227" s="59">
        <f>'OECD Mapping'!A38</f>
        <v/>
      </c>
      <c r="D227" s="59">
        <f>'OECD Mapping'!B38</f>
        <v/>
      </c>
      <c r="E227" s="73" t="inlineStr">
        <is>
          <t>Mapping based on I-JEDI and judgment</t>
        </is>
      </c>
      <c r="F227" s="56" t="inlineStr">
        <is>
          <t>https://www.nrel.gov/analysis/jedi/international.html</t>
        </is>
      </c>
    </row>
    <row r="228">
      <c r="A228" s="11" t="inlineStr">
        <is>
          <t>Fixed O&amp;M Costs</t>
        </is>
      </c>
      <c r="B228" s="60" t="n"/>
      <c r="C228" s="60" t="n"/>
      <c r="D228" s="60" t="n"/>
      <c r="E228" s="60" t="n"/>
      <c r="F228" s="52" t="n"/>
    </row>
    <row r="229" ht="15" customHeight="1" thickBot="1">
      <c r="A229" s="24" t="inlineStr">
        <is>
          <t>Labor</t>
        </is>
      </c>
      <c r="B229" s="53" t="n">
        <v>1</v>
      </c>
      <c r="C229" s="25">
        <f>'OECD Mapping'!A26</f>
        <v/>
      </c>
      <c r="D229" s="25">
        <f>'OECD Mapping'!B26</f>
        <v/>
      </c>
      <c r="E229" s="73" t="inlineStr">
        <is>
          <t>Mapping based on I-JEDI and judgment</t>
        </is>
      </c>
      <c r="F229" s="68" t="inlineStr">
        <is>
          <t>https://www.nrel.gov/analysis/jedi/international.html</t>
        </is>
      </c>
    </row>
    <row r="230">
      <c r="A230" s="11" t="inlineStr">
        <is>
          <t>Variable O&amp;M Costs</t>
        </is>
      </c>
      <c r="B230" s="60" t="n"/>
      <c r="C230" s="60" t="n"/>
      <c r="D230" s="60" t="n"/>
      <c r="E230" s="60" t="n"/>
      <c r="F230" s="14" t="n"/>
    </row>
    <row r="231">
      <c r="A231" s="7" t="inlineStr">
        <is>
          <t>Chemicals (including ammonia)</t>
        </is>
      </c>
      <c r="B231" s="69" t="n">
        <v>0.7361678694606265</v>
      </c>
      <c r="C231" s="21">
        <f>'OECD Mapping'!A12</f>
        <v/>
      </c>
      <c r="D231" s="21">
        <f>'OECD Mapping'!B12</f>
        <v/>
      </c>
      <c r="E231" s="73" t="inlineStr">
        <is>
          <t>Mapping based on I-JEDI and judgment</t>
        </is>
      </c>
      <c r="F231" s="56" t="inlineStr">
        <is>
          <t>https://www.nrel.gov/analysis/jedi/international.html</t>
        </is>
      </c>
    </row>
    <row r="232">
      <c r="A232" s="7" t="inlineStr">
        <is>
          <t>Water</t>
        </is>
      </c>
      <c r="B232" s="69" t="n">
        <v>0.0783410138248848</v>
      </c>
      <c r="C232" s="21">
        <f>'OECD Mapping'!A28</f>
        <v/>
      </c>
      <c r="D232" s="21">
        <f>'OECD Mapping'!B28</f>
        <v/>
      </c>
      <c r="E232" s="73" t="inlineStr">
        <is>
          <t>Mapping based on I-JEDI and judgment</t>
        </is>
      </c>
      <c r="F232" s="56" t="inlineStr">
        <is>
          <t>https://www.nrel.gov/analysis/jedi/international.html</t>
        </is>
      </c>
    </row>
    <row r="233" ht="15" customHeight="1" thickBot="1">
      <c r="A233" s="17" t="inlineStr">
        <is>
          <t>Solids/Ash Disposal</t>
        </is>
      </c>
      <c r="B233" s="70" t="n">
        <v>0.1854911167144886</v>
      </c>
      <c r="C233" s="25">
        <f>'OECD Mapping'!A28</f>
        <v/>
      </c>
      <c r="D233" s="25">
        <f>'OECD Mapping'!B28</f>
        <v/>
      </c>
      <c r="E233" s="73" t="inlineStr">
        <is>
          <t>Mapping based on I-JEDI and judgment</t>
        </is>
      </c>
      <c r="F233" s="68" t="inlineStr">
        <is>
          <t>https://www.nrel.gov/analysis/jedi/international.html</t>
        </is>
      </c>
    </row>
    <row r="234" ht="15" customHeight="1" thickBot="1"/>
    <row r="235" ht="18.5" customHeight="1">
      <c r="A235" s="131" t="inlineStr">
        <is>
          <t>Solar Thermal</t>
        </is>
      </c>
      <c r="B235" s="88" t="n"/>
      <c r="C235" s="88" t="n"/>
      <c r="D235" s="88" t="n"/>
      <c r="E235" s="88" t="n"/>
      <c r="F235" s="142" t="n"/>
    </row>
    <row r="236">
      <c r="A236" s="1" t="inlineStr">
        <is>
          <t>Capital Costs</t>
        </is>
      </c>
      <c r="B236" s="2" t="inlineStr">
        <is>
          <t>Percent</t>
        </is>
      </c>
      <c r="C236" s="2" t="inlineStr">
        <is>
          <t>I-O Mapping</t>
        </is>
      </c>
      <c r="D236" s="2" t="inlineStr">
        <is>
          <t>ISIC Mapping</t>
        </is>
      </c>
      <c r="E236" s="2" t="inlineStr">
        <is>
          <t>Notes</t>
        </is>
      </c>
      <c r="F236" s="4" t="inlineStr">
        <is>
          <t>Sources</t>
        </is>
      </c>
    </row>
    <row r="237">
      <c r="A237" s="5" t="inlineStr">
        <is>
          <t>Construction Costs</t>
        </is>
      </c>
      <c r="B237" s="2" t="inlineStr">
        <is>
          <t>of Cost</t>
        </is>
      </c>
      <c r="C237" s="2" t="n"/>
      <c r="D237" s="2" t="n"/>
      <c r="E237" s="2" t="n"/>
      <c r="F237" s="16" t="n"/>
    </row>
    <row r="238">
      <c r="A238" s="83" t="inlineStr">
        <is>
          <t xml:space="preserve">  Materials</t>
        </is>
      </c>
      <c r="B238" s="21" t="n"/>
      <c r="C238" s="21" t="n"/>
      <c r="D238" s="21" t="n"/>
      <c r="E238" s="21" t="n"/>
      <c r="F238" s="56" t="n"/>
    </row>
    <row r="239">
      <c r="A239" s="83" t="inlineStr">
        <is>
          <t xml:space="preserve">    Construction (concrete rebar, equip, roads and site prep)</t>
        </is>
      </c>
      <c r="B239" s="111" t="n">
        <v>0.02668443741023771</v>
      </c>
      <c r="C239" s="21">
        <f>'OECD Mapping'!A29</f>
        <v/>
      </c>
      <c r="D239" s="21">
        <f>'OECD Mapping'!B29</f>
        <v/>
      </c>
      <c r="E239" s="21" t="inlineStr">
        <is>
          <t>Mapping based on JEDI</t>
        </is>
      </c>
      <c r="F239" s="56" t="inlineStr">
        <is>
          <t>https://www.nrel.gov/analysis/jedi/csp.html</t>
        </is>
      </c>
    </row>
    <row r="240">
      <c r="A240" s="83" t="inlineStr">
        <is>
          <t xml:space="preserve">    Subtotal</t>
        </is>
      </c>
      <c r="B240" s="111" t="n">
        <v>0.02668443741023771</v>
      </c>
      <c r="C240" s="21" t="n"/>
      <c r="D240" s="21" t="n"/>
      <c r="E240" s="21" t="n"/>
      <c r="F240" s="16" t="n"/>
    </row>
    <row r="241">
      <c r="A241" s="83" t="inlineStr">
        <is>
          <t xml:space="preserve">  Labor</t>
        </is>
      </c>
      <c r="B241" s="111" t="n"/>
      <c r="C241" s="21" t="n"/>
      <c r="D241" s="21" t="n"/>
      <c r="E241" s="21" t="n"/>
      <c r="F241" s="16" t="n"/>
    </row>
    <row r="242">
      <c r="A242" s="83" t="inlineStr">
        <is>
          <t xml:space="preserve">    Sitework and Infrastructure</t>
        </is>
      </c>
      <c r="B242" s="111" t="n">
        <v>0.007528433364852877</v>
      </c>
      <c r="C242" s="21">
        <f>'OECD Mapping'!A29</f>
        <v/>
      </c>
      <c r="D242" s="21">
        <f>'OECD Mapping'!B29</f>
        <v/>
      </c>
      <c r="E242" s="21" t="inlineStr">
        <is>
          <t>Mapping based on JEDI</t>
        </is>
      </c>
      <c r="F242" s="56" t="inlineStr">
        <is>
          <t>https://www.nrel.gov/analysis/jedi/csp.html</t>
        </is>
      </c>
    </row>
    <row r="243">
      <c r="A243" s="83" t="inlineStr">
        <is>
          <t xml:space="preserve">    Field Erection</t>
        </is>
      </c>
      <c r="B243" s="111" t="n">
        <v>0.08998734944831978</v>
      </c>
      <c r="C243" s="21">
        <f>'OECD Mapping'!A29</f>
        <v/>
      </c>
      <c r="D243" s="21">
        <f>'OECD Mapping'!B29</f>
        <v/>
      </c>
      <c r="E243" s="21" t="inlineStr">
        <is>
          <t>Mapping based on JEDI</t>
        </is>
      </c>
      <c r="F243" s="56" t="inlineStr">
        <is>
          <t>https://www.nrel.gov/analysis/jedi/csp.html</t>
        </is>
      </c>
    </row>
    <row r="244">
      <c r="A244" s="38" t="inlineStr">
        <is>
          <t xml:space="preserve">    Support Structures</t>
        </is>
      </c>
      <c r="B244" s="111" t="n">
        <v>0.00531650100871912</v>
      </c>
      <c r="C244" s="21">
        <f>'OECD Mapping'!A29</f>
        <v/>
      </c>
      <c r="D244" s="21">
        <f>'OECD Mapping'!B29</f>
        <v/>
      </c>
      <c r="E244" s="21" t="inlineStr">
        <is>
          <t>Mapping based on JEDI</t>
        </is>
      </c>
      <c r="F244" s="56" t="inlineStr">
        <is>
          <t>https://www.nrel.gov/analysis/jedi/csp.html</t>
        </is>
      </c>
    </row>
    <row r="245">
      <c r="A245" s="83" t="inlineStr">
        <is>
          <t xml:space="preserve">    Piping</t>
        </is>
      </c>
      <c r="B245" s="111" t="n">
        <v>0.02935797776959359</v>
      </c>
      <c r="C245" s="21">
        <f>'OECD Mapping'!A29</f>
        <v/>
      </c>
      <c r="D245" s="21">
        <f>'OECD Mapping'!B29</f>
        <v/>
      </c>
      <c r="E245" s="21" t="inlineStr">
        <is>
          <t>Mapping based on JEDI</t>
        </is>
      </c>
      <c r="F245" s="56" t="inlineStr">
        <is>
          <t>https://www.nrel.gov/analysis/jedi/csp.html</t>
        </is>
      </c>
    </row>
    <row r="246">
      <c r="A246" s="38" t="inlineStr">
        <is>
          <t xml:space="preserve">    Electrical</t>
        </is>
      </c>
      <c r="B246" s="111" t="n">
        <v>0.01171348510384459</v>
      </c>
      <c r="C246" s="21">
        <f>'OECD Mapping'!A29</f>
        <v/>
      </c>
      <c r="D246" s="21">
        <f>'OECD Mapping'!B29</f>
        <v/>
      </c>
      <c r="E246" s="21" t="inlineStr">
        <is>
          <t>Mapping based on JEDI</t>
        </is>
      </c>
      <c r="F246" s="56" t="inlineStr">
        <is>
          <t>https://www.nrel.gov/analysis/jedi/csp.html</t>
        </is>
      </c>
    </row>
    <row r="247">
      <c r="A247" s="7" t="inlineStr">
        <is>
          <t xml:space="preserve">    Subtotal</t>
        </is>
      </c>
      <c r="B247" s="111" t="n">
        <v>0.14390374669533</v>
      </c>
      <c r="C247" s="21" t="n"/>
      <c r="D247" s="21" t="n"/>
      <c r="E247" s="21" t="n"/>
      <c r="F247" s="16" t="n"/>
    </row>
    <row r="248">
      <c r="A248" s="7" t="inlineStr">
        <is>
          <t xml:space="preserve">  Subtotal</t>
        </is>
      </c>
      <c r="B248" s="111" t="n">
        <v>0.1705881841055677</v>
      </c>
      <c r="C248" s="21" t="n"/>
      <c r="D248" s="21" t="n"/>
      <c r="E248" s="21" t="n"/>
      <c r="F248" s="16" t="n"/>
    </row>
    <row r="249">
      <c r="A249" s="7" t="inlineStr">
        <is>
          <t>Equipment Costs</t>
        </is>
      </c>
      <c r="B249" s="111" t="n"/>
      <c r="C249" s="21" t="n"/>
      <c r="D249" s="21" t="n"/>
      <c r="E249" s="21" t="n"/>
      <c r="F249" s="16" t="n"/>
    </row>
    <row r="250">
      <c r="A250" s="83" t="inlineStr">
        <is>
          <t xml:space="preserve">    Mirrors</t>
        </is>
      </c>
      <c r="B250" s="111" t="n">
        <v>0.05917173883574404</v>
      </c>
      <c r="C250" s="21">
        <f>'OECD Mapping'!A15</f>
        <v/>
      </c>
      <c r="D250" s="21">
        <f>'OECD Mapping'!B15</f>
        <v/>
      </c>
      <c r="E250" s="21" t="inlineStr">
        <is>
          <t>Mapping based on JEDI</t>
        </is>
      </c>
      <c r="F250" s="56" t="inlineStr">
        <is>
          <t>https://www.nrel.gov/analysis/jedi/csp.html</t>
        </is>
      </c>
    </row>
    <row r="251">
      <c r="A251" s="83" t="inlineStr">
        <is>
          <t xml:space="preserve">    Heat Collection Elements</t>
        </is>
      </c>
      <c r="B251" s="111" t="n">
        <v>0.1876123455114661</v>
      </c>
      <c r="C251" s="21">
        <f>'OECD Mapping'!A19</f>
        <v/>
      </c>
      <c r="D251" s="21">
        <f>'OECD Mapping'!B19</f>
        <v/>
      </c>
      <c r="E251" s="21" t="inlineStr">
        <is>
          <t>Mapping based on JEDI</t>
        </is>
      </c>
      <c r="F251" s="56" t="inlineStr">
        <is>
          <t>https://www.nrel.gov/analysis/jedi/csp.html</t>
        </is>
      </c>
    </row>
    <row r="252">
      <c r="A252" s="83" t="inlineStr">
        <is>
          <t xml:space="preserve">    Thermal Energy Storage Tanks</t>
        </is>
      </c>
      <c r="B252" s="111" t="n">
        <v>0.05447848144020809</v>
      </c>
      <c r="C252" s="21">
        <f>'OECD Mapping'!A19</f>
        <v/>
      </c>
      <c r="D252" s="21">
        <f>'OECD Mapping'!B19</f>
        <v/>
      </c>
      <c r="E252" s="21" t="inlineStr">
        <is>
          <t>Mapping based on JEDI</t>
        </is>
      </c>
      <c r="F252" s="56" t="inlineStr">
        <is>
          <t>https://www.nrel.gov/analysis/jedi/csp.html</t>
        </is>
      </c>
    </row>
    <row r="253">
      <c r="A253" s="83" t="inlineStr">
        <is>
          <t xml:space="preserve">    Heat Exchangers</t>
        </is>
      </c>
      <c r="B253" s="111" t="n">
        <v>0.04047297426358237</v>
      </c>
      <c r="C253" s="21">
        <f>'OECD Mapping'!A19</f>
        <v/>
      </c>
      <c r="D253" s="21">
        <f>'OECD Mapping'!B19</f>
        <v/>
      </c>
      <c r="E253" s="21" t="inlineStr">
        <is>
          <t>Mapping based on JEDI</t>
        </is>
      </c>
      <c r="F253" s="56" t="inlineStr">
        <is>
          <t>https://www.nrel.gov/analysis/jedi/csp.html</t>
        </is>
      </c>
    </row>
    <row r="254">
      <c r="A254" s="83" t="inlineStr">
        <is>
          <t xml:space="preserve">    Heat Transfer System Equipment</t>
        </is>
      </c>
      <c r="B254" s="111" t="n">
        <v>0.0332022841686674</v>
      </c>
      <c r="C254" s="21">
        <f>'OECD Mapping'!A19</f>
        <v/>
      </c>
      <c r="D254" s="21">
        <f>'OECD Mapping'!B19</f>
        <v/>
      </c>
      <c r="E254" s="21" t="inlineStr">
        <is>
          <t>Mapping based on JEDI</t>
        </is>
      </c>
      <c r="F254" s="56" t="inlineStr">
        <is>
          <t>https://www.nrel.gov/analysis/jedi/csp.html</t>
        </is>
      </c>
    </row>
    <row r="255">
      <c r="A255" s="83" t="inlineStr">
        <is>
          <t xml:space="preserve">    Heat Transfer and Storage Fluids</t>
        </is>
      </c>
      <c r="B255" s="111" t="n">
        <v>0.1171843610451007</v>
      </c>
      <c r="C255" s="21">
        <f>'OECD Mapping'!A22</f>
        <v/>
      </c>
      <c r="D255" s="21">
        <f>'OECD Mapping'!B22</f>
        <v/>
      </c>
      <c r="E255" s="21" t="inlineStr">
        <is>
          <t>Mapping based on JEDI</t>
        </is>
      </c>
      <c r="F255" s="56" t="inlineStr">
        <is>
          <t>https://www.nrel.gov/analysis/jedi/csp.html</t>
        </is>
      </c>
    </row>
    <row r="256">
      <c r="A256" s="83" t="inlineStr">
        <is>
          <t xml:space="preserve">    Steam Turbines &amp; Generators</t>
        </is>
      </c>
      <c r="B256" s="111" t="n">
        <v>0.07918688711425521</v>
      </c>
      <c r="C256" s="21">
        <f>'OECD Mapping'!A22</f>
        <v/>
      </c>
      <c r="D256" s="21">
        <f>'OECD Mapping'!B22</f>
        <v/>
      </c>
      <c r="E256" s="21" t="inlineStr">
        <is>
          <t>Mapping based on JEDI</t>
        </is>
      </c>
      <c r="F256" s="56" t="inlineStr">
        <is>
          <t>https://www.nrel.gov/analysis/jedi/csp.html</t>
        </is>
      </c>
    </row>
    <row r="257">
      <c r="A257" s="83" t="inlineStr">
        <is>
          <t xml:space="preserve">    Misc. Electrical and Solar Equipment (pumps, motors, drive, etc.)</t>
        </is>
      </c>
      <c r="B257" s="111" t="n">
        <v>0.002666259476024297</v>
      </c>
      <c r="C257" s="21">
        <f>'OECD Mapping'!A21</f>
        <v/>
      </c>
      <c r="D257" s="21">
        <f>'OECD Mapping'!B21</f>
        <v/>
      </c>
      <c r="E257" s="21" t="inlineStr">
        <is>
          <t>Mapping based on JEDI</t>
        </is>
      </c>
      <c r="F257" s="56" t="inlineStr">
        <is>
          <t>https://www.nrel.gov/analysis/jedi/csp.html</t>
        </is>
      </c>
    </row>
    <row r="258">
      <c r="A258" s="83" t="inlineStr">
        <is>
          <t xml:space="preserve">    Water Treatment</t>
        </is>
      </c>
      <c r="B258" s="111" t="n">
        <v>0.002306583839444286</v>
      </c>
      <c r="C258" s="21">
        <f>'OECD Mapping'!A22</f>
        <v/>
      </c>
      <c r="D258" s="21">
        <f>'OECD Mapping'!B22</f>
        <v/>
      </c>
      <c r="E258" s="21" t="inlineStr">
        <is>
          <t>Mapping based on JEDI</t>
        </is>
      </c>
      <c r="F258" s="56" t="inlineStr">
        <is>
          <t>https://www.nrel.gov/analysis/jedi/csp.html</t>
        </is>
      </c>
    </row>
    <row r="259">
      <c r="A259" s="83" t="inlineStr">
        <is>
          <t xml:space="preserve">    Metal Support Structure</t>
        </is>
      </c>
      <c r="B259" s="111" t="n">
        <v>0.03552779830477379</v>
      </c>
      <c r="C259" s="21">
        <f>'OECD Mapping'!A19</f>
        <v/>
      </c>
      <c r="D259" s="21">
        <f>'OECD Mapping'!B19</f>
        <v/>
      </c>
      <c r="E259" s="21" t="inlineStr">
        <is>
          <t>Mapping based on JEDI</t>
        </is>
      </c>
      <c r="F259" s="56" t="inlineStr">
        <is>
          <t>https://www.nrel.gov/analysis/jedi/csp.html</t>
        </is>
      </c>
    </row>
    <row r="260">
      <c r="A260" s="83" t="inlineStr">
        <is>
          <t xml:space="preserve">    Interconnection Piping</t>
        </is>
      </c>
      <c r="B260" s="111" t="n">
        <v>0.0516200066442301</v>
      </c>
      <c r="C260" s="21">
        <f>'OECD Mapping'!A22</f>
        <v/>
      </c>
      <c r="D260" s="21">
        <f>'OECD Mapping'!B22</f>
        <v/>
      </c>
      <c r="E260" s="21" t="inlineStr">
        <is>
          <t>Mapping based on JEDI</t>
        </is>
      </c>
      <c r="F260" s="56" t="inlineStr">
        <is>
          <t>https://www.nrel.gov/analysis/jedi/csp.html</t>
        </is>
      </c>
    </row>
    <row r="261">
      <c r="A261" s="83" t="inlineStr">
        <is>
          <t xml:space="preserve">    Electronics &amp; Controls</t>
        </is>
      </c>
      <c r="B261" s="111" t="n">
        <v>0.01784544504570058</v>
      </c>
      <c r="C261" s="21">
        <f>'OECD Mapping'!A21</f>
        <v/>
      </c>
      <c r="D261" s="21">
        <f>'OECD Mapping'!B21</f>
        <v/>
      </c>
      <c r="E261" s="21" t="inlineStr">
        <is>
          <t>Mapping based on JEDI</t>
        </is>
      </c>
      <c r="F261" s="56" t="inlineStr">
        <is>
          <t>https://www.nrel.gov/analysis/jedi/csp.html</t>
        </is>
      </c>
    </row>
    <row r="262">
      <c r="A262" s="83" t="inlineStr">
        <is>
          <t xml:space="preserve">    Balance of Plant</t>
        </is>
      </c>
      <c r="B262" s="111" t="n">
        <v>0.02036026214842803</v>
      </c>
      <c r="C262" s="21">
        <f>'OECD Mapping'!A22</f>
        <v/>
      </c>
      <c r="D262" s="21">
        <f>'OECD Mapping'!B22</f>
        <v/>
      </c>
      <c r="E262" s="21" t="inlineStr">
        <is>
          <t>Mapping based on JEDI</t>
        </is>
      </c>
      <c r="F262" s="56" t="inlineStr">
        <is>
          <t>https://www.nrel.gov/analysis/jedi/csp.html</t>
        </is>
      </c>
    </row>
    <row r="263">
      <c r="A263" s="83" t="inlineStr">
        <is>
          <t xml:space="preserve">  Subtotal</t>
        </is>
      </c>
      <c r="B263" s="111" t="n">
        <v>0.701635427837625</v>
      </c>
      <c r="C263" s="21" t="n"/>
      <c r="D263" s="21" t="n"/>
      <c r="E263" s="21" t="n"/>
      <c r="F263" s="6" t="n"/>
    </row>
    <row r="264">
      <c r="A264" s="83" t="inlineStr">
        <is>
          <t>Other Costs</t>
        </is>
      </c>
      <c r="B264" s="111" t="n"/>
      <c r="C264" s="21" t="n"/>
      <c r="D264" s="21" t="n"/>
      <c r="E264" s="21" t="n"/>
      <c r="F264" s="6" t="n"/>
    </row>
    <row r="265">
      <c r="A265" s="83" t="inlineStr">
        <is>
          <t xml:space="preserve">    Freight &amp; Transportation</t>
        </is>
      </c>
      <c r="B265" s="111" t="n">
        <v>0</v>
      </c>
      <c r="C265" s="21">
        <f>'OECD Mapping'!A31</f>
        <v/>
      </c>
      <c r="D265" s="21">
        <f>'OECD Mapping'!B31</f>
        <v/>
      </c>
      <c r="E265" s="21" t="inlineStr">
        <is>
          <t>Mapping based on JEDI</t>
        </is>
      </c>
      <c r="F265" s="56" t="inlineStr">
        <is>
          <t>https://www.nrel.gov/analysis/jedi/csp.html</t>
        </is>
      </c>
    </row>
    <row r="266">
      <c r="A266" s="83" t="inlineStr">
        <is>
          <t xml:space="preserve">    Engineering &amp; Project Management</t>
        </is>
      </c>
      <c r="B266" s="111" t="n">
        <v>0.1036201619535093</v>
      </c>
      <c r="C266" s="21">
        <f>'OECD Mapping'!A38</f>
        <v/>
      </c>
      <c r="D266" s="21">
        <f>'OECD Mapping'!B38</f>
        <v/>
      </c>
      <c r="E266" s="21" t="inlineStr">
        <is>
          <t>Mapping based on JEDI</t>
        </is>
      </c>
      <c r="F266" s="56" t="inlineStr">
        <is>
          <t>https://www.nrel.gov/analysis/jedi/csp.html</t>
        </is>
      </c>
    </row>
    <row r="267">
      <c r="A267" s="83" t="inlineStr">
        <is>
          <t xml:space="preserve">    Misc. Costs (permitting, licensing, legal)</t>
        </is>
      </c>
      <c r="B267" s="111" t="n">
        <v>0.02415622610329812</v>
      </c>
      <c r="C267" s="21">
        <f>'OECD Mapping'!A38</f>
        <v/>
      </c>
      <c r="D267" s="21">
        <f>'OECD Mapping'!B38</f>
        <v/>
      </c>
      <c r="E267" s="21" t="inlineStr">
        <is>
          <t>Mapping based on JEDI</t>
        </is>
      </c>
      <c r="F267" s="56" t="inlineStr">
        <is>
          <t>https://www.nrel.gov/analysis/jedi/csp.html</t>
        </is>
      </c>
    </row>
    <row r="268">
      <c r="A268" s="83" t="inlineStr">
        <is>
          <t xml:space="preserve">  Subtotal</t>
        </is>
      </c>
      <c r="B268" s="111" t="n">
        <v>0.1277763880568074</v>
      </c>
      <c r="C268" s="21" t="n"/>
      <c r="D268" s="21" t="n"/>
      <c r="E268" s="21" t="n"/>
      <c r="F268" s="6" t="n"/>
    </row>
    <row r="269">
      <c r="A269" s="83" t="inlineStr">
        <is>
          <t>Subtotal</t>
        </is>
      </c>
      <c r="B269" s="111" t="n">
        <v>1</v>
      </c>
      <c r="C269" s="21" t="n"/>
      <c r="D269" s="21" t="n"/>
      <c r="E269" s="21" t="n"/>
      <c r="F269" s="6" t="n"/>
    </row>
    <row r="270">
      <c r="A270" s="83" t="inlineStr">
        <is>
          <t xml:space="preserve"> Sales tax</t>
        </is>
      </c>
      <c r="B270" s="21" t="n"/>
      <c r="C270" s="21" t="n"/>
      <c r="D270" s="21" t="n"/>
      <c r="E270" s="21" t="n"/>
      <c r="F270" s="6" t="n"/>
    </row>
    <row r="271" ht="15" customHeight="1" thickBot="1">
      <c r="A271" s="85" t="inlineStr">
        <is>
          <t>Total</t>
        </is>
      </c>
      <c r="B271" s="25" t="n"/>
      <c r="C271" s="25" t="n"/>
      <c r="D271" s="25" t="n"/>
      <c r="E271" s="25" t="n"/>
      <c r="F271" s="10" t="n"/>
    </row>
    <row r="272" ht="15" customHeight="1" thickBot="1">
      <c r="A272" s="96" t="inlineStr">
        <is>
          <t>Fixed O&amp;M Costs</t>
        </is>
      </c>
      <c r="B272" s="97" t="n"/>
      <c r="C272" s="97" t="n"/>
      <c r="D272" s="97" t="n"/>
      <c r="E272" s="97" t="n"/>
      <c r="F272" s="98" t="n"/>
    </row>
    <row r="273">
      <c r="A273" s="99" t="inlineStr">
        <is>
          <t>Personnel</t>
        </is>
      </c>
      <c r="B273" s="60" t="n"/>
      <c r="C273" s="60" t="n"/>
      <c r="D273" s="60" t="n"/>
      <c r="E273" s="60" t="n"/>
      <c r="F273" s="14" t="n"/>
    </row>
    <row r="274">
      <c r="A274" s="83" t="inlineStr">
        <is>
          <t xml:space="preserve">  Operations</t>
        </is>
      </c>
      <c r="B274" s="111" t="n">
        <v>0.1095713816368082</v>
      </c>
      <c r="C274" s="21">
        <f>'OECD Mapping'!A26</f>
        <v/>
      </c>
      <c r="D274" s="21">
        <f>'OECD Mapping'!B26</f>
        <v/>
      </c>
      <c r="E274" s="21" t="inlineStr">
        <is>
          <t>EI assumption</t>
        </is>
      </c>
      <c r="F274" s="65" t="inlineStr">
        <is>
          <t>https://www.nrel.gov/analysis/jedi/csp.html</t>
        </is>
      </c>
    </row>
    <row r="275">
      <c r="A275" s="83" t="inlineStr">
        <is>
          <t xml:space="preserve">  Administrative</t>
        </is>
      </c>
      <c r="B275" s="111" t="n">
        <v>0.1010375819968427</v>
      </c>
      <c r="C275" s="21">
        <f>'OECD Mapping'!A26</f>
        <v/>
      </c>
      <c r="D275" s="21">
        <f>'OECD Mapping'!B26</f>
        <v/>
      </c>
      <c r="E275" s="21" t="inlineStr">
        <is>
          <t>EI assumption</t>
        </is>
      </c>
      <c r="F275" s="65" t="inlineStr">
        <is>
          <t>https://www.nrel.gov/analysis/jedi/csp.html</t>
        </is>
      </c>
    </row>
    <row r="276">
      <c r="A276" s="83" t="inlineStr">
        <is>
          <t xml:space="preserve">  Power Plant Maintenance</t>
        </is>
      </c>
      <c r="B276" s="111" t="n">
        <v>0.0694374137598064</v>
      </c>
      <c r="C276" s="21">
        <f>'OECD Mapping'!A26</f>
        <v/>
      </c>
      <c r="D276" s="21">
        <f>'OECD Mapping'!B26</f>
        <v/>
      </c>
      <c r="E276" s="21" t="inlineStr">
        <is>
          <t>EI assumption</t>
        </is>
      </c>
      <c r="F276" s="65" t="inlineStr">
        <is>
          <t>https://www.nrel.gov/analysis/jedi/csp.html</t>
        </is>
      </c>
    </row>
    <row r="277">
      <c r="A277" s="83" t="inlineStr">
        <is>
          <t xml:space="preserve">  Field Maintenance</t>
        </is>
      </c>
      <c r="B277" s="111" t="n">
        <v>0.09465351814404413</v>
      </c>
      <c r="C277" s="21">
        <f>'OECD Mapping'!A26</f>
        <v/>
      </c>
      <c r="D277" s="21">
        <f>'OECD Mapping'!B26</f>
        <v/>
      </c>
      <c r="E277" s="21" t="inlineStr">
        <is>
          <t>EI assumption</t>
        </is>
      </c>
      <c r="F277" s="65" t="inlineStr">
        <is>
          <t>https://www.nrel.gov/analysis/jedi/csp.html</t>
        </is>
      </c>
    </row>
    <row r="278">
      <c r="A278" s="83" t="inlineStr">
        <is>
          <t xml:space="preserve">  Personnel Subtotal</t>
        </is>
      </c>
      <c r="B278" s="111" t="n">
        <v>0.3746998955375014</v>
      </c>
      <c r="C278" s="21" t="n"/>
      <c r="D278" s="21" t="n"/>
      <c r="E278" s="21" t="n"/>
      <c r="F278" s="6" t="n"/>
    </row>
    <row r="279">
      <c r="A279" s="83" t="inlineStr">
        <is>
          <t>Materials and Services</t>
        </is>
      </c>
      <c r="B279" s="111" t="n"/>
      <c r="C279" s="21" t="n"/>
      <c r="D279" s="21" t="n"/>
      <c r="E279" s="21" t="n"/>
      <c r="F279" s="6" t="n"/>
    </row>
    <row r="280">
      <c r="A280" s="83" t="inlineStr">
        <is>
          <t xml:space="preserve">  Water</t>
        </is>
      </c>
      <c r="B280" s="111" t="n">
        <v>0.06621388318161463</v>
      </c>
      <c r="C280" s="21">
        <f>'OECD Mapping'!A28</f>
        <v/>
      </c>
      <c r="D280" s="21">
        <f>'OECD Mapping'!B28</f>
        <v/>
      </c>
      <c r="E280" s="21" t="inlineStr">
        <is>
          <t>JEDI</t>
        </is>
      </c>
      <c r="F280" s="6" t="n"/>
    </row>
    <row r="281">
      <c r="A281" s="83" t="inlineStr">
        <is>
          <t xml:space="preserve">  Water Treatment (Chemicals)</t>
        </is>
      </c>
      <c r="B281" s="111" t="n">
        <v>0.01719225187811643</v>
      </c>
      <c r="C281" s="21">
        <f>'OECD Mapping'!A12</f>
        <v/>
      </c>
      <c r="D281" s="21">
        <f>'OECD Mapping'!B12</f>
        <v/>
      </c>
      <c r="E281" s="21" t="inlineStr">
        <is>
          <t>EI assumption; more detailed than JEDI</t>
        </is>
      </c>
      <c r="F281" s="65" t="inlineStr">
        <is>
          <t>https://www.nrel.gov/analysis/jedi/csp.html</t>
        </is>
      </c>
    </row>
    <row r="282">
      <c r="A282" s="83" t="inlineStr">
        <is>
          <t xml:space="preserve">  Misc. Services</t>
        </is>
      </c>
      <c r="B282" s="111" t="n">
        <v>0.07766155158735354</v>
      </c>
      <c r="C282" s="21">
        <f>'OECD Mapping'!A38</f>
        <v/>
      </c>
      <c r="D282" s="21">
        <f>'OECD Mapping'!B38</f>
        <v/>
      </c>
      <c r="E282" s="21" t="inlineStr">
        <is>
          <t>JEDI</t>
        </is>
      </c>
      <c r="F282" s="65" t="inlineStr">
        <is>
          <t>https://www.nrel.gov/analysis/jedi/csp.html</t>
        </is>
      </c>
    </row>
    <row r="283">
      <c r="A283" s="83" t="inlineStr">
        <is>
          <t xml:space="preserve">  Utilities</t>
        </is>
      </c>
      <c r="B283" s="111" t="n">
        <v>0.04145585480458365</v>
      </c>
      <c r="C283" s="21">
        <f>'OECD Mapping'!A26</f>
        <v/>
      </c>
      <c r="D283" s="21">
        <f>'OECD Mapping'!B26</f>
        <v/>
      </c>
      <c r="E283" s="21" t="inlineStr">
        <is>
          <t>JEDI</t>
        </is>
      </c>
      <c r="F283" s="65" t="inlineStr">
        <is>
          <t>https://www.nrel.gov/analysis/jedi/csp.html</t>
        </is>
      </c>
    </row>
    <row r="284">
      <c r="A284" s="83" t="inlineStr">
        <is>
          <t xml:space="preserve">  Fuel (motor vehicle gasoline)</t>
        </is>
      </c>
      <c r="B284" s="111" t="n">
        <v>0</v>
      </c>
      <c r="C284" s="21">
        <f>'OECD Mapping'!A11</f>
        <v/>
      </c>
      <c r="D284" s="21">
        <f>'OECD Mapping'!B11</f>
        <v/>
      </c>
      <c r="E284" s="21" t="inlineStr">
        <is>
          <t>JEDI</t>
        </is>
      </c>
      <c r="F284" s="65" t="inlineStr">
        <is>
          <t>https://www.nrel.gov/analysis/jedi/csp.html</t>
        </is>
      </c>
    </row>
    <row r="285">
      <c r="A285" s="83" t="inlineStr">
        <is>
          <t xml:space="preserve">  Field Parts and Materials and Plant Equip</t>
        </is>
      </c>
      <c r="B285" s="111" t="n">
        <v>0.4227765630108304</v>
      </c>
      <c r="C285" s="21">
        <f>'OECD Mapping'!A19</f>
        <v/>
      </c>
      <c r="D285" s="21">
        <f>'OECD Mapping'!B19</f>
        <v/>
      </c>
      <c r="E285" s="21" t="inlineStr">
        <is>
          <t>JEDI</t>
        </is>
      </c>
      <c r="F285" s="65" t="inlineStr">
        <is>
          <t>https://www.nrel.gov/analysis/jedi/csp.html</t>
        </is>
      </c>
    </row>
    <row r="286">
      <c r="A286" s="83" t="inlineStr">
        <is>
          <t xml:space="preserve">  Misc. Supplies &amp; Equipment</t>
        </is>
      </c>
      <c r="B286" s="111" t="n">
        <v>0</v>
      </c>
      <c r="C286" s="21">
        <f>'OECD Mapping'!A22</f>
        <v/>
      </c>
      <c r="D286" s="21">
        <f>'OECD Mapping'!B22</f>
        <v/>
      </c>
      <c r="E286" s="21" t="inlineStr">
        <is>
          <t>JEDI</t>
        </is>
      </c>
      <c r="F286" s="65" t="inlineStr">
        <is>
          <t>https://www.nrel.gov/analysis/jedi/csp.html</t>
        </is>
      </c>
    </row>
    <row r="287">
      <c r="A287" s="83" t="inlineStr">
        <is>
          <t xml:space="preserve">  Materials and Services Subtotal</t>
        </is>
      </c>
      <c r="B287" s="111" t="n">
        <v>0.6253001044624986</v>
      </c>
      <c r="C287" s="21" t="n"/>
      <c r="D287" s="21" t="n"/>
      <c r="E287" s="21" t="n"/>
      <c r="F287" s="6" t="n"/>
    </row>
    <row r="288" ht="15" customHeight="1" thickBot="1">
      <c r="A288" s="85" t="inlineStr">
        <is>
          <t>Total</t>
        </is>
      </c>
      <c r="B288" s="18" t="n">
        <v>1</v>
      </c>
      <c r="C288" s="25" t="n"/>
      <c r="D288" s="25" t="n"/>
      <c r="E288" s="25" t="n"/>
      <c r="F288" s="10" t="n"/>
    </row>
    <row r="289" ht="19" customHeight="1" thickBot="1">
      <c r="A289" s="131" t="inlineStr">
        <is>
          <t>Geothermal</t>
        </is>
      </c>
      <c r="B289" s="88" t="n"/>
      <c r="C289" s="88" t="n"/>
      <c r="D289" s="88" t="n"/>
      <c r="E289" s="88" t="n"/>
      <c r="F289" s="142" t="n"/>
    </row>
    <row r="290">
      <c r="A290" s="92" t="inlineStr">
        <is>
          <t>Capital Costs</t>
        </is>
      </c>
      <c r="B290" s="54" t="inlineStr">
        <is>
          <t>Percent</t>
        </is>
      </c>
      <c r="C290" s="54" t="inlineStr">
        <is>
          <t>I-O Mapping</t>
        </is>
      </c>
      <c r="D290" s="54" t="inlineStr">
        <is>
          <t>ISIC Mapping</t>
        </is>
      </c>
      <c r="E290" s="54" t="inlineStr">
        <is>
          <t>Notes</t>
        </is>
      </c>
      <c r="F290" s="82" t="inlineStr">
        <is>
          <t>Sources</t>
        </is>
      </c>
    </row>
    <row r="291">
      <c r="A291" s="5" t="inlineStr">
        <is>
          <t>Construction Costs</t>
        </is>
      </c>
      <c r="B291" s="2" t="inlineStr">
        <is>
          <t>of Cost</t>
        </is>
      </c>
      <c r="C291" s="2" t="n"/>
      <c r="D291" s="2" t="n"/>
      <c r="E291" s="2" t="n"/>
      <c r="F291" s="16" t="n"/>
    </row>
    <row r="292">
      <c r="A292" s="86" t="inlineStr">
        <is>
          <t>Drilling</t>
        </is>
      </c>
      <c r="B292" s="21" t="n"/>
      <c r="C292" s="21" t="n"/>
      <c r="D292" s="21" t="n"/>
      <c r="E292" s="21" t="n"/>
      <c r="F292" s="6" t="n"/>
    </row>
    <row r="293">
      <c r="A293" s="83" t="inlineStr">
        <is>
          <t>Site preparation</t>
        </is>
      </c>
      <c r="B293" s="111" t="n">
        <v>0.0005878425037930875</v>
      </c>
      <c r="C293" s="111">
        <f>'OECD Mapping'!A5</f>
        <v/>
      </c>
      <c r="D293" s="111">
        <f>'OECD Mapping'!B5</f>
        <v/>
      </c>
      <c r="E293" s="21" t="inlineStr">
        <is>
          <t>JEDI</t>
        </is>
      </c>
      <c r="F293" s="16" t="inlineStr">
        <is>
          <t>https://www.nrel.gov/analysis/jedi/international.html</t>
        </is>
      </c>
    </row>
    <row r="294">
      <c r="A294" s="83" t="inlineStr">
        <is>
          <t>Rig operator and drilling services</t>
        </is>
      </c>
      <c r="B294" s="111" t="n">
        <v>0.02210371791762551</v>
      </c>
      <c r="C294" s="111">
        <f>'OECD Mapping'!A5</f>
        <v/>
      </c>
      <c r="D294" s="111">
        <f>'OECD Mapping'!B5</f>
        <v/>
      </c>
      <c r="E294" s="21" t="inlineStr">
        <is>
          <t>JEDI</t>
        </is>
      </c>
      <c r="F294" s="16" t="inlineStr">
        <is>
          <t>https://www.nrel.gov/analysis/jedi/international.html</t>
        </is>
      </c>
    </row>
    <row r="295">
      <c r="A295" s="83" t="inlineStr">
        <is>
          <t>Cement and cement additives</t>
        </is>
      </c>
      <c r="B295" s="111" t="n">
        <v>0.0003664862101147734</v>
      </c>
      <c r="C295" s="111">
        <f>'OECD Mapping'!A16</f>
        <v/>
      </c>
      <c r="D295" s="111">
        <f>'OECD Mapping'!B16</f>
        <v/>
      </c>
      <c r="E295" s="21" t="inlineStr">
        <is>
          <t>JEDI</t>
        </is>
      </c>
      <c r="F295" s="16" t="inlineStr">
        <is>
          <t>https://www.nrel.gov/analysis/jedi/international.html</t>
        </is>
      </c>
    </row>
    <row r="296">
      <c r="A296" s="83" t="inlineStr">
        <is>
          <t>Petroleum</t>
        </is>
      </c>
      <c r="B296" s="111" t="n">
        <v>0.002300147042007933</v>
      </c>
      <c r="C296" s="111">
        <f>'OECD Mapping'!A11</f>
        <v/>
      </c>
      <c r="D296" s="111">
        <f>'OECD Mapping'!B11</f>
        <v/>
      </c>
      <c r="E296" s="21" t="inlineStr">
        <is>
          <t>JEDI</t>
        </is>
      </c>
      <c r="F296" s="16" t="inlineStr">
        <is>
          <t>https://www.nrel.gov/analysis/jedi/international.html</t>
        </is>
      </c>
    </row>
    <row r="297">
      <c r="A297" s="83" t="inlineStr">
        <is>
          <t>Bits and stabilizers</t>
        </is>
      </c>
      <c r="B297" s="111" t="n">
        <v>0.001528390509862028</v>
      </c>
      <c r="C297" s="111">
        <f>'OECD Mapping'!A19</f>
        <v/>
      </c>
      <c r="D297" s="111">
        <f>'OECD Mapping'!B19</f>
        <v/>
      </c>
      <c r="E297" s="21" t="inlineStr">
        <is>
          <t>JEDI</t>
        </is>
      </c>
      <c r="F297" s="16" t="inlineStr">
        <is>
          <t>https://www.nrel.gov/analysis/jedi/international.html</t>
        </is>
      </c>
    </row>
    <row r="298">
      <c r="A298" s="83" t="inlineStr">
        <is>
          <t>Mud and detergents</t>
        </is>
      </c>
      <c r="B298" s="111" t="n">
        <v>0.0004850741977299692</v>
      </c>
      <c r="C298" s="111">
        <f>'OECD Mapping'!A12</f>
        <v/>
      </c>
      <c r="D298" s="111">
        <f>'OECD Mapping'!B12</f>
        <v/>
      </c>
      <c r="E298" s="21" t="inlineStr">
        <is>
          <t>JEDI</t>
        </is>
      </c>
      <c r="F298" s="16" t="inlineStr">
        <is>
          <t>https://www.nrel.gov/analysis/jedi/international.html</t>
        </is>
      </c>
    </row>
    <row r="299">
      <c r="A299" s="83" t="inlineStr">
        <is>
          <t>Casing and wellhead</t>
        </is>
      </c>
      <c r="B299" s="111" t="n">
        <v>0.005827473972334983</v>
      </c>
      <c r="C299" s="111">
        <f>'OECD Mapping'!A5</f>
        <v/>
      </c>
      <c r="D299" s="111">
        <f>'OECD Mapping'!B5</f>
        <v/>
      </c>
      <c r="E299" s="21" t="inlineStr">
        <is>
          <t>JEDI</t>
        </is>
      </c>
      <c r="F299" s="16" t="inlineStr">
        <is>
          <t>https://www.nrel.gov/analysis/jedi/international.html</t>
        </is>
      </c>
    </row>
    <row r="300">
      <c r="A300" s="83" t="inlineStr">
        <is>
          <t>Worker housing</t>
        </is>
      </c>
      <c r="B300" s="111" t="n">
        <v>0.0006888674369449567</v>
      </c>
      <c r="C300" s="111">
        <f>'OECD Mapping'!A32</f>
        <v/>
      </c>
      <c r="D300" s="111">
        <f>'OECD Mapping'!B32</f>
        <v/>
      </c>
      <c r="E300" s="21" t="inlineStr">
        <is>
          <t>JEDI</t>
        </is>
      </c>
      <c r="F300" s="16" t="inlineStr">
        <is>
          <t>https://www.nrel.gov/analysis/jedi/international.html</t>
        </is>
      </c>
    </row>
    <row r="301">
      <c r="A301" s="83" t="inlineStr">
        <is>
          <t>Professional services (engineers, geologists, supervisors, etc.)</t>
        </is>
      </c>
      <c r="B301" s="111" t="n">
        <v>0.002973530640056851</v>
      </c>
      <c r="C301" s="21">
        <f>'OECD Mapping'!A26</f>
        <v/>
      </c>
      <c r="D301" s="21">
        <f>'OECD Mapping'!B26</f>
        <v/>
      </c>
      <c r="E301" s="21" t="inlineStr">
        <is>
          <t>50% assigned in JEDI; 100% here</t>
        </is>
      </c>
      <c r="F301" s="16" t="inlineStr">
        <is>
          <t>https://www.nrel.gov/analysis/jedi/international.html</t>
        </is>
      </c>
    </row>
    <row r="302">
      <c r="A302" s="86" t="inlineStr">
        <is>
          <t>Other</t>
        </is>
      </c>
      <c r="B302" s="111" t="n"/>
      <c r="C302" s="111" t="n"/>
      <c r="D302" s="102" t="n"/>
      <c r="E302" s="21" t="n"/>
      <c r="F302" s="6" t="n"/>
    </row>
    <row r="303">
      <c r="A303" s="83" t="inlineStr">
        <is>
          <t>Engineering and design</t>
        </is>
      </c>
      <c r="B303" s="111" t="n">
        <v>0.5017469450956762</v>
      </c>
      <c r="C303" s="21">
        <f>'OECD Mapping'!A26</f>
        <v/>
      </c>
      <c r="D303" s="21">
        <f>'OECD Mapping'!B26</f>
        <v/>
      </c>
      <c r="E303" s="21" t="inlineStr">
        <is>
          <t>50% assigned in JEDI; 100% here</t>
        </is>
      </c>
      <c r="F303" s="16" t="inlineStr">
        <is>
          <t>https://www.nrel.gov/analysis/jedi/international.html</t>
        </is>
      </c>
    </row>
    <row r="304">
      <c r="A304" s="83" t="inlineStr">
        <is>
          <t>Mechanical equipment (turbines, generators, pumps, condensers, heat exchangers)</t>
        </is>
      </c>
      <c r="B304" s="111" t="n">
        <v>0.4605698735418576</v>
      </c>
      <c r="C304" s="111">
        <f>'OECD Mapping'!A22</f>
        <v/>
      </c>
      <c r="D304" s="111">
        <f>'OECD Mapping'!B22</f>
        <v/>
      </c>
      <c r="E304" s="21" t="inlineStr">
        <is>
          <t>JEDI</t>
        </is>
      </c>
      <c r="F304" s="16" t="inlineStr">
        <is>
          <t>https://www.nrel.gov/analysis/jedi/international.html</t>
        </is>
      </c>
    </row>
    <row r="305">
      <c r="A305" s="83" t="inlineStr">
        <is>
          <t>Permitting and environmental assessment</t>
        </is>
      </c>
      <c r="B305" s="111" t="n">
        <v>0.0008216509319960073</v>
      </c>
      <c r="C305" s="111">
        <f>'OECD Mapping'!A39</f>
        <v/>
      </c>
      <c r="D305" s="111">
        <f>'OECD Mapping'!B39</f>
        <v/>
      </c>
      <c r="E305" s="21" t="inlineStr">
        <is>
          <t>JEDI</t>
        </is>
      </c>
      <c r="F305" s="16" t="inlineStr">
        <is>
          <t>https://www.nrel.gov/analysis/jedi/international.html</t>
        </is>
      </c>
    </row>
    <row r="306" ht="15" customHeight="1" thickBot="1">
      <c r="A306" s="84" t="inlineStr">
        <is>
          <t>Additional civil works (i.e., roads)</t>
        </is>
      </c>
      <c r="B306" s="66" t="n">
        <v>0</v>
      </c>
      <c r="C306" s="66">
        <f>'OECD Mapping'!A29</f>
        <v/>
      </c>
      <c r="D306" s="66">
        <f>'OECD Mapping'!B29</f>
        <v/>
      </c>
      <c r="E306" s="21" t="inlineStr">
        <is>
          <t>JEDI</t>
        </is>
      </c>
      <c r="F306" s="35" t="inlineStr">
        <is>
          <t>https://www.nrel.gov/analysis/jedi/international.html</t>
        </is>
      </c>
    </row>
    <row r="307">
      <c r="A307" s="11" t="inlineStr">
        <is>
          <t>Fixed O&amp;M Costs</t>
        </is>
      </c>
      <c r="B307" s="60" t="n"/>
      <c r="C307" s="103" t="n"/>
      <c r="D307" s="104" t="n"/>
      <c r="E307" s="60" t="n"/>
      <c r="F307" s="14" t="n"/>
    </row>
    <row r="308">
      <c r="A308" s="83" t="inlineStr">
        <is>
          <t>Labor</t>
        </is>
      </c>
      <c r="B308" s="111" t="n">
        <v>0.2287154592979835</v>
      </c>
      <c r="C308" s="111">
        <f>'OECD Mapping'!A26</f>
        <v/>
      </c>
      <c r="D308" s="111">
        <f>'OECD Mapping'!B26</f>
        <v/>
      </c>
      <c r="E308" s="21" t="inlineStr">
        <is>
          <t>EI assumption</t>
        </is>
      </c>
      <c r="F308" s="65" t="inlineStr">
        <is>
          <t>https://www.eia.gov/analysis/studies/powerplants/capitalcost/pdf/capital_cost_AEO2020.pdf</t>
        </is>
      </c>
    </row>
    <row r="309">
      <c r="A309" s="83" t="inlineStr">
        <is>
          <t>Steam Turbine Maintenance</t>
        </is>
      </c>
      <c r="B309" s="111" t="n">
        <v>0.5834578043315907</v>
      </c>
      <c r="C309" s="111">
        <f>'OECD Mapping'!A25</f>
        <v/>
      </c>
      <c r="D309" s="111">
        <f>'OECD Mapping'!B25</f>
        <v/>
      </c>
      <c r="E309" s="21" t="inlineStr">
        <is>
          <t>EI assumption</t>
        </is>
      </c>
      <c r="F309" s="65" t="inlineStr">
        <is>
          <t>https://www.eia.gov/analysis/studies/powerplants/capitalcost/pdf/capital_cost_AEO2020.pdf</t>
        </is>
      </c>
    </row>
    <row r="310">
      <c r="A310" s="83" t="inlineStr">
        <is>
          <t>Materials and Contract Services</t>
        </is>
      </c>
      <c r="B310" s="111" t="n">
        <v>0.1029686333084391</v>
      </c>
      <c r="C310" s="21">
        <f>'OECD Mapping'!A38</f>
        <v/>
      </c>
      <c r="D310" s="21">
        <f>'OECD Mapping'!B38</f>
        <v/>
      </c>
      <c r="E310" s="21" t="inlineStr">
        <is>
          <t>EI assumption</t>
        </is>
      </c>
      <c r="F310" s="65" t="inlineStr">
        <is>
          <t>https://www.eia.gov/analysis/studies/powerplants/capitalcost/pdf/capital_cost_AEO2020.pdf</t>
        </is>
      </c>
    </row>
    <row r="311" ht="15" customHeight="1" thickBot="1">
      <c r="A311" s="84" t="inlineStr">
        <is>
          <t>Adminsitrative and General</t>
        </is>
      </c>
      <c r="B311" s="66" t="n">
        <v>0.08485810306198655</v>
      </c>
      <c r="C311" s="59">
        <f>'OECD Mapping'!A26</f>
        <v/>
      </c>
      <c r="D311" s="59">
        <f>'OECD Mapping'!B26</f>
        <v/>
      </c>
      <c r="E311" s="59" t="inlineStr">
        <is>
          <t>EI assumption</t>
        </is>
      </c>
      <c r="F311" s="65" t="inlineStr">
        <is>
          <t>https://www.eia.gov/analysis/studies/powerplants/capitalcost/pdf/capital_cost_AEO2020.pdf</t>
        </is>
      </c>
    </row>
    <row r="312">
      <c r="A312" s="11" t="inlineStr">
        <is>
          <t>Variable O&amp;M Costs</t>
        </is>
      </c>
      <c r="B312" s="105" t="n"/>
      <c r="C312" s="103" t="n"/>
      <c r="D312" s="104" t="n"/>
      <c r="E312" s="60" t="n"/>
      <c r="F312" s="14" t="n"/>
    </row>
    <row r="313" ht="26.5" customHeight="1" thickBot="1">
      <c r="A313" s="106" t="inlineStr">
        <is>
          <t>Catalyst replacement, ammonia, limestone, water, ash disposal, FGD waste disposal, and water discharge treatment cost</t>
        </is>
      </c>
      <c r="B313" s="70" t="n">
        <v>1</v>
      </c>
      <c r="C313" s="18">
        <f>'OECD Mapping'!A28</f>
        <v/>
      </c>
      <c r="D313" s="18">
        <f>'OECD Mapping'!B28</f>
        <v/>
      </c>
      <c r="E313" s="25" t="inlineStr">
        <is>
          <t>Water likely to be biggest cost; 100% assigned to utilities</t>
        </is>
      </c>
      <c r="F313" s="65" t="inlineStr">
        <is>
          <t>https://www.eia.gov/analysis/studies/powerplants/capitalcost/pdf/capital_cost_AEO2020.pdf</t>
        </is>
      </c>
    </row>
    <row r="314" ht="15" customHeight="1" thickBot="1">
      <c r="B314" s="81" t="n"/>
      <c r="C314" s="125" t="n"/>
      <c r="D314" s="101" t="n"/>
    </row>
    <row r="315" ht="19" customHeight="1" thickBot="1">
      <c r="A315" s="131" t="inlineStr">
        <is>
          <t>Offshore Wind</t>
        </is>
      </c>
      <c r="B315" s="88" t="n"/>
      <c r="C315" s="88" t="n"/>
      <c r="D315" s="88" t="n"/>
      <c r="E315" s="88" t="n"/>
      <c r="F315" s="142" t="n"/>
    </row>
    <row r="316">
      <c r="A316" s="92" t="inlineStr">
        <is>
          <t>Capital Costs</t>
        </is>
      </c>
      <c r="B316" s="54" t="inlineStr">
        <is>
          <t xml:space="preserve">Percent </t>
        </is>
      </c>
      <c r="C316" s="54" t="inlineStr">
        <is>
          <t>I-O Mapping</t>
        </is>
      </c>
      <c r="D316" s="54" t="inlineStr">
        <is>
          <t>ISIC Mapping</t>
        </is>
      </c>
      <c r="E316" s="54" t="inlineStr">
        <is>
          <t>Notes</t>
        </is>
      </c>
      <c r="F316" s="82" t="inlineStr">
        <is>
          <t>Sources</t>
        </is>
      </c>
    </row>
    <row r="317">
      <c r="A317" s="5" t="inlineStr">
        <is>
          <t>Construction Costs</t>
        </is>
      </c>
      <c r="B317" s="2" t="inlineStr">
        <is>
          <t>of Cost</t>
        </is>
      </c>
      <c r="C317" s="21" t="n"/>
      <c r="D317" s="21" t="n"/>
      <c r="E317" s="21" t="n"/>
      <c r="F317" s="6" t="n"/>
    </row>
    <row r="318">
      <c r="A318" s="20" t="inlineStr">
        <is>
          <t>Turbine Equipment</t>
        </is>
      </c>
      <c r="B318" s="21" t="n"/>
      <c r="C318" s="21" t="n"/>
      <c r="D318" s="21" t="n"/>
      <c r="E318" s="90" t="n"/>
      <c r="F318" s="16" t="n"/>
    </row>
    <row r="319">
      <c r="A319" s="20" t="inlineStr">
        <is>
          <t xml:space="preserve">    Nacelle/Drivetrain</t>
        </is>
      </c>
      <c r="B319" s="111" t="n">
        <v>0.03224137424353231</v>
      </c>
      <c r="C319" s="21">
        <f>'OECD Mapping'!A22</f>
        <v/>
      </c>
      <c r="D319" s="21">
        <f>'OECD Mapping'!B22</f>
        <v/>
      </c>
      <c r="E319" s="90" t="inlineStr">
        <is>
          <t>Offshore Wind JEDI</t>
        </is>
      </c>
      <c r="F319" s="16" t="n"/>
    </row>
    <row r="320">
      <c r="A320" s="20" t="inlineStr">
        <is>
          <t xml:space="preserve">    Blades</t>
        </is>
      </c>
      <c r="B320" s="111" t="n">
        <v>0.0160380169023218</v>
      </c>
      <c r="C320" s="21">
        <f>'OECD Mapping'!A22</f>
        <v/>
      </c>
      <c r="D320" s="21">
        <f>'OECD Mapping'!B22</f>
        <v/>
      </c>
      <c r="E320" s="90" t="inlineStr">
        <is>
          <t>Offshore Wind JEDI</t>
        </is>
      </c>
      <c r="F320" s="16" t="n"/>
    </row>
    <row r="321">
      <c r="A321" s="20" t="inlineStr">
        <is>
          <t xml:space="preserve">    Towers</t>
        </is>
      </c>
      <c r="B321" s="111" t="n">
        <v>0.01240052858086031</v>
      </c>
      <c r="C321" s="21">
        <f>'OECD Mapping'!A19</f>
        <v/>
      </c>
      <c r="D321" s="21">
        <f>'OECD Mapping'!B19</f>
        <v/>
      </c>
      <c r="E321" s="90" t="inlineStr">
        <is>
          <t>Offshore Wind JEDI</t>
        </is>
      </c>
      <c r="F321" s="16" t="n"/>
    </row>
    <row r="322">
      <c r="A322" s="20" t="inlineStr">
        <is>
          <t xml:space="preserve">    Ground Transportation (to project staging area/port)</t>
        </is>
      </c>
      <c r="B322" s="111" t="n">
        <v>0</v>
      </c>
      <c r="C322" s="21">
        <f>'OECD Mapping'!A31</f>
        <v/>
      </c>
      <c r="D322" s="21">
        <f>'OECD Mapping'!B31</f>
        <v/>
      </c>
      <c r="E322" s="90" t="inlineStr">
        <is>
          <t>Offshore Wind JEDI</t>
        </is>
      </c>
      <c r="F322" s="16" t="n"/>
    </row>
    <row r="323">
      <c r="A323" s="20" t="inlineStr">
        <is>
          <t xml:space="preserve">    Warranty Cost</t>
        </is>
      </c>
      <c r="B323" s="111" t="n">
        <v>0</v>
      </c>
      <c r="C323" s="21">
        <f>'OECD Mapping'!A22</f>
        <v/>
      </c>
      <c r="D323" s="21">
        <f>'OECD Mapping'!B22</f>
        <v/>
      </c>
      <c r="E323" s="90" t="inlineStr">
        <is>
          <t>Offshore Wind JEDI</t>
        </is>
      </c>
      <c r="F323" s="16" t="n"/>
    </row>
    <row r="324">
      <c r="A324" s="20" t="inlineStr">
        <is>
          <t xml:space="preserve">    Turbine Equipment Total</t>
        </is>
      </c>
      <c r="B324" s="111" t="n">
        <v>0.06067991972671442</v>
      </c>
      <c r="C324" s="21" t="n"/>
      <c r="D324" s="21" t="n"/>
      <c r="E324" s="90" t="n"/>
      <c r="F324" s="16" t="n"/>
    </row>
    <row r="325">
      <c r="A325" s="20" t="inlineStr">
        <is>
          <t>Materials and Other Equipment</t>
        </is>
      </c>
      <c r="B325" s="111" t="n"/>
      <c r="C325" s="21" t="n"/>
      <c r="D325" s="21" t="n"/>
      <c r="E325" s="90" t="n"/>
      <c r="F325" s="16" t="n"/>
    </row>
    <row r="326">
      <c r="A326" s="20" t="inlineStr">
        <is>
          <t xml:space="preserve">    Piling, anchors, mooring</t>
        </is>
      </c>
      <c r="B326" s="111" t="n">
        <v>0.005979028266996322</v>
      </c>
      <c r="C326" s="21">
        <f>'OECD Mapping'!A22</f>
        <v/>
      </c>
      <c r="D326" s="21">
        <f>'OECD Mapping'!B22</f>
        <v/>
      </c>
      <c r="E326" s="90" t="inlineStr">
        <is>
          <t>Offshore Wind JEDI</t>
        </is>
      </c>
      <c r="F326" s="16" t="n"/>
    </row>
    <row r="327">
      <c r="A327" s="20" t="inlineStr">
        <is>
          <t xml:space="preserve">    Foundation (including anchors or alternatives for fixed bottom types only)</t>
        </is>
      </c>
      <c r="B327" s="111" t="n">
        <v>0.02045860103503216</v>
      </c>
      <c r="C327" s="21">
        <f>'OECD Mapping'!A19</f>
        <v/>
      </c>
      <c r="D327" s="21">
        <f>'OECD Mapping'!B19</f>
        <v/>
      </c>
      <c r="E327" s="90" t="inlineStr">
        <is>
          <t>Offshore Wind JEDI</t>
        </is>
      </c>
      <c r="F327" s="16" t="n"/>
    </row>
    <row r="328">
      <c r="A328" s="20" t="inlineStr">
        <is>
          <t xml:space="preserve">    Substructure</t>
        </is>
      </c>
      <c r="B328" s="111" t="n">
        <v>0.01371763344164712</v>
      </c>
      <c r="C328" s="93">
        <f>'OECD Mapping'!A19</f>
        <v/>
      </c>
      <c r="D328" s="93">
        <f>'OECD Mapping'!B19</f>
        <v/>
      </c>
      <c r="E328" s="90" t="inlineStr">
        <is>
          <t>Offshore Wind JEDI</t>
        </is>
      </c>
      <c r="F328" s="6" t="n"/>
    </row>
    <row r="329">
      <c r="A329" s="20" t="inlineStr">
        <is>
          <t xml:space="preserve">    Project Collection System</t>
        </is>
      </c>
      <c r="B329" s="111" t="n">
        <v>0.004967076607971465</v>
      </c>
      <c r="C329" s="90">
        <f>'OECD Mapping'!A21</f>
        <v/>
      </c>
      <c r="D329" s="90">
        <f>'OECD Mapping'!B21</f>
        <v/>
      </c>
      <c r="E329" s="90" t="inlineStr">
        <is>
          <t>Offshore Wind JEDI</t>
        </is>
      </c>
      <c r="F329" s="16" t="n"/>
    </row>
    <row r="330">
      <c r="A330" s="20" t="inlineStr">
        <is>
          <t xml:space="preserve">    HV Cable (project site to point of grid interconnection)</t>
        </is>
      </c>
      <c r="B330" s="111" t="n">
        <v>0.1323879981420561</v>
      </c>
      <c r="C330" s="90">
        <f>'OECD Mapping'!A21</f>
        <v/>
      </c>
      <c r="D330" s="90">
        <f>'OECD Mapping'!B21</f>
        <v/>
      </c>
      <c r="E330" s="90" t="inlineStr">
        <is>
          <t>Offshore Wind JEDI</t>
        </is>
      </c>
      <c r="F330" s="16" t="n"/>
    </row>
    <row r="331">
      <c r="A331" s="20" t="inlineStr">
        <is>
          <t xml:space="preserve">    Onshore substation (formerly converter station)</t>
        </is>
      </c>
      <c r="B331" s="111" t="n">
        <v>0.05679706250954348</v>
      </c>
      <c r="C331" s="21">
        <f>'OECD Mapping'!A21</f>
        <v/>
      </c>
      <c r="D331" s="21">
        <f>'OECD Mapping'!B21</f>
        <v/>
      </c>
      <c r="E331" s="90" t="inlineStr">
        <is>
          <t>Offshore Wind JEDI</t>
        </is>
      </c>
      <c r="F331" s="6" t="n"/>
    </row>
    <row r="332">
      <c r="A332" s="20" t="inlineStr">
        <is>
          <t xml:space="preserve">    Offshore substation (formerly substation)</t>
        </is>
      </c>
      <c r="B332" s="111" t="n">
        <v>0.08147147254805141</v>
      </c>
      <c r="C332" s="21">
        <f>'OECD Mapping'!A21</f>
        <v/>
      </c>
      <c r="D332" s="21">
        <f>'OECD Mapping'!B21</f>
        <v/>
      </c>
      <c r="E332" s="90" t="inlineStr">
        <is>
          <t>Offshore Wind JEDI</t>
        </is>
      </c>
      <c r="F332" s="6" t="n"/>
    </row>
    <row r="333">
      <c r="A333" s="20" t="inlineStr">
        <is>
          <t xml:space="preserve">    Materials and Other Equipment Total</t>
        </is>
      </c>
      <c r="B333" s="111" t="n">
        <v>0.3157788725512981</v>
      </c>
      <c r="C333" s="21" t="n"/>
      <c r="D333" s="21" t="n"/>
      <c r="E333" s="90" t="n"/>
      <c r="F333" s="6" t="n"/>
    </row>
    <row r="334">
      <c r="A334" s="20" t="inlineStr">
        <is>
          <t>Labor Installation</t>
        </is>
      </c>
      <c r="B334" s="111" t="n"/>
      <c r="C334" s="21" t="n"/>
      <c r="D334" s="21" t="n"/>
      <c r="E334" s="90" t="n"/>
      <c r="F334" s="6" t="n"/>
    </row>
    <row r="335">
      <c r="A335" s="20" t="inlineStr">
        <is>
          <t xml:space="preserve">    Foundation</t>
        </is>
      </c>
      <c r="B335" s="111" t="n">
        <v>0.00621665972760632</v>
      </c>
      <c r="C335" s="21">
        <f>'OECD Mapping'!A29</f>
        <v/>
      </c>
      <c r="D335" s="21">
        <f>'OECD Mapping'!B29</f>
        <v/>
      </c>
      <c r="E335" s="90" t="inlineStr">
        <is>
          <t>Offshore Wind JEDI</t>
        </is>
      </c>
      <c r="F335" s="6" t="n"/>
    </row>
    <row r="336">
      <c r="A336" s="20" t="inlineStr">
        <is>
          <t xml:space="preserve">    Substructure  </t>
        </is>
      </c>
      <c r="B336" s="111" t="n">
        <v>0.004168313328400525</v>
      </c>
      <c r="C336" s="21">
        <f>'OECD Mapping'!A29</f>
        <v/>
      </c>
      <c r="D336" s="21">
        <f>'OECD Mapping'!B29</f>
        <v/>
      </c>
      <c r="E336" s="90" t="inlineStr">
        <is>
          <t>Offshore Wind JEDI</t>
        </is>
      </c>
      <c r="F336" s="6" t="n"/>
    </row>
    <row r="337">
      <c r="A337" s="20" t="inlineStr">
        <is>
          <t xml:space="preserve">    Erection/Installation</t>
        </is>
      </c>
      <c r="B337" s="111" t="n">
        <v>0.004233472495314711</v>
      </c>
      <c r="C337" s="21">
        <f>'OECD Mapping'!A29</f>
        <v/>
      </c>
      <c r="D337" s="21">
        <f>'OECD Mapping'!B29</f>
        <v/>
      </c>
      <c r="E337" s="90" t="inlineStr">
        <is>
          <t>Offshore Wind JEDI</t>
        </is>
      </c>
      <c r="F337" s="6" t="n"/>
    </row>
    <row r="338">
      <c r="A338" s="20" t="inlineStr">
        <is>
          <t xml:space="preserve">    Project Collection  </t>
        </is>
      </c>
      <c r="B338" s="111" t="n">
        <v>0.07206943770706753</v>
      </c>
      <c r="C338" s="21">
        <f>'OECD Mapping'!A29</f>
        <v/>
      </c>
      <c r="D338" s="21">
        <f>'OECD Mapping'!B29</f>
        <v/>
      </c>
      <c r="E338" s="90" t="inlineStr">
        <is>
          <t>Offshore Wind JEDI</t>
        </is>
      </c>
      <c r="F338" s="6" t="n"/>
    </row>
    <row r="339">
      <c r="A339" s="20" t="inlineStr">
        <is>
          <t xml:space="preserve">    Grid Interconnection (including substation)</t>
        </is>
      </c>
      <c r="B339" s="111" t="n">
        <v>0.0567377134894526</v>
      </c>
      <c r="C339" s="21">
        <f>'OECD Mapping'!A29</f>
        <v/>
      </c>
      <c r="D339" s="21">
        <f>'OECD Mapping'!B29</f>
        <v/>
      </c>
      <c r="E339" s="90" t="inlineStr">
        <is>
          <t>Offshore Wind JEDI</t>
        </is>
      </c>
      <c r="F339" s="6" t="n"/>
    </row>
    <row r="340">
      <c r="A340" s="20" t="inlineStr">
        <is>
          <t xml:space="preserve">    Management/Supervision</t>
        </is>
      </c>
      <c r="B340" s="111" t="n">
        <v>0.02544306945738374</v>
      </c>
      <c r="C340" s="21">
        <f>'OECD Mapping'!A38</f>
        <v/>
      </c>
      <c r="D340" s="21">
        <f>'OECD Mapping'!B38</f>
        <v/>
      </c>
      <c r="E340" s="90" t="inlineStr">
        <is>
          <t>Offshore Wind JEDI</t>
        </is>
      </c>
      <c r="F340" s="6" t="n"/>
    </row>
    <row r="341">
      <c r="A341" s="20" t="inlineStr">
        <is>
          <t xml:space="preserve">    Labor Installation Total</t>
        </is>
      </c>
      <c r="B341" s="111" t="n">
        <v>0.1688686662052254</v>
      </c>
      <c r="C341" s="21" t="n"/>
      <c r="D341" s="21" t="n"/>
      <c r="E341" s="90" t="n"/>
      <c r="F341" s="6" t="n"/>
    </row>
    <row r="342">
      <c r="A342" s="20" t="inlineStr">
        <is>
          <t>Insurance During Construction</t>
        </is>
      </c>
      <c r="B342" s="111" t="n"/>
      <c r="C342" s="21" t="n"/>
      <c r="D342" s="21" t="n"/>
      <c r="E342" s="90" t="n"/>
      <c r="F342" s="6" t="n"/>
    </row>
    <row r="343">
      <c r="A343" s="20" t="inlineStr">
        <is>
          <t xml:space="preserve">    CAR/Third Party liability/business interuption, etc.</t>
        </is>
      </c>
      <c r="B343" s="111" t="n">
        <v>0.008715166956677829</v>
      </c>
      <c r="C343" s="21">
        <f>'OECD Mapping'!A36</f>
        <v/>
      </c>
      <c r="D343" s="21">
        <f>'OECD Mapping'!B36</f>
        <v/>
      </c>
      <c r="E343" s="90" t="inlineStr">
        <is>
          <t>Offshore Wind JEDI</t>
        </is>
      </c>
      <c r="F343" s="6" t="n"/>
    </row>
    <row r="344">
      <c r="A344" s="20" t="inlineStr">
        <is>
          <t>Development Services/Other</t>
        </is>
      </c>
      <c r="B344" s="111" t="n"/>
      <c r="C344" s="21" t="n"/>
      <c r="D344" s="21" t="n"/>
      <c r="E344" s="90" t="n"/>
      <c r="F344" s="6" t="n"/>
    </row>
    <row r="345">
      <c r="A345" s="20" t="inlineStr">
        <is>
          <t xml:space="preserve">    Engineering</t>
        </is>
      </c>
      <c r="B345" s="111" t="n">
        <v>0.06067991972671441</v>
      </c>
      <c r="C345" s="21">
        <f>'OECD Mapping'!A38</f>
        <v/>
      </c>
      <c r="D345" s="21">
        <f>'OECD Mapping'!B38</f>
        <v/>
      </c>
      <c r="E345" s="90" t="inlineStr">
        <is>
          <t>Offshore Wind JEDI</t>
        </is>
      </c>
      <c r="F345" s="6" t="n"/>
    </row>
    <row r="346">
      <c r="A346" s="20" t="inlineStr">
        <is>
          <t xml:space="preserve">    Legal Services</t>
        </is>
      </c>
      <c r="B346" s="111" t="n">
        <v>0.01533150424508801</v>
      </c>
      <c r="C346" s="21">
        <f>'OECD Mapping'!A38</f>
        <v/>
      </c>
      <c r="D346" s="21">
        <f>'OECD Mapping'!B38</f>
        <v/>
      </c>
      <c r="E346" s="90" t="inlineStr">
        <is>
          <t>Offshore Wind JEDI</t>
        </is>
      </c>
      <c r="F346" s="6" t="n"/>
    </row>
    <row r="347">
      <c r="A347" s="20" t="inlineStr">
        <is>
          <t xml:space="preserve">    Public Relations</t>
        </is>
      </c>
      <c r="B347" s="111" t="n">
        <v>0.004599453850734927</v>
      </c>
      <c r="C347" s="21">
        <f>'OECD Mapping'!A38</f>
        <v/>
      </c>
      <c r="D347" s="21">
        <f>'OECD Mapping'!B38</f>
        <v/>
      </c>
      <c r="E347" s="90" t="inlineStr">
        <is>
          <t>Offshore Wind JEDI</t>
        </is>
      </c>
      <c r="F347" s="6" t="n"/>
    </row>
    <row r="348">
      <c r="A348" s="20" t="inlineStr">
        <is>
          <t xml:space="preserve">    Ports and Staging</t>
        </is>
      </c>
      <c r="B348" s="111" t="n">
        <v>0.003434617059405454</v>
      </c>
      <c r="C348" s="21">
        <f>'OECD Mapping'!A31</f>
        <v/>
      </c>
      <c r="D348" s="21">
        <f>'OECD Mapping'!B31</f>
        <v/>
      </c>
      <c r="E348" s="90" t="inlineStr">
        <is>
          <t>Offshore Wind JEDI</t>
        </is>
      </c>
      <c r="F348" s="6" t="n"/>
    </row>
    <row r="349">
      <c r="A349" s="20" t="inlineStr">
        <is>
          <t xml:space="preserve">    Site Certificate/Permitting</t>
        </is>
      </c>
      <c r="B349" s="111" t="n">
        <v>0.05110500126425074</v>
      </c>
      <c r="C349" s="21">
        <f>'OECD Mapping'!A38</f>
        <v/>
      </c>
      <c r="D349" s="21">
        <f>'OECD Mapping'!B38</f>
        <v/>
      </c>
      <c r="E349" s="90" t="inlineStr">
        <is>
          <t>Offshore Wind JEDI</t>
        </is>
      </c>
      <c r="F349" s="6" t="n"/>
    </row>
    <row r="350">
      <c r="A350" s="20" t="inlineStr">
        <is>
          <t xml:space="preserve">    Air Transportation (personnel or materials)</t>
        </is>
      </c>
      <c r="B350" s="111" t="n">
        <v>0</v>
      </c>
      <c r="C350" s="93">
        <f>'OECD Mapping'!A31</f>
        <v/>
      </c>
      <c r="D350" s="93">
        <f>'OECD Mapping'!B31</f>
        <v/>
      </c>
      <c r="E350" s="90" t="inlineStr">
        <is>
          <t>Offshore Wind JEDI</t>
        </is>
      </c>
      <c r="F350" s="6" t="n"/>
    </row>
    <row r="351">
      <c r="A351" s="20" t="inlineStr">
        <is>
          <t xml:space="preserve">    Marine Transportation (personnel or materials)</t>
        </is>
      </c>
      <c r="B351" s="111" t="n">
        <v>0.182432549075969</v>
      </c>
      <c r="C351" s="21">
        <f>'OECD Mapping'!A31</f>
        <v/>
      </c>
      <c r="D351" s="21">
        <f>'OECD Mapping'!B31</f>
        <v/>
      </c>
      <c r="E351" s="90" t="inlineStr">
        <is>
          <t>Offshore Wind JEDI</t>
        </is>
      </c>
      <c r="F351" s="6" t="n"/>
    </row>
    <row r="352">
      <c r="A352" s="20" t="inlineStr">
        <is>
          <t xml:space="preserve">    Erection/Installation (equipment services)</t>
        </is>
      </c>
      <c r="B352" s="111" t="n">
        <v>0.007208345059589912</v>
      </c>
      <c r="C352" s="21">
        <f>'OECD Mapping'!A38</f>
        <v/>
      </c>
      <c r="D352" s="21">
        <f>'OECD Mapping'!B38</f>
        <v/>
      </c>
      <c r="E352" s="90" t="inlineStr">
        <is>
          <t>Offshore Wind JEDI</t>
        </is>
      </c>
      <c r="F352" s="6" t="n"/>
    </row>
    <row r="353">
      <c r="A353" s="20" t="inlineStr">
        <is>
          <t xml:space="preserve">    Decomissioning Bonding</t>
        </is>
      </c>
      <c r="B353" s="111" t="n">
        <v>0.02614550087003348</v>
      </c>
      <c r="C353" s="21">
        <f>'OECD Mapping'!A36</f>
        <v/>
      </c>
      <c r="D353" s="21">
        <f>'OECD Mapping'!B36</f>
        <v/>
      </c>
      <c r="E353" s="90" t="inlineStr">
        <is>
          <t>Offshore Wind JEDI</t>
        </is>
      </c>
      <c r="F353" s="6" t="n"/>
    </row>
    <row r="354">
      <c r="A354" s="20" t="inlineStr">
        <is>
          <t xml:space="preserve">    Development Services/Other Total</t>
        </is>
      </c>
      <c r="B354" s="111" t="n">
        <v>0.3509368911517859</v>
      </c>
      <c r="C354" s="21" t="n"/>
      <c r="D354" s="21" t="n"/>
      <c r="E354" s="90" t="n"/>
      <c r="F354" s="6" t="n"/>
    </row>
    <row r="355">
      <c r="A355" s="20" t="inlineStr">
        <is>
          <t>Construction Financing (AFUDC)</t>
        </is>
      </c>
      <c r="B355" s="111" t="n"/>
      <c r="C355" s="21" t="n"/>
      <c r="D355" s="21" t="n"/>
      <c r="E355" s="90" t="n"/>
      <c r="F355" s="6" t="n"/>
    </row>
    <row r="356">
      <c r="A356" s="20" t="inlineStr">
        <is>
          <t xml:space="preserve">    Interest During Construction</t>
        </is>
      </c>
      <c r="B356" s="111" t="n">
        <v>0</v>
      </c>
      <c r="C356" s="21">
        <f>'OECD Mapping'!A36</f>
        <v/>
      </c>
      <c r="D356" s="21">
        <f>'OECD Mapping'!B36</f>
        <v/>
      </c>
      <c r="E356" s="90" t="inlineStr">
        <is>
          <t>Offshore Wind JEDI</t>
        </is>
      </c>
      <c r="F356" s="6" t="n"/>
    </row>
    <row r="357">
      <c r="A357" s="20" t="inlineStr">
        <is>
          <t xml:space="preserve">    Due Diligence Costs</t>
        </is>
      </c>
      <c r="B357" s="111" t="n">
        <v>0</v>
      </c>
      <c r="C357" s="21">
        <f>'OECD Mapping'!A38</f>
        <v/>
      </c>
      <c r="D357" s="21">
        <f>'OECD Mapping'!B38</f>
        <v/>
      </c>
      <c r="E357" s="90" t="inlineStr">
        <is>
          <t>Offshore Wind JEDI</t>
        </is>
      </c>
      <c r="F357" s="6" t="n"/>
    </row>
    <row r="358">
      <c r="A358" s="20" t="inlineStr">
        <is>
          <t xml:space="preserve">    Reserve Accounts (MRA/DSRA)</t>
        </is>
      </c>
      <c r="B358" s="111" t="n">
        <v>0</v>
      </c>
      <c r="C358" s="21">
        <f>'OECD Mapping'!A36</f>
        <v/>
      </c>
      <c r="D358" s="21">
        <f>'OECD Mapping'!B36</f>
        <v/>
      </c>
      <c r="E358" s="90" t="inlineStr">
        <is>
          <t>Offshore Wind JEDI</t>
        </is>
      </c>
      <c r="F358" s="6" t="n"/>
    </row>
    <row r="359">
      <c r="A359" s="20" t="inlineStr">
        <is>
          <t xml:space="preserve">    Bank Fees</t>
        </is>
      </c>
      <c r="B359" s="111" t="n">
        <v>0</v>
      </c>
      <c r="C359" s="21">
        <f>'OECD Mapping'!A36</f>
        <v/>
      </c>
      <c r="D359" s="21">
        <f>'OECD Mapping'!B36</f>
        <v/>
      </c>
      <c r="E359" s="90" t="inlineStr">
        <is>
          <t>Offshore Wind JEDI</t>
        </is>
      </c>
      <c r="F359" s="6" t="n"/>
    </row>
    <row r="360">
      <c r="A360" s="20" t="inlineStr">
        <is>
          <t xml:space="preserve">    Construction Financing Total</t>
        </is>
      </c>
      <c r="B360" s="111" t="n">
        <v>0</v>
      </c>
      <c r="C360" s="21" t="n"/>
      <c r="D360" s="21" t="n"/>
      <c r="E360" s="90" t="n"/>
      <c r="F360" s="6" t="n"/>
    </row>
    <row r="361">
      <c r="A361" s="20" t="inlineStr">
        <is>
          <t>Other Miscellaneous</t>
        </is>
      </c>
      <c r="B361" s="111" t="n">
        <v>0.09502048340829852</v>
      </c>
      <c r="C361" s="21">
        <f>'OECD Mapping'!A38</f>
        <v/>
      </c>
      <c r="D361" s="21">
        <f>'OECD Mapping'!B38</f>
        <v/>
      </c>
      <c r="E361" s="90" t="inlineStr">
        <is>
          <t>Offshore Wind JEDI</t>
        </is>
      </c>
      <c r="F361" s="6" t="n"/>
    </row>
    <row r="362">
      <c r="A362" s="20" t="inlineStr">
        <is>
          <t>Subtotal (all costs without taxes)</t>
        </is>
      </c>
      <c r="B362" s="111" t="n">
        <v>1</v>
      </c>
      <c r="C362" s="21" t="n"/>
      <c r="D362" s="21" t="n"/>
      <c r="E362" s="90" t="n"/>
      <c r="F362" s="6" t="n"/>
    </row>
    <row r="363">
      <c r="A363" s="20" t="inlineStr">
        <is>
          <t>Sales Tax (Material and Equipment Purchases)</t>
        </is>
      </c>
      <c r="B363" s="111" t="n">
        <v>0</v>
      </c>
      <c r="C363" s="21">
        <f>'OECD Mapping'!A39</f>
        <v/>
      </c>
      <c r="D363" s="21">
        <f>'OECD Mapping'!B39</f>
        <v/>
      </c>
      <c r="E363" s="90" t="inlineStr">
        <is>
          <t>Offshore Wind JEDI</t>
        </is>
      </c>
      <c r="F363" s="6" t="n"/>
    </row>
    <row r="364" ht="15" customHeight="1" thickBot="1">
      <c r="A364" s="67" t="inlineStr">
        <is>
          <t>Total Construction Cost</t>
        </is>
      </c>
      <c r="B364" s="66" t="n">
        <v>1</v>
      </c>
      <c r="C364" s="59" t="n"/>
      <c r="D364" s="59" t="n"/>
      <c r="E364" s="95" t="n"/>
      <c r="F364" s="72" t="n"/>
    </row>
    <row r="365">
      <c r="A365" s="11" t="inlineStr">
        <is>
          <t>Fixed O&amp;M Costs</t>
        </is>
      </c>
      <c r="B365" s="60" t="n"/>
      <c r="C365" s="103" t="n"/>
      <c r="D365" s="104" t="n"/>
      <c r="E365" s="60" t="n"/>
      <c r="F365" s="14" t="n"/>
    </row>
    <row r="366">
      <c r="A366" s="20" t="inlineStr">
        <is>
          <t>Labor</t>
        </is>
      </c>
      <c r="B366" s="111" t="n"/>
      <c r="C366" s="21" t="n"/>
      <c r="D366" s="21" t="n"/>
      <c r="E366" s="21" t="n"/>
      <c r="F366" s="6" t="n"/>
    </row>
    <row r="367">
      <c r="A367" s="20" t="inlineStr">
        <is>
          <t xml:space="preserve">    Technician Salaries</t>
        </is>
      </c>
      <c r="B367" s="111" t="n">
        <v>0.06318286908842388</v>
      </c>
      <c r="C367" s="21">
        <f>'OECD Mapping'!A26</f>
        <v/>
      </c>
      <c r="D367" s="21">
        <f>'OECD Mapping'!B26</f>
        <v/>
      </c>
      <c r="E367" s="90" t="inlineStr">
        <is>
          <t>Offshore Wind JEDI</t>
        </is>
      </c>
      <c r="F367" s="6" t="n"/>
    </row>
    <row r="368">
      <c r="A368" s="20" t="inlineStr">
        <is>
          <t xml:space="preserve">    Monitoring &amp; Daily Operation Staff and Other Craft Labor</t>
        </is>
      </c>
      <c r="B368" s="111" t="n">
        <v>0</v>
      </c>
      <c r="C368" s="21">
        <f>'OECD Mapping'!A26</f>
        <v/>
      </c>
      <c r="D368" s="21">
        <f>'OECD Mapping'!B26</f>
        <v/>
      </c>
      <c r="E368" s="90" t="inlineStr">
        <is>
          <t>Offshore Wind JEDI</t>
        </is>
      </c>
      <c r="F368" s="6" t="n"/>
    </row>
    <row r="369">
      <c r="A369" s="20" t="inlineStr">
        <is>
          <t xml:space="preserve">    Administrative</t>
        </is>
      </c>
      <c r="B369" s="111" t="n">
        <v>0.01170053140693321</v>
      </c>
      <c r="C369" s="21">
        <f>'OECD Mapping'!A26</f>
        <v/>
      </c>
      <c r="D369" s="21">
        <f>'OECD Mapping'!B26</f>
        <v/>
      </c>
      <c r="E369" s="90" t="inlineStr">
        <is>
          <t>Offshore Wind JEDI</t>
        </is>
      </c>
      <c r="F369" s="6" t="n"/>
    </row>
    <row r="370">
      <c r="A370" s="20" t="inlineStr">
        <is>
          <t xml:space="preserve">    Management/Supervision</t>
        </is>
      </c>
      <c r="B370" s="111" t="n">
        <v>0.05616254966827284</v>
      </c>
      <c r="C370" s="21">
        <f>'OECD Mapping'!A26</f>
        <v/>
      </c>
      <c r="D370" s="21">
        <f>'OECD Mapping'!B26</f>
        <v/>
      </c>
      <c r="E370" s="90" t="inlineStr">
        <is>
          <t>Offshore Wind JEDI</t>
        </is>
      </c>
      <c r="F370" s="6" t="n"/>
    </row>
    <row r="371">
      <c r="A371" s="20" t="inlineStr">
        <is>
          <t xml:space="preserve">    Labor Total</t>
        </is>
      </c>
      <c r="B371" s="111" t="n">
        <v>0.1310459501636299</v>
      </c>
      <c r="C371" s="21" t="n"/>
      <c r="D371" s="21" t="n"/>
      <c r="E371" s="21" t="n"/>
      <c r="F371" s="6" t="n"/>
    </row>
    <row r="372">
      <c r="A372" s="20" t="inlineStr">
        <is>
          <t>Materials and Services</t>
        </is>
      </c>
      <c r="B372" s="111" t="n"/>
      <c r="C372" s="21" t="n"/>
      <c r="D372" s="21" t="n"/>
      <c r="E372" s="21" t="n"/>
      <c r="F372" s="6" t="n"/>
    </row>
    <row r="373">
      <c r="A373" s="20" t="inlineStr">
        <is>
          <t xml:space="preserve">    Water Transport</t>
        </is>
      </c>
      <c r="B373" s="111" t="n">
        <v>0.1994320770116259</v>
      </c>
      <c r="C373" s="21">
        <f>'OECD Mapping'!A31</f>
        <v/>
      </c>
      <c r="D373" s="21">
        <f>'OECD Mapping'!B31</f>
        <v/>
      </c>
      <c r="E373" s="90" t="inlineStr">
        <is>
          <t>Offshore Wind JEDI</t>
        </is>
      </c>
      <c r="F373" s="6" t="n"/>
    </row>
    <row r="374">
      <c r="A374" s="20" t="inlineStr">
        <is>
          <t xml:space="preserve">    Site Facilities</t>
        </is>
      </c>
      <c r="B374" s="111" t="n">
        <v>0.09971603850581295</v>
      </c>
      <c r="C374" s="21">
        <f>'OECD Mapping'!A38</f>
        <v/>
      </c>
      <c r="D374" s="21">
        <f>'OECD Mapping'!B38</f>
        <v/>
      </c>
      <c r="E374" s="90" t="inlineStr">
        <is>
          <t>Offshore Wind JEDI</t>
        </is>
      </c>
      <c r="F374" s="6" t="n"/>
    </row>
    <row r="375">
      <c r="A375" s="20" t="inlineStr">
        <is>
          <t xml:space="preserve">    Machinery and Equipment</t>
        </is>
      </c>
      <c r="B375" s="111" t="n">
        <v>0.04273544507391984</v>
      </c>
      <c r="C375" s="21">
        <f>'OECD Mapping'!A22</f>
        <v/>
      </c>
      <c r="D375" s="21">
        <f>'OECD Mapping'!B22</f>
        <v/>
      </c>
      <c r="E375" s="90" t="inlineStr">
        <is>
          <t>Offshore Wind JEDI</t>
        </is>
      </c>
      <c r="F375" s="6" t="n"/>
    </row>
    <row r="376">
      <c r="A376" s="20" t="inlineStr">
        <is>
          <t xml:space="preserve">    Subcontractors</t>
        </is>
      </c>
      <c r="B376" s="111" t="n">
        <v>0.06410316761087977</v>
      </c>
      <c r="C376" s="21">
        <f>'OECD Mapping'!A29</f>
        <v/>
      </c>
      <c r="D376" s="21">
        <f>'OECD Mapping'!B29</f>
        <v/>
      </c>
      <c r="E376" s="90" t="inlineStr">
        <is>
          <t>Offshore Wind JEDI</t>
        </is>
      </c>
      <c r="F376" s="6" t="n"/>
    </row>
    <row r="377">
      <c r="A377" s="20" t="inlineStr">
        <is>
          <t xml:space="preserve">    Corrective Maintenance Parts</t>
        </is>
      </c>
      <c r="B377" s="111" t="n">
        <v>0.4629673216341316</v>
      </c>
      <c r="C377" s="21">
        <f>'OECD Mapping'!A22</f>
        <v/>
      </c>
      <c r="D377" s="21">
        <f>'OECD Mapping'!B22</f>
        <v/>
      </c>
      <c r="E377" s="90" t="inlineStr">
        <is>
          <t>Offshore Wind JEDI</t>
        </is>
      </c>
      <c r="F377" s="6" t="n"/>
    </row>
    <row r="378">
      <c r="A378" s="20" t="inlineStr">
        <is>
          <t xml:space="preserve">    Materials and Services Subtotal</t>
        </is>
      </c>
      <c r="B378" s="111" t="n">
        <v>0.8689540498363701</v>
      </c>
      <c r="C378" s="21" t="n"/>
      <c r="D378" s="21" t="n"/>
      <c r="E378" s="21" t="n"/>
      <c r="F378" s="6" t="n"/>
    </row>
    <row r="379">
      <c r="A379" s="20" t="inlineStr">
        <is>
          <t>Subtotal (all costs without taxes)</t>
        </is>
      </c>
      <c r="B379" s="111" t="n">
        <v>1</v>
      </c>
      <c r="C379" s="21" t="n"/>
      <c r="D379" s="21" t="n"/>
      <c r="E379" s="21" t="n"/>
      <c r="F379" s="6" t="n"/>
    </row>
    <row r="380">
      <c r="A380" s="20" t="inlineStr">
        <is>
          <t>Sales Tax (Material and Equipment Purchases)</t>
        </is>
      </c>
      <c r="B380" s="111" t="n">
        <v>0</v>
      </c>
      <c r="C380" s="21">
        <f>'OECD Mapping'!A39</f>
        <v/>
      </c>
      <c r="D380" s="21">
        <f>'OECD Mapping'!B39</f>
        <v/>
      </c>
      <c r="E380" s="90" t="inlineStr">
        <is>
          <t>Offshore Wind JEDI</t>
        </is>
      </c>
      <c r="F380" s="6" t="n"/>
    </row>
    <row r="381" ht="15" customHeight="1" thickBot="1">
      <c r="A381" s="24" t="inlineStr">
        <is>
          <t>Total Operational Cost</t>
        </is>
      </c>
      <c r="B381" s="18" t="n">
        <v>1</v>
      </c>
      <c r="C381" s="25" t="n"/>
      <c r="D381" s="25" t="n"/>
      <c r="E381" s="25" t="n"/>
      <c r="F381" s="10" t="n"/>
    </row>
  </sheetData>
  <mergeCells count="10">
    <mergeCell ref="A235:F235"/>
    <mergeCell ref="A219:F219"/>
    <mergeCell ref="A1:F1"/>
    <mergeCell ref="A75:F75"/>
    <mergeCell ref="A289:F289"/>
    <mergeCell ref="A110:F110"/>
    <mergeCell ref="A164:F164"/>
    <mergeCell ref="A315:F315"/>
    <mergeCell ref="A18:F18"/>
    <mergeCell ref="A145:F145"/>
  </mergeCells>
  <dataValidations disablePrompts="1" count="1">
    <dataValidation sqref="B17" showDropDown="0" showInputMessage="0" showErrorMessage="1" allowBlank="1" errorTitle="Expenditures" error="Expenditures must be a number that is greater than or equal to zero." type="decimal">
      <formula1>0</formula1>
      <formula2>9000000000000000000</formula2>
    </dataValidation>
  </dataValidations>
  <hyperlinks>
    <hyperlink xmlns:r="http://schemas.openxmlformats.org/officeDocument/2006/relationships" ref="F4" r:id="rId1"/>
    <hyperlink xmlns:r="http://schemas.openxmlformats.org/officeDocument/2006/relationships" ref="F5" display="https://www.nrel.gov/docs/fy19osti/72399.pdf, Figure 28" r:id="rId2"/>
    <hyperlink xmlns:r="http://schemas.openxmlformats.org/officeDocument/2006/relationships" ref="F6" display="https://www.nrel.gov/docs/fy19osti/72399.pdf, Figure 28" r:id="rId3"/>
    <hyperlink xmlns:r="http://schemas.openxmlformats.org/officeDocument/2006/relationships" ref="F7" display="https://www.nrel.gov/docs/fy19osti/72399.pdf, Figure 28" r:id="rId4"/>
    <hyperlink xmlns:r="http://schemas.openxmlformats.org/officeDocument/2006/relationships" ref="F8" display="https://www.nrel.gov/docs/fy19osti/72399.pdf, Figure 28" r:id="rId5"/>
    <hyperlink xmlns:r="http://schemas.openxmlformats.org/officeDocument/2006/relationships" ref="F9" display="https://www.nrel.gov/docs/fy19osti/72399.pdf, Figure 28" r:id="rId6"/>
    <hyperlink xmlns:r="http://schemas.openxmlformats.org/officeDocument/2006/relationships" ref="F10" display="https://www.nrel.gov/docs/fy19osti/72399.pdf, Figure 28" r:id="rId7"/>
    <hyperlink xmlns:r="http://schemas.openxmlformats.org/officeDocument/2006/relationships" ref="F11" display="https://www.nrel.gov/docs/fy19osti/72399.pdf, Figure 28" r:id="rId8"/>
    <hyperlink xmlns:r="http://schemas.openxmlformats.org/officeDocument/2006/relationships" ref="F12" display="https://www.nrel.gov/docs/fy19osti/72399.pdf, Figure 28" r:id="rId9"/>
    <hyperlink xmlns:r="http://schemas.openxmlformats.org/officeDocument/2006/relationships" ref="F13" display="https://www.nrel.gov/docs/fy19osti/72399.pdf, Figure 28" r:id="rId10"/>
    <hyperlink xmlns:r="http://schemas.openxmlformats.org/officeDocument/2006/relationships" ref="F15" display="https://www.nrel.gov/analysis/jedi/international.html" r:id="rId11"/>
    <hyperlink xmlns:r="http://schemas.openxmlformats.org/officeDocument/2006/relationships" ref="F16" display="https://www.nrel.gov/analysis/jedi/international.html" r:id="rId12"/>
    <hyperlink xmlns:r="http://schemas.openxmlformats.org/officeDocument/2006/relationships" ref="F78" r:id="rId13"/>
    <hyperlink xmlns:r="http://schemas.openxmlformats.org/officeDocument/2006/relationships" ref="F100" r:id="rId14"/>
    <hyperlink xmlns:r="http://schemas.openxmlformats.org/officeDocument/2006/relationships" ref="F101" r:id="rId15"/>
    <hyperlink xmlns:r="http://schemas.openxmlformats.org/officeDocument/2006/relationships" ref="F102" r:id="rId16"/>
    <hyperlink xmlns:r="http://schemas.openxmlformats.org/officeDocument/2006/relationships" ref="F105" r:id="rId17"/>
    <hyperlink xmlns:r="http://schemas.openxmlformats.org/officeDocument/2006/relationships" ref="F106" r:id="rId18"/>
    <hyperlink xmlns:r="http://schemas.openxmlformats.org/officeDocument/2006/relationships" ref="F107" r:id="rId19"/>
    <hyperlink xmlns:r="http://schemas.openxmlformats.org/officeDocument/2006/relationships" ref="F140" display="https://www.nrel.gov/analysis/jedi/natural-gas.html" r:id="rId20"/>
    <hyperlink xmlns:r="http://schemas.openxmlformats.org/officeDocument/2006/relationships" ref="F141" display="https://www.nrel.gov/analysis/jedi/natural-gas.html" r:id="rId21"/>
    <hyperlink xmlns:r="http://schemas.openxmlformats.org/officeDocument/2006/relationships" ref="F142" display="https://www.nrel.gov/analysis/jedi/natural-gas.html" r:id="rId22"/>
    <hyperlink xmlns:r="http://schemas.openxmlformats.org/officeDocument/2006/relationships" ref="F150" r:id="rId23"/>
    <hyperlink xmlns:r="http://schemas.openxmlformats.org/officeDocument/2006/relationships" ref="F151" display="https://www.world-nuclear.org/information-library/economic-aspects/economics-of-nuclear-power.aspx" r:id="rId24"/>
    <hyperlink xmlns:r="http://schemas.openxmlformats.org/officeDocument/2006/relationships" ref="F152" display="https://www.world-nuclear.org/information-library/economic-aspects/economics-of-nuclear-power.aspx" r:id="rId25"/>
    <hyperlink xmlns:r="http://schemas.openxmlformats.org/officeDocument/2006/relationships" ref="F153" display="https://www.world-nuclear.org/information-library/economic-aspects/economics-of-nuclear-power.aspx" r:id="rId26"/>
    <hyperlink xmlns:r="http://schemas.openxmlformats.org/officeDocument/2006/relationships" ref="F154" display="https://www.world-nuclear.org/information-library/economic-aspects/economics-of-nuclear-power.aspx" r:id="rId27"/>
    <hyperlink xmlns:r="http://schemas.openxmlformats.org/officeDocument/2006/relationships" ref="F155" display="https://www.world-nuclear.org/information-library/economic-aspects/economics-of-nuclear-power.aspx" r:id="rId28"/>
    <hyperlink xmlns:r="http://schemas.openxmlformats.org/officeDocument/2006/relationships" ref="F156" display="https://www.world-nuclear.org/information-library/economic-aspects/economics-of-nuclear-power.aspx" r:id="rId29"/>
    <hyperlink xmlns:r="http://schemas.openxmlformats.org/officeDocument/2006/relationships" ref="F157" display="https://www.world-nuclear.org/information-library/economic-aspects/economics-of-nuclear-power.aspx" r:id="rId30"/>
    <hyperlink xmlns:r="http://schemas.openxmlformats.org/officeDocument/2006/relationships" ref="F158" display="https://www.world-nuclear.org/information-library/economic-aspects/economics-of-nuclear-power.aspx" r:id="rId31"/>
    <hyperlink xmlns:r="http://schemas.openxmlformats.org/officeDocument/2006/relationships" ref="F160" r:id="rId32"/>
    <hyperlink xmlns:r="http://schemas.openxmlformats.org/officeDocument/2006/relationships" ref="F162" r:id="rId33"/>
    <hyperlink xmlns:r="http://schemas.openxmlformats.org/officeDocument/2006/relationships" ref="F167" r:id="rId34"/>
    <hyperlink xmlns:r="http://schemas.openxmlformats.org/officeDocument/2006/relationships" ref="F202" r:id="rId35"/>
    <hyperlink xmlns:r="http://schemas.openxmlformats.org/officeDocument/2006/relationships" ref="F203" display="https://www.nrel.gov/analysis/jedi/conventional-hydro.html" r:id="rId36"/>
    <hyperlink xmlns:r="http://schemas.openxmlformats.org/officeDocument/2006/relationships" ref="F204" display="https://www.nrel.gov/analysis/jedi/conventional-hydro.html" r:id="rId37"/>
    <hyperlink xmlns:r="http://schemas.openxmlformats.org/officeDocument/2006/relationships" ref="F205" display="https://www.nrel.gov/analysis/jedi/conventional-hydro.html" r:id="rId38"/>
    <hyperlink xmlns:r="http://schemas.openxmlformats.org/officeDocument/2006/relationships" ref="F206" display="https://www.nrel.gov/analysis/jedi/conventional-hydro.html" r:id="rId39"/>
    <hyperlink xmlns:r="http://schemas.openxmlformats.org/officeDocument/2006/relationships" ref="F207" display="https://www.nrel.gov/analysis/jedi/conventional-hydro.html" r:id="rId40"/>
    <hyperlink xmlns:r="http://schemas.openxmlformats.org/officeDocument/2006/relationships" ref="F208" display="https://www.nrel.gov/analysis/jedi/conventional-hydro.html" r:id="rId41"/>
    <hyperlink xmlns:r="http://schemas.openxmlformats.org/officeDocument/2006/relationships" ref="F209" display="https://www.nrel.gov/analysis/jedi/conventional-hydro.html" r:id="rId42"/>
    <hyperlink xmlns:r="http://schemas.openxmlformats.org/officeDocument/2006/relationships" ref="F210" display="https://www.nrel.gov/analysis/jedi/conventional-hydro.html" r:id="rId43"/>
    <hyperlink xmlns:r="http://schemas.openxmlformats.org/officeDocument/2006/relationships" ref="F211" display="https://www.nrel.gov/analysis/jedi/conventional-hydro.html" r:id="rId44"/>
    <hyperlink xmlns:r="http://schemas.openxmlformats.org/officeDocument/2006/relationships" ref="F212" display="https://www.nrel.gov/analysis/jedi/conventional-hydro.html" r:id="rId45"/>
    <hyperlink xmlns:r="http://schemas.openxmlformats.org/officeDocument/2006/relationships" ref="F213" display="https://www.nrel.gov/analysis/jedi/conventional-hydro.html" r:id="rId46"/>
    <hyperlink xmlns:r="http://schemas.openxmlformats.org/officeDocument/2006/relationships" ref="F214" display="https://www.nrel.gov/analysis/jedi/conventional-hydro.html" r:id="rId47"/>
    <hyperlink xmlns:r="http://schemas.openxmlformats.org/officeDocument/2006/relationships" ref="F215" display="https://www.nrel.gov/analysis/jedi/conventional-hydro.html" r:id="rId48"/>
    <hyperlink xmlns:r="http://schemas.openxmlformats.org/officeDocument/2006/relationships" ref="F217" r:id="rId49"/>
    <hyperlink xmlns:r="http://schemas.openxmlformats.org/officeDocument/2006/relationships" ref="F222" display="https://www.nrel.gov/analysis/jedi/international.html" r:id="rId50"/>
    <hyperlink xmlns:r="http://schemas.openxmlformats.org/officeDocument/2006/relationships" ref="F223" display="https://www.nrel.gov/analysis/jedi/international.html" r:id="rId51"/>
    <hyperlink xmlns:r="http://schemas.openxmlformats.org/officeDocument/2006/relationships" ref="F224" display="https://www.nrel.gov/analysis/jedi/international.html" r:id="rId52"/>
    <hyperlink xmlns:r="http://schemas.openxmlformats.org/officeDocument/2006/relationships" ref="F225" display="https://www.nrel.gov/analysis/jedi/international.html" r:id="rId53"/>
    <hyperlink xmlns:r="http://schemas.openxmlformats.org/officeDocument/2006/relationships" ref="F226" display="https://www.nrel.gov/analysis/jedi/international.html" r:id="rId54"/>
    <hyperlink xmlns:r="http://schemas.openxmlformats.org/officeDocument/2006/relationships" ref="F227" display="https://www.nrel.gov/analysis/jedi/international.html" r:id="rId55"/>
    <hyperlink xmlns:r="http://schemas.openxmlformats.org/officeDocument/2006/relationships" ref="F229" r:id="rId56"/>
    <hyperlink xmlns:r="http://schemas.openxmlformats.org/officeDocument/2006/relationships" ref="F231" r:id="rId57"/>
    <hyperlink xmlns:r="http://schemas.openxmlformats.org/officeDocument/2006/relationships" ref="F232" r:id="rId58"/>
    <hyperlink xmlns:r="http://schemas.openxmlformats.org/officeDocument/2006/relationships" ref="F233" r:id="rId59"/>
    <hyperlink xmlns:r="http://schemas.openxmlformats.org/officeDocument/2006/relationships" ref="F239" r:id="rId60"/>
    <hyperlink xmlns:r="http://schemas.openxmlformats.org/officeDocument/2006/relationships" ref="F242" r:id="rId61"/>
    <hyperlink xmlns:r="http://schemas.openxmlformats.org/officeDocument/2006/relationships" ref="F243" r:id="rId62"/>
    <hyperlink xmlns:r="http://schemas.openxmlformats.org/officeDocument/2006/relationships" ref="F244" r:id="rId63"/>
    <hyperlink xmlns:r="http://schemas.openxmlformats.org/officeDocument/2006/relationships" ref="F245" r:id="rId64"/>
    <hyperlink xmlns:r="http://schemas.openxmlformats.org/officeDocument/2006/relationships" ref="F246" r:id="rId65"/>
    <hyperlink xmlns:r="http://schemas.openxmlformats.org/officeDocument/2006/relationships" ref="F250" r:id="rId66"/>
    <hyperlink xmlns:r="http://schemas.openxmlformats.org/officeDocument/2006/relationships" ref="F251" r:id="rId67"/>
    <hyperlink xmlns:r="http://schemas.openxmlformats.org/officeDocument/2006/relationships" ref="F252" r:id="rId68"/>
    <hyperlink xmlns:r="http://schemas.openxmlformats.org/officeDocument/2006/relationships" ref="F253" r:id="rId69"/>
    <hyperlink xmlns:r="http://schemas.openxmlformats.org/officeDocument/2006/relationships" ref="F254" r:id="rId70"/>
    <hyperlink xmlns:r="http://schemas.openxmlformats.org/officeDocument/2006/relationships" ref="F255" r:id="rId71"/>
    <hyperlink xmlns:r="http://schemas.openxmlformats.org/officeDocument/2006/relationships" ref="F256" r:id="rId72"/>
    <hyperlink xmlns:r="http://schemas.openxmlformats.org/officeDocument/2006/relationships" ref="F257" r:id="rId73"/>
    <hyperlink xmlns:r="http://schemas.openxmlformats.org/officeDocument/2006/relationships" ref="F258" r:id="rId74"/>
    <hyperlink xmlns:r="http://schemas.openxmlformats.org/officeDocument/2006/relationships" ref="F259" r:id="rId75"/>
    <hyperlink xmlns:r="http://schemas.openxmlformats.org/officeDocument/2006/relationships" ref="F260" r:id="rId76"/>
    <hyperlink xmlns:r="http://schemas.openxmlformats.org/officeDocument/2006/relationships" ref="F261" r:id="rId77"/>
    <hyperlink xmlns:r="http://schemas.openxmlformats.org/officeDocument/2006/relationships" ref="F262" r:id="rId78"/>
    <hyperlink xmlns:r="http://schemas.openxmlformats.org/officeDocument/2006/relationships" ref="F265" r:id="rId79"/>
    <hyperlink xmlns:r="http://schemas.openxmlformats.org/officeDocument/2006/relationships" ref="F266" r:id="rId80"/>
    <hyperlink xmlns:r="http://schemas.openxmlformats.org/officeDocument/2006/relationships" ref="F267" r:id="rId81"/>
    <hyperlink xmlns:r="http://schemas.openxmlformats.org/officeDocument/2006/relationships" ref="F274" r:id="rId82"/>
    <hyperlink xmlns:r="http://schemas.openxmlformats.org/officeDocument/2006/relationships" ref="F275" r:id="rId83"/>
    <hyperlink xmlns:r="http://schemas.openxmlformats.org/officeDocument/2006/relationships" ref="F276" r:id="rId84"/>
    <hyperlink xmlns:r="http://schemas.openxmlformats.org/officeDocument/2006/relationships" ref="F277" r:id="rId85"/>
    <hyperlink xmlns:r="http://schemas.openxmlformats.org/officeDocument/2006/relationships" ref="F281" r:id="rId86"/>
    <hyperlink xmlns:r="http://schemas.openxmlformats.org/officeDocument/2006/relationships" ref="F282" display="https://www.nrel.gov/analysis/jedi/csp.html" r:id="rId87"/>
    <hyperlink xmlns:r="http://schemas.openxmlformats.org/officeDocument/2006/relationships" ref="F283" display="https://www.nrel.gov/analysis/jedi/csp.html" r:id="rId88"/>
    <hyperlink xmlns:r="http://schemas.openxmlformats.org/officeDocument/2006/relationships" ref="F284" r:id="rId89"/>
    <hyperlink xmlns:r="http://schemas.openxmlformats.org/officeDocument/2006/relationships" ref="F285" r:id="rId90"/>
    <hyperlink xmlns:r="http://schemas.openxmlformats.org/officeDocument/2006/relationships" ref="F286" r:id="rId91"/>
    <hyperlink xmlns:r="http://schemas.openxmlformats.org/officeDocument/2006/relationships" ref="F293" display="https://www.nrel.gov/analysis/jedi/international.html" r:id="rId92"/>
    <hyperlink xmlns:r="http://schemas.openxmlformats.org/officeDocument/2006/relationships" ref="F294" display="https://www.nrel.gov/analysis/jedi/international.html" r:id="rId93"/>
    <hyperlink xmlns:r="http://schemas.openxmlformats.org/officeDocument/2006/relationships" ref="F295" display="https://www.nrel.gov/analysis/jedi/international.html" r:id="rId94"/>
    <hyperlink xmlns:r="http://schemas.openxmlformats.org/officeDocument/2006/relationships" ref="F296" display="https://www.nrel.gov/analysis/jedi/international.html" r:id="rId95"/>
    <hyperlink xmlns:r="http://schemas.openxmlformats.org/officeDocument/2006/relationships" ref="F297" display="https://www.nrel.gov/analysis/jedi/international.html" r:id="rId96"/>
    <hyperlink xmlns:r="http://schemas.openxmlformats.org/officeDocument/2006/relationships" ref="F298" display="https://www.nrel.gov/analysis/jedi/international.html" r:id="rId97"/>
    <hyperlink xmlns:r="http://schemas.openxmlformats.org/officeDocument/2006/relationships" ref="F299" display="https://www.nrel.gov/analysis/jedi/international.html" r:id="rId98"/>
    <hyperlink xmlns:r="http://schemas.openxmlformats.org/officeDocument/2006/relationships" ref="F300" display="https://www.nrel.gov/analysis/jedi/international.html" r:id="rId99"/>
    <hyperlink xmlns:r="http://schemas.openxmlformats.org/officeDocument/2006/relationships" ref="F301" display="https://www.nrel.gov/analysis/jedi/international.html" r:id="rId100"/>
    <hyperlink xmlns:r="http://schemas.openxmlformats.org/officeDocument/2006/relationships" ref="F303" display="https://www.nrel.gov/analysis/jedi/international.html" r:id="rId101"/>
    <hyperlink xmlns:r="http://schemas.openxmlformats.org/officeDocument/2006/relationships" ref="F304" display="https://www.nrel.gov/analysis/jedi/international.html" r:id="rId102"/>
    <hyperlink xmlns:r="http://schemas.openxmlformats.org/officeDocument/2006/relationships" ref="F305" display="https://www.nrel.gov/analysis/jedi/international.html" r:id="rId103"/>
    <hyperlink xmlns:r="http://schemas.openxmlformats.org/officeDocument/2006/relationships" ref="F306" display="https://www.nrel.gov/analysis/jedi/international.html" r:id="rId104"/>
    <hyperlink xmlns:r="http://schemas.openxmlformats.org/officeDocument/2006/relationships" ref="F308" r:id="rId105"/>
    <hyperlink xmlns:r="http://schemas.openxmlformats.org/officeDocument/2006/relationships" ref="F309" r:id="rId106"/>
    <hyperlink xmlns:r="http://schemas.openxmlformats.org/officeDocument/2006/relationships" ref="F310" r:id="rId107"/>
    <hyperlink xmlns:r="http://schemas.openxmlformats.org/officeDocument/2006/relationships" ref="F311" r:id="rId108"/>
    <hyperlink xmlns:r="http://schemas.openxmlformats.org/officeDocument/2006/relationships" ref="F313" r:id="rId109"/>
  </hyperlink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24"/>
  <sheetViews>
    <sheetView zoomScaleNormal="100" workbookViewId="0">
      <selection activeCell="T14" sqref="T14"/>
    </sheetView>
  </sheetViews>
  <sheetFormatPr baseColWidth="8" defaultRowHeight="14.5"/>
  <cols>
    <col width="21.1796875" customWidth="1" min="16" max="16"/>
    <col width="20" customWidth="1" min="20" max="20"/>
  </cols>
  <sheetData>
    <row r="1">
      <c r="A1" s="115" t="inlineStr">
        <is>
          <t>Solar PV</t>
        </is>
      </c>
      <c r="B1" s="116" t="n"/>
      <c r="C1" s="116" t="n"/>
      <c r="D1" s="116" t="n"/>
      <c r="E1" s="116" t="n"/>
      <c r="F1" s="116" t="n"/>
      <c r="G1" s="116" t="n"/>
      <c r="H1" s="116" t="n"/>
      <c r="I1" s="116" t="n"/>
      <c r="J1" s="116" t="n"/>
      <c r="K1" s="116" t="n"/>
      <c r="L1" s="116" t="n"/>
      <c r="M1" s="116" t="n"/>
      <c r="N1" s="116" t="n"/>
      <c r="O1" s="116" t="n"/>
      <c r="P1" s="116" t="n"/>
      <c r="Q1" s="116" t="n"/>
      <c r="R1" s="116" t="n"/>
      <c r="S1" s="116" t="n"/>
      <c r="T1" s="116" t="n"/>
      <c r="U1" s="116" t="n"/>
      <c r="V1" s="116" t="n"/>
      <c r="W1" s="116" t="n"/>
    </row>
    <row r="2"/>
    <row r="3">
      <c r="T3" s="120" t="inlineStr">
        <is>
          <t>SUMMARY</t>
        </is>
      </c>
      <c r="U3" s="121" t="n"/>
      <c r="V3" s="113">
        <f>SUM(U5:U14)</f>
        <v/>
      </c>
    </row>
    <row r="4">
      <c r="Q4" t="inlineStr">
        <is>
          <t>total</t>
        </is>
      </c>
      <c r="R4" t="inlineStr">
        <is>
          <t>percent</t>
        </is>
      </c>
    </row>
    <row r="5">
      <c r="P5" s="71" t="inlineStr">
        <is>
          <t>EPC</t>
        </is>
      </c>
      <c r="Q5" s="71" t="n">
        <v>4</v>
      </c>
      <c r="R5" s="114">
        <f>Q5/$Q$20</f>
        <v/>
      </c>
      <c r="T5" s="122" t="inlineStr">
        <is>
          <t>Module</t>
        </is>
      </c>
      <c r="U5" s="113">
        <f>R19</f>
        <v/>
      </c>
    </row>
    <row r="6">
      <c r="P6" s="71" t="inlineStr">
        <is>
          <t>Developer overhead</t>
        </is>
      </c>
      <c r="Q6" s="71" t="n">
        <v>2</v>
      </c>
      <c r="R6" s="114">
        <f>Q6/$Q$20</f>
        <v/>
      </c>
      <c r="T6" s="122" t="inlineStr">
        <is>
          <t>Inverter</t>
        </is>
      </c>
      <c r="U6" s="113">
        <f>R17</f>
        <v/>
      </c>
    </row>
    <row r="7">
      <c r="P7" s="71" t="inlineStr">
        <is>
          <t>contingency</t>
        </is>
      </c>
      <c r="Q7" s="71" t="n">
        <v>2</v>
      </c>
      <c r="R7" s="114">
        <f>Q7/$Q$20</f>
        <v/>
      </c>
      <c r="T7" s="122" t="inlineStr">
        <is>
          <t>Electrical BOS</t>
        </is>
      </c>
      <c r="U7" s="113">
        <f>R14</f>
        <v/>
      </c>
    </row>
    <row r="8">
      <c r="P8" t="inlineStr">
        <is>
          <t>transmission line</t>
        </is>
      </c>
      <c r="Q8" t="n">
        <v>2</v>
      </c>
      <c r="R8" s="112" t="n"/>
      <c r="T8" s="122" t="inlineStr">
        <is>
          <t>Structural BOS</t>
        </is>
      </c>
      <c r="U8" s="113">
        <f>R15</f>
        <v/>
      </c>
    </row>
    <row r="9">
      <c r="P9" t="inlineStr">
        <is>
          <t>interconnection fee</t>
        </is>
      </c>
      <c r="Q9" t="n">
        <v>2</v>
      </c>
      <c r="R9" s="112" t="n"/>
      <c r="T9" s="122" t="inlineStr">
        <is>
          <t>Install Labor and Equipment</t>
        </is>
      </c>
      <c r="U9" s="113">
        <f>R13</f>
        <v/>
      </c>
    </row>
    <row r="10">
      <c r="P10" t="inlineStr">
        <is>
          <t>permitting fee</t>
        </is>
      </c>
      <c r="Q10" t="n">
        <v>2</v>
      </c>
      <c r="R10" s="112" t="n"/>
      <c r="T10" s="122" t="inlineStr">
        <is>
          <t>EPC Overhead</t>
        </is>
      </c>
      <c r="U10" s="113">
        <f>R12</f>
        <v/>
      </c>
    </row>
    <row r="11">
      <c r="P11" s="71" t="inlineStr">
        <is>
          <t>sale tax</t>
        </is>
      </c>
      <c r="Q11" s="71" t="n">
        <v>4</v>
      </c>
      <c r="R11" s="114">
        <f>Q11/$Q$20</f>
        <v/>
      </c>
      <c r="T11" s="122" t="inlineStr">
        <is>
          <t>Sales Tax</t>
        </is>
      </c>
      <c r="U11" s="113">
        <f>R11</f>
        <v/>
      </c>
    </row>
    <row r="12">
      <c r="P12" s="71" t="inlineStr">
        <is>
          <t>epc overhead</t>
        </is>
      </c>
      <c r="Q12" s="71" t="n">
        <v>5</v>
      </c>
      <c r="R12" s="114">
        <f>Q12/$Q$20</f>
        <v/>
      </c>
      <c r="T12" s="122" t="inlineStr">
        <is>
          <t>Developer Overhead</t>
        </is>
      </c>
      <c r="U12" s="113">
        <f>R6</f>
        <v/>
      </c>
    </row>
    <row r="13">
      <c r="P13" s="71" t="inlineStr">
        <is>
          <t xml:space="preserve">install labor </t>
        </is>
      </c>
      <c r="Q13" s="71" t="n">
        <v>11</v>
      </c>
      <c r="R13" s="114">
        <f>Q13/$Q$20</f>
        <v/>
      </c>
      <c r="T13" s="122" t="inlineStr">
        <is>
          <t>Contingency</t>
        </is>
      </c>
      <c r="U13" s="113">
        <f>R7</f>
        <v/>
      </c>
    </row>
    <row r="14">
      <c r="P14" s="71" t="inlineStr">
        <is>
          <t>electrical bos</t>
        </is>
      </c>
      <c r="Q14" s="71" t="n">
        <v>7</v>
      </c>
      <c r="R14" s="114">
        <f>Q14/$Q$20</f>
        <v/>
      </c>
      <c r="T14" s="122" t="inlineStr">
        <is>
          <t>EPC/Developer Net Profit</t>
        </is>
      </c>
      <c r="U14" s="113">
        <f>R5</f>
        <v/>
      </c>
    </row>
    <row r="15">
      <c r="P15" s="71" t="inlineStr">
        <is>
          <t>structural bos</t>
        </is>
      </c>
      <c r="Q15" s="71" t="n">
        <v>12</v>
      </c>
      <c r="R15" s="114">
        <f>Q15/$Q$20</f>
        <v/>
      </c>
      <c r="T15" s="123" t="n"/>
      <c r="U15" s="124" t="n"/>
    </row>
    <row r="16">
      <c r="P16" t="inlineStr">
        <is>
          <t>bidirectional inverter</t>
        </is>
      </c>
      <c r="Q16" t="n">
        <v>0</v>
      </c>
      <c r="R16" s="112" t="n"/>
      <c r="T16" s="122" t="n"/>
      <c r="U16" s="125" t="n"/>
    </row>
    <row r="17">
      <c r="P17" s="71" t="inlineStr">
        <is>
          <t>solar inverter</t>
        </is>
      </c>
      <c r="Q17" s="71" t="n">
        <v>4</v>
      </c>
      <c r="R17" s="114">
        <f>Q17/$Q$20</f>
        <v/>
      </c>
      <c r="T17" s="122" t="n"/>
      <c r="U17" s="125" t="n"/>
    </row>
    <row r="18">
      <c r="P18" t="inlineStr">
        <is>
          <t>lithiomion battery</t>
        </is>
      </c>
      <c r="Q18" t="n">
        <v>0</v>
      </c>
      <c r="R18" s="112" t="n"/>
    </row>
    <row r="19">
      <c r="P19" s="71" t="inlineStr">
        <is>
          <t>pv module</t>
        </is>
      </c>
      <c r="Q19" s="71" t="n">
        <v>33</v>
      </c>
      <c r="R19" s="114">
        <f>Q19/$Q$20</f>
        <v/>
      </c>
    </row>
    <row r="20">
      <c r="Q20" s="71">
        <f>SUM(Q5:Q7,Q11:Q15,Q17,Q19)</f>
        <v/>
      </c>
    </row>
    <row r="21"/>
    <row r="22">
      <c r="P22" s="71" t="inlineStr">
        <is>
          <t>JEDI</t>
        </is>
      </c>
    </row>
    <row r="23">
      <c r="P23" t="inlineStr">
        <is>
          <t>Maintenance and repair services</t>
        </is>
      </c>
      <c r="Q23" t="n">
        <v>1581937.886280458</v>
      </c>
      <c r="R23" s="112">
        <f>Q23/SUM($Q$23:$Q$24)</f>
        <v/>
      </c>
    </row>
    <row r="24">
      <c r="P24" t="inlineStr">
        <is>
          <t>Repair parts</t>
        </is>
      </c>
      <c r="Q24" t="n">
        <v>1373114.205152522</v>
      </c>
      <c r="R24" s="112">
        <f>Q24/SUM($Q$23:$Q$24)</f>
        <v/>
      </c>
    </row>
  </sheetData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101"/>
  <sheetViews>
    <sheetView topLeftCell="A7" workbookViewId="0">
      <selection activeCell="A4" sqref="A4:XFD16"/>
    </sheetView>
  </sheetViews>
  <sheetFormatPr baseColWidth="8" defaultRowHeight="14.5"/>
  <cols>
    <col width="26.1796875" customWidth="1" min="1" max="1"/>
    <col width="25.453125" customWidth="1" min="2" max="2"/>
  </cols>
  <sheetData>
    <row r="1">
      <c r="A1" t="inlineStr">
        <is>
          <t>The difference in costs between the non-CCS and CCS versions of plant types is shown below (2012 $)</t>
        </is>
      </c>
    </row>
    <row r="2">
      <c r="A2" t="inlineStr">
        <is>
          <t>See EPS file elec/CCaMC for underlying calculations.</t>
        </is>
      </c>
    </row>
    <row r="3"/>
    <row r="4">
      <c r="A4" t="inlineStr">
        <is>
          <t>CCS CAPEX</t>
        </is>
      </c>
    </row>
    <row r="5">
      <c r="B5" t="n">
        <v>2021</v>
      </c>
      <c r="C5" t="n">
        <v>2022</v>
      </c>
      <c r="D5" t="n">
        <v>2023</v>
      </c>
      <c r="E5" t="n">
        <v>2024</v>
      </c>
      <c r="F5" t="n">
        <v>2025</v>
      </c>
      <c r="G5" t="n">
        <v>2026</v>
      </c>
      <c r="H5" t="n">
        <v>2027</v>
      </c>
      <c r="I5" t="n">
        <v>2028</v>
      </c>
      <c r="J5" t="n">
        <v>2029</v>
      </c>
      <c r="K5" t="n">
        <v>2030</v>
      </c>
      <c r="L5" t="n">
        <v>2031</v>
      </c>
      <c r="M5" t="n">
        <v>2032</v>
      </c>
      <c r="N5" t="n">
        <v>2033</v>
      </c>
      <c r="O5" t="n">
        <v>2034</v>
      </c>
      <c r="P5" t="n">
        <v>2035</v>
      </c>
      <c r="Q5" t="n">
        <v>2036</v>
      </c>
      <c r="R5" t="n">
        <v>2037</v>
      </c>
      <c r="S5" t="n">
        <v>2038</v>
      </c>
      <c r="T5" t="n">
        <v>2039</v>
      </c>
      <c r="U5" t="n">
        <v>2040</v>
      </c>
      <c r="V5" t="n">
        <v>2041</v>
      </c>
      <c r="W5" t="n">
        <v>2042</v>
      </c>
      <c r="X5" t="n">
        <v>2043</v>
      </c>
      <c r="Y5" t="n">
        <v>2044</v>
      </c>
      <c r="Z5" t="n">
        <v>2045</v>
      </c>
      <c r="AA5" t="n">
        <v>2046</v>
      </c>
      <c r="AB5" t="n">
        <v>2047</v>
      </c>
      <c r="AC5" t="n">
        <v>2048</v>
      </c>
      <c r="AD5" t="n">
        <v>2049</v>
      </c>
      <c r="AE5" t="n">
        <v>2050</v>
      </c>
    </row>
    <row r="6">
      <c r="A6" t="inlineStr">
        <is>
          <t>hard coal</t>
        </is>
      </c>
      <c r="B6" s="124" t="n">
        <v>2103947.132589222</v>
      </c>
      <c r="C6" s="124" t="n">
        <v>2103947.132589222</v>
      </c>
      <c r="D6" s="124" t="n">
        <v>2058678.317627333</v>
      </c>
      <c r="E6" s="124" t="n">
        <v>2013514.778979309</v>
      </c>
      <c r="F6" s="124" t="n">
        <v>1968456.516645149</v>
      </c>
      <c r="G6" s="124" t="n">
        <v>1923187.701683259</v>
      </c>
      <c r="H6" s="124" t="n">
        <v>1878024.163035234</v>
      </c>
      <c r="I6" s="124" t="n">
        <v>1832755.348073344</v>
      </c>
      <c r="J6" s="124" t="n">
        <v>1787591.80942532</v>
      </c>
      <c r="K6" s="124" t="n">
        <v>1742428.270777293</v>
      </c>
      <c r="L6" s="124" t="n">
        <v>1697264.732129269</v>
      </c>
      <c r="M6" s="124" t="n">
        <v>1651995.91716738</v>
      </c>
      <c r="N6" s="124" t="n">
        <v>1606832.378519355</v>
      </c>
      <c r="O6" s="124" t="n">
        <v>1561668.839871329</v>
      </c>
      <c r="P6" s="124" t="n">
        <v>1516505.301223306</v>
      </c>
      <c r="Q6" s="124" t="n">
        <v>1496186.972647388</v>
      </c>
      <c r="R6" s="124" t="n">
        <v>1476079.196699198</v>
      </c>
      <c r="S6" s="124" t="n">
        <v>1455866.144437146</v>
      </c>
      <c r="T6" s="124" t="n">
        <v>1435653.092175094</v>
      </c>
      <c r="U6" s="124" t="n">
        <v>1415440.03991304</v>
      </c>
      <c r="V6" s="124" t="n">
        <v>1395226.987650986</v>
      </c>
      <c r="W6" s="124" t="n">
        <v>1375013.935388934</v>
      </c>
      <c r="X6" s="124" t="n">
        <v>1354800.883126881</v>
      </c>
      <c r="Y6" s="124" t="n">
        <v>1334587.830864828</v>
      </c>
      <c r="Z6" s="124" t="n">
        <v>1314374.778602774</v>
      </c>
      <c r="AA6" s="124" t="n">
        <v>1294161.726340722</v>
      </c>
      <c r="AB6" s="124" t="n">
        <v>1273843.397764803</v>
      </c>
      <c r="AC6" s="124" t="n">
        <v>1253735.621816616</v>
      </c>
      <c r="AD6" s="124" t="n">
        <v>1233417.293240697</v>
      </c>
      <c r="AE6" s="124" t="n">
        <v>1213309.517292508</v>
      </c>
    </row>
    <row r="7">
      <c r="A7" t="inlineStr">
        <is>
          <t>natural gas combined cycle</t>
        </is>
      </c>
      <c r="B7" s="124" t="n">
        <v>1088381.509670428</v>
      </c>
      <c r="C7" s="124" t="n">
        <v>1088381.509670428</v>
      </c>
      <c r="D7" s="124" t="n">
        <v>1059692.549476419</v>
      </c>
      <c r="E7" s="124" t="n">
        <v>1030908.906245466</v>
      </c>
      <c r="F7" s="124" t="n">
        <v>1002219.946051456</v>
      </c>
      <c r="G7" s="124" t="n">
        <v>973530.9858574461</v>
      </c>
      <c r="H7" s="124" t="n">
        <v>944842.0256634367</v>
      </c>
      <c r="I7" s="124" t="n">
        <v>916058.3824324834</v>
      </c>
      <c r="J7" s="124" t="n">
        <v>887369.4222384734</v>
      </c>
      <c r="K7" s="124" t="n">
        <v>858680.462044464</v>
      </c>
      <c r="L7" s="124" t="n">
        <v>829896.8188135107</v>
      </c>
      <c r="M7" s="124" t="n">
        <v>801207.858619501</v>
      </c>
      <c r="N7" s="124" t="n">
        <v>772518.898425492</v>
      </c>
      <c r="O7" s="124" t="n">
        <v>743829.9382314822</v>
      </c>
      <c r="P7" s="124" t="n">
        <v>715046.2950005285</v>
      </c>
      <c r="Q7" s="124" t="n">
        <v>703779.0136042015</v>
      </c>
      <c r="R7" s="124" t="n">
        <v>692606.4152448181</v>
      </c>
      <c r="S7" s="124" t="n">
        <v>681339.1338484912</v>
      </c>
      <c r="T7" s="124" t="n">
        <v>670071.8524521639</v>
      </c>
      <c r="U7" s="124" t="n">
        <v>658804.5710558366</v>
      </c>
      <c r="V7" s="124" t="n">
        <v>647631.9726964534</v>
      </c>
      <c r="W7" s="124" t="n">
        <v>636364.691300126</v>
      </c>
      <c r="X7" s="124" t="n">
        <v>625097.4099037992</v>
      </c>
      <c r="Y7" s="124" t="n">
        <v>613924.8115444155</v>
      </c>
      <c r="Z7" s="124" t="n">
        <v>602657.5301480886</v>
      </c>
      <c r="AA7" s="124" t="n">
        <v>591390.2487517612</v>
      </c>
      <c r="AB7" s="124" t="n">
        <v>580217.6503923781</v>
      </c>
      <c r="AC7" s="124" t="n">
        <v>568950.3689960508</v>
      </c>
      <c r="AD7" s="124" t="n">
        <v>557683.0875997237</v>
      </c>
      <c r="AE7" s="124" t="n">
        <v>546510.4892403402</v>
      </c>
    </row>
    <row r="8">
      <c r="A8" t="inlineStr">
        <is>
          <t>biomass</t>
        </is>
      </c>
      <c r="B8" s="124" t="n">
        <v>1289895.798019413</v>
      </c>
      <c r="C8" s="124" t="n">
        <v>1424324.126407417</v>
      </c>
      <c r="D8" s="124" t="n">
        <v>1558752.454795422</v>
      </c>
      <c r="E8" s="124" t="n">
        <v>1693180.783183427</v>
      </c>
      <c r="F8" s="124" t="n">
        <v>1796492.548244192</v>
      </c>
      <c r="G8" s="124" t="n">
        <v>1852795.252017445</v>
      </c>
      <c r="H8" s="124" t="n">
        <v>1874191.289881199</v>
      </c>
      <c r="I8" s="124" t="n">
        <v>1881812.378460882</v>
      </c>
      <c r="J8" s="124" t="n">
        <v>1887554.654982066</v>
      </c>
      <c r="K8" s="124" t="n">
        <v>1892600.822962204</v>
      </c>
      <c r="L8" s="124" t="n">
        <v>1905769.033221718</v>
      </c>
      <c r="M8" s="124" t="n">
        <v>1916724.976696886</v>
      </c>
      <c r="N8" s="124" t="n">
        <v>1923267.469677406</v>
      </c>
      <c r="O8" s="124" t="n">
        <v>1930862.854063061</v>
      </c>
      <c r="P8" s="124" t="n">
        <v>1937772.61151279</v>
      </c>
      <c r="Q8" s="124" t="n">
        <v>1948062.537618166</v>
      </c>
      <c r="R8" s="124" t="n">
        <v>1958121.390541563</v>
      </c>
      <c r="S8" s="124" t="n">
        <v>1965944.372737021</v>
      </c>
      <c r="T8" s="124" t="n">
        <v>1977867.628599814</v>
      </c>
      <c r="U8" s="124" t="n">
        <v>1986058.763307501</v>
      </c>
      <c r="V8" s="124" t="n">
        <v>1991682.665769585</v>
      </c>
      <c r="W8" s="124" t="n">
        <v>2001284.524875909</v>
      </c>
      <c r="X8" s="124" t="n">
        <v>2007869.097264851</v>
      </c>
      <c r="Y8" s="124" t="n">
        <v>2016326.593350499</v>
      </c>
      <c r="Z8" s="124" t="n">
        <v>2026393.773852348</v>
      </c>
      <c r="AA8" s="124" t="n">
        <v>2035925.231581424</v>
      </c>
      <c r="AB8" s="124" t="n">
        <v>2044107.679105334</v>
      </c>
      <c r="AC8" s="124" t="n">
        <v>2053831.593409029</v>
      </c>
      <c r="AD8" s="124" t="n">
        <v>2065027.976375475</v>
      </c>
      <c r="AE8" s="124" t="n">
        <v>2090069.724841983</v>
      </c>
    </row>
    <row r="9">
      <c r="A9" t="inlineStr">
        <is>
          <t>lignite</t>
        </is>
      </c>
      <c r="B9" s="124" t="n">
        <v>2438353.287584211</v>
      </c>
      <c r="C9" s="124" t="n">
        <v>2438353.287584211</v>
      </c>
      <c r="D9" s="124" t="n">
        <v>2385889.34394342</v>
      </c>
      <c r="E9" s="124" t="n">
        <v>2333547.409473888</v>
      </c>
      <c r="F9" s="124" t="n">
        <v>2281327.484175612</v>
      </c>
      <c r="G9" s="124" t="n">
        <v>2228863.540534821</v>
      </c>
      <c r="H9" s="124" t="n">
        <v>2176521.606065286</v>
      </c>
      <c r="I9" s="124" t="n">
        <v>2124057.662424495</v>
      </c>
      <c r="J9" s="124" t="n">
        <v>2071715.727954963</v>
      </c>
      <c r="K9" s="124" t="n">
        <v>2019373.793485428</v>
      </c>
      <c r="L9" s="124" t="n">
        <v>1967031.859015895</v>
      </c>
      <c r="M9" s="124" t="n">
        <v>1914567.915375105</v>
      </c>
      <c r="N9" s="124" t="n">
        <v>1862225.98090557</v>
      </c>
      <c r="O9" s="124" t="n">
        <v>1809884.046436036</v>
      </c>
      <c r="P9" s="124" t="n">
        <v>1757542.111966503</v>
      </c>
      <c r="Q9" s="124" t="n">
        <v>1733994.341913777</v>
      </c>
      <c r="R9" s="124" t="n">
        <v>1710690.590203564</v>
      </c>
      <c r="S9" s="124" t="n">
        <v>1687264.829322095</v>
      </c>
      <c r="T9" s="124" t="n">
        <v>1663839.068440626</v>
      </c>
      <c r="U9" s="124" t="n">
        <v>1640413.307559156</v>
      </c>
      <c r="V9" s="124" t="n">
        <v>1616987.546677686</v>
      </c>
      <c r="W9" s="124" t="n">
        <v>1593561.785796217</v>
      </c>
      <c r="X9" s="124" t="n">
        <v>1570136.024914747</v>
      </c>
      <c r="Y9" s="124" t="n">
        <v>1546710.264033277</v>
      </c>
      <c r="Z9" s="124" t="n">
        <v>1523284.503151807</v>
      </c>
      <c r="AA9" s="124" t="n">
        <v>1499858.742270339</v>
      </c>
      <c r="AB9" s="124" t="n">
        <v>1476310.972217611</v>
      </c>
      <c r="AC9" s="124" t="n">
        <v>1453007.2205074</v>
      </c>
      <c r="AD9" s="124" t="n">
        <v>1429459.450454672</v>
      </c>
      <c r="AE9" s="124" t="n">
        <v>1406155.69874446</v>
      </c>
    </row>
    <row r="10"/>
    <row r="11">
      <c r="A11" t="inlineStr">
        <is>
          <t xml:space="preserve">Non-CCS CAPEX </t>
        </is>
      </c>
    </row>
    <row r="12">
      <c r="B12" t="n">
        <v>2021</v>
      </c>
      <c r="C12" t="n">
        <v>2022</v>
      </c>
      <c r="D12" t="n">
        <v>2023</v>
      </c>
      <c r="E12" t="n">
        <v>2024</v>
      </c>
      <c r="F12" t="n">
        <v>2025</v>
      </c>
      <c r="G12" t="n">
        <v>2026</v>
      </c>
      <c r="H12" t="n">
        <v>2027</v>
      </c>
      <c r="I12" t="n">
        <v>2028</v>
      </c>
      <c r="J12" t="n">
        <v>2029</v>
      </c>
      <c r="K12" t="n">
        <v>2030</v>
      </c>
      <c r="L12" t="n">
        <v>2031</v>
      </c>
      <c r="M12" t="n">
        <v>2032</v>
      </c>
      <c r="N12" t="n">
        <v>2033</v>
      </c>
      <c r="O12" t="n">
        <v>2034</v>
      </c>
      <c r="P12" t="n">
        <v>2035</v>
      </c>
      <c r="Q12" t="n">
        <v>2036</v>
      </c>
      <c r="R12" t="n">
        <v>2037</v>
      </c>
      <c r="S12" t="n">
        <v>2038</v>
      </c>
      <c r="T12" t="n">
        <v>2039</v>
      </c>
      <c r="U12" t="n">
        <v>2040</v>
      </c>
      <c r="V12" t="n">
        <v>2041</v>
      </c>
      <c r="W12" t="n">
        <v>2042</v>
      </c>
      <c r="X12" t="n">
        <v>2043</v>
      </c>
      <c r="Y12" t="n">
        <v>2044</v>
      </c>
      <c r="Z12" t="n">
        <v>2045</v>
      </c>
      <c r="AA12" t="n">
        <v>2046</v>
      </c>
      <c r="AB12" t="n">
        <v>2047</v>
      </c>
      <c r="AC12" t="n">
        <v>2048</v>
      </c>
      <c r="AD12" t="n">
        <v>2049</v>
      </c>
      <c r="AE12" t="n">
        <v>2050</v>
      </c>
    </row>
    <row r="13">
      <c r="A13" t="inlineStr">
        <is>
          <t>hard coal</t>
        </is>
      </c>
      <c r="B13" t="n">
        <v>3007428.45817745</v>
      </c>
      <c r="C13" t="n">
        <v>3007428.45817745</v>
      </c>
      <c r="D13" t="n">
        <v>2991110.629528396</v>
      </c>
      <c r="E13" t="n">
        <v>2974687.524565478</v>
      </c>
      <c r="F13" t="n">
        <v>2958264.41960256</v>
      </c>
      <c r="G13" t="n">
        <v>2941946.590953507</v>
      </c>
      <c r="H13" t="n">
        <v>2925523.485990589</v>
      </c>
      <c r="I13" t="n">
        <v>2909205.657341536</v>
      </c>
      <c r="J13" t="n">
        <v>2892782.552378617</v>
      </c>
      <c r="K13" t="n">
        <v>2876464.723729564</v>
      </c>
      <c r="L13" t="n">
        <v>2860041.618766646</v>
      </c>
      <c r="M13" t="n">
        <v>2843723.790117592</v>
      </c>
      <c r="N13" t="n">
        <v>2827300.685154674</v>
      </c>
      <c r="O13" t="n">
        <v>2810982.856505621</v>
      </c>
      <c r="P13" t="n">
        <v>2794559.751542703</v>
      </c>
      <c r="Q13" t="n">
        <v>2767819.567821029</v>
      </c>
      <c r="R13" t="n">
        <v>2740974.107785489</v>
      </c>
      <c r="S13" t="n">
        <v>2714128.64774995</v>
      </c>
      <c r="T13" t="n">
        <v>2687388.464028276</v>
      </c>
      <c r="U13" t="n">
        <v>2660543.003992736</v>
      </c>
      <c r="V13" t="n">
        <v>2633802.820271063</v>
      </c>
      <c r="W13" t="n">
        <v>2606957.360235523</v>
      </c>
      <c r="X13" t="n">
        <v>2580217.176513849</v>
      </c>
      <c r="Y13" t="n">
        <v>2553371.716478309</v>
      </c>
      <c r="Z13" t="n">
        <v>2526631.532756635</v>
      </c>
      <c r="AA13" t="n">
        <v>2499786.072721095</v>
      </c>
      <c r="AB13" t="n">
        <v>2473045.888999422</v>
      </c>
      <c r="AC13" t="n">
        <v>2446200.428963882</v>
      </c>
      <c r="AD13" t="n">
        <v>2419460.245242208</v>
      </c>
      <c r="AE13" t="n">
        <v>2392614.785206669</v>
      </c>
    </row>
    <row r="14">
      <c r="A14" t="inlineStr">
        <is>
          <t>natural gas combined cycle</t>
        </is>
      </c>
      <c r="B14" t="n">
        <v>1087150.630190158</v>
      </c>
      <c r="C14" t="n">
        <v>1087150.630190158</v>
      </c>
      <c r="D14" t="n">
        <v>1076735.496126326</v>
      </c>
      <c r="E14" t="n">
        <v>1066415.045099437</v>
      </c>
      <c r="F14" t="n">
        <v>1055999.911035606</v>
      </c>
      <c r="G14" t="n">
        <v>1045584.776971774</v>
      </c>
      <c r="H14" t="n">
        <v>1035169.642907942</v>
      </c>
      <c r="I14" t="n">
        <v>1024849.191881054</v>
      </c>
      <c r="J14" t="n">
        <v>1014434.057817222</v>
      </c>
      <c r="K14" t="n">
        <v>1004018.923753391</v>
      </c>
      <c r="L14" t="n">
        <v>993698.4727265025</v>
      </c>
      <c r="M14" t="n">
        <v>983283.3386626708</v>
      </c>
      <c r="N14" t="n">
        <v>972868.2045988389</v>
      </c>
      <c r="O14" t="n">
        <v>962453.0705350069</v>
      </c>
      <c r="P14" t="n">
        <v>952132.6195081191</v>
      </c>
      <c r="Q14" t="n">
        <v>944273.9274417731</v>
      </c>
      <c r="R14" t="n">
        <v>936415.2353754275</v>
      </c>
      <c r="S14" t="n">
        <v>928651.2263460254</v>
      </c>
      <c r="T14" t="n">
        <v>920792.5342796795</v>
      </c>
      <c r="U14" t="n">
        <v>913028.5252502776</v>
      </c>
      <c r="V14" t="n">
        <v>905169.8331839318</v>
      </c>
      <c r="W14" t="n">
        <v>897311.1411175861</v>
      </c>
      <c r="X14" t="n">
        <v>889547.1320881841</v>
      </c>
      <c r="Y14" t="n">
        <v>881688.4400218383</v>
      </c>
      <c r="Z14" t="n">
        <v>873829.7479554923</v>
      </c>
      <c r="AA14" t="n">
        <v>866065.7389260905</v>
      </c>
      <c r="AB14" t="n">
        <v>858207.0468597446</v>
      </c>
      <c r="AC14" t="n">
        <v>850348.3547933988</v>
      </c>
      <c r="AD14" t="n">
        <v>842584.3457639968</v>
      </c>
      <c r="AE14" t="n">
        <v>834725.6536976511</v>
      </c>
    </row>
    <row r="15">
      <c r="A15" t="inlineStr">
        <is>
          <t>biomass</t>
        </is>
      </c>
      <c r="B15" t="n">
        <v>4567459.294250462</v>
      </c>
      <c r="C15" t="n">
        <v>4415131.444638552</v>
      </c>
      <c r="D15" t="n">
        <v>4262803.595026642</v>
      </c>
      <c r="E15" t="n">
        <v>4110475.745414732</v>
      </c>
      <c r="F15" t="n">
        <v>3989264.45913006</v>
      </c>
      <c r="G15" t="n">
        <v>3915062.234132902</v>
      </c>
      <c r="H15" t="n">
        <v>3875766.675045242</v>
      </c>
      <c r="I15" t="n">
        <v>3850246.065241653</v>
      </c>
      <c r="J15" t="n">
        <v>3826604.267496563</v>
      </c>
      <c r="K15" t="n">
        <v>3803658.578292519</v>
      </c>
      <c r="L15" t="n">
        <v>3774170.216328857</v>
      </c>
      <c r="M15" t="n">
        <v>3746894.121149539</v>
      </c>
      <c r="N15" t="n">
        <v>3724031.476464869</v>
      </c>
      <c r="O15" t="n">
        <v>3700115.940375064</v>
      </c>
      <c r="P15" t="n">
        <v>3676886.031221187</v>
      </c>
      <c r="Q15" t="n">
        <v>3650275.953411661</v>
      </c>
      <c r="R15" t="n">
        <v>3623896.948784114</v>
      </c>
      <c r="S15" t="n">
        <v>3599753.814884507</v>
      </c>
      <c r="T15" t="n">
        <v>3571510.407317565</v>
      </c>
      <c r="U15" t="n">
        <v>3546999.120905729</v>
      </c>
      <c r="V15" t="n">
        <v>3525055.066739495</v>
      </c>
      <c r="W15" t="n">
        <v>3499133.055929022</v>
      </c>
      <c r="X15" t="n">
        <v>3476228.33183593</v>
      </c>
      <c r="Y15" t="n">
        <v>3451450.684046133</v>
      </c>
      <c r="Z15" t="n">
        <v>3425063.351840135</v>
      </c>
      <c r="AA15" t="n">
        <v>3399211.742406908</v>
      </c>
      <c r="AB15" t="n">
        <v>3374709.143178849</v>
      </c>
      <c r="AC15" t="n">
        <v>3348665.077171005</v>
      </c>
      <c r="AD15" t="n">
        <v>7950962.512248086</v>
      </c>
      <c r="AE15" t="n">
        <v>7911207.699686845</v>
      </c>
    </row>
    <row r="16">
      <c r="A16" t="inlineStr">
        <is>
          <t>lignite</t>
        </is>
      </c>
      <c r="B16" t="n">
        <v>3485435.995317397</v>
      </c>
      <c r="C16" t="n">
        <v>3485435.995317397</v>
      </c>
      <c r="D16" t="n">
        <v>3466524.573772461</v>
      </c>
      <c r="E16" t="n">
        <v>3447491.143056266</v>
      </c>
      <c r="F16" t="n">
        <v>3428457.712340073</v>
      </c>
      <c r="G16" t="n">
        <v>3409546.290795137</v>
      </c>
      <c r="H16" t="n">
        <v>3390512.860078942</v>
      </c>
      <c r="I16" t="n">
        <v>3371601.438534006</v>
      </c>
      <c r="J16" t="n">
        <v>3352568.007817812</v>
      </c>
      <c r="K16" t="n">
        <v>3333656.586272875</v>
      </c>
      <c r="L16" t="n">
        <v>3314623.155556682</v>
      </c>
      <c r="M16" t="n">
        <v>3295711.734011745</v>
      </c>
      <c r="N16" t="n">
        <v>3276678.303295551</v>
      </c>
      <c r="O16" t="n">
        <v>3257766.881750615</v>
      </c>
      <c r="P16" t="n">
        <v>3238733.451034421</v>
      </c>
      <c r="Q16" t="n">
        <v>3207743.121534977</v>
      </c>
      <c r="R16" t="n">
        <v>3176630.782864275</v>
      </c>
      <c r="S16" t="n">
        <v>3145518.444193573</v>
      </c>
      <c r="T16" t="n">
        <v>3114528.114694129</v>
      </c>
      <c r="U16" t="n">
        <v>3083415.776023427</v>
      </c>
      <c r="V16" t="n">
        <v>3052425.446523984</v>
      </c>
      <c r="W16" t="n">
        <v>3021313.107853282</v>
      </c>
      <c r="X16" t="n">
        <v>2990322.778353838</v>
      </c>
      <c r="Y16" t="n">
        <v>2959210.439683136</v>
      </c>
      <c r="Z16" t="n">
        <v>2928220.110183692</v>
      </c>
      <c r="AA16" t="n">
        <v>2897107.77151299</v>
      </c>
      <c r="AB16" t="n">
        <v>2866117.442013546</v>
      </c>
      <c r="AC16" t="n">
        <v>2835005.103342844</v>
      </c>
      <c r="AD16" t="n">
        <v>2804014.773843401</v>
      </c>
      <c r="AE16" t="n">
        <v>2772902.435172699</v>
      </c>
    </row>
    <row r="17"/>
    <row r="18">
      <c r="A18" t="inlineStr">
        <is>
          <t>Additional CCS Fixed O&amp;M</t>
        </is>
      </c>
    </row>
    <row r="19">
      <c r="B19" t="n">
        <v>2021</v>
      </c>
    </row>
    <row r="20">
      <c r="A20" t="inlineStr">
        <is>
          <t>hard coal</t>
        </is>
      </c>
      <c r="B20" s="124" t="n">
        <v>39823.29409159685</v>
      </c>
      <c r="C20" s="124" t="n"/>
      <c r="D20" s="124" t="n"/>
      <c r="E20" s="124" t="n"/>
      <c r="F20" s="124" t="n"/>
      <c r="G20" s="124" t="n"/>
      <c r="H20" s="124" t="n"/>
      <c r="I20" s="124" t="n"/>
      <c r="J20" s="124" t="n"/>
      <c r="K20" s="124" t="n"/>
      <c r="L20" s="124" t="n"/>
      <c r="M20" s="124" t="n"/>
      <c r="N20" s="124" t="n"/>
      <c r="O20" s="124" t="n"/>
      <c r="P20" s="124" t="n"/>
      <c r="Q20" s="124" t="n"/>
      <c r="R20" s="124" t="n"/>
      <c r="S20" s="124" t="n"/>
      <c r="T20" s="124" t="n"/>
      <c r="U20" s="124" t="n"/>
      <c r="V20" s="124" t="n"/>
      <c r="W20" s="124" t="n"/>
      <c r="X20" s="124" t="n"/>
      <c r="Y20" s="124" t="n"/>
      <c r="Z20" s="124" t="n"/>
      <c r="AA20" s="124" t="n"/>
      <c r="AB20" s="124" t="n"/>
      <c r="AC20" s="124" t="n"/>
      <c r="AD20" s="124" t="n"/>
      <c r="AE20" s="124" t="n"/>
    </row>
    <row r="21">
      <c r="A21" t="inlineStr">
        <is>
          <t>natural gas combined cycle</t>
        </is>
      </c>
      <c r="B21" s="124" t="n">
        <v>24826.0109975274</v>
      </c>
      <c r="C21" s="124" t="n"/>
      <c r="D21" s="124" t="n"/>
      <c r="E21" s="124" t="n"/>
      <c r="F21" s="124" t="n"/>
      <c r="G21" s="124" t="n"/>
      <c r="H21" s="124" t="n"/>
      <c r="I21" s="124" t="n"/>
      <c r="J21" s="124" t="n"/>
      <c r="K21" s="124" t="n"/>
      <c r="L21" s="124" t="n"/>
      <c r="M21" s="124" t="n"/>
      <c r="N21" s="124" t="n"/>
      <c r="O21" s="124" t="n"/>
      <c r="P21" s="124" t="n"/>
      <c r="Q21" s="124" t="n"/>
      <c r="R21" s="124" t="n"/>
      <c r="S21" s="124" t="n"/>
      <c r="T21" s="124" t="n"/>
      <c r="U21" s="124" t="n"/>
      <c r="V21" s="124" t="n"/>
      <c r="W21" s="124" t="n"/>
      <c r="X21" s="124" t="n"/>
      <c r="Y21" s="124" t="n"/>
      <c r="Z21" s="124" t="n"/>
      <c r="AA21" s="124" t="n"/>
      <c r="AB21" s="124" t="n"/>
      <c r="AC21" s="124" t="n"/>
      <c r="AD21" s="124" t="n"/>
      <c r="AE21" s="124" t="n"/>
    </row>
    <row r="22">
      <c r="A22" t="inlineStr">
        <is>
          <t>biomass</t>
        </is>
      </c>
      <c r="B22" s="124" t="n">
        <v>37358.75287665092</v>
      </c>
      <c r="C22" s="124" t="n"/>
      <c r="D22" s="124" t="n"/>
      <c r="E22" s="124" t="n"/>
      <c r="F22" s="124" t="n"/>
      <c r="G22" s="124" t="n"/>
      <c r="H22" s="124" t="n"/>
      <c r="I22" s="124" t="n"/>
      <c r="J22" s="124" t="n"/>
      <c r="K22" s="124" t="n"/>
      <c r="L22" s="124" t="n"/>
      <c r="M22" s="124" t="n"/>
      <c r="N22" s="124" t="n"/>
      <c r="O22" s="124" t="n"/>
      <c r="P22" s="124" t="n"/>
      <c r="Q22" s="124" t="n"/>
      <c r="R22" s="124" t="n"/>
      <c r="S22" s="124" t="n"/>
      <c r="T22" s="124" t="n"/>
      <c r="U22" s="124" t="n"/>
      <c r="V22" s="124" t="n"/>
      <c r="W22" s="124" t="n"/>
      <c r="X22" s="124" t="n"/>
      <c r="Y22" s="124" t="n"/>
      <c r="Z22" s="124" t="n"/>
      <c r="AA22" s="124" t="n"/>
      <c r="AB22" s="124" t="n"/>
      <c r="AC22" s="124" t="n"/>
      <c r="AD22" s="124" t="n"/>
      <c r="AE22" s="124" t="n"/>
    </row>
    <row r="23">
      <c r="A23" t="inlineStr">
        <is>
          <t>lignite</t>
        </is>
      </c>
      <c r="B23" s="124" t="n">
        <v>39823.29409159685</v>
      </c>
      <c r="C23" s="124" t="n"/>
      <c r="D23" s="124" t="n"/>
      <c r="E23" s="124" t="n"/>
      <c r="F23" s="124" t="n"/>
      <c r="G23" s="124" t="n"/>
      <c r="H23" s="124" t="n"/>
      <c r="I23" s="124" t="n"/>
      <c r="J23" s="124" t="n"/>
      <c r="K23" s="124" t="n"/>
      <c r="L23" s="124" t="n"/>
      <c r="M23" s="124" t="n"/>
      <c r="N23" s="124" t="n"/>
      <c r="O23" s="124" t="n"/>
      <c r="P23" s="124" t="n"/>
      <c r="Q23" s="124" t="n"/>
      <c r="R23" s="124" t="n"/>
      <c r="S23" s="124" t="n"/>
      <c r="T23" s="124" t="n"/>
      <c r="U23" s="124" t="n"/>
      <c r="V23" s="124" t="n"/>
      <c r="W23" s="124" t="n"/>
      <c r="X23" s="124" t="n"/>
      <c r="Y23" s="124" t="n"/>
      <c r="Z23" s="124" t="n"/>
      <c r="AA23" s="124" t="n"/>
      <c r="AB23" s="124" t="n"/>
      <c r="AC23" s="124" t="n"/>
      <c r="AD23" s="124" t="n"/>
      <c r="AE23" s="124" t="n"/>
    </row>
    <row r="24"/>
    <row r="25">
      <c r="A25" t="inlineStr">
        <is>
          <t>Non-CCS Fixed O&amp;M</t>
        </is>
      </c>
    </row>
    <row r="26">
      <c r="B26" t="n">
        <v>2021</v>
      </c>
    </row>
    <row r="27">
      <c r="A27" t="inlineStr">
        <is>
          <t>hard coal</t>
        </is>
      </c>
      <c r="B27" s="124" t="n">
        <v>65750.80045761522</v>
      </c>
    </row>
    <row r="28">
      <c r="A28" t="inlineStr">
        <is>
          <t>natural gas combined cycle</t>
        </is>
      </c>
      <c r="B28" s="124" t="n">
        <v>26096.96719194006</v>
      </c>
    </row>
    <row r="29">
      <c r="A29" t="inlineStr">
        <is>
          <t>biomass</t>
        </is>
      </c>
      <c r="B29" s="124" t="n">
        <v>133213.1552570395</v>
      </c>
    </row>
    <row r="30">
      <c r="A30" t="inlineStr">
        <is>
          <t>lignite</t>
        </is>
      </c>
      <c r="B30" s="124" t="n">
        <v>65750.80045761522</v>
      </c>
    </row>
    <row r="31"/>
    <row r="32">
      <c r="A32" t="inlineStr">
        <is>
          <t>Additional CCS Variable O&amp;M</t>
        </is>
      </c>
    </row>
    <row r="33">
      <c r="B33" t="n">
        <v>2021</v>
      </c>
    </row>
    <row r="34">
      <c r="A34" t="inlineStr">
        <is>
          <t>hard coal</t>
        </is>
      </c>
      <c r="B34" s="124" t="n">
        <v>5.583734214119644</v>
      </c>
      <c r="C34" s="124" t="n"/>
      <c r="D34" s="124" t="n"/>
      <c r="E34" s="124" t="n"/>
      <c r="F34" s="124" t="n"/>
      <c r="G34" s="124" t="n"/>
      <c r="H34" s="124" t="n"/>
      <c r="I34" s="124" t="n"/>
      <c r="J34" s="124" t="n"/>
      <c r="K34" s="124" t="n"/>
      <c r="L34" s="124" t="n"/>
      <c r="M34" s="124" t="n"/>
      <c r="N34" s="124" t="n"/>
      <c r="O34" s="124" t="n"/>
      <c r="P34" s="124" t="n"/>
      <c r="Q34" s="124" t="n"/>
      <c r="R34" s="124" t="n"/>
      <c r="S34" s="124" t="n"/>
      <c r="T34" s="124" t="n"/>
      <c r="U34" s="124" t="n"/>
      <c r="V34" s="124" t="n"/>
      <c r="W34" s="124" t="n"/>
      <c r="X34" s="124" t="n"/>
      <c r="Y34" s="124" t="n"/>
      <c r="Z34" s="124" t="n"/>
      <c r="AA34" s="124" t="n"/>
      <c r="AB34" s="124" t="n"/>
      <c r="AC34" s="124" t="n"/>
      <c r="AD34" s="124" t="n"/>
      <c r="AE34" s="124" t="n"/>
    </row>
    <row r="35">
      <c r="A35" t="inlineStr">
        <is>
          <t>natural gas combined cycle</t>
        </is>
      </c>
      <c r="B35" s="124" t="n">
        <v>2.135206406613278</v>
      </c>
      <c r="C35" s="124" t="n"/>
      <c r="D35" s="124" t="n"/>
      <c r="E35" s="124" t="n"/>
      <c r="F35" s="124" t="n"/>
      <c r="G35" s="124" t="n"/>
      <c r="H35" s="124" t="n"/>
      <c r="I35" s="124" t="n"/>
      <c r="J35" s="124" t="n"/>
      <c r="K35" s="124" t="n"/>
      <c r="L35" s="124" t="n"/>
      <c r="M35" s="124" t="n"/>
      <c r="N35" s="124" t="n"/>
      <c r="O35" s="124" t="n"/>
      <c r="P35" s="124" t="n"/>
      <c r="Q35" s="124" t="n"/>
      <c r="R35" s="124" t="n"/>
      <c r="S35" s="124" t="n"/>
      <c r="T35" s="124" t="n"/>
      <c r="U35" s="124" t="n"/>
      <c r="V35" s="124" t="n"/>
      <c r="W35" s="124" t="n"/>
      <c r="X35" s="124" t="n"/>
      <c r="Y35" s="124" t="n"/>
      <c r="Z35" s="124" t="n"/>
      <c r="AA35" s="124" t="n"/>
      <c r="AB35" s="124" t="n"/>
      <c r="AC35" s="124" t="n"/>
      <c r="AD35" s="124" t="n"/>
      <c r="AE35" s="124" t="n"/>
    </row>
    <row r="36">
      <c r="A36" t="inlineStr">
        <is>
          <t>biomass</t>
        </is>
      </c>
      <c r="B36" s="124" t="n">
        <v>13.20794320541086</v>
      </c>
      <c r="C36" s="124" t="n"/>
      <c r="D36" s="124" t="n"/>
      <c r="E36" s="124" t="n"/>
      <c r="F36" s="124" t="n"/>
      <c r="G36" s="124" t="n"/>
      <c r="H36" s="124" t="n"/>
      <c r="I36" s="124" t="n"/>
      <c r="J36" s="124" t="n"/>
      <c r="K36" s="124" t="n"/>
      <c r="L36" s="124" t="n"/>
      <c r="M36" s="124" t="n"/>
      <c r="N36" s="124" t="n"/>
      <c r="O36" s="124" t="n"/>
      <c r="P36" s="124" t="n"/>
      <c r="Q36" s="124" t="n"/>
      <c r="R36" s="124" t="n"/>
      <c r="S36" s="124" t="n"/>
      <c r="T36" s="124" t="n"/>
      <c r="U36" s="124" t="n"/>
      <c r="V36" s="124" t="n"/>
      <c r="W36" s="124" t="n"/>
      <c r="X36" s="124" t="n"/>
      <c r="Y36" s="124" t="n"/>
      <c r="Z36" s="124" t="n"/>
      <c r="AA36" s="124" t="n"/>
      <c r="AB36" s="124" t="n"/>
      <c r="AC36" s="124" t="n"/>
      <c r="AD36" s="124" t="n"/>
      <c r="AE36" s="124" t="n"/>
    </row>
    <row r="37">
      <c r="A37" t="inlineStr">
        <is>
          <t>lignite</t>
        </is>
      </c>
      <c r="B37" s="124" t="n">
        <v>9.45950266862622</v>
      </c>
      <c r="C37" s="124" t="n"/>
      <c r="D37" s="124" t="n"/>
      <c r="E37" s="124" t="n"/>
      <c r="F37" s="124" t="n"/>
      <c r="G37" s="124" t="n"/>
      <c r="H37" s="124" t="n"/>
      <c r="I37" s="124" t="n"/>
      <c r="J37" s="124" t="n"/>
      <c r="K37" s="124" t="n"/>
      <c r="L37" s="124" t="n"/>
      <c r="M37" s="124" t="n"/>
      <c r="N37" s="124" t="n"/>
      <c r="O37" s="124" t="n"/>
      <c r="P37" s="124" t="n"/>
      <c r="Q37" s="124" t="n"/>
      <c r="R37" s="124" t="n"/>
      <c r="S37" s="124" t="n"/>
      <c r="T37" s="124" t="n"/>
      <c r="U37" s="124" t="n"/>
      <c r="V37" s="124" t="n"/>
      <c r="W37" s="124" t="n"/>
      <c r="X37" s="124" t="n"/>
      <c r="Y37" s="124" t="n"/>
      <c r="Z37" s="124" t="n"/>
      <c r="AA37" s="124" t="n"/>
      <c r="AB37" s="124" t="n"/>
      <c r="AC37" s="124" t="n"/>
      <c r="AD37" s="124" t="n"/>
      <c r="AE37" s="124" t="n"/>
    </row>
    <row r="38"/>
    <row r="39">
      <c r="A39" t="inlineStr">
        <is>
          <t>Non-CCS Variable O&amp;M</t>
        </is>
      </c>
    </row>
    <row r="40">
      <c r="B40" t="n">
        <v>2021</v>
      </c>
    </row>
    <row r="41">
      <c r="A41" t="inlineStr">
        <is>
          <t>hard coal</t>
        </is>
      </c>
      <c r="B41" s="124" t="n">
        <v>7.168192936487434</v>
      </c>
    </row>
    <row r="42">
      <c r="A42" t="inlineStr">
        <is>
          <t>natural gas combined cycle</t>
        </is>
      </c>
      <c r="B42" s="124" t="n">
        <v>1.660716094032549</v>
      </c>
    </row>
    <row r="43">
      <c r="A43" t="inlineStr">
        <is>
          <t>biomass</t>
        </is>
      </c>
      <c r="B43" s="124" t="n">
        <v>4.270412813226556</v>
      </c>
    </row>
    <row r="44">
      <c r="A44" t="inlineStr">
        <is>
          <t>lignite</t>
        </is>
      </c>
      <c r="B44" s="124" t="n">
        <v>12.14376215122577</v>
      </c>
    </row>
    <row r="45">
      <c r="B45" s="124" t="n"/>
    </row>
    <row r="46">
      <c r="A46" t="inlineStr">
        <is>
          <t>CAPEX Breakdown</t>
        </is>
      </c>
    </row>
    <row r="47">
      <c r="B47" t="inlineStr">
        <is>
          <t>Supporting boiler</t>
        </is>
      </c>
      <c r="C47" t="n">
        <v>91.94</v>
      </c>
    </row>
    <row r="48">
      <c r="B48" t="inlineStr">
        <is>
          <t>Higher desulphurisation</t>
        </is>
      </c>
      <c r="C48" t="n">
        <v>10.2</v>
      </c>
    </row>
    <row r="49">
      <c r="B49" t="inlineStr">
        <is>
          <t>Other related equipment</t>
        </is>
      </c>
      <c r="C49" t="n">
        <v>48.75</v>
      </c>
    </row>
    <row r="50">
      <c r="A50" t="inlineStr">
        <is>
          <t>OPEX Breakdown</t>
        </is>
      </c>
    </row>
    <row r="51">
      <c r="B51" t="inlineStr">
        <is>
          <t>Boiler fuel</t>
        </is>
      </c>
      <c r="C51" t="n">
        <v>8.35</v>
      </c>
      <c r="D51" t="inlineStr">
        <is>
          <t>*not included in O&amp;M total</t>
        </is>
      </c>
    </row>
    <row r="52">
      <c r="B52" t="inlineStr">
        <is>
          <t>Other boiler O&amp;M costs</t>
        </is>
      </c>
      <c r="C52" t="n">
        <v>1.62</v>
      </c>
      <c r="D52" t="inlineStr">
        <is>
          <t>*variable</t>
        </is>
      </c>
    </row>
    <row r="53">
      <c r="B53" t="inlineStr">
        <is>
          <t>Amine</t>
        </is>
      </c>
      <c r="C53" t="n">
        <v>2.53</v>
      </c>
      <c r="D53" t="inlineStr">
        <is>
          <t>*variable</t>
        </is>
      </c>
    </row>
    <row r="54">
      <c r="B54" t="inlineStr">
        <is>
          <t>NaOH</t>
        </is>
      </c>
      <c r="C54" t="n">
        <v>0.63</v>
      </c>
      <c r="D54" t="inlineStr">
        <is>
          <t>*variable</t>
        </is>
      </c>
    </row>
    <row r="55">
      <c r="B55" t="inlineStr">
        <is>
          <t>Labor</t>
        </is>
      </c>
      <c r="C55" t="n">
        <v>18.1</v>
      </c>
      <c r="D55" t="inlineStr">
        <is>
          <t>*fixed</t>
        </is>
      </c>
    </row>
    <row r="56"/>
    <row r="57"/>
    <row r="58">
      <c r="A58" t="inlineStr">
        <is>
          <t>CAPEX breakdown for non-CCS Components</t>
        </is>
      </c>
    </row>
    <row r="59">
      <c r="A59" s="126" t="n"/>
      <c r="B59" s="110" t="inlineStr">
        <is>
          <t>ISIC 01T03</t>
        </is>
      </c>
      <c r="C59" s="110" t="inlineStr">
        <is>
          <t>ISIC 05</t>
        </is>
      </c>
      <c r="D59" s="110" t="inlineStr">
        <is>
          <t>ISIC 06</t>
        </is>
      </c>
      <c r="E59" s="110" t="inlineStr">
        <is>
          <t>ISIC 07T08</t>
        </is>
      </c>
      <c r="F59" s="110" t="inlineStr">
        <is>
          <t>ISIC 09</t>
        </is>
      </c>
      <c r="G59" s="110" t="inlineStr">
        <is>
          <t>ISIC 10T12</t>
        </is>
      </c>
      <c r="H59" s="110" t="inlineStr">
        <is>
          <t>ISIC 13T15</t>
        </is>
      </c>
      <c r="I59" s="110" t="inlineStr">
        <is>
          <t>ISIC 16</t>
        </is>
      </c>
      <c r="J59" s="110" t="inlineStr">
        <is>
          <t>ISIC 17T18</t>
        </is>
      </c>
      <c r="K59" s="110" t="inlineStr">
        <is>
          <t>ISIC 19</t>
        </is>
      </c>
      <c r="L59" s="110" t="inlineStr">
        <is>
          <t>ISIC 20</t>
        </is>
      </c>
      <c r="M59" s="110" t="inlineStr">
        <is>
          <t>ISIC 21</t>
        </is>
      </c>
      <c r="N59" s="110" t="inlineStr">
        <is>
          <t>ISIC 22</t>
        </is>
      </c>
      <c r="O59" s="110" t="inlineStr">
        <is>
          <t>ISIC 231</t>
        </is>
      </c>
      <c r="P59" s="110" t="inlineStr">
        <is>
          <t>ISIC 239</t>
        </is>
      </c>
      <c r="Q59" s="110" t="inlineStr">
        <is>
          <t>ISIC 241</t>
        </is>
      </c>
      <c r="R59" s="110" t="inlineStr">
        <is>
          <t>ISIC 242</t>
        </is>
      </c>
      <c r="S59" s="110" t="inlineStr">
        <is>
          <t>ISIC 25</t>
        </is>
      </c>
      <c r="T59" s="110" t="inlineStr">
        <is>
          <t>ISIC 26</t>
        </is>
      </c>
      <c r="U59" s="110" t="inlineStr">
        <is>
          <t>ISIC 27</t>
        </is>
      </c>
      <c r="V59" s="110" t="inlineStr">
        <is>
          <t>ISIC 28</t>
        </is>
      </c>
      <c r="W59" s="110" t="inlineStr">
        <is>
          <t>ISIC 29</t>
        </is>
      </c>
      <c r="X59" s="110" t="inlineStr">
        <is>
          <t>ISIC 30</t>
        </is>
      </c>
      <c r="Y59" s="110" t="inlineStr">
        <is>
          <t>ISIC 31T33</t>
        </is>
      </c>
      <c r="Z59" s="110" t="inlineStr">
        <is>
          <t>ISIC 351</t>
        </is>
      </c>
      <c r="AA59" s="110" t="inlineStr">
        <is>
          <t>ISIC 352T353</t>
        </is>
      </c>
      <c r="AB59" s="110" t="inlineStr">
        <is>
          <t>ISIC 36T39</t>
        </is>
      </c>
      <c r="AC59" s="110" t="inlineStr">
        <is>
          <t>ISIC 41T43</t>
        </is>
      </c>
      <c r="AD59" s="110" t="inlineStr">
        <is>
          <t>ISIC 45T47</t>
        </is>
      </c>
      <c r="AE59" s="110" t="inlineStr">
        <is>
          <t>ISIC 49T53</t>
        </is>
      </c>
      <c r="AF59" s="110" t="inlineStr">
        <is>
          <t>ISIC 55T56</t>
        </is>
      </c>
      <c r="AG59" s="110" t="inlineStr">
        <is>
          <t>ISIC 58T60</t>
        </is>
      </c>
      <c r="AH59" s="110" t="inlineStr">
        <is>
          <t>ISIC 61</t>
        </is>
      </c>
      <c r="AI59" s="110" t="inlineStr">
        <is>
          <t>ISIC 62T63</t>
        </is>
      </c>
      <c r="AJ59" s="110" t="inlineStr">
        <is>
          <t>ISIC 64T66</t>
        </is>
      </c>
      <c r="AK59" s="110" t="inlineStr">
        <is>
          <t>ISIC 68</t>
        </is>
      </c>
      <c r="AL59" s="110" t="inlineStr">
        <is>
          <t>ISIC 69T82</t>
        </is>
      </c>
      <c r="AM59" s="110" t="inlineStr">
        <is>
          <t>ISIC 84</t>
        </is>
      </c>
      <c r="AN59" s="110" t="inlineStr">
        <is>
          <t>ISIC 85</t>
        </is>
      </c>
      <c r="AO59" s="110" t="inlineStr">
        <is>
          <t>ISIC 86T88</t>
        </is>
      </c>
      <c r="AP59" s="110" t="inlineStr">
        <is>
          <t>ISIC 90T96</t>
        </is>
      </c>
      <c r="AQ59" s="110" t="inlineStr">
        <is>
          <t>ISIC 97T98</t>
        </is>
      </c>
    </row>
    <row r="60">
      <c r="A60" t="inlineStr">
        <is>
          <t>hard coal</t>
        </is>
      </c>
      <c r="B60" s="143">
        <f>'SoESCaOMCbIC-capital'!B2*($B13/SUM($B13,$B6))</f>
        <v/>
      </c>
      <c r="C60" s="143">
        <f>'SoESCaOMCbIC-capital'!C2*($B13/SUM($B13,$B6))</f>
        <v/>
      </c>
      <c r="D60" s="143">
        <f>'SoESCaOMCbIC-capital'!D2*($B13/SUM($B13,$B6))</f>
        <v/>
      </c>
      <c r="E60" s="143">
        <f>'SoESCaOMCbIC-capital'!E2*($B13/SUM($B13,$B6))</f>
        <v/>
      </c>
      <c r="F60" s="143">
        <f>'SoESCaOMCbIC-capital'!F2*($B13/SUM($B13,$B6))</f>
        <v/>
      </c>
      <c r="G60" s="143">
        <f>'SoESCaOMCbIC-capital'!G2*($B13/SUM($B13,$B6))</f>
        <v/>
      </c>
      <c r="H60" s="143">
        <f>'SoESCaOMCbIC-capital'!H2*($B13/SUM($B13,$B6))</f>
        <v/>
      </c>
      <c r="I60" s="143">
        <f>'SoESCaOMCbIC-capital'!I2*($B13/SUM($B13,$B6))</f>
        <v/>
      </c>
      <c r="J60" s="143">
        <f>'SoESCaOMCbIC-capital'!J2*($B13/SUM($B13,$B6))</f>
        <v/>
      </c>
      <c r="K60" s="143">
        <f>'SoESCaOMCbIC-capital'!K2*($B13/SUM($B13,$B6))</f>
        <v/>
      </c>
      <c r="L60" s="143">
        <f>'SoESCaOMCbIC-capital'!L2*($B13/SUM($B13,$B6))</f>
        <v/>
      </c>
      <c r="M60" s="143">
        <f>'SoESCaOMCbIC-capital'!M2*($B13/SUM($B13,$B6))</f>
        <v/>
      </c>
      <c r="N60" s="143">
        <f>'SoESCaOMCbIC-capital'!N2*($B13/SUM($B13,$B6))</f>
        <v/>
      </c>
      <c r="O60" s="143">
        <f>'SoESCaOMCbIC-capital'!O2*($B13/SUM($B13,$B6))</f>
        <v/>
      </c>
      <c r="P60" s="143">
        <f>'SoESCaOMCbIC-capital'!P2*($B13/SUM($B13,$B6))</f>
        <v/>
      </c>
      <c r="Q60" s="143">
        <f>'SoESCaOMCbIC-capital'!Q2*($B13/SUM($B13,$B6))</f>
        <v/>
      </c>
      <c r="R60" s="143">
        <f>'SoESCaOMCbIC-capital'!R2*($B13/SUM($B13,$B6))</f>
        <v/>
      </c>
      <c r="S60" s="143">
        <f>'SoESCaOMCbIC-capital'!S2*($B13/SUM($B13,$B6))</f>
        <v/>
      </c>
      <c r="T60" s="143">
        <f>'SoESCaOMCbIC-capital'!T2*($B13/SUM($B13,$B6))</f>
        <v/>
      </c>
      <c r="U60" s="143">
        <f>'SoESCaOMCbIC-capital'!U2*($B13/SUM($B13,$B6))</f>
        <v/>
      </c>
      <c r="V60" s="143">
        <f>'SoESCaOMCbIC-capital'!V2*($B13/SUM($B13,$B6))</f>
        <v/>
      </c>
      <c r="W60" s="143">
        <f>'SoESCaOMCbIC-capital'!W2*($B13/SUM($B13,$B6))</f>
        <v/>
      </c>
      <c r="X60" s="143">
        <f>'SoESCaOMCbIC-capital'!X2*($B13/SUM($B13,$B6))</f>
        <v/>
      </c>
      <c r="Y60" s="143">
        <f>'SoESCaOMCbIC-capital'!Y2*($B13/SUM($B13,$B6))</f>
        <v/>
      </c>
      <c r="Z60" s="143">
        <f>'SoESCaOMCbIC-capital'!Z2*($B13/SUM($B13,$B6))</f>
        <v/>
      </c>
      <c r="AA60" s="143">
        <f>'SoESCaOMCbIC-capital'!AA2*($B13/SUM($B13,$B6))</f>
        <v/>
      </c>
      <c r="AB60" s="143">
        <f>'SoESCaOMCbIC-capital'!AB2*($B13/SUM($B13,$B6))</f>
        <v/>
      </c>
      <c r="AC60" s="143">
        <f>'SoESCaOMCbIC-capital'!AC2*($B13/SUM($B13,$B6))</f>
        <v/>
      </c>
      <c r="AD60" s="143">
        <f>'SoESCaOMCbIC-capital'!AD2*($B13/SUM($B13,$B6))</f>
        <v/>
      </c>
      <c r="AE60" s="143">
        <f>'SoESCaOMCbIC-capital'!AE2*($B13/SUM($B13,$B6))</f>
        <v/>
      </c>
      <c r="AF60" s="143">
        <f>'SoESCaOMCbIC-capital'!AF2*($B13/SUM($B13,$B6))</f>
        <v/>
      </c>
      <c r="AG60" s="143">
        <f>'SoESCaOMCbIC-capital'!AG2*($B13/SUM($B13,$B6))</f>
        <v/>
      </c>
      <c r="AH60" s="143">
        <f>'SoESCaOMCbIC-capital'!AH2*($B13/SUM($B13,$B6))</f>
        <v/>
      </c>
      <c r="AI60" s="143">
        <f>'SoESCaOMCbIC-capital'!AI2*($B13/SUM($B13,$B6))</f>
        <v/>
      </c>
      <c r="AJ60" s="143">
        <f>'SoESCaOMCbIC-capital'!AJ2*($B13/SUM($B13,$B6))</f>
        <v/>
      </c>
      <c r="AK60" s="143">
        <f>'SoESCaOMCbIC-capital'!AK2*($B13/SUM($B13,$B6))</f>
        <v/>
      </c>
      <c r="AL60" s="143">
        <f>'SoESCaOMCbIC-capital'!AL2*($B13/SUM($B13,$B6))</f>
        <v/>
      </c>
      <c r="AM60" s="143">
        <f>'SoESCaOMCbIC-capital'!AM2*($B13/SUM($B13,$B6))</f>
        <v/>
      </c>
      <c r="AN60" s="143">
        <f>'SoESCaOMCbIC-capital'!AN2*($B13/SUM($B13,$B6))</f>
        <v/>
      </c>
      <c r="AO60" s="143">
        <f>'SoESCaOMCbIC-capital'!AO2*($B13/SUM($B13,$B6))</f>
        <v/>
      </c>
      <c r="AP60" s="143">
        <f>'SoESCaOMCbIC-capital'!AP2*($B13/SUM($B13,$B6))</f>
        <v/>
      </c>
      <c r="AQ60" s="143">
        <f>'SoESCaOMCbIC-capital'!AQ2*($B13/SUM($B13,$B6))</f>
        <v/>
      </c>
    </row>
    <row r="61">
      <c r="A61" t="inlineStr">
        <is>
          <t>natural gas combined cycle</t>
        </is>
      </c>
      <c r="B61" s="143">
        <f>'SoESCaOMCbIC-capital'!B4*($B14/SUM($B14,$B7))</f>
        <v/>
      </c>
      <c r="C61" s="143">
        <f>'SoESCaOMCbIC-capital'!C4*($B14/SUM($B14,$B7))</f>
        <v/>
      </c>
      <c r="D61" s="143">
        <f>'SoESCaOMCbIC-capital'!D4*($B14/SUM($B14,$B7))</f>
        <v/>
      </c>
      <c r="E61" s="143">
        <f>'SoESCaOMCbIC-capital'!E4*($B14/SUM($B14,$B7))</f>
        <v/>
      </c>
      <c r="F61" s="143">
        <f>'SoESCaOMCbIC-capital'!F4*($B14/SUM($B14,$B7))</f>
        <v/>
      </c>
      <c r="G61" s="143">
        <f>'SoESCaOMCbIC-capital'!G4*($B14/SUM($B14,$B7))</f>
        <v/>
      </c>
      <c r="H61" s="143">
        <f>'SoESCaOMCbIC-capital'!H4*($B14/SUM($B14,$B7))</f>
        <v/>
      </c>
      <c r="I61" s="143">
        <f>'SoESCaOMCbIC-capital'!I4*($B14/SUM($B14,$B7))</f>
        <v/>
      </c>
      <c r="J61" s="143">
        <f>'SoESCaOMCbIC-capital'!J4*($B14/SUM($B14,$B7))</f>
        <v/>
      </c>
      <c r="K61" s="143">
        <f>'SoESCaOMCbIC-capital'!K4*($B14/SUM($B14,$B7))</f>
        <v/>
      </c>
      <c r="L61" s="143">
        <f>'SoESCaOMCbIC-capital'!L4*($B14/SUM($B14,$B7))</f>
        <v/>
      </c>
      <c r="M61" s="143">
        <f>'SoESCaOMCbIC-capital'!M4*($B14/SUM($B14,$B7))</f>
        <v/>
      </c>
      <c r="N61" s="143">
        <f>'SoESCaOMCbIC-capital'!N4*($B14/SUM($B14,$B7))</f>
        <v/>
      </c>
      <c r="O61" s="143">
        <f>'SoESCaOMCbIC-capital'!O4*($B14/SUM($B14,$B7))</f>
        <v/>
      </c>
      <c r="P61" s="143">
        <f>'SoESCaOMCbIC-capital'!P4*($B14/SUM($B14,$B7))</f>
        <v/>
      </c>
      <c r="Q61" s="143">
        <f>'SoESCaOMCbIC-capital'!Q4*($B14/SUM($B14,$B7))</f>
        <v/>
      </c>
      <c r="R61" s="143">
        <f>'SoESCaOMCbIC-capital'!R4*($B14/SUM($B14,$B7))</f>
        <v/>
      </c>
      <c r="S61" s="143">
        <f>'SoESCaOMCbIC-capital'!S4*($B14/SUM($B14,$B7))</f>
        <v/>
      </c>
      <c r="T61" s="143">
        <f>'SoESCaOMCbIC-capital'!T4*($B14/SUM($B14,$B7))</f>
        <v/>
      </c>
      <c r="U61" s="143">
        <f>'SoESCaOMCbIC-capital'!U4*($B14/SUM($B14,$B7))</f>
        <v/>
      </c>
      <c r="V61" s="143">
        <f>'SoESCaOMCbIC-capital'!V4*($B14/SUM($B14,$B7))</f>
        <v/>
      </c>
      <c r="W61" s="143">
        <f>'SoESCaOMCbIC-capital'!W4*($B14/SUM($B14,$B7))</f>
        <v/>
      </c>
      <c r="X61" s="143">
        <f>'SoESCaOMCbIC-capital'!X4*($B14/SUM($B14,$B7))</f>
        <v/>
      </c>
      <c r="Y61" s="143">
        <f>'SoESCaOMCbIC-capital'!Y4*($B14/SUM($B14,$B7))</f>
        <v/>
      </c>
      <c r="Z61" s="143">
        <f>'SoESCaOMCbIC-capital'!Z4*($B14/SUM($B14,$B7))</f>
        <v/>
      </c>
      <c r="AA61" s="143">
        <f>'SoESCaOMCbIC-capital'!AA4*($B14/SUM($B14,$B7))</f>
        <v/>
      </c>
      <c r="AB61" s="143">
        <f>'SoESCaOMCbIC-capital'!AB4*($B14/SUM($B14,$B7))</f>
        <v/>
      </c>
      <c r="AC61" s="143">
        <f>'SoESCaOMCbIC-capital'!AC4*($B14/SUM($B14,$B7))</f>
        <v/>
      </c>
      <c r="AD61" s="143">
        <f>'SoESCaOMCbIC-capital'!AD4*($B14/SUM($B14,$B7))</f>
        <v/>
      </c>
      <c r="AE61" s="143">
        <f>'SoESCaOMCbIC-capital'!AE4*($B14/SUM($B14,$B7))</f>
        <v/>
      </c>
      <c r="AF61" s="143">
        <f>'SoESCaOMCbIC-capital'!AF4*($B14/SUM($B14,$B7))</f>
        <v/>
      </c>
      <c r="AG61" s="143">
        <f>'SoESCaOMCbIC-capital'!AG4*($B14/SUM($B14,$B7))</f>
        <v/>
      </c>
      <c r="AH61" s="143">
        <f>'SoESCaOMCbIC-capital'!AH4*($B14/SUM($B14,$B7))</f>
        <v/>
      </c>
      <c r="AI61" s="143">
        <f>'SoESCaOMCbIC-capital'!AI4*($B14/SUM($B14,$B7))</f>
        <v/>
      </c>
      <c r="AJ61" s="143">
        <f>'SoESCaOMCbIC-capital'!AJ4*($B14/SUM($B14,$B7))</f>
        <v/>
      </c>
      <c r="AK61" s="143">
        <f>'SoESCaOMCbIC-capital'!AK4*($B14/SUM($B14,$B7))</f>
        <v/>
      </c>
      <c r="AL61" s="143">
        <f>'SoESCaOMCbIC-capital'!AL4*($B14/SUM($B14,$B7))</f>
        <v/>
      </c>
      <c r="AM61" s="143">
        <f>'SoESCaOMCbIC-capital'!AM4*($B14/SUM($B14,$B7))</f>
        <v/>
      </c>
      <c r="AN61" s="143">
        <f>'SoESCaOMCbIC-capital'!AN4*($B14/SUM($B14,$B7))</f>
        <v/>
      </c>
      <c r="AO61" s="143">
        <f>'SoESCaOMCbIC-capital'!AO4*($B14/SUM($B14,$B7))</f>
        <v/>
      </c>
      <c r="AP61" s="143">
        <f>'SoESCaOMCbIC-capital'!AP4*($B14/SUM($B14,$B7))</f>
        <v/>
      </c>
      <c r="AQ61" s="143">
        <f>'SoESCaOMCbIC-capital'!AQ4*($B14/SUM($B14,$B7))</f>
        <v/>
      </c>
    </row>
    <row r="62">
      <c r="A62" t="inlineStr">
        <is>
          <t>biomass</t>
        </is>
      </c>
      <c r="B62" s="143">
        <f>'SoESCaOMCbIC-capital'!B10*$B15/SUM($B15,$B8)</f>
        <v/>
      </c>
      <c r="C62" s="143">
        <f>'SoESCaOMCbIC-capital'!C10*$B15/SUM($B15,$B8)</f>
        <v/>
      </c>
      <c r="D62" s="143">
        <f>'SoESCaOMCbIC-capital'!D10*$B15/SUM($B15,$B8)</f>
        <v/>
      </c>
      <c r="E62" s="143">
        <f>'SoESCaOMCbIC-capital'!E10*$B15/SUM($B15,$B8)</f>
        <v/>
      </c>
      <c r="F62" s="143">
        <f>'SoESCaOMCbIC-capital'!F10*$B15/SUM($B15,$B8)</f>
        <v/>
      </c>
      <c r="G62" s="143">
        <f>'SoESCaOMCbIC-capital'!G10*$B15/SUM($B15,$B8)</f>
        <v/>
      </c>
      <c r="H62" s="143">
        <f>'SoESCaOMCbIC-capital'!H10*$B15/SUM($B15,$B8)</f>
        <v/>
      </c>
      <c r="I62" s="143">
        <f>'SoESCaOMCbIC-capital'!I10*$B15/SUM($B15,$B8)</f>
        <v/>
      </c>
      <c r="J62" s="143">
        <f>'SoESCaOMCbIC-capital'!J10*$B15/SUM($B15,$B8)</f>
        <v/>
      </c>
      <c r="K62" s="143">
        <f>'SoESCaOMCbIC-capital'!K10*$B15/SUM($B15,$B8)</f>
        <v/>
      </c>
      <c r="L62" s="143">
        <f>'SoESCaOMCbIC-capital'!L10*$B15/SUM($B15,$B8)</f>
        <v/>
      </c>
      <c r="M62" s="143">
        <f>'SoESCaOMCbIC-capital'!M10*$B15/SUM($B15,$B8)</f>
        <v/>
      </c>
      <c r="N62" s="143">
        <f>'SoESCaOMCbIC-capital'!N10*$B15/SUM($B15,$B8)</f>
        <v/>
      </c>
      <c r="O62" s="143">
        <f>'SoESCaOMCbIC-capital'!O10*$B15/SUM($B15,$B8)</f>
        <v/>
      </c>
      <c r="P62" s="143">
        <f>'SoESCaOMCbIC-capital'!P10*$B15/SUM($B15,$B8)</f>
        <v/>
      </c>
      <c r="Q62" s="143">
        <f>'SoESCaOMCbIC-capital'!Q10*$B15/SUM($B15,$B8)</f>
        <v/>
      </c>
      <c r="R62" s="143">
        <f>'SoESCaOMCbIC-capital'!R10*$B15/SUM($B15,$B8)</f>
        <v/>
      </c>
      <c r="S62" s="143">
        <f>'SoESCaOMCbIC-capital'!S10*$B15/SUM($B15,$B8)</f>
        <v/>
      </c>
      <c r="T62" s="143">
        <f>'SoESCaOMCbIC-capital'!T10*$B15/SUM($B15,$B8)</f>
        <v/>
      </c>
      <c r="U62" s="143">
        <f>'SoESCaOMCbIC-capital'!U10*$B15/SUM($B15,$B8)</f>
        <v/>
      </c>
      <c r="V62" s="143">
        <f>'SoESCaOMCbIC-capital'!V10*$B15/SUM($B15,$B8)</f>
        <v/>
      </c>
      <c r="W62" s="143">
        <f>'SoESCaOMCbIC-capital'!W10*$B15/SUM($B15,$B8)</f>
        <v/>
      </c>
      <c r="X62" s="143">
        <f>'SoESCaOMCbIC-capital'!X10*$B15/SUM($B15,$B8)</f>
        <v/>
      </c>
      <c r="Y62" s="143">
        <f>'SoESCaOMCbIC-capital'!Y10*$B15/SUM($B15,$B8)</f>
        <v/>
      </c>
      <c r="Z62" s="143">
        <f>'SoESCaOMCbIC-capital'!Z10*$B15/SUM($B15,$B8)</f>
        <v/>
      </c>
      <c r="AA62" s="143">
        <f>'SoESCaOMCbIC-capital'!AA10*$B15/SUM($B15,$B8)</f>
        <v/>
      </c>
      <c r="AB62" s="143">
        <f>'SoESCaOMCbIC-capital'!AB10*$B15/SUM($B15,$B8)</f>
        <v/>
      </c>
      <c r="AC62" s="143">
        <f>'SoESCaOMCbIC-capital'!AC10*$B15/SUM($B15,$B8)</f>
        <v/>
      </c>
      <c r="AD62" s="143">
        <f>'SoESCaOMCbIC-capital'!AD10*$B15/SUM($B15,$B8)</f>
        <v/>
      </c>
      <c r="AE62" s="143">
        <f>'SoESCaOMCbIC-capital'!AE10*$B15/SUM($B15,$B8)</f>
        <v/>
      </c>
      <c r="AF62" s="143">
        <f>'SoESCaOMCbIC-capital'!AF10*$B15/SUM($B15,$B8)</f>
        <v/>
      </c>
      <c r="AG62" s="143">
        <f>'SoESCaOMCbIC-capital'!AG10*$B15/SUM($B15,$B8)</f>
        <v/>
      </c>
      <c r="AH62" s="143">
        <f>'SoESCaOMCbIC-capital'!AH10*$B15/SUM($B15,$B8)</f>
        <v/>
      </c>
      <c r="AI62" s="143">
        <f>'SoESCaOMCbIC-capital'!AI10*$B15/SUM($B15,$B8)</f>
        <v/>
      </c>
      <c r="AJ62" s="143">
        <f>'SoESCaOMCbIC-capital'!AJ10*$B15/SUM($B15,$B8)</f>
        <v/>
      </c>
      <c r="AK62" s="143">
        <f>'SoESCaOMCbIC-capital'!AK10*$B15/SUM($B15,$B8)</f>
        <v/>
      </c>
      <c r="AL62" s="143">
        <f>'SoESCaOMCbIC-capital'!AL10*$B15/SUM($B15,$B8)</f>
        <v/>
      </c>
      <c r="AM62" s="143">
        <f>'SoESCaOMCbIC-capital'!AM10*$B15/SUM($B15,$B8)</f>
        <v/>
      </c>
      <c r="AN62" s="143">
        <f>'SoESCaOMCbIC-capital'!AN10*$B15/SUM($B15,$B8)</f>
        <v/>
      </c>
      <c r="AO62" s="143">
        <f>'SoESCaOMCbIC-capital'!AO10*$B15/SUM($B15,$B8)</f>
        <v/>
      </c>
      <c r="AP62" s="143">
        <f>'SoESCaOMCbIC-capital'!AP10*$B15/SUM($B15,$B8)</f>
        <v/>
      </c>
      <c r="AQ62" s="143">
        <f>'SoESCaOMCbIC-capital'!AQ10*$B15/SUM($B15,$B8)</f>
        <v/>
      </c>
    </row>
    <row r="63">
      <c r="A63" t="inlineStr">
        <is>
          <t>lignite</t>
        </is>
      </c>
      <c r="B63" s="143">
        <f>'SoESCaOMCbIC-capital'!B14*($B16/SUM($B16,$B9))</f>
        <v/>
      </c>
      <c r="C63" s="143">
        <f>'SoESCaOMCbIC-capital'!C14*($B16/SUM($B16,$B9))</f>
        <v/>
      </c>
      <c r="D63" s="143">
        <f>'SoESCaOMCbIC-capital'!D14*($B16/SUM($B16,$B9))</f>
        <v/>
      </c>
      <c r="E63" s="143">
        <f>'SoESCaOMCbIC-capital'!E14*($B16/SUM($B16,$B9))</f>
        <v/>
      </c>
      <c r="F63" s="143">
        <f>'SoESCaOMCbIC-capital'!F14*($B16/SUM($B16,$B9))</f>
        <v/>
      </c>
      <c r="G63" s="143">
        <f>'SoESCaOMCbIC-capital'!G14*($B16/SUM($B16,$B9))</f>
        <v/>
      </c>
      <c r="H63" s="143">
        <f>'SoESCaOMCbIC-capital'!H14*($B16/SUM($B16,$B9))</f>
        <v/>
      </c>
      <c r="I63" s="143">
        <f>'SoESCaOMCbIC-capital'!I14*($B16/SUM($B16,$B9))</f>
        <v/>
      </c>
      <c r="J63" s="143">
        <f>'SoESCaOMCbIC-capital'!J14*($B16/SUM($B16,$B9))</f>
        <v/>
      </c>
      <c r="K63" s="143">
        <f>'SoESCaOMCbIC-capital'!K14*($B16/SUM($B16,$B9))</f>
        <v/>
      </c>
      <c r="L63" s="143">
        <f>'SoESCaOMCbIC-capital'!L14*($B16/SUM($B16,$B9))</f>
        <v/>
      </c>
      <c r="M63" s="143">
        <f>'SoESCaOMCbIC-capital'!M14*($B16/SUM($B16,$B9))</f>
        <v/>
      </c>
      <c r="N63" s="143">
        <f>'SoESCaOMCbIC-capital'!N14*($B16/SUM($B16,$B9))</f>
        <v/>
      </c>
      <c r="O63" s="143">
        <f>'SoESCaOMCbIC-capital'!O14*($B16/SUM($B16,$B9))</f>
        <v/>
      </c>
      <c r="P63" s="143">
        <f>'SoESCaOMCbIC-capital'!P14*($B16/SUM($B16,$B9))</f>
        <v/>
      </c>
      <c r="Q63" s="143">
        <f>'SoESCaOMCbIC-capital'!Q14*($B16/SUM($B16,$B9))</f>
        <v/>
      </c>
      <c r="R63" s="143">
        <f>'SoESCaOMCbIC-capital'!R14*($B16/SUM($B16,$B9))</f>
        <v/>
      </c>
      <c r="S63" s="143">
        <f>'SoESCaOMCbIC-capital'!S14*($B16/SUM($B16,$B9))</f>
        <v/>
      </c>
      <c r="T63" s="143">
        <f>'SoESCaOMCbIC-capital'!T14*($B16/SUM($B16,$B9))</f>
        <v/>
      </c>
      <c r="U63" s="143">
        <f>'SoESCaOMCbIC-capital'!U14*($B16/SUM($B16,$B9))</f>
        <v/>
      </c>
      <c r="V63" s="143">
        <f>'SoESCaOMCbIC-capital'!V14*($B16/SUM($B16,$B9))</f>
        <v/>
      </c>
      <c r="W63" s="143">
        <f>'SoESCaOMCbIC-capital'!W14*($B16/SUM($B16,$B9))</f>
        <v/>
      </c>
      <c r="X63" s="143">
        <f>'SoESCaOMCbIC-capital'!X14*($B16/SUM($B16,$B9))</f>
        <v/>
      </c>
      <c r="Y63" s="143">
        <f>'SoESCaOMCbIC-capital'!Y14*($B16/SUM($B16,$B9))</f>
        <v/>
      </c>
      <c r="Z63" s="143">
        <f>'SoESCaOMCbIC-capital'!Z14*($B16/SUM($B16,$B9))</f>
        <v/>
      </c>
      <c r="AA63" s="143">
        <f>'SoESCaOMCbIC-capital'!AA14*($B16/SUM($B16,$B9))</f>
        <v/>
      </c>
      <c r="AB63" s="143">
        <f>'SoESCaOMCbIC-capital'!AB14*($B16/SUM($B16,$B9))</f>
        <v/>
      </c>
      <c r="AC63" s="143">
        <f>'SoESCaOMCbIC-capital'!AC14*($B16/SUM($B16,$B9))</f>
        <v/>
      </c>
      <c r="AD63" s="143">
        <f>'SoESCaOMCbIC-capital'!AD14*($B16/SUM($B16,$B9))</f>
        <v/>
      </c>
      <c r="AE63" s="143">
        <f>'SoESCaOMCbIC-capital'!AE14*($B16/SUM($B16,$B9))</f>
        <v/>
      </c>
      <c r="AF63" s="143">
        <f>'SoESCaOMCbIC-capital'!AF14*($B16/SUM($B16,$B9))</f>
        <v/>
      </c>
      <c r="AG63" s="143">
        <f>'SoESCaOMCbIC-capital'!AG14*($B16/SUM($B16,$B9))</f>
        <v/>
      </c>
      <c r="AH63" s="143">
        <f>'SoESCaOMCbIC-capital'!AH14*($B16/SUM($B16,$B9))</f>
        <v/>
      </c>
      <c r="AI63" s="143">
        <f>'SoESCaOMCbIC-capital'!AI14*($B16/SUM($B16,$B9))</f>
        <v/>
      </c>
      <c r="AJ63" s="143">
        <f>'SoESCaOMCbIC-capital'!AJ14*($B16/SUM($B16,$B9))</f>
        <v/>
      </c>
      <c r="AK63" s="143">
        <f>'SoESCaOMCbIC-capital'!AK14*($B16/SUM($B16,$B9))</f>
        <v/>
      </c>
      <c r="AL63" s="143">
        <f>'SoESCaOMCbIC-capital'!AL14*($B16/SUM($B16,$B9))</f>
        <v/>
      </c>
      <c r="AM63" s="143">
        <f>'SoESCaOMCbIC-capital'!AM14*($B16/SUM($B16,$B9))</f>
        <v/>
      </c>
      <c r="AN63" s="143">
        <f>'SoESCaOMCbIC-capital'!AN14*($B16/SUM($B16,$B9))</f>
        <v/>
      </c>
      <c r="AO63" s="143">
        <f>'SoESCaOMCbIC-capital'!AO14*($B16/SUM($B16,$B9))</f>
        <v/>
      </c>
      <c r="AP63" s="143">
        <f>'SoESCaOMCbIC-capital'!AP14*($B16/SUM($B16,$B9))</f>
        <v/>
      </c>
      <c r="AQ63" s="143">
        <f>'SoESCaOMCbIC-capital'!AQ14*($B16/SUM($B16,$B9))</f>
        <v/>
      </c>
    </row>
    <row r="64">
      <c r="B64" s="144" t="n"/>
    </row>
    <row r="65">
      <c r="A65" t="inlineStr">
        <is>
          <t>CAPEX breakdown for CCS Components</t>
        </is>
      </c>
    </row>
    <row r="66">
      <c r="A66" t="inlineStr">
        <is>
          <t>*assumes same portion of cost for construction as non-CCS components</t>
        </is>
      </c>
    </row>
    <row r="67">
      <c r="A67" s="126" t="n"/>
      <c r="B67" s="110" t="inlineStr">
        <is>
          <t>ISIC 01T03</t>
        </is>
      </c>
      <c r="C67" s="110" t="inlineStr">
        <is>
          <t>ISIC 05</t>
        </is>
      </c>
      <c r="D67" s="110" t="inlineStr">
        <is>
          <t>ISIC 06</t>
        </is>
      </c>
      <c r="E67" s="110" t="inlineStr">
        <is>
          <t>ISIC 07T08</t>
        </is>
      </c>
      <c r="F67" s="110" t="inlineStr">
        <is>
          <t>ISIC 09</t>
        </is>
      </c>
      <c r="G67" s="110" t="inlineStr">
        <is>
          <t>ISIC 10T12</t>
        </is>
      </c>
      <c r="H67" s="110" t="inlineStr">
        <is>
          <t>ISIC 13T15</t>
        </is>
      </c>
      <c r="I67" s="110" t="inlineStr">
        <is>
          <t>ISIC 16</t>
        </is>
      </c>
      <c r="J67" s="110" t="inlineStr">
        <is>
          <t>ISIC 17T18</t>
        </is>
      </c>
      <c r="K67" s="110" t="inlineStr">
        <is>
          <t>ISIC 19</t>
        </is>
      </c>
      <c r="L67" s="110" t="inlineStr">
        <is>
          <t>ISIC 20</t>
        </is>
      </c>
      <c r="M67" s="110" t="inlineStr">
        <is>
          <t>ISIC 21</t>
        </is>
      </c>
      <c r="N67" s="110" t="inlineStr">
        <is>
          <t>ISIC 22</t>
        </is>
      </c>
      <c r="O67" s="110" t="inlineStr">
        <is>
          <t>ISIC 231</t>
        </is>
      </c>
      <c r="P67" s="110" t="inlineStr">
        <is>
          <t>ISIC 239</t>
        </is>
      </c>
      <c r="Q67" s="110" t="inlineStr">
        <is>
          <t>ISIC 241</t>
        </is>
      </c>
      <c r="R67" s="110" t="inlineStr">
        <is>
          <t>ISIC 242</t>
        </is>
      </c>
      <c r="S67" s="110" t="inlineStr">
        <is>
          <t>ISIC 25</t>
        </is>
      </c>
      <c r="T67" s="110" t="inlineStr">
        <is>
          <t>ISIC 26</t>
        </is>
      </c>
      <c r="U67" s="110" t="inlineStr">
        <is>
          <t>ISIC 27</t>
        </is>
      </c>
      <c r="V67" s="110" t="inlineStr">
        <is>
          <t>ISIC 28</t>
        </is>
      </c>
      <c r="W67" s="110" t="inlineStr">
        <is>
          <t>ISIC 29</t>
        </is>
      </c>
      <c r="X67" s="110" t="inlineStr">
        <is>
          <t>ISIC 30</t>
        </is>
      </c>
      <c r="Y67" s="110" t="inlineStr">
        <is>
          <t>ISIC 31T33</t>
        </is>
      </c>
      <c r="Z67" s="110" t="inlineStr">
        <is>
          <t>ISIC 351</t>
        </is>
      </c>
      <c r="AA67" s="110" t="inlineStr">
        <is>
          <t>ISIC 352T353</t>
        </is>
      </c>
      <c r="AB67" s="110" t="inlineStr">
        <is>
          <t>ISIC 36T39</t>
        </is>
      </c>
      <c r="AC67" s="110" t="inlineStr">
        <is>
          <t>ISIC 41T43</t>
        </is>
      </c>
      <c r="AD67" s="110" t="inlineStr">
        <is>
          <t>ISIC 45T47</t>
        </is>
      </c>
      <c r="AE67" s="110" t="inlineStr">
        <is>
          <t>ISIC 49T53</t>
        </is>
      </c>
      <c r="AF67" s="110" t="inlineStr">
        <is>
          <t>ISIC 55T56</t>
        </is>
      </c>
      <c r="AG67" s="110" t="inlineStr">
        <is>
          <t>ISIC 58T60</t>
        </is>
      </c>
      <c r="AH67" s="110" t="inlineStr">
        <is>
          <t>ISIC 61</t>
        </is>
      </c>
      <c r="AI67" s="110" t="inlineStr">
        <is>
          <t>ISIC 62T63</t>
        </is>
      </c>
      <c r="AJ67" s="110" t="inlineStr">
        <is>
          <t>ISIC 64T66</t>
        </is>
      </c>
      <c r="AK67" s="110" t="inlineStr">
        <is>
          <t>ISIC 68</t>
        </is>
      </c>
      <c r="AL67" s="110" t="inlineStr">
        <is>
          <t>ISIC 69T82</t>
        </is>
      </c>
      <c r="AM67" s="110" t="inlineStr">
        <is>
          <t>ISIC 84</t>
        </is>
      </c>
      <c r="AN67" s="110" t="inlineStr">
        <is>
          <t>ISIC 85</t>
        </is>
      </c>
      <c r="AO67" s="110" t="inlineStr">
        <is>
          <t>ISIC 86T88</t>
        </is>
      </c>
      <c r="AP67" s="110" t="inlineStr">
        <is>
          <t>ISIC 90T96</t>
        </is>
      </c>
      <c r="AQ67" s="110" t="inlineStr">
        <is>
          <t>ISIC 97T98</t>
        </is>
      </c>
    </row>
    <row r="68">
      <c r="A68" t="inlineStr">
        <is>
          <t>hard coal</t>
        </is>
      </c>
      <c r="B68" s="143" t="n"/>
      <c r="C68" s="143" t="n"/>
      <c r="D68" s="143" t="n"/>
      <c r="E68" s="143" t="n"/>
      <c r="F68" s="143" t="n"/>
      <c r="G68" s="143" t="n"/>
      <c r="H68" s="143" t="n"/>
      <c r="I68" s="143" t="n"/>
      <c r="J68" s="143" t="n"/>
      <c r="K68" s="143" t="n"/>
      <c r="L68" s="143" t="n"/>
      <c r="M68" s="143" t="n"/>
      <c r="N68" s="143" t="n"/>
      <c r="O68" s="143" t="n"/>
      <c r="P68" s="143" t="n"/>
      <c r="Q68" s="143" t="n"/>
      <c r="R68" s="143" t="n"/>
      <c r="S68" s="143" t="n"/>
      <c r="T68" s="143" t="n"/>
      <c r="U68" s="143" t="n"/>
      <c r="V68" s="143">
        <f>$B6/SUM($B6,$B13)-AC68</f>
        <v/>
      </c>
      <c r="W68" s="143" t="n"/>
      <c r="X68" s="143" t="n"/>
      <c r="Y68" s="143" t="n"/>
      <c r="Z68" s="143" t="n"/>
      <c r="AA68" s="143" t="n"/>
      <c r="AB68" s="143" t="n"/>
      <c r="AC68" s="143">
        <f>$B6/SUM($B6,$B13)*'SoESCaOMCbIC-capital'!AC2</f>
        <v/>
      </c>
      <c r="AD68" s="143" t="n"/>
      <c r="AE68" s="143" t="n"/>
      <c r="AF68" s="143" t="n"/>
      <c r="AG68" s="143" t="n"/>
      <c r="AH68" s="143" t="n"/>
      <c r="AI68" s="143" t="n"/>
      <c r="AJ68" s="143" t="n"/>
      <c r="AK68" s="143" t="n"/>
      <c r="AL68" s="143" t="n"/>
      <c r="AM68" s="143" t="n"/>
      <c r="AN68" s="143" t="n"/>
      <c r="AO68" s="143" t="n"/>
      <c r="AP68" s="143" t="n"/>
      <c r="AQ68" s="143" t="n"/>
    </row>
    <row r="69">
      <c r="A69" t="inlineStr">
        <is>
          <t>natural gas combined cycle</t>
        </is>
      </c>
      <c r="B69" s="143" t="n"/>
      <c r="C69" s="143" t="n"/>
      <c r="D69" s="143" t="n"/>
      <c r="E69" s="143" t="n"/>
      <c r="F69" s="143" t="n"/>
      <c r="G69" s="143" t="n"/>
      <c r="H69" s="143" t="n"/>
      <c r="I69" s="143" t="n"/>
      <c r="J69" s="143" t="n"/>
      <c r="K69" s="143" t="n"/>
      <c r="L69" s="143" t="n"/>
      <c r="M69" s="143" t="n"/>
      <c r="N69" s="143" t="n"/>
      <c r="O69" s="143" t="n"/>
      <c r="P69" s="143" t="n"/>
      <c r="Q69" s="143" t="n"/>
      <c r="R69" s="143" t="n"/>
      <c r="S69" s="143" t="n"/>
      <c r="T69" s="143" t="n"/>
      <c r="U69" s="143" t="n"/>
      <c r="V69" s="143">
        <f>$B7/SUM($B7,$B14)-AC69</f>
        <v/>
      </c>
      <c r="W69" s="143" t="n"/>
      <c r="X69" s="143" t="n"/>
      <c r="Y69" s="143" t="n"/>
      <c r="Z69" s="143" t="n"/>
      <c r="AA69" s="143" t="n"/>
      <c r="AB69" s="143" t="n"/>
      <c r="AC69" s="143">
        <f>$B7/SUM($B7,$B14)*'SoESCaOMCbIC-capital'!AC4</f>
        <v/>
      </c>
      <c r="AD69" s="143" t="n"/>
      <c r="AE69" s="143" t="n"/>
      <c r="AF69" s="143" t="n"/>
      <c r="AG69" s="143" t="n"/>
      <c r="AH69" s="143" t="n"/>
      <c r="AI69" s="143" t="n"/>
      <c r="AJ69" s="143" t="n"/>
      <c r="AK69" s="143" t="n"/>
      <c r="AL69" s="143" t="n"/>
      <c r="AM69" s="143" t="n"/>
      <c r="AN69" s="143" t="n"/>
      <c r="AO69" s="143" t="n"/>
      <c r="AP69" s="143" t="n"/>
      <c r="AQ69" s="143" t="n"/>
    </row>
    <row r="70">
      <c r="A70" t="inlineStr">
        <is>
          <t>biomass</t>
        </is>
      </c>
      <c r="B70" s="143" t="n"/>
      <c r="C70" s="143" t="n"/>
      <c r="D70" s="143" t="n"/>
      <c r="E70" s="143" t="n"/>
      <c r="F70" s="143" t="n"/>
      <c r="G70" s="143" t="n"/>
      <c r="H70" s="143" t="n"/>
      <c r="I70" s="143" t="n"/>
      <c r="J70" s="143" t="n"/>
      <c r="K70" s="143" t="n"/>
      <c r="L70" s="143" t="n"/>
      <c r="M70" s="143" t="n"/>
      <c r="N70" s="143" t="n"/>
      <c r="O70" s="143" t="n"/>
      <c r="P70" s="143" t="n"/>
      <c r="Q70" s="143" t="n"/>
      <c r="R70" s="143" t="n"/>
      <c r="S70" s="143" t="n"/>
      <c r="T70" s="143" t="n"/>
      <c r="U70" s="143" t="n"/>
      <c r="V70" s="143">
        <f>$B8/SUM($B8,$B15)-AC70</f>
        <v/>
      </c>
      <c r="W70" s="143" t="n"/>
      <c r="X70" s="143" t="n"/>
      <c r="Y70" s="143" t="n"/>
      <c r="Z70" s="143" t="n"/>
      <c r="AA70" s="143" t="n"/>
      <c r="AB70" s="143" t="n"/>
      <c r="AC70" s="143">
        <f>$B8/SUM($B8,$B15)*'SoESCaOMCbIC-capital'!AC10</f>
        <v/>
      </c>
      <c r="AD70" s="143" t="n"/>
      <c r="AE70" s="143" t="n"/>
      <c r="AF70" s="143" t="n"/>
      <c r="AG70" s="143" t="n"/>
      <c r="AH70" s="143" t="n"/>
      <c r="AI70" s="143" t="n"/>
      <c r="AJ70" s="143" t="n"/>
      <c r="AK70" s="143" t="n"/>
      <c r="AL70" s="143" t="n"/>
      <c r="AM70" s="143" t="n"/>
      <c r="AN70" s="143" t="n"/>
      <c r="AO70" s="143" t="n"/>
      <c r="AP70" s="143" t="n"/>
      <c r="AQ70" s="143" t="n"/>
    </row>
    <row r="71">
      <c r="A71" t="inlineStr">
        <is>
          <t>lignite</t>
        </is>
      </c>
      <c r="B71" s="143" t="n"/>
      <c r="C71" s="143" t="n"/>
      <c r="D71" s="143" t="n"/>
      <c r="E71" s="143" t="n"/>
      <c r="F71" s="143" t="n"/>
      <c r="G71" s="143" t="n"/>
      <c r="H71" s="143" t="n"/>
      <c r="I71" s="143" t="n"/>
      <c r="J71" s="143" t="n"/>
      <c r="K71" s="143" t="n"/>
      <c r="L71" s="143" t="n"/>
      <c r="M71" s="143" t="n"/>
      <c r="N71" s="143" t="n"/>
      <c r="O71" s="143" t="n"/>
      <c r="P71" s="143" t="n"/>
      <c r="Q71" s="143" t="n"/>
      <c r="R71" s="143" t="n"/>
      <c r="S71" s="143" t="n"/>
      <c r="T71" s="143" t="n"/>
      <c r="U71" s="143" t="n"/>
      <c r="V71" s="143">
        <f>$B9/SUM($B9,$B16)-AC71</f>
        <v/>
      </c>
      <c r="W71" s="143" t="n"/>
      <c r="X71" s="143" t="n"/>
      <c r="Y71" s="143" t="n"/>
      <c r="Z71" s="143" t="n"/>
      <c r="AA71" s="143" t="n"/>
      <c r="AB71" s="143" t="n"/>
      <c r="AC71" s="143">
        <f>$B9/SUM($B9,$B16)*'SoESCaOMCbIC-capital'!AC14</f>
        <v/>
      </c>
      <c r="AD71" s="143" t="n"/>
      <c r="AE71" s="143" t="n"/>
      <c r="AF71" s="143" t="n"/>
      <c r="AG71" s="143" t="n"/>
      <c r="AH71" s="143" t="n"/>
      <c r="AI71" s="143" t="n"/>
      <c r="AJ71" s="143" t="n"/>
      <c r="AK71" s="143" t="n"/>
      <c r="AL71" s="143" t="n"/>
      <c r="AM71" s="143" t="n"/>
      <c r="AN71" s="143" t="n"/>
      <c r="AO71" s="143" t="n"/>
      <c r="AP71" s="143" t="n"/>
      <c r="AQ71" s="143" t="n"/>
    </row>
    <row r="72"/>
    <row r="73">
      <c r="A73" t="inlineStr">
        <is>
          <t>Fixed O&amp;M breakdown for non-CCS Components</t>
        </is>
      </c>
    </row>
    <row r="74">
      <c r="A74" s="126" t="n"/>
      <c r="B74" s="110" t="inlineStr">
        <is>
          <t>ISIC 01T03</t>
        </is>
      </c>
      <c r="C74" s="110" t="inlineStr">
        <is>
          <t>ISIC 05</t>
        </is>
      </c>
      <c r="D74" s="110" t="inlineStr">
        <is>
          <t>ISIC 06</t>
        </is>
      </c>
      <c r="E74" s="110" t="inlineStr">
        <is>
          <t>ISIC 07T08</t>
        </is>
      </c>
      <c r="F74" s="110" t="inlineStr">
        <is>
          <t>ISIC 09</t>
        </is>
      </c>
      <c r="G74" s="110" t="inlineStr">
        <is>
          <t>ISIC 10T12</t>
        </is>
      </c>
      <c r="H74" s="110" t="inlineStr">
        <is>
          <t>ISIC 13T15</t>
        </is>
      </c>
      <c r="I74" s="110" t="inlineStr">
        <is>
          <t>ISIC 16</t>
        </is>
      </c>
      <c r="J74" s="110" t="inlineStr">
        <is>
          <t>ISIC 17T18</t>
        </is>
      </c>
      <c r="K74" s="110" t="inlineStr">
        <is>
          <t>ISIC 19</t>
        </is>
      </c>
      <c r="L74" s="110" t="inlineStr">
        <is>
          <t>ISIC 20</t>
        </is>
      </c>
      <c r="M74" s="110" t="inlineStr">
        <is>
          <t>ISIC 21</t>
        </is>
      </c>
      <c r="N74" s="110" t="inlineStr">
        <is>
          <t>ISIC 22</t>
        </is>
      </c>
      <c r="O74" s="110" t="inlineStr">
        <is>
          <t>ISIC 231</t>
        </is>
      </c>
      <c r="P74" s="110" t="inlineStr">
        <is>
          <t>ISIC 239</t>
        </is>
      </c>
      <c r="Q74" s="110" t="inlineStr">
        <is>
          <t>ISIC 241</t>
        </is>
      </c>
      <c r="R74" s="110" t="inlineStr">
        <is>
          <t>ISIC 242</t>
        </is>
      </c>
      <c r="S74" s="110" t="inlineStr">
        <is>
          <t>ISIC 25</t>
        </is>
      </c>
      <c r="T74" s="110" t="inlineStr">
        <is>
          <t>ISIC 26</t>
        </is>
      </c>
      <c r="U74" s="110" t="inlineStr">
        <is>
          <t>ISIC 27</t>
        </is>
      </c>
      <c r="V74" s="110" t="inlineStr">
        <is>
          <t>ISIC 28</t>
        </is>
      </c>
      <c r="W74" s="110" t="inlineStr">
        <is>
          <t>ISIC 29</t>
        </is>
      </c>
      <c r="X74" s="110" t="inlineStr">
        <is>
          <t>ISIC 30</t>
        </is>
      </c>
      <c r="Y74" s="110" t="inlineStr">
        <is>
          <t>ISIC 31T33</t>
        </is>
      </c>
      <c r="Z74" s="110" t="inlineStr">
        <is>
          <t>ISIC 351</t>
        </is>
      </c>
      <c r="AA74" s="110" t="inlineStr">
        <is>
          <t>ISIC 352T353</t>
        </is>
      </c>
      <c r="AB74" s="110" t="inlineStr">
        <is>
          <t>ISIC 36T39</t>
        </is>
      </c>
      <c r="AC74" s="110" t="inlineStr">
        <is>
          <t>ISIC 41T43</t>
        </is>
      </c>
      <c r="AD74" s="110" t="inlineStr">
        <is>
          <t>ISIC 45T47</t>
        </is>
      </c>
      <c r="AE74" s="110" t="inlineStr">
        <is>
          <t>ISIC 49T53</t>
        </is>
      </c>
      <c r="AF74" s="110" t="inlineStr">
        <is>
          <t>ISIC 55T56</t>
        </is>
      </c>
      <c r="AG74" s="110" t="inlineStr">
        <is>
          <t>ISIC 58T60</t>
        </is>
      </c>
      <c r="AH74" s="110" t="inlineStr">
        <is>
          <t>ISIC 61</t>
        </is>
      </c>
      <c r="AI74" s="110" t="inlineStr">
        <is>
          <t>ISIC 62T63</t>
        </is>
      </c>
      <c r="AJ74" s="110" t="inlineStr">
        <is>
          <t>ISIC 64T66</t>
        </is>
      </c>
      <c r="AK74" s="110" t="inlineStr">
        <is>
          <t>ISIC 68</t>
        </is>
      </c>
      <c r="AL74" s="110" t="inlineStr">
        <is>
          <t>ISIC 69T82</t>
        </is>
      </c>
      <c r="AM74" s="110" t="inlineStr">
        <is>
          <t>ISIC 84</t>
        </is>
      </c>
      <c r="AN74" s="110" t="inlineStr">
        <is>
          <t>ISIC 85</t>
        </is>
      </c>
      <c r="AO74" s="110" t="inlineStr">
        <is>
          <t>ISIC 86T88</t>
        </is>
      </c>
      <c r="AP74" s="110" t="inlineStr">
        <is>
          <t>ISIC 90T96</t>
        </is>
      </c>
      <c r="AQ74" s="110" t="inlineStr">
        <is>
          <t>ISIC 97T98</t>
        </is>
      </c>
    </row>
    <row r="75">
      <c r="A75" t="inlineStr">
        <is>
          <t>hard coal</t>
        </is>
      </c>
      <c r="B75" s="143">
        <f>'SoESCaOMCbIC-fixedOM'!B2*($B27/SUM($B27,$B20))</f>
        <v/>
      </c>
      <c r="C75" s="143">
        <f>'SoESCaOMCbIC-fixedOM'!C2*($B27/SUM($B27,$B20))</f>
        <v/>
      </c>
      <c r="D75" s="143">
        <f>'SoESCaOMCbIC-fixedOM'!D2*($B27/SUM($B27,$B20))</f>
        <v/>
      </c>
      <c r="E75" s="143">
        <f>'SoESCaOMCbIC-fixedOM'!E2*($B27/SUM($B27,$B20))</f>
        <v/>
      </c>
      <c r="F75" s="143">
        <f>'SoESCaOMCbIC-fixedOM'!F2*($B27/SUM($B27,$B20))</f>
        <v/>
      </c>
      <c r="G75" s="143">
        <f>'SoESCaOMCbIC-fixedOM'!G2*($B27/SUM($B27,$B20))</f>
        <v/>
      </c>
      <c r="H75" s="143">
        <f>'SoESCaOMCbIC-fixedOM'!H2*($B27/SUM($B27,$B20))</f>
        <v/>
      </c>
      <c r="I75" s="143">
        <f>'SoESCaOMCbIC-fixedOM'!I2*($B27/SUM($B27,$B20))</f>
        <v/>
      </c>
      <c r="J75" s="143">
        <f>'SoESCaOMCbIC-fixedOM'!J2*($B27/SUM($B27,$B20))</f>
        <v/>
      </c>
      <c r="K75" s="143">
        <f>'SoESCaOMCbIC-fixedOM'!K2*($B27/SUM($B27,$B20))</f>
        <v/>
      </c>
      <c r="L75" s="143">
        <f>'SoESCaOMCbIC-fixedOM'!L2*($B27/SUM($B27,$B20))</f>
        <v/>
      </c>
      <c r="M75" s="143">
        <f>'SoESCaOMCbIC-fixedOM'!M2*($B27/SUM($B27,$B20))</f>
        <v/>
      </c>
      <c r="N75" s="143">
        <f>'SoESCaOMCbIC-fixedOM'!N2*($B27/SUM($B27,$B20))</f>
        <v/>
      </c>
      <c r="O75" s="143">
        <f>'SoESCaOMCbIC-fixedOM'!O2*($B27/SUM($B27,$B20))</f>
        <v/>
      </c>
      <c r="P75" s="143">
        <f>'SoESCaOMCbIC-fixedOM'!P2*($B27/SUM($B27,$B20))</f>
        <v/>
      </c>
      <c r="Q75" s="143">
        <f>'SoESCaOMCbIC-fixedOM'!Q2*($B27/SUM($B27,$B20))</f>
        <v/>
      </c>
      <c r="R75" s="143">
        <f>'SoESCaOMCbIC-fixedOM'!R2*($B27/SUM($B27,$B20))</f>
        <v/>
      </c>
      <c r="S75" s="143">
        <f>'SoESCaOMCbIC-fixedOM'!S2*($B27/SUM($B27,$B20))</f>
        <v/>
      </c>
      <c r="T75" s="143">
        <f>'SoESCaOMCbIC-fixedOM'!T2*($B27/SUM($B27,$B20))</f>
        <v/>
      </c>
      <c r="U75" s="143">
        <f>'SoESCaOMCbIC-fixedOM'!U2*($B27/SUM($B27,$B20))</f>
        <v/>
      </c>
      <c r="V75" s="143">
        <f>'SoESCaOMCbIC-fixedOM'!V2*($B27/SUM($B27,$B20))</f>
        <v/>
      </c>
      <c r="W75" s="143">
        <f>'SoESCaOMCbIC-fixedOM'!W2*($B27/SUM($B27,$B20))</f>
        <v/>
      </c>
      <c r="X75" s="143">
        <f>'SoESCaOMCbIC-fixedOM'!X2*($B27/SUM($B27,$B20))</f>
        <v/>
      </c>
      <c r="Y75" s="143">
        <f>'SoESCaOMCbIC-fixedOM'!Y2*($B27/SUM($B27,$B20))</f>
        <v/>
      </c>
      <c r="Z75" s="143">
        <f>'SoESCaOMCbIC-fixedOM'!Z2*($B27/SUM($B27,$B20))</f>
        <v/>
      </c>
      <c r="AA75" s="143">
        <f>'SoESCaOMCbIC-fixedOM'!AA2*($B27/SUM($B27,$B20))</f>
        <v/>
      </c>
      <c r="AB75" s="143">
        <f>'SoESCaOMCbIC-fixedOM'!AB2*($B27/SUM($B27,$B20))</f>
        <v/>
      </c>
      <c r="AC75" s="143">
        <f>'SoESCaOMCbIC-fixedOM'!AC2*($B27/SUM($B27,$B20))</f>
        <v/>
      </c>
      <c r="AD75" s="143">
        <f>'SoESCaOMCbIC-fixedOM'!AD2*($B27/SUM($B27,$B20))</f>
        <v/>
      </c>
      <c r="AE75" s="143">
        <f>'SoESCaOMCbIC-fixedOM'!AE2*($B27/SUM($B27,$B20))</f>
        <v/>
      </c>
      <c r="AF75" s="143">
        <f>'SoESCaOMCbIC-fixedOM'!AF2*($B27/SUM($B27,$B20))</f>
        <v/>
      </c>
      <c r="AG75" s="143">
        <f>'SoESCaOMCbIC-fixedOM'!AG2*($B27/SUM($B27,$B20))</f>
        <v/>
      </c>
      <c r="AH75" s="143">
        <f>'SoESCaOMCbIC-fixedOM'!AH2*($B27/SUM($B27,$B20))</f>
        <v/>
      </c>
      <c r="AI75" s="143">
        <f>'SoESCaOMCbIC-fixedOM'!AI2*($B27/SUM($B27,$B20))</f>
        <v/>
      </c>
      <c r="AJ75" s="143">
        <f>'SoESCaOMCbIC-fixedOM'!AJ2*($B27/SUM($B27,$B20))</f>
        <v/>
      </c>
      <c r="AK75" s="143">
        <f>'SoESCaOMCbIC-fixedOM'!AK2*($B27/SUM($B27,$B20))</f>
        <v/>
      </c>
      <c r="AL75" s="143">
        <f>'SoESCaOMCbIC-fixedOM'!AL2*($B27/SUM($B27,$B20))</f>
        <v/>
      </c>
      <c r="AM75" s="143">
        <f>'SoESCaOMCbIC-fixedOM'!AM2*($B27/SUM($B27,$B20))</f>
        <v/>
      </c>
      <c r="AN75" s="143">
        <f>'SoESCaOMCbIC-fixedOM'!AN2*($B27/SUM($B27,$B20))</f>
        <v/>
      </c>
      <c r="AO75" s="143">
        <f>'SoESCaOMCbIC-fixedOM'!AO2*($B27/SUM($B27,$B20))</f>
        <v/>
      </c>
      <c r="AP75" s="143">
        <f>'SoESCaOMCbIC-fixedOM'!AP2*($B27/SUM($B27,$B20))</f>
        <v/>
      </c>
      <c r="AQ75" s="143">
        <f>'SoESCaOMCbIC-fixedOM'!AQ2*($B27/SUM($B27,$B20))</f>
        <v/>
      </c>
    </row>
    <row r="76">
      <c r="A76" t="inlineStr">
        <is>
          <t>natural gas combined cycle</t>
        </is>
      </c>
      <c r="B76" s="143">
        <f>'SoESCaOMCbIC-fixedOM'!B4*($B28/SUM($B28,$B21))</f>
        <v/>
      </c>
      <c r="C76" s="143">
        <f>'SoESCaOMCbIC-fixedOM'!C4*($B28/SUM($B28,$B21))</f>
        <v/>
      </c>
      <c r="D76" s="143">
        <f>'SoESCaOMCbIC-fixedOM'!D4*($B28/SUM($B28,$B21))</f>
        <v/>
      </c>
      <c r="E76" s="143">
        <f>'SoESCaOMCbIC-fixedOM'!E4*($B28/SUM($B28,$B21))</f>
        <v/>
      </c>
      <c r="F76" s="143">
        <f>'SoESCaOMCbIC-fixedOM'!F4*($B28/SUM($B28,$B21))</f>
        <v/>
      </c>
      <c r="G76" s="143">
        <f>'SoESCaOMCbIC-fixedOM'!G4*($B28/SUM($B28,$B21))</f>
        <v/>
      </c>
      <c r="H76" s="143">
        <f>'SoESCaOMCbIC-fixedOM'!H4*($B28/SUM($B28,$B21))</f>
        <v/>
      </c>
      <c r="I76" s="143">
        <f>'SoESCaOMCbIC-fixedOM'!I4*($B28/SUM($B28,$B21))</f>
        <v/>
      </c>
      <c r="J76" s="143">
        <f>'SoESCaOMCbIC-fixedOM'!J4*($B28/SUM($B28,$B21))</f>
        <v/>
      </c>
      <c r="K76" s="143">
        <f>'SoESCaOMCbIC-fixedOM'!K4*($B28/SUM($B28,$B21))</f>
        <v/>
      </c>
      <c r="L76" s="143">
        <f>'SoESCaOMCbIC-fixedOM'!L4*($B28/SUM($B28,$B21))</f>
        <v/>
      </c>
      <c r="M76" s="143">
        <f>'SoESCaOMCbIC-fixedOM'!M4*($B28/SUM($B28,$B21))</f>
        <v/>
      </c>
      <c r="N76" s="143">
        <f>'SoESCaOMCbIC-fixedOM'!N4*($B28/SUM($B28,$B21))</f>
        <v/>
      </c>
      <c r="O76" s="143">
        <f>'SoESCaOMCbIC-fixedOM'!O4*($B28/SUM($B28,$B21))</f>
        <v/>
      </c>
      <c r="P76" s="143">
        <f>'SoESCaOMCbIC-fixedOM'!P4*($B28/SUM($B28,$B21))</f>
        <v/>
      </c>
      <c r="Q76" s="143">
        <f>'SoESCaOMCbIC-fixedOM'!Q4*($B28/SUM($B28,$B21))</f>
        <v/>
      </c>
      <c r="R76" s="143">
        <f>'SoESCaOMCbIC-fixedOM'!R4*($B28/SUM($B28,$B21))</f>
        <v/>
      </c>
      <c r="S76" s="143">
        <f>'SoESCaOMCbIC-fixedOM'!S4*($B28/SUM($B28,$B21))</f>
        <v/>
      </c>
      <c r="T76" s="143">
        <f>'SoESCaOMCbIC-fixedOM'!T4*($B28/SUM($B28,$B21))</f>
        <v/>
      </c>
      <c r="U76" s="143">
        <f>'SoESCaOMCbIC-fixedOM'!U4*($B28/SUM($B28,$B21))</f>
        <v/>
      </c>
      <c r="V76" s="143">
        <f>'SoESCaOMCbIC-fixedOM'!V4*($B28/SUM($B28,$B21))</f>
        <v/>
      </c>
      <c r="W76" s="143">
        <f>'SoESCaOMCbIC-fixedOM'!W4*($B28/SUM($B28,$B21))</f>
        <v/>
      </c>
      <c r="X76" s="143">
        <f>'SoESCaOMCbIC-fixedOM'!X4*($B28/SUM($B28,$B21))</f>
        <v/>
      </c>
      <c r="Y76" s="143">
        <f>'SoESCaOMCbIC-fixedOM'!Y4*($B28/SUM($B28,$B21))</f>
        <v/>
      </c>
      <c r="Z76" s="143">
        <f>'SoESCaOMCbIC-fixedOM'!Z4*($B28/SUM($B28,$B21))</f>
        <v/>
      </c>
      <c r="AA76" s="143">
        <f>'SoESCaOMCbIC-fixedOM'!AA4*($B28/SUM($B28,$B21))</f>
        <v/>
      </c>
      <c r="AB76" s="143">
        <f>'SoESCaOMCbIC-fixedOM'!AB4*($B28/SUM($B28,$B21))</f>
        <v/>
      </c>
      <c r="AC76" s="143">
        <f>'SoESCaOMCbIC-fixedOM'!AC4*($B28/SUM($B28,$B21))</f>
        <v/>
      </c>
      <c r="AD76" s="143">
        <f>'SoESCaOMCbIC-fixedOM'!AD4*($B28/SUM($B28,$B21))</f>
        <v/>
      </c>
      <c r="AE76" s="143">
        <f>'SoESCaOMCbIC-fixedOM'!AE4*($B28/SUM($B28,$B21))</f>
        <v/>
      </c>
      <c r="AF76" s="143">
        <f>'SoESCaOMCbIC-fixedOM'!AF4*($B28/SUM($B28,$B21))</f>
        <v/>
      </c>
      <c r="AG76" s="143">
        <f>'SoESCaOMCbIC-fixedOM'!AG4*($B28/SUM($B28,$B21))</f>
        <v/>
      </c>
      <c r="AH76" s="143">
        <f>'SoESCaOMCbIC-fixedOM'!AH4*($B28/SUM($B28,$B21))</f>
        <v/>
      </c>
      <c r="AI76" s="143">
        <f>'SoESCaOMCbIC-fixedOM'!AI4*($B28/SUM($B28,$B21))</f>
        <v/>
      </c>
      <c r="AJ76" s="143">
        <f>'SoESCaOMCbIC-fixedOM'!AJ4*($B28/SUM($B28,$B21))</f>
        <v/>
      </c>
      <c r="AK76" s="143">
        <f>'SoESCaOMCbIC-fixedOM'!AK4*($B28/SUM($B28,$B21))</f>
        <v/>
      </c>
      <c r="AL76" s="143">
        <f>'SoESCaOMCbIC-fixedOM'!AL4*($B28/SUM($B28,$B21))</f>
        <v/>
      </c>
      <c r="AM76" s="143">
        <f>'SoESCaOMCbIC-fixedOM'!AM4*($B28/SUM($B28,$B21))</f>
        <v/>
      </c>
      <c r="AN76" s="143">
        <f>'SoESCaOMCbIC-fixedOM'!AN4*($B28/SUM($B28,$B21))</f>
        <v/>
      </c>
      <c r="AO76" s="143">
        <f>'SoESCaOMCbIC-fixedOM'!AO4*($B28/SUM($B28,$B21))</f>
        <v/>
      </c>
      <c r="AP76" s="143">
        <f>'SoESCaOMCbIC-fixedOM'!AP4*($B28/SUM($B28,$B21))</f>
        <v/>
      </c>
      <c r="AQ76" s="143">
        <f>'SoESCaOMCbIC-fixedOM'!AQ4*($B28/SUM($B28,$B21))</f>
        <v/>
      </c>
    </row>
    <row r="77">
      <c r="A77" t="inlineStr">
        <is>
          <t>biomass</t>
        </is>
      </c>
      <c r="B77" s="143">
        <f>'SoESCaOMCbIC-fixedOM'!B10*($B29/SUM($B29,$B22))</f>
        <v/>
      </c>
      <c r="C77" s="143">
        <f>'SoESCaOMCbIC-fixedOM'!C10*($B29/SUM($B29,$B22))</f>
        <v/>
      </c>
      <c r="D77" s="143">
        <f>'SoESCaOMCbIC-fixedOM'!D10*($B29/SUM($B29,$B22))</f>
        <v/>
      </c>
      <c r="E77" s="143">
        <f>'SoESCaOMCbIC-fixedOM'!E10*($B29/SUM($B29,$B22))</f>
        <v/>
      </c>
      <c r="F77" s="143">
        <f>'SoESCaOMCbIC-fixedOM'!F10*($B29/SUM($B29,$B22))</f>
        <v/>
      </c>
      <c r="G77" s="143">
        <f>'SoESCaOMCbIC-fixedOM'!G10*($B29/SUM($B29,$B22))</f>
        <v/>
      </c>
      <c r="H77" s="143">
        <f>'SoESCaOMCbIC-fixedOM'!H10*($B29/SUM($B29,$B22))</f>
        <v/>
      </c>
      <c r="I77" s="143">
        <f>'SoESCaOMCbIC-fixedOM'!I10*($B29/SUM($B29,$B22))</f>
        <v/>
      </c>
      <c r="J77" s="143">
        <f>'SoESCaOMCbIC-fixedOM'!J10*($B29/SUM($B29,$B22))</f>
        <v/>
      </c>
      <c r="K77" s="143">
        <f>'SoESCaOMCbIC-fixedOM'!K10*($B29/SUM($B29,$B22))</f>
        <v/>
      </c>
      <c r="L77" s="143">
        <f>'SoESCaOMCbIC-fixedOM'!L10*($B29/SUM($B29,$B22))</f>
        <v/>
      </c>
      <c r="M77" s="143">
        <f>'SoESCaOMCbIC-fixedOM'!M10*($B29/SUM($B29,$B22))</f>
        <v/>
      </c>
      <c r="N77" s="143">
        <f>'SoESCaOMCbIC-fixedOM'!N10*($B29/SUM($B29,$B22))</f>
        <v/>
      </c>
      <c r="O77" s="143">
        <f>'SoESCaOMCbIC-fixedOM'!O10*($B29/SUM($B29,$B22))</f>
        <v/>
      </c>
      <c r="P77" s="143">
        <f>'SoESCaOMCbIC-fixedOM'!P10*($B29/SUM($B29,$B22))</f>
        <v/>
      </c>
      <c r="Q77" s="143">
        <f>'SoESCaOMCbIC-fixedOM'!Q10*($B29/SUM($B29,$B22))</f>
        <v/>
      </c>
      <c r="R77" s="143">
        <f>'SoESCaOMCbIC-fixedOM'!R10*($B29/SUM($B29,$B22))</f>
        <v/>
      </c>
      <c r="S77" s="143">
        <f>'SoESCaOMCbIC-fixedOM'!S10*($B29/SUM($B29,$B22))</f>
        <v/>
      </c>
      <c r="T77" s="143">
        <f>'SoESCaOMCbIC-fixedOM'!T10*($B29/SUM($B29,$B22))</f>
        <v/>
      </c>
      <c r="U77" s="143">
        <f>'SoESCaOMCbIC-fixedOM'!U10*($B29/SUM($B29,$B22))</f>
        <v/>
      </c>
      <c r="V77" s="143">
        <f>'SoESCaOMCbIC-fixedOM'!V10*($B29/SUM($B29,$B22))</f>
        <v/>
      </c>
      <c r="W77" s="143">
        <f>'SoESCaOMCbIC-fixedOM'!W10*($B29/SUM($B29,$B22))</f>
        <v/>
      </c>
      <c r="X77" s="143">
        <f>'SoESCaOMCbIC-fixedOM'!X10*($B29/SUM($B29,$B22))</f>
        <v/>
      </c>
      <c r="Y77" s="143">
        <f>'SoESCaOMCbIC-fixedOM'!Y10*($B29/SUM($B29,$B22))</f>
        <v/>
      </c>
      <c r="Z77" s="143">
        <f>'SoESCaOMCbIC-fixedOM'!Z10*($B29/SUM($B29,$B22))</f>
        <v/>
      </c>
      <c r="AA77" s="143">
        <f>'SoESCaOMCbIC-fixedOM'!AA10*($B29/SUM($B29,$B22))</f>
        <v/>
      </c>
      <c r="AB77" s="143">
        <f>'SoESCaOMCbIC-fixedOM'!AB10*($B29/SUM($B29,$B22))</f>
        <v/>
      </c>
      <c r="AC77" s="143">
        <f>'SoESCaOMCbIC-fixedOM'!AC10*($B29/SUM($B29,$B22))</f>
        <v/>
      </c>
      <c r="AD77" s="143">
        <f>'SoESCaOMCbIC-fixedOM'!AD10*($B29/SUM($B29,$B22))</f>
        <v/>
      </c>
      <c r="AE77" s="143">
        <f>'SoESCaOMCbIC-fixedOM'!AE10*($B29/SUM($B29,$B22))</f>
        <v/>
      </c>
      <c r="AF77" s="143">
        <f>'SoESCaOMCbIC-fixedOM'!AF10*($B29/SUM($B29,$B22))</f>
        <v/>
      </c>
      <c r="AG77" s="143">
        <f>'SoESCaOMCbIC-fixedOM'!AG10*($B29/SUM($B29,$B22))</f>
        <v/>
      </c>
      <c r="AH77" s="143">
        <f>'SoESCaOMCbIC-fixedOM'!AH10*($B29/SUM($B29,$B22))</f>
        <v/>
      </c>
      <c r="AI77" s="143">
        <f>'SoESCaOMCbIC-fixedOM'!AI10*($B29/SUM($B29,$B22))</f>
        <v/>
      </c>
      <c r="AJ77" s="143">
        <f>'SoESCaOMCbIC-fixedOM'!AJ10*($B29/SUM($B29,$B22))</f>
        <v/>
      </c>
      <c r="AK77" s="143">
        <f>'SoESCaOMCbIC-fixedOM'!AK10*($B29/SUM($B29,$B22))</f>
        <v/>
      </c>
      <c r="AL77" s="143">
        <f>'SoESCaOMCbIC-fixedOM'!AL10*($B29/SUM($B29,$B22))</f>
        <v/>
      </c>
      <c r="AM77" s="143">
        <f>'SoESCaOMCbIC-fixedOM'!AM10*($B29/SUM($B29,$B22))</f>
        <v/>
      </c>
      <c r="AN77" s="143">
        <f>'SoESCaOMCbIC-fixedOM'!AN10*($B29/SUM($B29,$B22))</f>
        <v/>
      </c>
      <c r="AO77" s="143">
        <f>'SoESCaOMCbIC-fixedOM'!AO10*($B29/SUM($B29,$B22))</f>
        <v/>
      </c>
      <c r="AP77" s="143">
        <f>'SoESCaOMCbIC-fixedOM'!AP10*($B29/SUM($B29,$B22))</f>
        <v/>
      </c>
      <c r="AQ77" s="143">
        <f>'SoESCaOMCbIC-fixedOM'!AQ10*($B29/SUM($B29,$B22))</f>
        <v/>
      </c>
    </row>
    <row r="78">
      <c r="A78" t="inlineStr">
        <is>
          <t>lignite</t>
        </is>
      </c>
      <c r="B78" s="143">
        <f>'SoESCaOMCbIC-fixedOM'!B14*($B30/SUM($B30,$B23))</f>
        <v/>
      </c>
      <c r="C78" s="143">
        <f>'SoESCaOMCbIC-fixedOM'!C14*($B30/SUM($B30,$B23))</f>
        <v/>
      </c>
      <c r="D78" s="143">
        <f>'SoESCaOMCbIC-fixedOM'!D14*($B30/SUM($B30,$B23))</f>
        <v/>
      </c>
      <c r="E78" s="143">
        <f>'SoESCaOMCbIC-fixedOM'!E14*($B30/SUM($B30,$B23))</f>
        <v/>
      </c>
      <c r="F78" s="143">
        <f>'SoESCaOMCbIC-fixedOM'!F14*($B30/SUM($B30,$B23))</f>
        <v/>
      </c>
      <c r="G78" s="143">
        <f>'SoESCaOMCbIC-fixedOM'!G14*($B30/SUM($B30,$B23))</f>
        <v/>
      </c>
      <c r="H78" s="143">
        <f>'SoESCaOMCbIC-fixedOM'!H14*($B30/SUM($B30,$B23))</f>
        <v/>
      </c>
      <c r="I78" s="143">
        <f>'SoESCaOMCbIC-fixedOM'!I14*($B30/SUM($B30,$B23))</f>
        <v/>
      </c>
      <c r="J78" s="143">
        <f>'SoESCaOMCbIC-fixedOM'!J14*($B30/SUM($B30,$B23))</f>
        <v/>
      </c>
      <c r="K78" s="143">
        <f>'SoESCaOMCbIC-fixedOM'!K14*($B30/SUM($B30,$B23))</f>
        <v/>
      </c>
      <c r="L78" s="143">
        <f>'SoESCaOMCbIC-fixedOM'!L14*($B30/SUM($B30,$B23))</f>
        <v/>
      </c>
      <c r="M78" s="143">
        <f>'SoESCaOMCbIC-fixedOM'!M14*($B30/SUM($B30,$B23))</f>
        <v/>
      </c>
      <c r="N78" s="143">
        <f>'SoESCaOMCbIC-fixedOM'!N14*($B30/SUM($B30,$B23))</f>
        <v/>
      </c>
      <c r="O78" s="143">
        <f>'SoESCaOMCbIC-fixedOM'!O14*($B30/SUM($B30,$B23))</f>
        <v/>
      </c>
      <c r="P78" s="143">
        <f>'SoESCaOMCbIC-fixedOM'!P14*($B30/SUM($B30,$B23))</f>
        <v/>
      </c>
      <c r="Q78" s="143">
        <f>'SoESCaOMCbIC-fixedOM'!Q14*($B30/SUM($B30,$B23))</f>
        <v/>
      </c>
      <c r="R78" s="143">
        <f>'SoESCaOMCbIC-fixedOM'!R14*($B30/SUM($B30,$B23))</f>
        <v/>
      </c>
      <c r="S78" s="143">
        <f>'SoESCaOMCbIC-fixedOM'!S14*($B30/SUM($B30,$B23))</f>
        <v/>
      </c>
      <c r="T78" s="143">
        <f>'SoESCaOMCbIC-fixedOM'!T14*($B30/SUM($B30,$B23))</f>
        <v/>
      </c>
      <c r="U78" s="143">
        <f>'SoESCaOMCbIC-fixedOM'!U14*($B30/SUM($B30,$B23))</f>
        <v/>
      </c>
      <c r="V78" s="143">
        <f>'SoESCaOMCbIC-fixedOM'!V14*($B30/SUM($B30,$B23))</f>
        <v/>
      </c>
      <c r="W78" s="143">
        <f>'SoESCaOMCbIC-fixedOM'!W14*($B30/SUM($B30,$B23))</f>
        <v/>
      </c>
      <c r="X78" s="143">
        <f>'SoESCaOMCbIC-fixedOM'!X14*($B30/SUM($B30,$B23))</f>
        <v/>
      </c>
      <c r="Y78" s="143">
        <f>'SoESCaOMCbIC-fixedOM'!Y14*($B30/SUM($B30,$B23))</f>
        <v/>
      </c>
      <c r="Z78" s="143">
        <f>'SoESCaOMCbIC-fixedOM'!Z14*($B30/SUM($B30,$B23))</f>
        <v/>
      </c>
      <c r="AA78" s="143">
        <f>'SoESCaOMCbIC-fixedOM'!AA14*($B30/SUM($B30,$B23))</f>
        <v/>
      </c>
      <c r="AB78" s="143">
        <f>'SoESCaOMCbIC-fixedOM'!AB14*($B30/SUM($B30,$B23))</f>
        <v/>
      </c>
      <c r="AC78" s="143">
        <f>'SoESCaOMCbIC-fixedOM'!AC14*($B30/SUM($B30,$B23))</f>
        <v/>
      </c>
      <c r="AD78" s="143">
        <f>'SoESCaOMCbIC-fixedOM'!AD14*($B30/SUM($B30,$B23))</f>
        <v/>
      </c>
      <c r="AE78" s="143">
        <f>'SoESCaOMCbIC-fixedOM'!AE14*($B30/SUM($B30,$B23))</f>
        <v/>
      </c>
      <c r="AF78" s="143">
        <f>'SoESCaOMCbIC-fixedOM'!AF14*($B30/SUM($B30,$B23))</f>
        <v/>
      </c>
      <c r="AG78" s="143">
        <f>'SoESCaOMCbIC-fixedOM'!AG14*($B30/SUM($B30,$B23))</f>
        <v/>
      </c>
      <c r="AH78" s="143">
        <f>'SoESCaOMCbIC-fixedOM'!AH14*($B30/SUM($B30,$B23))</f>
        <v/>
      </c>
      <c r="AI78" s="143">
        <f>'SoESCaOMCbIC-fixedOM'!AI14*($B30/SUM($B30,$B23))</f>
        <v/>
      </c>
      <c r="AJ78" s="143">
        <f>'SoESCaOMCbIC-fixedOM'!AJ14*($B30/SUM($B30,$B23))</f>
        <v/>
      </c>
      <c r="AK78" s="143">
        <f>'SoESCaOMCbIC-fixedOM'!AK14*($B30/SUM($B30,$B23))</f>
        <v/>
      </c>
      <c r="AL78" s="143">
        <f>'SoESCaOMCbIC-fixedOM'!AL14*($B30/SUM($B30,$B23))</f>
        <v/>
      </c>
      <c r="AM78" s="143">
        <f>'SoESCaOMCbIC-fixedOM'!AM14*($B30/SUM($B30,$B23))</f>
        <v/>
      </c>
      <c r="AN78" s="143">
        <f>'SoESCaOMCbIC-fixedOM'!AN14*($B30/SUM($B30,$B23))</f>
        <v/>
      </c>
      <c r="AO78" s="143">
        <f>'SoESCaOMCbIC-fixedOM'!AO14*($B30/SUM($B30,$B23))</f>
        <v/>
      </c>
      <c r="AP78" s="143">
        <f>'SoESCaOMCbIC-fixedOM'!AP14*($B30/SUM($B30,$B23))</f>
        <v/>
      </c>
      <c r="AQ78" s="143">
        <f>'SoESCaOMCbIC-fixedOM'!AQ14*($B30/SUM($B30,$B23))</f>
        <v/>
      </c>
    </row>
    <row r="79">
      <c r="B79" s="144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144" t="n"/>
      <c r="P79" s="144" t="n"/>
      <c r="Q79" s="144" t="n"/>
      <c r="R79" s="144" t="n"/>
      <c r="S79" s="144" t="n"/>
      <c r="T79" s="144" t="n"/>
      <c r="U79" s="144" t="n"/>
      <c r="V79" s="144" t="n"/>
      <c r="W79" s="144" t="n"/>
      <c r="X79" s="144" t="n"/>
      <c r="Y79" s="144" t="n"/>
      <c r="Z79" s="144" t="n"/>
      <c r="AA79" s="144" t="n"/>
      <c r="AB79" s="144" t="n"/>
      <c r="AC79" s="144" t="n"/>
      <c r="AD79" s="144" t="n"/>
      <c r="AE79" s="144" t="n"/>
      <c r="AF79" s="144" t="n"/>
      <c r="AG79" s="144" t="n"/>
      <c r="AH79" s="144" t="n"/>
      <c r="AI79" s="144" t="n"/>
      <c r="AJ79" s="144" t="n"/>
      <c r="AK79" s="144" t="n"/>
      <c r="AL79" s="144" t="n"/>
      <c r="AM79" s="144" t="n"/>
      <c r="AN79" s="144" t="n"/>
      <c r="AO79" s="144" t="n"/>
      <c r="AP79" s="144" t="n"/>
      <c r="AQ79" s="144" t="n"/>
    </row>
    <row r="80">
      <c r="A80" t="inlineStr">
        <is>
          <t>Fixed O&amp;M breakdown for CCS Components</t>
        </is>
      </c>
    </row>
    <row r="81">
      <c r="A81" t="inlineStr">
        <is>
          <t>*assumes same portion of cost for construction as non-CCS components</t>
        </is>
      </c>
    </row>
    <row r="82">
      <c r="A82" s="126" t="n"/>
      <c r="B82" s="110" t="inlineStr">
        <is>
          <t>ISIC 01T03</t>
        </is>
      </c>
      <c r="C82" s="110" t="inlineStr">
        <is>
          <t>ISIC 05</t>
        </is>
      </c>
      <c r="D82" s="110" t="inlineStr">
        <is>
          <t>ISIC 06</t>
        </is>
      </c>
      <c r="E82" s="110" t="inlineStr">
        <is>
          <t>ISIC 07T08</t>
        </is>
      </c>
      <c r="F82" s="110" t="inlineStr">
        <is>
          <t>ISIC 09</t>
        </is>
      </c>
      <c r="G82" s="110" t="inlineStr">
        <is>
          <t>ISIC 10T12</t>
        </is>
      </c>
      <c r="H82" s="110" t="inlineStr">
        <is>
          <t>ISIC 13T15</t>
        </is>
      </c>
      <c r="I82" s="110" t="inlineStr">
        <is>
          <t>ISIC 16</t>
        </is>
      </c>
      <c r="J82" s="110" t="inlineStr">
        <is>
          <t>ISIC 17T18</t>
        </is>
      </c>
      <c r="K82" s="110" t="inlineStr">
        <is>
          <t>ISIC 19</t>
        </is>
      </c>
      <c r="L82" s="110" t="inlineStr">
        <is>
          <t>ISIC 20</t>
        </is>
      </c>
      <c r="M82" s="110" t="inlineStr">
        <is>
          <t>ISIC 21</t>
        </is>
      </c>
      <c r="N82" s="110" t="inlineStr">
        <is>
          <t>ISIC 22</t>
        </is>
      </c>
      <c r="O82" s="110" t="inlineStr">
        <is>
          <t>ISIC 231</t>
        </is>
      </c>
      <c r="P82" s="110" t="inlineStr">
        <is>
          <t>ISIC 239</t>
        </is>
      </c>
      <c r="Q82" s="110" t="inlineStr">
        <is>
          <t>ISIC 241</t>
        </is>
      </c>
      <c r="R82" s="110" t="inlineStr">
        <is>
          <t>ISIC 242</t>
        </is>
      </c>
      <c r="S82" s="110" t="inlineStr">
        <is>
          <t>ISIC 25</t>
        </is>
      </c>
      <c r="T82" s="110" t="inlineStr">
        <is>
          <t>ISIC 26</t>
        </is>
      </c>
      <c r="U82" s="110" t="inlineStr">
        <is>
          <t>ISIC 27</t>
        </is>
      </c>
      <c r="V82" s="110" t="inlineStr">
        <is>
          <t>ISIC 28</t>
        </is>
      </c>
      <c r="W82" s="110" t="inlineStr">
        <is>
          <t>ISIC 29</t>
        </is>
      </c>
      <c r="X82" s="110" t="inlineStr">
        <is>
          <t>ISIC 30</t>
        </is>
      </c>
      <c r="Y82" s="110" t="inlineStr">
        <is>
          <t>ISIC 31T33</t>
        </is>
      </c>
      <c r="Z82" s="110" t="inlineStr">
        <is>
          <t>ISIC 351</t>
        </is>
      </c>
      <c r="AA82" s="110" t="inlineStr">
        <is>
          <t>ISIC 352T353</t>
        </is>
      </c>
      <c r="AB82" s="110" t="inlineStr">
        <is>
          <t>ISIC 36T39</t>
        </is>
      </c>
      <c r="AC82" s="110" t="inlineStr">
        <is>
          <t>ISIC 41T43</t>
        </is>
      </c>
      <c r="AD82" s="110" t="inlineStr">
        <is>
          <t>ISIC 45T47</t>
        </is>
      </c>
      <c r="AE82" s="110" t="inlineStr">
        <is>
          <t>ISIC 49T53</t>
        </is>
      </c>
      <c r="AF82" s="110" t="inlineStr">
        <is>
          <t>ISIC 55T56</t>
        </is>
      </c>
      <c r="AG82" s="110" t="inlineStr">
        <is>
          <t>ISIC 58T60</t>
        </is>
      </c>
      <c r="AH82" s="110" t="inlineStr">
        <is>
          <t>ISIC 61</t>
        </is>
      </c>
      <c r="AI82" s="110" t="inlineStr">
        <is>
          <t>ISIC 62T63</t>
        </is>
      </c>
      <c r="AJ82" s="110" t="inlineStr">
        <is>
          <t>ISIC 64T66</t>
        </is>
      </c>
      <c r="AK82" s="110" t="inlineStr">
        <is>
          <t>ISIC 68</t>
        </is>
      </c>
      <c r="AL82" s="110" t="inlineStr">
        <is>
          <t>ISIC 69T82</t>
        </is>
      </c>
      <c r="AM82" s="110" t="inlineStr">
        <is>
          <t>ISIC 84</t>
        </is>
      </c>
      <c r="AN82" s="110" t="inlineStr">
        <is>
          <t>ISIC 85</t>
        </is>
      </c>
      <c r="AO82" s="110" t="inlineStr">
        <is>
          <t>ISIC 86T88</t>
        </is>
      </c>
      <c r="AP82" s="110" t="inlineStr">
        <is>
          <t>ISIC 90T96</t>
        </is>
      </c>
      <c r="AQ82" s="110" t="inlineStr">
        <is>
          <t>ISIC 97T98</t>
        </is>
      </c>
    </row>
    <row r="83">
      <c r="A83" t="inlineStr">
        <is>
          <t>hard coal</t>
        </is>
      </c>
      <c r="B83" s="143" t="n"/>
      <c r="C83" s="143" t="n"/>
      <c r="D83" s="143" t="n"/>
      <c r="E83" s="143" t="n"/>
      <c r="F83" s="143" t="n"/>
      <c r="G83" s="143" t="n"/>
      <c r="H83" s="143" t="n"/>
      <c r="I83" s="143" t="n"/>
      <c r="J83" s="143" t="n"/>
      <c r="K83" s="143" t="n"/>
      <c r="L83" s="143" t="n"/>
      <c r="M83" s="143" t="n"/>
      <c r="N83" s="143" t="n"/>
      <c r="O83" s="143" t="n"/>
      <c r="P83" s="143" t="n"/>
      <c r="Q83" s="143" t="n"/>
      <c r="R83" s="143" t="n"/>
      <c r="S83" s="143" t="n"/>
      <c r="T83" s="143" t="n"/>
      <c r="U83" s="143" t="n"/>
      <c r="V83" s="143" t="n"/>
      <c r="W83" s="143" t="n"/>
      <c r="X83" s="143" t="n"/>
      <c r="Y83" s="143" t="n"/>
      <c r="Z83" s="143">
        <f>B20/SUM(B27,B20)</f>
        <v/>
      </c>
      <c r="AA83" s="143" t="n"/>
      <c r="AB83" s="143" t="n"/>
      <c r="AC83" s="143" t="n"/>
      <c r="AD83" s="143" t="n"/>
      <c r="AE83" s="143" t="n"/>
      <c r="AF83" s="143" t="n"/>
      <c r="AG83" s="143" t="n"/>
      <c r="AH83" s="143" t="n"/>
      <c r="AI83" s="143" t="n"/>
      <c r="AJ83" s="143" t="n"/>
      <c r="AK83" s="143" t="n"/>
      <c r="AL83" s="143" t="n"/>
      <c r="AM83" s="143" t="n"/>
      <c r="AN83" s="143" t="n"/>
      <c r="AO83" s="143" t="n"/>
      <c r="AP83" s="143" t="n"/>
      <c r="AQ83" s="143" t="n"/>
    </row>
    <row r="84">
      <c r="A84" t="inlineStr">
        <is>
          <t>natural gas combined cycle</t>
        </is>
      </c>
      <c r="B84" s="143" t="n"/>
      <c r="C84" s="143" t="n"/>
      <c r="D84" s="143" t="n"/>
      <c r="E84" s="143" t="n"/>
      <c r="F84" s="143" t="n"/>
      <c r="G84" s="143" t="n"/>
      <c r="H84" s="143" t="n"/>
      <c r="I84" s="143" t="n"/>
      <c r="J84" s="143" t="n"/>
      <c r="K84" s="143" t="n"/>
      <c r="L84" s="143" t="n"/>
      <c r="M84" s="143" t="n"/>
      <c r="N84" s="143" t="n"/>
      <c r="O84" s="143" t="n"/>
      <c r="P84" s="143" t="n"/>
      <c r="Q84" s="143" t="n"/>
      <c r="R84" s="143" t="n"/>
      <c r="S84" s="143" t="n"/>
      <c r="T84" s="143" t="n"/>
      <c r="U84" s="143" t="n"/>
      <c r="V84" s="143" t="n"/>
      <c r="W84" s="143" t="n"/>
      <c r="X84" s="143" t="n"/>
      <c r="Y84" s="143" t="n"/>
      <c r="Z84" s="143">
        <f>B21/SUM(B28,B21)</f>
        <v/>
      </c>
      <c r="AA84" s="143" t="n"/>
      <c r="AB84" s="143" t="n"/>
      <c r="AC84" s="143" t="n"/>
      <c r="AD84" s="143" t="n"/>
      <c r="AE84" s="143" t="n"/>
      <c r="AF84" s="143" t="n"/>
      <c r="AG84" s="143" t="n"/>
      <c r="AH84" s="143" t="n"/>
      <c r="AI84" s="143" t="n"/>
      <c r="AJ84" s="143" t="n"/>
      <c r="AK84" s="143" t="n"/>
      <c r="AL84" s="143" t="n"/>
      <c r="AM84" s="143" t="n"/>
      <c r="AN84" s="143" t="n"/>
      <c r="AO84" s="143" t="n"/>
      <c r="AP84" s="143" t="n"/>
      <c r="AQ84" s="143" t="n"/>
    </row>
    <row r="85">
      <c r="A85" t="inlineStr">
        <is>
          <t>biomass</t>
        </is>
      </c>
      <c r="B85" s="143" t="n"/>
      <c r="C85" s="143" t="n"/>
      <c r="D85" s="143" t="n"/>
      <c r="E85" s="143" t="n"/>
      <c r="F85" s="143" t="n"/>
      <c r="G85" s="143" t="n"/>
      <c r="H85" s="143" t="n"/>
      <c r="I85" s="143" t="n"/>
      <c r="J85" s="143" t="n"/>
      <c r="K85" s="143" t="n"/>
      <c r="L85" s="143" t="n"/>
      <c r="M85" s="143" t="n"/>
      <c r="N85" s="143" t="n"/>
      <c r="O85" s="143" t="n"/>
      <c r="P85" s="143" t="n"/>
      <c r="Q85" s="143" t="n"/>
      <c r="R85" s="143" t="n"/>
      <c r="S85" s="143" t="n"/>
      <c r="T85" s="143" t="n"/>
      <c r="U85" s="143" t="n"/>
      <c r="V85" s="143" t="n"/>
      <c r="W85" s="143" t="n"/>
      <c r="X85" s="143" t="n"/>
      <c r="Y85" s="143" t="n"/>
      <c r="Z85" s="143">
        <f>B22/SUM(B29,B22)</f>
        <v/>
      </c>
      <c r="AA85" s="143" t="n"/>
      <c r="AB85" s="143" t="n"/>
      <c r="AC85" s="143" t="n"/>
      <c r="AD85" s="143" t="n"/>
      <c r="AE85" s="143" t="n"/>
      <c r="AF85" s="143" t="n"/>
      <c r="AG85" s="143" t="n"/>
      <c r="AH85" s="143" t="n"/>
      <c r="AI85" s="143" t="n"/>
      <c r="AJ85" s="143" t="n"/>
      <c r="AK85" s="143" t="n"/>
      <c r="AL85" s="143" t="n"/>
      <c r="AM85" s="143" t="n"/>
      <c r="AN85" s="143" t="n"/>
      <c r="AO85" s="143" t="n"/>
      <c r="AP85" s="143" t="n"/>
      <c r="AQ85" s="143" t="n"/>
    </row>
    <row r="86">
      <c r="A86" t="inlineStr">
        <is>
          <t>lignite</t>
        </is>
      </c>
      <c r="B86" s="143" t="n"/>
      <c r="C86" s="143" t="n"/>
      <c r="D86" s="143" t="n"/>
      <c r="E86" s="143" t="n"/>
      <c r="F86" s="143" t="n"/>
      <c r="G86" s="143" t="n"/>
      <c r="H86" s="143" t="n"/>
      <c r="I86" s="143" t="n"/>
      <c r="J86" s="143" t="n"/>
      <c r="K86" s="143" t="n"/>
      <c r="L86" s="143" t="n"/>
      <c r="M86" s="143" t="n"/>
      <c r="N86" s="143" t="n"/>
      <c r="O86" s="143" t="n"/>
      <c r="P86" s="143" t="n"/>
      <c r="Q86" s="143" t="n"/>
      <c r="R86" s="143" t="n"/>
      <c r="S86" s="143" t="n"/>
      <c r="T86" s="143" t="n"/>
      <c r="U86" s="143" t="n"/>
      <c r="V86" s="143" t="n"/>
      <c r="W86" s="143" t="n"/>
      <c r="X86" s="143" t="n"/>
      <c r="Y86" s="143" t="n"/>
      <c r="Z86" s="143">
        <f>B23/SUM(B30,B23)</f>
        <v/>
      </c>
      <c r="AA86" s="143" t="n"/>
      <c r="AB86" s="143" t="n"/>
      <c r="AC86" s="143" t="n"/>
      <c r="AD86" s="143" t="n"/>
      <c r="AE86" s="143" t="n"/>
      <c r="AF86" s="143" t="n"/>
      <c r="AG86" s="143" t="n"/>
      <c r="AH86" s="143" t="n"/>
      <c r="AI86" s="143" t="n"/>
      <c r="AJ86" s="143" t="n"/>
      <c r="AK86" s="143" t="n"/>
      <c r="AL86" s="143" t="n"/>
      <c r="AM86" s="143" t="n"/>
      <c r="AN86" s="143" t="n"/>
      <c r="AO86" s="143" t="n"/>
      <c r="AP86" s="143" t="n"/>
      <c r="AQ86" s="143" t="n"/>
    </row>
    <row r="87"/>
    <row r="88">
      <c r="A88" t="inlineStr">
        <is>
          <t>Variable O&amp;M breakdown for non-CCS Components</t>
        </is>
      </c>
    </row>
    <row r="89">
      <c r="A89" s="126" t="n"/>
      <c r="B89" s="110" t="inlineStr">
        <is>
          <t>ISIC 01T03</t>
        </is>
      </c>
      <c r="C89" s="110" t="inlineStr">
        <is>
          <t>ISIC 05</t>
        </is>
      </c>
      <c r="D89" s="110" t="inlineStr">
        <is>
          <t>ISIC 06</t>
        </is>
      </c>
      <c r="E89" s="110" t="inlineStr">
        <is>
          <t>ISIC 07T08</t>
        </is>
      </c>
      <c r="F89" s="110" t="inlineStr">
        <is>
          <t>ISIC 09</t>
        </is>
      </c>
      <c r="G89" s="110" t="inlineStr">
        <is>
          <t>ISIC 10T12</t>
        </is>
      </c>
      <c r="H89" s="110" t="inlineStr">
        <is>
          <t>ISIC 13T15</t>
        </is>
      </c>
      <c r="I89" s="110" t="inlineStr">
        <is>
          <t>ISIC 16</t>
        </is>
      </c>
      <c r="J89" s="110" t="inlineStr">
        <is>
          <t>ISIC 17T18</t>
        </is>
      </c>
      <c r="K89" s="110" t="inlineStr">
        <is>
          <t>ISIC 19</t>
        </is>
      </c>
      <c r="L89" s="110" t="inlineStr">
        <is>
          <t>ISIC 20</t>
        </is>
      </c>
      <c r="M89" s="110" t="inlineStr">
        <is>
          <t>ISIC 21</t>
        </is>
      </c>
      <c r="N89" s="110" t="inlineStr">
        <is>
          <t>ISIC 22</t>
        </is>
      </c>
      <c r="O89" s="110" t="inlineStr">
        <is>
          <t>ISIC 231</t>
        </is>
      </c>
      <c r="P89" s="110" t="inlineStr">
        <is>
          <t>ISIC 239</t>
        </is>
      </c>
      <c r="Q89" s="110" t="inlineStr">
        <is>
          <t>ISIC 241</t>
        </is>
      </c>
      <c r="R89" s="110" t="inlineStr">
        <is>
          <t>ISIC 242</t>
        </is>
      </c>
      <c r="S89" s="110" t="inlineStr">
        <is>
          <t>ISIC 25</t>
        </is>
      </c>
      <c r="T89" s="110" t="inlineStr">
        <is>
          <t>ISIC 26</t>
        </is>
      </c>
      <c r="U89" s="110" t="inlineStr">
        <is>
          <t>ISIC 27</t>
        </is>
      </c>
      <c r="V89" s="110" t="inlineStr">
        <is>
          <t>ISIC 28</t>
        </is>
      </c>
      <c r="W89" s="110" t="inlineStr">
        <is>
          <t>ISIC 29</t>
        </is>
      </c>
      <c r="X89" s="110" t="inlineStr">
        <is>
          <t>ISIC 30</t>
        </is>
      </c>
      <c r="Y89" s="110" t="inlineStr">
        <is>
          <t>ISIC 31T33</t>
        </is>
      </c>
      <c r="Z89" s="110" t="inlineStr">
        <is>
          <t>ISIC 351</t>
        </is>
      </c>
      <c r="AA89" s="110" t="inlineStr">
        <is>
          <t>ISIC 352T353</t>
        </is>
      </c>
      <c r="AB89" s="110" t="inlineStr">
        <is>
          <t>ISIC 36T39</t>
        </is>
      </c>
      <c r="AC89" s="110" t="inlineStr">
        <is>
          <t>ISIC 41T43</t>
        </is>
      </c>
      <c r="AD89" s="110" t="inlineStr">
        <is>
          <t>ISIC 45T47</t>
        </is>
      </c>
      <c r="AE89" s="110" t="inlineStr">
        <is>
          <t>ISIC 49T53</t>
        </is>
      </c>
      <c r="AF89" s="110" t="inlineStr">
        <is>
          <t>ISIC 55T56</t>
        </is>
      </c>
      <c r="AG89" s="110" t="inlineStr">
        <is>
          <t>ISIC 58T60</t>
        </is>
      </c>
      <c r="AH89" s="110" t="inlineStr">
        <is>
          <t>ISIC 61</t>
        </is>
      </c>
      <c r="AI89" s="110" t="inlineStr">
        <is>
          <t>ISIC 62T63</t>
        </is>
      </c>
      <c r="AJ89" s="110" t="inlineStr">
        <is>
          <t>ISIC 64T66</t>
        </is>
      </c>
      <c r="AK89" s="110" t="inlineStr">
        <is>
          <t>ISIC 68</t>
        </is>
      </c>
      <c r="AL89" s="110" t="inlineStr">
        <is>
          <t>ISIC 69T82</t>
        </is>
      </c>
      <c r="AM89" s="110" t="inlineStr">
        <is>
          <t>ISIC 84</t>
        </is>
      </c>
      <c r="AN89" s="110" t="inlineStr">
        <is>
          <t>ISIC 85</t>
        </is>
      </c>
      <c r="AO89" s="110" t="inlineStr">
        <is>
          <t>ISIC 86T88</t>
        </is>
      </c>
      <c r="AP89" s="110" t="inlineStr">
        <is>
          <t>ISIC 90T96</t>
        </is>
      </c>
      <c r="AQ89" s="110" t="inlineStr">
        <is>
          <t>ISIC 97T98</t>
        </is>
      </c>
    </row>
    <row r="90">
      <c r="A90" t="inlineStr">
        <is>
          <t>hard coal</t>
        </is>
      </c>
      <c r="B90" s="143">
        <f>'SoESCaOMCbIC-variableOM'!B2*($B41/SUM($B41,$B34))</f>
        <v/>
      </c>
      <c r="C90" s="143">
        <f>'SoESCaOMCbIC-variableOM'!C2*($B41/SUM($B41,$B34))</f>
        <v/>
      </c>
      <c r="D90" s="143">
        <f>'SoESCaOMCbIC-variableOM'!D2*($B41/SUM($B41,$B34))</f>
        <v/>
      </c>
      <c r="E90" s="143">
        <f>'SoESCaOMCbIC-variableOM'!E2*($B41/SUM($B41,$B34))</f>
        <v/>
      </c>
      <c r="F90" s="143">
        <f>'SoESCaOMCbIC-variableOM'!F2*($B41/SUM($B41,$B34))</f>
        <v/>
      </c>
      <c r="G90" s="143">
        <f>'SoESCaOMCbIC-variableOM'!G2*($B41/SUM($B41,$B34))</f>
        <v/>
      </c>
      <c r="H90" s="143">
        <f>'SoESCaOMCbIC-variableOM'!H2*($B41/SUM($B41,$B34))</f>
        <v/>
      </c>
      <c r="I90" s="143">
        <f>'SoESCaOMCbIC-variableOM'!I2*($B41/SUM($B41,$B34))</f>
        <v/>
      </c>
      <c r="J90" s="143">
        <f>'SoESCaOMCbIC-variableOM'!J2*($B41/SUM($B41,$B34))</f>
        <v/>
      </c>
      <c r="K90" s="143">
        <f>'SoESCaOMCbIC-variableOM'!K2*($B41/SUM($B41,$B34))</f>
        <v/>
      </c>
      <c r="L90" s="143">
        <f>'SoESCaOMCbIC-variableOM'!L2*($B41/SUM($B41,$B34))</f>
        <v/>
      </c>
      <c r="M90" s="143">
        <f>'SoESCaOMCbIC-variableOM'!M2*($B41/SUM($B41,$B34))</f>
        <v/>
      </c>
      <c r="N90" s="143">
        <f>'SoESCaOMCbIC-variableOM'!N2*($B41/SUM($B41,$B34))</f>
        <v/>
      </c>
      <c r="O90" s="143">
        <f>'SoESCaOMCbIC-variableOM'!O2*($B41/SUM($B41,$B34))</f>
        <v/>
      </c>
      <c r="P90" s="143">
        <f>'SoESCaOMCbIC-variableOM'!P2*($B41/SUM($B41,$B34))</f>
        <v/>
      </c>
      <c r="Q90" s="143">
        <f>'SoESCaOMCbIC-variableOM'!Q2*($B41/SUM($B41,$B34))</f>
        <v/>
      </c>
      <c r="R90" s="143">
        <f>'SoESCaOMCbIC-variableOM'!R2*($B41/SUM($B41,$B34))</f>
        <v/>
      </c>
      <c r="S90" s="143">
        <f>'SoESCaOMCbIC-variableOM'!S2*($B41/SUM($B41,$B34))</f>
        <v/>
      </c>
      <c r="T90" s="143">
        <f>'SoESCaOMCbIC-variableOM'!T2*($B41/SUM($B41,$B34))</f>
        <v/>
      </c>
      <c r="U90" s="143">
        <f>'SoESCaOMCbIC-variableOM'!U2*($B41/SUM($B41,$B34))</f>
        <v/>
      </c>
      <c r="V90" s="143">
        <f>'SoESCaOMCbIC-variableOM'!V2*($B41/SUM($B41,$B34))</f>
        <v/>
      </c>
      <c r="W90" s="143">
        <f>'SoESCaOMCbIC-variableOM'!W2*($B41/SUM($B41,$B34))</f>
        <v/>
      </c>
      <c r="X90" s="143">
        <f>'SoESCaOMCbIC-variableOM'!X2*($B41/SUM($B41,$B34))</f>
        <v/>
      </c>
      <c r="Y90" s="143">
        <f>'SoESCaOMCbIC-variableOM'!Y2*($B41/SUM($B41,$B34))</f>
        <v/>
      </c>
      <c r="Z90" s="143">
        <f>'SoESCaOMCbIC-variableOM'!Z2*($B41/SUM($B41,$B34))</f>
        <v/>
      </c>
      <c r="AA90" s="143">
        <f>'SoESCaOMCbIC-variableOM'!AA2*($B41/SUM($B41,$B34))</f>
        <v/>
      </c>
      <c r="AB90" s="143">
        <f>'SoESCaOMCbIC-variableOM'!AB2*($B41/SUM($B41,$B34))</f>
        <v/>
      </c>
      <c r="AC90" s="143">
        <f>'SoESCaOMCbIC-variableOM'!AC2*($B41/SUM($B41,$B34))</f>
        <v/>
      </c>
      <c r="AD90" s="143">
        <f>'SoESCaOMCbIC-variableOM'!AD2*($B41/SUM($B41,$B34))</f>
        <v/>
      </c>
      <c r="AE90" s="143">
        <f>'SoESCaOMCbIC-variableOM'!AE2*($B41/SUM($B41,$B34))</f>
        <v/>
      </c>
      <c r="AF90" s="143">
        <f>'SoESCaOMCbIC-variableOM'!AF2*($B41/SUM($B41,$B34))</f>
        <v/>
      </c>
      <c r="AG90" s="143">
        <f>'SoESCaOMCbIC-variableOM'!AG2*($B41/SUM($B41,$B34))</f>
        <v/>
      </c>
      <c r="AH90" s="143">
        <f>'SoESCaOMCbIC-variableOM'!AH2*($B41/SUM($B41,$B34))</f>
        <v/>
      </c>
      <c r="AI90" s="143">
        <f>'SoESCaOMCbIC-variableOM'!AI2*($B41/SUM($B41,$B34))</f>
        <v/>
      </c>
      <c r="AJ90" s="143">
        <f>'SoESCaOMCbIC-variableOM'!AJ2*($B41/SUM($B41,$B34))</f>
        <v/>
      </c>
      <c r="AK90" s="143">
        <f>'SoESCaOMCbIC-variableOM'!AK2*($B41/SUM($B41,$B34))</f>
        <v/>
      </c>
      <c r="AL90" s="143">
        <f>'SoESCaOMCbIC-variableOM'!AL2*($B41/SUM($B41,$B34))</f>
        <v/>
      </c>
      <c r="AM90" s="143">
        <f>'SoESCaOMCbIC-variableOM'!AM2*($B41/SUM($B41,$B34))</f>
        <v/>
      </c>
      <c r="AN90" s="143">
        <f>'SoESCaOMCbIC-variableOM'!AN2*($B41/SUM($B41,$B34))</f>
        <v/>
      </c>
      <c r="AO90" s="143">
        <f>'SoESCaOMCbIC-variableOM'!AO2*($B41/SUM($B41,$B34))</f>
        <v/>
      </c>
      <c r="AP90" s="143">
        <f>'SoESCaOMCbIC-variableOM'!AP2*($B41/SUM($B41,$B34))</f>
        <v/>
      </c>
      <c r="AQ90" s="143">
        <f>'SoESCaOMCbIC-variableOM'!AQ2*($B41/SUM($B41,$B34))</f>
        <v/>
      </c>
    </row>
    <row r="91">
      <c r="A91" t="inlineStr">
        <is>
          <t>natural gas combined cycle</t>
        </is>
      </c>
      <c r="B91" s="143">
        <f>'SoESCaOMCbIC-variableOM'!B4*($B42/SUM($B42,$B35))</f>
        <v/>
      </c>
      <c r="C91" s="143">
        <f>'SoESCaOMCbIC-variableOM'!C4*($B42/SUM($B42,$B35))</f>
        <v/>
      </c>
      <c r="D91" s="143">
        <f>'SoESCaOMCbIC-variableOM'!D4*($B42/SUM($B42,$B35))</f>
        <v/>
      </c>
      <c r="E91" s="143">
        <f>'SoESCaOMCbIC-variableOM'!E4*($B42/SUM($B42,$B35))</f>
        <v/>
      </c>
      <c r="F91" s="143">
        <f>'SoESCaOMCbIC-variableOM'!F4*($B42/SUM($B42,$B35))</f>
        <v/>
      </c>
      <c r="G91" s="143">
        <f>'SoESCaOMCbIC-variableOM'!G4*($B42/SUM($B42,$B35))</f>
        <v/>
      </c>
      <c r="H91" s="143">
        <f>'SoESCaOMCbIC-variableOM'!H4*($B42/SUM($B42,$B35))</f>
        <v/>
      </c>
      <c r="I91" s="143">
        <f>'SoESCaOMCbIC-variableOM'!I4*($B42/SUM($B42,$B35))</f>
        <v/>
      </c>
      <c r="J91" s="143">
        <f>'SoESCaOMCbIC-variableOM'!J4*($B42/SUM($B42,$B35))</f>
        <v/>
      </c>
      <c r="K91" s="143">
        <f>'SoESCaOMCbIC-variableOM'!K4*($B42/SUM($B42,$B35))</f>
        <v/>
      </c>
      <c r="L91" s="143">
        <f>'SoESCaOMCbIC-variableOM'!L4*($B42/SUM($B42,$B35))</f>
        <v/>
      </c>
      <c r="M91" s="143">
        <f>'SoESCaOMCbIC-variableOM'!M4*($B42/SUM($B42,$B35))</f>
        <v/>
      </c>
      <c r="N91" s="143">
        <f>'SoESCaOMCbIC-variableOM'!N4*($B42/SUM($B42,$B35))</f>
        <v/>
      </c>
      <c r="O91" s="143">
        <f>'SoESCaOMCbIC-variableOM'!O4*($B42/SUM($B42,$B35))</f>
        <v/>
      </c>
      <c r="P91" s="143">
        <f>'SoESCaOMCbIC-variableOM'!P4*($B42/SUM($B42,$B35))</f>
        <v/>
      </c>
      <c r="Q91" s="143">
        <f>'SoESCaOMCbIC-variableOM'!Q4*($B42/SUM($B42,$B35))</f>
        <v/>
      </c>
      <c r="R91" s="143">
        <f>'SoESCaOMCbIC-variableOM'!R4*($B42/SUM($B42,$B35))</f>
        <v/>
      </c>
      <c r="S91" s="143">
        <f>'SoESCaOMCbIC-variableOM'!S4*($B42/SUM($B42,$B35))</f>
        <v/>
      </c>
      <c r="T91" s="143">
        <f>'SoESCaOMCbIC-variableOM'!T4*($B42/SUM($B42,$B35))</f>
        <v/>
      </c>
      <c r="U91" s="143">
        <f>'SoESCaOMCbIC-variableOM'!U4*($B42/SUM($B42,$B35))</f>
        <v/>
      </c>
      <c r="V91" s="143">
        <f>'SoESCaOMCbIC-variableOM'!V4*($B42/SUM($B42,$B35))</f>
        <v/>
      </c>
      <c r="W91" s="143">
        <f>'SoESCaOMCbIC-variableOM'!W4*($B42/SUM($B42,$B35))</f>
        <v/>
      </c>
      <c r="X91" s="143">
        <f>'SoESCaOMCbIC-variableOM'!X4*($B42/SUM($B42,$B35))</f>
        <v/>
      </c>
      <c r="Y91" s="143">
        <f>'SoESCaOMCbIC-variableOM'!Y4*($B42/SUM($B42,$B35))</f>
        <v/>
      </c>
      <c r="Z91" s="143">
        <f>'SoESCaOMCbIC-variableOM'!Z4*($B42/SUM($B42,$B35))</f>
        <v/>
      </c>
      <c r="AA91" s="143">
        <f>'SoESCaOMCbIC-variableOM'!AA4*($B42/SUM($B42,$B35))</f>
        <v/>
      </c>
      <c r="AB91" s="143">
        <f>'SoESCaOMCbIC-variableOM'!AB4*($B42/SUM($B42,$B35))</f>
        <v/>
      </c>
      <c r="AC91" s="143">
        <f>'SoESCaOMCbIC-variableOM'!AC4*($B42/SUM($B42,$B35))</f>
        <v/>
      </c>
      <c r="AD91" s="143">
        <f>'SoESCaOMCbIC-variableOM'!AD4*($B42/SUM($B42,$B35))</f>
        <v/>
      </c>
      <c r="AE91" s="143">
        <f>'SoESCaOMCbIC-variableOM'!AE4*($B42/SUM($B42,$B35))</f>
        <v/>
      </c>
      <c r="AF91" s="143">
        <f>'SoESCaOMCbIC-variableOM'!AF4*($B42/SUM($B42,$B35))</f>
        <v/>
      </c>
      <c r="AG91" s="143">
        <f>'SoESCaOMCbIC-variableOM'!AG4*($B42/SUM($B42,$B35))</f>
        <v/>
      </c>
      <c r="AH91" s="143">
        <f>'SoESCaOMCbIC-variableOM'!AH4*($B42/SUM($B42,$B35))</f>
        <v/>
      </c>
      <c r="AI91" s="143">
        <f>'SoESCaOMCbIC-variableOM'!AI4*($B42/SUM($B42,$B35))</f>
        <v/>
      </c>
      <c r="AJ91" s="143">
        <f>'SoESCaOMCbIC-variableOM'!AJ4*($B42/SUM($B42,$B35))</f>
        <v/>
      </c>
      <c r="AK91" s="143">
        <f>'SoESCaOMCbIC-variableOM'!AK4*($B42/SUM($B42,$B35))</f>
        <v/>
      </c>
      <c r="AL91" s="143">
        <f>'SoESCaOMCbIC-variableOM'!AL4*($B42/SUM($B42,$B35))</f>
        <v/>
      </c>
      <c r="AM91" s="143">
        <f>'SoESCaOMCbIC-variableOM'!AM4*($B42/SUM($B42,$B35))</f>
        <v/>
      </c>
      <c r="AN91" s="143">
        <f>'SoESCaOMCbIC-variableOM'!AN4*($B42/SUM($B42,$B35))</f>
        <v/>
      </c>
      <c r="AO91" s="143">
        <f>'SoESCaOMCbIC-variableOM'!AO4*($B42/SUM($B42,$B35))</f>
        <v/>
      </c>
      <c r="AP91" s="143">
        <f>'SoESCaOMCbIC-variableOM'!AP4*($B42/SUM($B42,$B35))</f>
        <v/>
      </c>
      <c r="AQ91" s="143">
        <f>'SoESCaOMCbIC-variableOM'!AQ4*($B42/SUM($B42,$B35))</f>
        <v/>
      </c>
    </row>
    <row r="92">
      <c r="A92" t="inlineStr">
        <is>
          <t>biomass</t>
        </is>
      </c>
      <c r="B92" s="143">
        <f>'SoESCaOMCbIC-variableOM'!B10*($B43/SUM($B43,$B36))</f>
        <v/>
      </c>
      <c r="C92" s="143">
        <f>'SoESCaOMCbIC-variableOM'!C10*($B43/SUM($B43,$B36))</f>
        <v/>
      </c>
      <c r="D92" s="143">
        <f>'SoESCaOMCbIC-variableOM'!D10*($B43/SUM($B43,$B36))</f>
        <v/>
      </c>
      <c r="E92" s="143">
        <f>'SoESCaOMCbIC-variableOM'!E10*($B43/SUM($B43,$B36))</f>
        <v/>
      </c>
      <c r="F92" s="143">
        <f>'SoESCaOMCbIC-variableOM'!F10*($B43/SUM($B43,$B36))</f>
        <v/>
      </c>
      <c r="G92" s="143">
        <f>'SoESCaOMCbIC-variableOM'!G10*($B43/SUM($B43,$B36))</f>
        <v/>
      </c>
      <c r="H92" s="143">
        <f>'SoESCaOMCbIC-variableOM'!H10*($B43/SUM($B43,$B36))</f>
        <v/>
      </c>
      <c r="I92" s="143">
        <f>'SoESCaOMCbIC-variableOM'!I10*($B43/SUM($B43,$B36))</f>
        <v/>
      </c>
      <c r="J92" s="143">
        <f>'SoESCaOMCbIC-variableOM'!J10*($B43/SUM($B43,$B36))</f>
        <v/>
      </c>
      <c r="K92" s="143">
        <f>'SoESCaOMCbIC-variableOM'!K10*($B43/SUM($B43,$B36))</f>
        <v/>
      </c>
      <c r="L92" s="143">
        <f>'SoESCaOMCbIC-variableOM'!L10*($B43/SUM($B43,$B36))</f>
        <v/>
      </c>
      <c r="M92" s="143">
        <f>'SoESCaOMCbIC-variableOM'!M10*($B43/SUM($B43,$B36))</f>
        <v/>
      </c>
      <c r="N92" s="143">
        <f>'SoESCaOMCbIC-variableOM'!N10*($B43/SUM($B43,$B36))</f>
        <v/>
      </c>
      <c r="O92" s="143">
        <f>'SoESCaOMCbIC-variableOM'!O10*($B43/SUM($B43,$B36))</f>
        <v/>
      </c>
      <c r="P92" s="143">
        <f>'SoESCaOMCbIC-variableOM'!P10*($B43/SUM($B43,$B36))</f>
        <v/>
      </c>
      <c r="Q92" s="143">
        <f>'SoESCaOMCbIC-variableOM'!Q10*($B43/SUM($B43,$B36))</f>
        <v/>
      </c>
      <c r="R92" s="143">
        <f>'SoESCaOMCbIC-variableOM'!R10*($B43/SUM($B43,$B36))</f>
        <v/>
      </c>
      <c r="S92" s="143">
        <f>'SoESCaOMCbIC-variableOM'!S10*($B43/SUM($B43,$B36))</f>
        <v/>
      </c>
      <c r="T92" s="143">
        <f>'SoESCaOMCbIC-variableOM'!T10*($B43/SUM($B43,$B36))</f>
        <v/>
      </c>
      <c r="U92" s="143">
        <f>'SoESCaOMCbIC-variableOM'!U10*($B43/SUM($B43,$B36))</f>
        <v/>
      </c>
      <c r="V92" s="143">
        <f>'SoESCaOMCbIC-variableOM'!V10*($B43/SUM($B43,$B36))</f>
        <v/>
      </c>
      <c r="W92" s="143">
        <f>'SoESCaOMCbIC-variableOM'!W10*($B43/SUM($B43,$B36))</f>
        <v/>
      </c>
      <c r="X92" s="143">
        <f>'SoESCaOMCbIC-variableOM'!X10*($B43/SUM($B43,$B36))</f>
        <v/>
      </c>
      <c r="Y92" s="143">
        <f>'SoESCaOMCbIC-variableOM'!Y10*($B43/SUM($B43,$B36))</f>
        <v/>
      </c>
      <c r="Z92" s="143">
        <f>'SoESCaOMCbIC-variableOM'!Z10*($B43/SUM($B43,$B36))</f>
        <v/>
      </c>
      <c r="AA92" s="143">
        <f>'SoESCaOMCbIC-variableOM'!AA10*($B43/SUM($B43,$B36))</f>
        <v/>
      </c>
      <c r="AB92" s="143">
        <f>'SoESCaOMCbIC-variableOM'!AB10*($B43/SUM($B43,$B36))</f>
        <v/>
      </c>
      <c r="AC92" s="143">
        <f>'SoESCaOMCbIC-variableOM'!AC10*($B43/SUM($B43,$B36))</f>
        <v/>
      </c>
      <c r="AD92" s="143">
        <f>'SoESCaOMCbIC-variableOM'!AD10*($B43/SUM($B43,$B36))</f>
        <v/>
      </c>
      <c r="AE92" s="143">
        <f>'SoESCaOMCbIC-variableOM'!AE10*($B43/SUM($B43,$B36))</f>
        <v/>
      </c>
      <c r="AF92" s="143">
        <f>'SoESCaOMCbIC-variableOM'!AF10*($B43/SUM($B43,$B36))</f>
        <v/>
      </c>
      <c r="AG92" s="143">
        <f>'SoESCaOMCbIC-variableOM'!AG10*($B43/SUM($B43,$B36))</f>
        <v/>
      </c>
      <c r="AH92" s="143">
        <f>'SoESCaOMCbIC-variableOM'!AH10*($B43/SUM($B43,$B36))</f>
        <v/>
      </c>
      <c r="AI92" s="143">
        <f>'SoESCaOMCbIC-variableOM'!AI10*($B43/SUM($B43,$B36))</f>
        <v/>
      </c>
      <c r="AJ92" s="143">
        <f>'SoESCaOMCbIC-variableOM'!AJ10*($B43/SUM($B43,$B36))</f>
        <v/>
      </c>
      <c r="AK92" s="143">
        <f>'SoESCaOMCbIC-variableOM'!AK10*($B43/SUM($B43,$B36))</f>
        <v/>
      </c>
      <c r="AL92" s="143">
        <f>'SoESCaOMCbIC-variableOM'!AL10*($B43/SUM($B43,$B36))</f>
        <v/>
      </c>
      <c r="AM92" s="143">
        <f>'SoESCaOMCbIC-variableOM'!AM10*($B43/SUM($B43,$B36))</f>
        <v/>
      </c>
      <c r="AN92" s="143">
        <f>'SoESCaOMCbIC-variableOM'!AN10*($B43/SUM($B43,$B36))</f>
        <v/>
      </c>
      <c r="AO92" s="143">
        <f>'SoESCaOMCbIC-variableOM'!AO10*($B43/SUM($B43,$B36))</f>
        <v/>
      </c>
      <c r="AP92" s="143">
        <f>'SoESCaOMCbIC-variableOM'!AP10*($B43/SUM($B43,$B36))</f>
        <v/>
      </c>
      <c r="AQ92" s="143">
        <f>'SoESCaOMCbIC-variableOM'!AQ10*($B43/SUM($B43,$B36))</f>
        <v/>
      </c>
    </row>
    <row r="93">
      <c r="A93" t="inlineStr">
        <is>
          <t>lignite</t>
        </is>
      </c>
      <c r="B93" s="143">
        <f>'SoESCaOMCbIC-variableOM'!B14*($B44/SUM($B44,$B37))</f>
        <v/>
      </c>
      <c r="C93" s="143">
        <f>'SoESCaOMCbIC-variableOM'!C14*($B44/SUM($B44,$B37))</f>
        <v/>
      </c>
      <c r="D93" s="143">
        <f>'SoESCaOMCbIC-variableOM'!D14*($B44/SUM($B44,$B37))</f>
        <v/>
      </c>
      <c r="E93" s="143">
        <f>'SoESCaOMCbIC-variableOM'!E14*($B44/SUM($B44,$B37))</f>
        <v/>
      </c>
      <c r="F93" s="143">
        <f>'SoESCaOMCbIC-variableOM'!F14*($B44/SUM($B44,$B37))</f>
        <v/>
      </c>
      <c r="G93" s="143">
        <f>'SoESCaOMCbIC-variableOM'!G14*($B44/SUM($B44,$B37))</f>
        <v/>
      </c>
      <c r="H93" s="143">
        <f>'SoESCaOMCbIC-variableOM'!H14*($B44/SUM($B44,$B37))</f>
        <v/>
      </c>
      <c r="I93" s="143">
        <f>'SoESCaOMCbIC-variableOM'!I14*($B44/SUM($B44,$B37))</f>
        <v/>
      </c>
      <c r="J93" s="143">
        <f>'SoESCaOMCbIC-variableOM'!J14*($B44/SUM($B44,$B37))</f>
        <v/>
      </c>
      <c r="K93" s="143">
        <f>'SoESCaOMCbIC-variableOM'!K14*($B44/SUM($B44,$B37))</f>
        <v/>
      </c>
      <c r="L93" s="143">
        <f>'SoESCaOMCbIC-variableOM'!L14*($B44/SUM($B44,$B37))</f>
        <v/>
      </c>
      <c r="M93" s="143">
        <f>'SoESCaOMCbIC-variableOM'!M14*($B44/SUM($B44,$B37))</f>
        <v/>
      </c>
      <c r="N93" s="143">
        <f>'SoESCaOMCbIC-variableOM'!N14*($B44/SUM($B44,$B37))</f>
        <v/>
      </c>
      <c r="O93" s="143">
        <f>'SoESCaOMCbIC-variableOM'!O14*($B44/SUM($B44,$B37))</f>
        <v/>
      </c>
      <c r="P93" s="143">
        <f>'SoESCaOMCbIC-variableOM'!P14*($B44/SUM($B44,$B37))</f>
        <v/>
      </c>
      <c r="Q93" s="143">
        <f>'SoESCaOMCbIC-variableOM'!Q14*($B44/SUM($B44,$B37))</f>
        <v/>
      </c>
      <c r="R93" s="143">
        <f>'SoESCaOMCbIC-variableOM'!R14*($B44/SUM($B44,$B37))</f>
        <v/>
      </c>
      <c r="S93" s="143">
        <f>'SoESCaOMCbIC-variableOM'!S14*($B44/SUM($B44,$B37))</f>
        <v/>
      </c>
      <c r="T93" s="143">
        <f>'SoESCaOMCbIC-variableOM'!T14*($B44/SUM($B44,$B37))</f>
        <v/>
      </c>
      <c r="U93" s="143">
        <f>'SoESCaOMCbIC-variableOM'!U14*($B44/SUM($B44,$B37))</f>
        <v/>
      </c>
      <c r="V93" s="143">
        <f>'SoESCaOMCbIC-variableOM'!V14*($B44/SUM($B44,$B37))</f>
        <v/>
      </c>
      <c r="W93" s="143">
        <f>'SoESCaOMCbIC-variableOM'!W14*($B44/SUM($B44,$B37))</f>
        <v/>
      </c>
      <c r="X93" s="143">
        <f>'SoESCaOMCbIC-variableOM'!X14*($B44/SUM($B44,$B37))</f>
        <v/>
      </c>
      <c r="Y93" s="143">
        <f>'SoESCaOMCbIC-variableOM'!Y14*($B44/SUM($B44,$B37))</f>
        <v/>
      </c>
      <c r="Z93" s="143">
        <f>'SoESCaOMCbIC-variableOM'!Z14*($B44/SUM($B44,$B37))</f>
        <v/>
      </c>
      <c r="AA93" s="143">
        <f>'SoESCaOMCbIC-variableOM'!AA14*($B44/SUM($B44,$B37))</f>
        <v/>
      </c>
      <c r="AB93" s="143">
        <f>'SoESCaOMCbIC-variableOM'!AB14*($B44/SUM($B44,$B37))</f>
        <v/>
      </c>
      <c r="AC93" s="143">
        <f>'SoESCaOMCbIC-variableOM'!AC14*($B44/SUM($B44,$B37))</f>
        <v/>
      </c>
      <c r="AD93" s="143">
        <f>'SoESCaOMCbIC-variableOM'!AD14*($B44/SUM($B44,$B37))</f>
        <v/>
      </c>
      <c r="AE93" s="143">
        <f>'SoESCaOMCbIC-variableOM'!AE14*($B44/SUM($B44,$B37))</f>
        <v/>
      </c>
      <c r="AF93" s="143">
        <f>'SoESCaOMCbIC-variableOM'!AF14*($B44/SUM($B44,$B37))</f>
        <v/>
      </c>
      <c r="AG93" s="143">
        <f>'SoESCaOMCbIC-variableOM'!AG14*($B44/SUM($B44,$B37))</f>
        <v/>
      </c>
      <c r="AH93" s="143">
        <f>'SoESCaOMCbIC-variableOM'!AH14*($B44/SUM($B44,$B37))</f>
        <v/>
      </c>
      <c r="AI93" s="143">
        <f>'SoESCaOMCbIC-variableOM'!AI14*($B44/SUM($B44,$B37))</f>
        <v/>
      </c>
      <c r="AJ93" s="143">
        <f>'SoESCaOMCbIC-variableOM'!AJ14*($B44/SUM($B44,$B37))</f>
        <v/>
      </c>
      <c r="AK93" s="143">
        <f>'SoESCaOMCbIC-variableOM'!AK14*($B44/SUM($B44,$B37))</f>
        <v/>
      </c>
      <c r="AL93" s="143">
        <f>'SoESCaOMCbIC-variableOM'!AL14*($B44/SUM($B44,$B37))</f>
        <v/>
      </c>
      <c r="AM93" s="143">
        <f>'SoESCaOMCbIC-variableOM'!AM14*($B44/SUM($B44,$B37))</f>
        <v/>
      </c>
      <c r="AN93" s="143">
        <f>'SoESCaOMCbIC-variableOM'!AN14*($B44/SUM($B44,$B37))</f>
        <v/>
      </c>
      <c r="AO93" s="143">
        <f>'SoESCaOMCbIC-variableOM'!AO14*($B44/SUM($B44,$B37))</f>
        <v/>
      </c>
      <c r="AP93" s="143">
        <f>'SoESCaOMCbIC-variableOM'!AP14*($B44/SUM($B44,$B37))</f>
        <v/>
      </c>
      <c r="AQ93" s="143">
        <f>'SoESCaOMCbIC-variableOM'!AQ14*($B44/SUM($B44,$B37))</f>
        <v/>
      </c>
    </row>
    <row r="94">
      <c r="B94" s="144" t="n"/>
    </row>
    <row r="95">
      <c r="A95" t="inlineStr">
        <is>
          <t>Variable O&amp;M breakdown for CCS Components</t>
        </is>
      </c>
    </row>
    <row r="96">
      <c r="A96" t="inlineStr">
        <is>
          <t>*assumes same portion of cost for construction as non-CCS components</t>
        </is>
      </c>
    </row>
    <row r="97">
      <c r="A97" s="126" t="n"/>
      <c r="B97" s="110" t="inlineStr">
        <is>
          <t>ISIC 01T03</t>
        </is>
      </c>
      <c r="C97" s="110" t="inlineStr">
        <is>
          <t>ISIC 05</t>
        </is>
      </c>
      <c r="D97" s="110" t="inlineStr">
        <is>
          <t>ISIC 06</t>
        </is>
      </c>
      <c r="E97" s="110" t="inlineStr">
        <is>
          <t>ISIC 07T08</t>
        </is>
      </c>
      <c r="F97" s="110" t="inlineStr">
        <is>
          <t>ISIC 09</t>
        </is>
      </c>
      <c r="G97" s="110" t="inlineStr">
        <is>
          <t>ISIC 10T12</t>
        </is>
      </c>
      <c r="H97" s="110" t="inlineStr">
        <is>
          <t>ISIC 13T15</t>
        </is>
      </c>
      <c r="I97" s="110" t="inlineStr">
        <is>
          <t>ISIC 16</t>
        </is>
      </c>
      <c r="J97" s="110" t="inlineStr">
        <is>
          <t>ISIC 17T18</t>
        </is>
      </c>
      <c r="K97" s="110" t="inlineStr">
        <is>
          <t>ISIC 19</t>
        </is>
      </c>
      <c r="L97" s="110" t="inlineStr">
        <is>
          <t>ISIC 20</t>
        </is>
      </c>
      <c r="M97" s="110" t="inlineStr">
        <is>
          <t>ISIC 21</t>
        </is>
      </c>
      <c r="N97" s="110" t="inlineStr">
        <is>
          <t>ISIC 22</t>
        </is>
      </c>
      <c r="O97" s="110" t="inlineStr">
        <is>
          <t>ISIC 231</t>
        </is>
      </c>
      <c r="P97" s="110" t="inlineStr">
        <is>
          <t>ISIC 239</t>
        </is>
      </c>
      <c r="Q97" s="110" t="inlineStr">
        <is>
          <t>ISIC 241</t>
        </is>
      </c>
      <c r="R97" s="110" t="inlineStr">
        <is>
          <t>ISIC 242</t>
        </is>
      </c>
      <c r="S97" s="110" t="inlineStr">
        <is>
          <t>ISIC 25</t>
        </is>
      </c>
      <c r="T97" s="110" t="inlineStr">
        <is>
          <t>ISIC 26</t>
        </is>
      </c>
      <c r="U97" s="110" t="inlineStr">
        <is>
          <t>ISIC 27</t>
        </is>
      </c>
      <c r="V97" s="110" t="inlineStr">
        <is>
          <t>ISIC 28</t>
        </is>
      </c>
      <c r="W97" s="110" t="inlineStr">
        <is>
          <t>ISIC 29</t>
        </is>
      </c>
      <c r="X97" s="110" t="inlineStr">
        <is>
          <t>ISIC 30</t>
        </is>
      </c>
      <c r="Y97" s="110" t="inlineStr">
        <is>
          <t>ISIC 31T33</t>
        </is>
      </c>
      <c r="Z97" s="110" t="inlineStr">
        <is>
          <t>ISIC 351</t>
        </is>
      </c>
      <c r="AA97" s="110" t="inlineStr">
        <is>
          <t>ISIC 352T353</t>
        </is>
      </c>
      <c r="AB97" s="110" t="inlineStr">
        <is>
          <t>ISIC 36T39</t>
        </is>
      </c>
      <c r="AC97" s="110" t="inlineStr">
        <is>
          <t>ISIC 41T43</t>
        </is>
      </c>
      <c r="AD97" s="110" t="inlineStr">
        <is>
          <t>ISIC 45T47</t>
        </is>
      </c>
      <c r="AE97" s="110" t="inlineStr">
        <is>
          <t>ISIC 49T53</t>
        </is>
      </c>
      <c r="AF97" s="110" t="inlineStr">
        <is>
          <t>ISIC 55T56</t>
        </is>
      </c>
      <c r="AG97" s="110" t="inlineStr">
        <is>
          <t>ISIC 58T60</t>
        </is>
      </c>
      <c r="AH97" s="110" t="inlineStr">
        <is>
          <t>ISIC 61</t>
        </is>
      </c>
      <c r="AI97" s="110" t="inlineStr">
        <is>
          <t>ISIC 62T63</t>
        </is>
      </c>
      <c r="AJ97" s="110" t="inlineStr">
        <is>
          <t>ISIC 64T66</t>
        </is>
      </c>
      <c r="AK97" s="110" t="inlineStr">
        <is>
          <t>ISIC 68</t>
        </is>
      </c>
      <c r="AL97" s="110" t="inlineStr">
        <is>
          <t>ISIC 69T82</t>
        </is>
      </c>
      <c r="AM97" s="110" t="inlineStr">
        <is>
          <t>ISIC 84</t>
        </is>
      </c>
      <c r="AN97" s="110" t="inlineStr">
        <is>
          <t>ISIC 85</t>
        </is>
      </c>
      <c r="AO97" s="110" t="inlineStr">
        <is>
          <t>ISIC 86T88</t>
        </is>
      </c>
      <c r="AP97" s="110" t="inlineStr">
        <is>
          <t>ISIC 90T96</t>
        </is>
      </c>
      <c r="AQ97" s="110" t="inlineStr">
        <is>
          <t>ISIC 97T98</t>
        </is>
      </c>
    </row>
    <row r="98">
      <c r="A98" t="inlineStr">
        <is>
          <t>hard coal</t>
        </is>
      </c>
      <c r="B98" s="143" t="n"/>
      <c r="C98" s="143" t="n"/>
      <c r="D98" s="143" t="n"/>
      <c r="E98" s="143" t="n"/>
      <c r="F98" s="143" t="n"/>
      <c r="G98" s="143" t="n"/>
      <c r="H98" s="143" t="n"/>
      <c r="I98" s="143" t="n"/>
      <c r="J98" s="143" t="n"/>
      <c r="K98" s="143" t="n"/>
      <c r="L98" s="143">
        <f>B34/SUM(B34,B41)</f>
        <v/>
      </c>
      <c r="M98" s="143" t="n"/>
      <c r="N98" s="143" t="n"/>
      <c r="O98" s="143" t="n"/>
      <c r="P98" s="143" t="n"/>
      <c r="Q98" s="143" t="n"/>
      <c r="R98" s="143" t="n"/>
      <c r="S98" s="143" t="n"/>
      <c r="T98" s="143" t="n"/>
      <c r="U98" s="143" t="n"/>
      <c r="V98" s="143" t="n"/>
      <c r="W98" s="143" t="n"/>
      <c r="X98" s="143" t="n"/>
      <c r="Y98" s="143" t="n"/>
      <c r="Z98" s="143" t="n"/>
      <c r="AA98" s="143" t="n"/>
      <c r="AB98" s="143" t="n"/>
      <c r="AC98" s="143" t="n"/>
      <c r="AD98" s="143" t="n"/>
      <c r="AE98" s="143" t="n"/>
      <c r="AF98" s="143" t="n"/>
      <c r="AG98" s="143" t="n"/>
      <c r="AH98" s="143" t="n"/>
      <c r="AI98" s="143" t="n"/>
      <c r="AJ98" s="143" t="n"/>
      <c r="AK98" s="143" t="n"/>
      <c r="AL98" s="143" t="n"/>
      <c r="AM98" s="143" t="n"/>
      <c r="AN98" s="143" t="n"/>
      <c r="AO98" s="143" t="n"/>
      <c r="AP98" s="143" t="n"/>
      <c r="AQ98" s="143" t="n"/>
    </row>
    <row r="99">
      <c r="A99" t="inlineStr">
        <is>
          <t>natural gas combined cycle</t>
        </is>
      </c>
      <c r="B99" s="143" t="n"/>
      <c r="C99" s="143" t="n"/>
      <c r="D99" s="143" t="n"/>
      <c r="E99" s="143" t="n"/>
      <c r="F99" s="143" t="n"/>
      <c r="G99" s="143" t="n"/>
      <c r="H99" s="143" t="n"/>
      <c r="I99" s="143" t="n"/>
      <c r="J99" s="143" t="n"/>
      <c r="K99" s="143" t="n"/>
      <c r="L99" s="143">
        <f>B35/SUM(B35,B42)</f>
        <v/>
      </c>
      <c r="M99" s="143" t="n"/>
      <c r="N99" s="143" t="n"/>
      <c r="O99" s="143" t="n"/>
      <c r="P99" s="143" t="n"/>
      <c r="Q99" s="143" t="n"/>
      <c r="R99" s="143" t="n"/>
      <c r="S99" s="143" t="n"/>
      <c r="T99" s="143" t="n"/>
      <c r="U99" s="143" t="n"/>
      <c r="V99" s="143" t="n"/>
      <c r="W99" s="143" t="n"/>
      <c r="X99" s="143" t="n"/>
      <c r="Y99" s="143" t="n"/>
      <c r="Z99" s="143" t="n"/>
      <c r="AA99" s="143" t="n"/>
      <c r="AB99" s="143" t="n"/>
      <c r="AC99" s="143" t="n"/>
      <c r="AD99" s="143" t="n"/>
      <c r="AE99" s="143" t="n"/>
      <c r="AF99" s="143" t="n"/>
      <c r="AG99" s="143" t="n"/>
      <c r="AH99" s="143" t="n"/>
      <c r="AI99" s="143" t="n"/>
      <c r="AJ99" s="143" t="n"/>
      <c r="AK99" s="143" t="n"/>
      <c r="AL99" s="143" t="n"/>
      <c r="AM99" s="143" t="n"/>
      <c r="AN99" s="143" t="n"/>
      <c r="AO99" s="143" t="n"/>
      <c r="AP99" s="143" t="n"/>
      <c r="AQ99" s="143" t="n"/>
    </row>
    <row r="100">
      <c r="A100" t="inlineStr">
        <is>
          <t>biomass</t>
        </is>
      </c>
      <c r="B100" s="143" t="n"/>
      <c r="C100" s="143" t="n"/>
      <c r="D100" s="143" t="n"/>
      <c r="E100" s="143" t="n"/>
      <c r="F100" s="143" t="n"/>
      <c r="G100" s="143" t="n"/>
      <c r="H100" s="143" t="n"/>
      <c r="I100" s="143" t="n"/>
      <c r="J100" s="143" t="n"/>
      <c r="K100" s="143" t="n"/>
      <c r="L100" s="143">
        <f>B36/SUM(B36,B43)</f>
        <v/>
      </c>
      <c r="M100" s="143" t="n"/>
      <c r="N100" s="143" t="n"/>
      <c r="O100" s="143" t="n"/>
      <c r="P100" s="143" t="n"/>
      <c r="Q100" s="143" t="n"/>
      <c r="R100" s="143" t="n"/>
      <c r="S100" s="143" t="n"/>
      <c r="T100" s="143" t="n"/>
      <c r="U100" s="143" t="n"/>
      <c r="V100" s="143" t="n"/>
      <c r="W100" s="143" t="n"/>
      <c r="X100" s="143" t="n"/>
      <c r="Y100" s="143" t="n"/>
      <c r="Z100" s="143" t="n"/>
      <c r="AA100" s="143" t="n"/>
      <c r="AB100" s="143" t="n"/>
      <c r="AC100" s="143" t="n"/>
      <c r="AD100" s="143" t="n"/>
      <c r="AE100" s="143" t="n"/>
      <c r="AF100" s="143" t="n"/>
      <c r="AG100" s="143" t="n"/>
      <c r="AH100" s="143" t="n"/>
      <c r="AI100" s="143" t="n"/>
      <c r="AJ100" s="143" t="n"/>
      <c r="AK100" s="143" t="n"/>
      <c r="AL100" s="143" t="n"/>
      <c r="AM100" s="143" t="n"/>
      <c r="AN100" s="143" t="n"/>
      <c r="AO100" s="143" t="n"/>
      <c r="AP100" s="143" t="n"/>
      <c r="AQ100" s="143" t="n"/>
    </row>
    <row r="101">
      <c r="A101" t="inlineStr">
        <is>
          <t>lignite</t>
        </is>
      </c>
      <c r="B101" s="143" t="n"/>
      <c r="C101" s="143" t="n"/>
      <c r="D101" s="143" t="n"/>
      <c r="E101" s="143" t="n"/>
      <c r="F101" s="143" t="n"/>
      <c r="G101" s="143" t="n"/>
      <c r="H101" s="143" t="n"/>
      <c r="I101" s="143" t="n"/>
      <c r="J101" s="143" t="n"/>
      <c r="K101" s="143" t="n"/>
      <c r="L101" s="143">
        <f>B37/SUM(B37,B44)</f>
        <v/>
      </c>
      <c r="M101" s="143" t="n"/>
      <c r="N101" s="143" t="n"/>
      <c r="O101" s="143" t="n"/>
      <c r="P101" s="143" t="n"/>
      <c r="Q101" s="143" t="n"/>
      <c r="R101" s="143" t="n"/>
      <c r="S101" s="143" t="n"/>
      <c r="T101" s="143" t="n"/>
      <c r="U101" s="143" t="n"/>
      <c r="V101" s="143" t="n"/>
      <c r="W101" s="143" t="n"/>
      <c r="X101" s="143" t="n"/>
      <c r="Y101" s="143" t="n"/>
      <c r="Z101" s="143" t="n"/>
      <c r="AA101" s="143" t="n"/>
      <c r="AB101" s="143" t="n"/>
      <c r="AC101" s="143" t="n"/>
      <c r="AD101" s="143" t="n"/>
      <c r="AE101" s="143" t="n"/>
      <c r="AF101" s="143" t="n"/>
      <c r="AG101" s="143" t="n"/>
      <c r="AH101" s="143" t="n"/>
      <c r="AI101" s="143" t="n"/>
      <c r="AJ101" s="143" t="n"/>
      <c r="AK101" s="143" t="n"/>
      <c r="AL101" s="143" t="n"/>
      <c r="AM101" s="143" t="n"/>
      <c r="AN101" s="143" t="n"/>
      <c r="AO101" s="143" t="n"/>
      <c r="AP101" s="143" t="n"/>
      <c r="AQ101" s="143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35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39" t="inlineStr">
        <is>
          <t>Validation checks</t>
        </is>
      </c>
    </row>
    <row r="3">
      <c r="A3" s="139" t="inlineStr">
        <is>
          <t>Child-factor groups sum to 1 (per file/context/parent; rate-file reroutes excluded)</t>
        </is>
      </c>
    </row>
    <row r="4">
      <c r="A4" t="inlineStr">
        <is>
          <t>SoESCaOMCbIC-capital.csv | biomass | ISIC 01T03</t>
        </is>
      </c>
      <c r="B4">
        <f>('Factors applied'!$E$3+'Factors applied'!$E$4+'Factors applied'!$E$5)</f>
        <v/>
      </c>
      <c r="C4" s="139">
        <f>IF(ABS(B4-1)&lt;0.000000001,"PASS","FAIL")</f>
        <v/>
      </c>
    </row>
    <row r="5">
      <c r="A5" t="inlineStr">
        <is>
          <t>SoESCaOMCbIC-capital.csv | biomass | ISIC 07T08</t>
        </is>
      </c>
      <c r="B5">
        <f>('Factors applied'!$E$6+'Factors applied'!$E$7)</f>
        <v/>
      </c>
      <c r="C5" s="139">
        <f>IF(ABS(B5-1)&lt;0.000000001,"PASS","FAIL")</f>
        <v/>
      </c>
    </row>
    <row r="6">
      <c r="A6" t="inlineStr">
        <is>
          <t>SoESCaOMCbIC-capital.csv | biomass | ISIC 30</t>
        </is>
      </c>
      <c r="B6">
        <f>('Factors applied'!$E$8+'Factors applied'!$E$9)</f>
        <v/>
      </c>
      <c r="C6" s="139">
        <f>IF(ABS(B6-1)&lt;0.000000001,"PASS","FAIL")</f>
        <v/>
      </c>
    </row>
    <row r="7">
      <c r="A7" t="inlineStr">
        <is>
          <t>SoESCaOMCbIC-capital.csv | biomass | ISIC 49T53</t>
        </is>
      </c>
      <c r="B7">
        <f>('Factors applied'!$E$10+'Factors applied'!$E$11+'Factors applied'!$E$12+'Factors applied'!$E$13+'Factors applied'!$E$14)</f>
        <v/>
      </c>
      <c r="C7" s="139">
        <f>IF(ABS(B7-1)&lt;0.000000001,"PASS","FAIL")</f>
        <v/>
      </c>
    </row>
    <row r="8">
      <c r="A8" t="inlineStr">
        <is>
          <t>SoESCaOMCbIC-capital.csv | biomass | ISIC 69T82</t>
        </is>
      </c>
      <c r="B8">
        <f>('Factors applied'!$E$15+'Factors applied'!$E$16)</f>
        <v/>
      </c>
      <c r="C8" s="139">
        <f>IF(ABS(B8-1)&lt;0.000000001,"PASS","FAIL")</f>
        <v/>
      </c>
    </row>
    <row r="9">
      <c r="A9" t="inlineStr">
        <is>
          <t>SoESCaOMCbIC-capital.csv | biomass | ISIC 90T96</t>
        </is>
      </c>
      <c r="B9">
        <f>('Factors applied'!$E$17+'Factors applied'!$E$18)</f>
        <v/>
      </c>
      <c r="C9" s="139">
        <f>IF(ABS(B9-1)&lt;0.000000001,"PASS","FAIL")</f>
        <v/>
      </c>
    </row>
    <row r="10">
      <c r="A10" t="inlineStr">
        <is>
          <t>SoESCaOMCbIC-capital.csv | biomass w CCS | ISIC 01T03</t>
        </is>
      </c>
      <c r="B10">
        <f>('Factors applied'!$E$19+'Factors applied'!$E$20+'Factors applied'!$E$21)</f>
        <v/>
      </c>
      <c r="C10" s="139">
        <f>IF(ABS(B10-1)&lt;0.000000001,"PASS","FAIL")</f>
        <v/>
      </c>
    </row>
    <row r="11">
      <c r="A11" t="inlineStr">
        <is>
          <t>SoESCaOMCbIC-capital.csv | biomass w CCS | ISIC 07T08</t>
        </is>
      </c>
      <c r="B11">
        <f>('Factors applied'!$E$22+'Factors applied'!$E$23)</f>
        <v/>
      </c>
      <c r="C11" s="139">
        <f>IF(ABS(B11-1)&lt;0.000000001,"PASS","FAIL")</f>
        <v/>
      </c>
    </row>
    <row r="12">
      <c r="A12" t="inlineStr">
        <is>
          <t>SoESCaOMCbIC-capital.csv | biomass w CCS | ISIC 30</t>
        </is>
      </c>
      <c r="B12">
        <f>('Factors applied'!$E$24+'Factors applied'!$E$25)</f>
        <v/>
      </c>
      <c r="C12" s="139">
        <f>IF(ABS(B12-1)&lt;0.000000001,"PASS","FAIL")</f>
        <v/>
      </c>
    </row>
    <row r="13">
      <c r="A13" t="inlineStr">
        <is>
          <t>SoESCaOMCbIC-capital.csv | biomass w CCS | ISIC 49T53</t>
        </is>
      </c>
      <c r="B13">
        <f>('Factors applied'!$E$26+'Factors applied'!$E$27+'Factors applied'!$E$28+'Factors applied'!$E$29+'Factors applied'!$E$30)</f>
        <v/>
      </c>
      <c r="C13" s="139">
        <f>IF(ABS(B13-1)&lt;0.000000001,"PASS","FAIL")</f>
        <v/>
      </c>
    </row>
    <row r="14">
      <c r="A14" t="inlineStr">
        <is>
          <t>SoESCaOMCbIC-capital.csv | biomass w CCS | ISIC 69T82</t>
        </is>
      </c>
      <c r="B14">
        <f>('Factors applied'!$E$31+'Factors applied'!$E$32)</f>
        <v/>
      </c>
      <c r="C14" s="139">
        <f>IF(ABS(B14-1)&lt;0.000000001,"PASS","FAIL")</f>
        <v/>
      </c>
    </row>
    <row r="15">
      <c r="A15" t="inlineStr">
        <is>
          <t>SoESCaOMCbIC-capital.csv | biomass w CCS | ISIC 90T96</t>
        </is>
      </c>
      <c r="B15">
        <f>('Factors applied'!$E$33+'Factors applied'!$E$34)</f>
        <v/>
      </c>
      <c r="C15" s="139">
        <f>IF(ABS(B15-1)&lt;0.000000001,"PASS","FAIL")</f>
        <v/>
      </c>
    </row>
    <row r="16">
      <c r="A16" t="inlineStr">
        <is>
          <t>SoESCaOMCbIC-capital.csv | crude oil | ISIC 01T03</t>
        </is>
      </c>
      <c r="B16">
        <f>('Factors applied'!$E$35+'Factors applied'!$E$36+'Factors applied'!$E$37)</f>
        <v/>
      </c>
      <c r="C16" s="139">
        <f>IF(ABS(B16-1)&lt;0.000000001,"PASS","FAIL")</f>
        <v/>
      </c>
    </row>
    <row r="17">
      <c r="A17" t="inlineStr">
        <is>
          <t>SoESCaOMCbIC-capital.csv | crude oil | ISIC 07T08</t>
        </is>
      </c>
      <c r="B17">
        <f>('Factors applied'!$E$38+'Factors applied'!$E$39)</f>
        <v/>
      </c>
      <c r="C17" s="139">
        <f>IF(ABS(B17-1)&lt;0.000000001,"PASS","FAIL")</f>
        <v/>
      </c>
    </row>
    <row r="18">
      <c r="A18" t="inlineStr">
        <is>
          <t>SoESCaOMCbIC-capital.csv | crude oil | ISIC 30</t>
        </is>
      </c>
      <c r="B18">
        <f>('Factors applied'!$E$40+'Factors applied'!$E$41)</f>
        <v/>
      </c>
      <c r="C18" s="139">
        <f>IF(ABS(B18-1)&lt;0.000000001,"PASS","FAIL")</f>
        <v/>
      </c>
    </row>
    <row r="19">
      <c r="A19" t="inlineStr">
        <is>
          <t>SoESCaOMCbIC-capital.csv | crude oil | ISIC 49T53</t>
        </is>
      </c>
      <c r="B19">
        <f>('Factors applied'!$E$42+'Factors applied'!$E$43+'Factors applied'!$E$44+'Factors applied'!$E$45+'Factors applied'!$E$46)</f>
        <v/>
      </c>
      <c r="C19" s="139">
        <f>IF(ABS(B19-1)&lt;0.000000001,"PASS","FAIL")</f>
        <v/>
      </c>
    </row>
    <row r="20">
      <c r="A20" t="inlineStr">
        <is>
          <t>SoESCaOMCbIC-capital.csv | crude oil | ISIC 69T82</t>
        </is>
      </c>
      <c r="B20">
        <f>('Factors applied'!$E$47+'Factors applied'!$E$48)</f>
        <v/>
      </c>
      <c r="C20" s="139">
        <f>IF(ABS(B20-1)&lt;0.000000001,"PASS","FAIL")</f>
        <v/>
      </c>
    </row>
    <row r="21">
      <c r="A21" t="inlineStr">
        <is>
          <t>SoESCaOMCbIC-capital.csv | crude oil | ISIC 90T96</t>
        </is>
      </c>
      <c r="B21">
        <f>('Factors applied'!$E$49+'Factors applied'!$E$50)</f>
        <v/>
      </c>
      <c r="C21" s="139">
        <f>IF(ABS(B21-1)&lt;0.000000001,"PASS","FAIL")</f>
        <v/>
      </c>
    </row>
    <row r="22">
      <c r="A22" t="inlineStr">
        <is>
          <t>SoESCaOMCbIC-capital.csv | geothermal | ISIC 01T03</t>
        </is>
      </c>
      <c r="B22">
        <f>('Factors applied'!$E$51+'Factors applied'!$E$52+'Factors applied'!$E$53)</f>
        <v/>
      </c>
      <c r="C22" s="139">
        <f>IF(ABS(B22-1)&lt;0.000000001,"PASS","FAIL")</f>
        <v/>
      </c>
    </row>
    <row r="23">
      <c r="A23" t="inlineStr">
        <is>
          <t>SoESCaOMCbIC-capital.csv | geothermal | ISIC 07T08</t>
        </is>
      </c>
      <c r="B23">
        <f>('Factors applied'!$E$54+'Factors applied'!$E$55)</f>
        <v/>
      </c>
      <c r="C23" s="139">
        <f>IF(ABS(B23-1)&lt;0.000000001,"PASS","FAIL")</f>
        <v/>
      </c>
    </row>
    <row r="24">
      <c r="A24" t="inlineStr">
        <is>
          <t>SoESCaOMCbIC-capital.csv | geothermal | ISIC 30</t>
        </is>
      </c>
      <c r="B24">
        <f>('Factors applied'!$E$56+'Factors applied'!$E$57)</f>
        <v/>
      </c>
      <c r="C24" s="139">
        <f>IF(ABS(B24-1)&lt;0.000000001,"PASS","FAIL")</f>
        <v/>
      </c>
    </row>
    <row r="25">
      <c r="A25" t="inlineStr">
        <is>
          <t>SoESCaOMCbIC-capital.csv | geothermal | ISIC 49T53</t>
        </is>
      </c>
      <c r="B25">
        <f>('Factors applied'!$E$58+'Factors applied'!$E$59+'Factors applied'!$E$60+'Factors applied'!$E$61+'Factors applied'!$E$62)</f>
        <v/>
      </c>
      <c r="C25" s="139">
        <f>IF(ABS(B25-1)&lt;0.000000001,"PASS","FAIL")</f>
        <v/>
      </c>
    </row>
    <row r="26">
      <c r="A26" t="inlineStr">
        <is>
          <t>SoESCaOMCbIC-capital.csv | geothermal | ISIC 69T82</t>
        </is>
      </c>
      <c r="B26">
        <f>('Factors applied'!$E$63+'Factors applied'!$E$64)</f>
        <v/>
      </c>
      <c r="C26" s="139">
        <f>IF(ABS(B26-1)&lt;0.000000001,"PASS","FAIL")</f>
        <v/>
      </c>
    </row>
    <row r="27">
      <c r="A27" t="inlineStr">
        <is>
          <t>SoESCaOMCbIC-capital.csv | geothermal | ISIC 90T96</t>
        </is>
      </c>
      <c r="B27">
        <f>('Factors applied'!$E$65+'Factors applied'!$E$66)</f>
        <v/>
      </c>
      <c r="C27" s="139">
        <f>IF(ABS(B27-1)&lt;0.000000001,"PASS","FAIL")</f>
        <v/>
      </c>
    </row>
    <row r="28">
      <c r="A28" t="inlineStr">
        <is>
          <t>SoESCaOMCbIC-capital.csv | hard coal | ISIC 01T03</t>
        </is>
      </c>
      <c r="B28">
        <f>('Factors applied'!$E$67+'Factors applied'!$E$68+'Factors applied'!$E$69)</f>
        <v/>
      </c>
      <c r="C28" s="139">
        <f>IF(ABS(B28-1)&lt;0.000000001,"PASS","FAIL")</f>
        <v/>
      </c>
    </row>
    <row r="29">
      <c r="A29" t="inlineStr">
        <is>
          <t>SoESCaOMCbIC-capital.csv | hard coal | ISIC 07T08</t>
        </is>
      </c>
      <c r="B29">
        <f>('Factors applied'!$E$70+'Factors applied'!$E$71)</f>
        <v/>
      </c>
      <c r="C29" s="139">
        <f>IF(ABS(B29-1)&lt;0.000000001,"PASS","FAIL")</f>
        <v/>
      </c>
    </row>
    <row r="30">
      <c r="A30" t="inlineStr">
        <is>
          <t>SoESCaOMCbIC-capital.csv | hard coal | ISIC 30</t>
        </is>
      </c>
      <c r="B30">
        <f>('Factors applied'!$E$72+'Factors applied'!$E$73)</f>
        <v/>
      </c>
      <c r="C30" s="139">
        <f>IF(ABS(B30-1)&lt;0.000000001,"PASS","FAIL")</f>
        <v/>
      </c>
    </row>
    <row r="31">
      <c r="A31" t="inlineStr">
        <is>
          <t>SoESCaOMCbIC-capital.csv | hard coal | ISIC 49T53</t>
        </is>
      </c>
      <c r="B31">
        <f>('Factors applied'!$E$74+'Factors applied'!$E$75+'Factors applied'!$E$76+'Factors applied'!$E$77+'Factors applied'!$E$78)</f>
        <v/>
      </c>
      <c r="C31" s="139">
        <f>IF(ABS(B31-1)&lt;0.000000001,"PASS","FAIL")</f>
        <v/>
      </c>
    </row>
    <row r="32">
      <c r="A32" t="inlineStr">
        <is>
          <t>SoESCaOMCbIC-capital.csv | hard coal | ISIC 69T82</t>
        </is>
      </c>
      <c r="B32">
        <f>('Factors applied'!$E$79+'Factors applied'!$E$80)</f>
        <v/>
      </c>
      <c r="C32" s="139">
        <f>IF(ABS(B32-1)&lt;0.000000001,"PASS","FAIL")</f>
        <v/>
      </c>
    </row>
    <row r="33">
      <c r="A33" t="inlineStr">
        <is>
          <t>SoESCaOMCbIC-capital.csv | hard coal | ISIC 90T96</t>
        </is>
      </c>
      <c r="B33">
        <f>('Factors applied'!$E$81+'Factors applied'!$E$82)</f>
        <v/>
      </c>
      <c r="C33" s="139">
        <f>IF(ABS(B33-1)&lt;0.000000001,"PASS","FAIL")</f>
        <v/>
      </c>
    </row>
    <row r="34">
      <c r="A34" t="inlineStr">
        <is>
          <t>SoESCaOMCbIC-capital.csv | hard coal w CCS | ISIC 01T03</t>
        </is>
      </c>
      <c r="B34">
        <f>('Factors applied'!$E$83+'Factors applied'!$E$84+'Factors applied'!$E$85)</f>
        <v/>
      </c>
      <c r="C34" s="139">
        <f>IF(ABS(B34-1)&lt;0.000000001,"PASS","FAIL")</f>
        <v/>
      </c>
    </row>
    <row r="35">
      <c r="A35" t="inlineStr">
        <is>
          <t>SoESCaOMCbIC-capital.csv | hard coal w CCS | ISIC 07T08</t>
        </is>
      </c>
      <c r="B35">
        <f>('Factors applied'!$E$86+'Factors applied'!$E$87)</f>
        <v/>
      </c>
      <c r="C35" s="139">
        <f>IF(ABS(B35-1)&lt;0.000000001,"PASS","FAIL")</f>
        <v/>
      </c>
    </row>
    <row r="36">
      <c r="A36" t="inlineStr">
        <is>
          <t>SoESCaOMCbIC-capital.csv | hard coal w CCS | ISIC 30</t>
        </is>
      </c>
      <c r="B36">
        <f>('Factors applied'!$E$88+'Factors applied'!$E$89)</f>
        <v/>
      </c>
      <c r="C36" s="139">
        <f>IF(ABS(B36-1)&lt;0.000000001,"PASS","FAIL")</f>
        <v/>
      </c>
    </row>
    <row r="37">
      <c r="A37" t="inlineStr">
        <is>
          <t>SoESCaOMCbIC-capital.csv | hard coal w CCS | ISIC 49T53</t>
        </is>
      </c>
      <c r="B37">
        <f>('Factors applied'!$E$90+'Factors applied'!$E$91+'Factors applied'!$E$92+'Factors applied'!$E$93+'Factors applied'!$E$94)</f>
        <v/>
      </c>
      <c r="C37" s="139">
        <f>IF(ABS(B37-1)&lt;0.000000001,"PASS","FAIL")</f>
        <v/>
      </c>
    </row>
    <row r="38">
      <c r="A38" t="inlineStr">
        <is>
          <t>SoESCaOMCbIC-capital.csv | hard coal w CCS | ISIC 69T82</t>
        </is>
      </c>
      <c r="B38">
        <f>('Factors applied'!$E$95+'Factors applied'!$E$96)</f>
        <v/>
      </c>
      <c r="C38" s="139">
        <f>IF(ABS(B38-1)&lt;0.000000001,"PASS","FAIL")</f>
        <v/>
      </c>
    </row>
    <row r="39">
      <c r="A39" t="inlineStr">
        <is>
          <t>SoESCaOMCbIC-capital.csv | hard coal w CCS | ISIC 90T96</t>
        </is>
      </c>
      <c r="B39">
        <f>('Factors applied'!$E$97+'Factors applied'!$E$98)</f>
        <v/>
      </c>
      <c r="C39" s="139">
        <f>IF(ABS(B39-1)&lt;0.000000001,"PASS","FAIL")</f>
        <v/>
      </c>
    </row>
    <row r="40">
      <c r="A40" t="inlineStr">
        <is>
          <t>SoESCaOMCbIC-capital.csv | heavy or residual fuel oil | ISIC 01T03</t>
        </is>
      </c>
      <c r="B40">
        <f>('Factors applied'!$E$99+'Factors applied'!$E$100+'Factors applied'!$E$101)</f>
        <v/>
      </c>
      <c r="C40" s="139">
        <f>IF(ABS(B40-1)&lt;0.000000001,"PASS","FAIL")</f>
        <v/>
      </c>
    </row>
    <row r="41">
      <c r="A41" t="inlineStr">
        <is>
          <t>SoESCaOMCbIC-capital.csv | heavy or residual fuel oil | ISIC 07T08</t>
        </is>
      </c>
      <c r="B41">
        <f>('Factors applied'!$E$102+'Factors applied'!$E$103)</f>
        <v/>
      </c>
      <c r="C41" s="139">
        <f>IF(ABS(B41-1)&lt;0.000000001,"PASS","FAIL")</f>
        <v/>
      </c>
    </row>
    <row r="42">
      <c r="A42" t="inlineStr">
        <is>
          <t>SoESCaOMCbIC-capital.csv | heavy or residual fuel oil | ISIC 30</t>
        </is>
      </c>
      <c r="B42">
        <f>('Factors applied'!$E$104+'Factors applied'!$E$105)</f>
        <v/>
      </c>
      <c r="C42" s="139">
        <f>IF(ABS(B42-1)&lt;0.000000001,"PASS","FAIL")</f>
        <v/>
      </c>
    </row>
    <row r="43">
      <c r="A43" t="inlineStr">
        <is>
          <t>SoESCaOMCbIC-capital.csv | heavy or residual fuel oil | ISIC 49T53</t>
        </is>
      </c>
      <c r="B43">
        <f>('Factors applied'!$E$106+'Factors applied'!$E$107+'Factors applied'!$E$108+'Factors applied'!$E$109+'Factors applied'!$E$110)</f>
        <v/>
      </c>
      <c r="C43" s="139">
        <f>IF(ABS(B43-1)&lt;0.000000001,"PASS","FAIL")</f>
        <v/>
      </c>
    </row>
    <row r="44">
      <c r="A44" t="inlineStr">
        <is>
          <t>SoESCaOMCbIC-capital.csv | heavy or residual fuel oil | ISIC 69T82</t>
        </is>
      </c>
      <c r="B44">
        <f>('Factors applied'!$E$111+'Factors applied'!$E$112)</f>
        <v/>
      </c>
      <c r="C44" s="139">
        <f>IF(ABS(B44-1)&lt;0.000000001,"PASS","FAIL")</f>
        <v/>
      </c>
    </row>
    <row r="45">
      <c r="A45" t="inlineStr">
        <is>
          <t>SoESCaOMCbIC-capital.csv | heavy or residual fuel oil | ISIC 90T96</t>
        </is>
      </c>
      <c r="B45">
        <f>('Factors applied'!$E$113+'Factors applied'!$E$114)</f>
        <v/>
      </c>
      <c r="C45" s="139">
        <f>IF(ABS(B45-1)&lt;0.000000001,"PASS","FAIL")</f>
        <v/>
      </c>
    </row>
    <row r="46">
      <c r="A46" t="inlineStr">
        <is>
          <t>SoESCaOMCbIC-capital.csv | hydro | ISIC 01T03</t>
        </is>
      </c>
      <c r="B46">
        <f>('Factors applied'!$E$115+'Factors applied'!$E$116+'Factors applied'!$E$117)</f>
        <v/>
      </c>
      <c r="C46" s="139">
        <f>IF(ABS(B46-1)&lt;0.000000001,"PASS","FAIL")</f>
        <v/>
      </c>
    </row>
    <row r="47">
      <c r="A47" t="inlineStr">
        <is>
          <t>SoESCaOMCbIC-capital.csv | hydro | ISIC 07T08</t>
        </is>
      </c>
      <c r="B47">
        <f>('Factors applied'!$E$118+'Factors applied'!$E$119)</f>
        <v/>
      </c>
      <c r="C47" s="139">
        <f>IF(ABS(B47-1)&lt;0.000000001,"PASS","FAIL")</f>
        <v/>
      </c>
    </row>
    <row r="48">
      <c r="A48" t="inlineStr">
        <is>
          <t>SoESCaOMCbIC-capital.csv | hydro | ISIC 30</t>
        </is>
      </c>
      <c r="B48">
        <f>('Factors applied'!$E$120+'Factors applied'!$E$121)</f>
        <v/>
      </c>
      <c r="C48" s="139">
        <f>IF(ABS(B48-1)&lt;0.000000001,"PASS","FAIL")</f>
        <v/>
      </c>
    </row>
    <row r="49">
      <c r="A49" t="inlineStr">
        <is>
          <t>SoESCaOMCbIC-capital.csv | hydro | ISIC 49T53</t>
        </is>
      </c>
      <c r="B49">
        <f>('Factors applied'!$E$122+'Factors applied'!$E$123+'Factors applied'!$E$124+'Factors applied'!$E$125+'Factors applied'!$E$126)</f>
        <v/>
      </c>
      <c r="C49" s="139">
        <f>IF(ABS(B49-1)&lt;0.000000001,"PASS","FAIL")</f>
        <v/>
      </c>
    </row>
    <row r="50">
      <c r="A50" t="inlineStr">
        <is>
          <t>SoESCaOMCbIC-capital.csv | hydro | ISIC 69T82</t>
        </is>
      </c>
      <c r="B50">
        <f>('Factors applied'!$E$127+'Factors applied'!$E$128)</f>
        <v/>
      </c>
      <c r="C50" s="139">
        <f>IF(ABS(B50-1)&lt;0.000000001,"PASS","FAIL")</f>
        <v/>
      </c>
    </row>
    <row r="51">
      <c r="A51" t="inlineStr">
        <is>
          <t>SoESCaOMCbIC-capital.csv | hydro | ISIC 90T96</t>
        </is>
      </c>
      <c r="B51">
        <f>('Factors applied'!$E$129+'Factors applied'!$E$130)</f>
        <v/>
      </c>
      <c r="C51" s="139">
        <f>IF(ABS(B51-1)&lt;0.000000001,"PASS","FAIL")</f>
        <v/>
      </c>
    </row>
    <row r="52">
      <c r="A52" t="inlineStr">
        <is>
          <t>SoESCaOMCbIC-capital.csv | hydrogen combined cycle | ISIC 01T03</t>
        </is>
      </c>
      <c r="B52">
        <f>('Factors applied'!$E$131+'Factors applied'!$E$132+'Factors applied'!$E$133)</f>
        <v/>
      </c>
      <c r="C52" s="139">
        <f>IF(ABS(B52-1)&lt;0.000000001,"PASS","FAIL")</f>
        <v/>
      </c>
    </row>
    <row r="53">
      <c r="A53" t="inlineStr">
        <is>
          <t>SoESCaOMCbIC-capital.csv | hydrogen combined cycle | ISIC 07T08</t>
        </is>
      </c>
      <c r="B53">
        <f>('Factors applied'!$E$134+'Factors applied'!$E$135)</f>
        <v/>
      </c>
      <c r="C53" s="139">
        <f>IF(ABS(B53-1)&lt;0.000000001,"PASS","FAIL")</f>
        <v/>
      </c>
    </row>
    <row r="54">
      <c r="A54" t="inlineStr">
        <is>
          <t>SoESCaOMCbIC-capital.csv | hydrogen combined cycle | ISIC 30</t>
        </is>
      </c>
      <c r="B54">
        <f>('Factors applied'!$E$136+'Factors applied'!$E$137)</f>
        <v/>
      </c>
      <c r="C54" s="139">
        <f>IF(ABS(B54-1)&lt;0.000000001,"PASS","FAIL")</f>
        <v/>
      </c>
    </row>
    <row r="55">
      <c r="A55" t="inlineStr">
        <is>
          <t>SoESCaOMCbIC-capital.csv | hydrogen combined cycle | ISIC 49T53</t>
        </is>
      </c>
      <c r="B55">
        <f>('Factors applied'!$E$138+'Factors applied'!$E$139+'Factors applied'!$E$140+'Factors applied'!$E$141+'Factors applied'!$E$142)</f>
        <v/>
      </c>
      <c r="C55" s="139">
        <f>IF(ABS(B55-1)&lt;0.000000001,"PASS","FAIL")</f>
        <v/>
      </c>
    </row>
    <row r="56">
      <c r="A56" t="inlineStr">
        <is>
          <t>SoESCaOMCbIC-capital.csv | hydrogen combined cycle | ISIC 69T82</t>
        </is>
      </c>
      <c r="B56">
        <f>('Factors applied'!$E$143+'Factors applied'!$E$144)</f>
        <v/>
      </c>
      <c r="C56" s="139">
        <f>IF(ABS(B56-1)&lt;0.000000001,"PASS","FAIL")</f>
        <v/>
      </c>
    </row>
    <row r="57">
      <c r="A57" t="inlineStr">
        <is>
          <t>SoESCaOMCbIC-capital.csv | hydrogen combined cycle | ISIC 90T96</t>
        </is>
      </c>
      <c r="B57">
        <f>('Factors applied'!$E$145+'Factors applied'!$E$146)</f>
        <v/>
      </c>
      <c r="C57" s="139">
        <f>IF(ABS(B57-1)&lt;0.000000001,"PASS","FAIL")</f>
        <v/>
      </c>
    </row>
    <row r="58">
      <c r="A58" t="inlineStr">
        <is>
          <t>SoESCaOMCbIC-capital.csv | hydrogen combustion turbine | ISIC 01T03</t>
        </is>
      </c>
      <c r="B58">
        <f>('Factors applied'!$E$147+'Factors applied'!$E$148+'Factors applied'!$E$149)</f>
        <v/>
      </c>
      <c r="C58" s="139">
        <f>IF(ABS(B58-1)&lt;0.000000001,"PASS","FAIL")</f>
        <v/>
      </c>
    </row>
    <row r="59">
      <c r="A59" t="inlineStr">
        <is>
          <t>SoESCaOMCbIC-capital.csv | hydrogen combustion turbine | ISIC 07T08</t>
        </is>
      </c>
      <c r="B59">
        <f>('Factors applied'!$E$150+'Factors applied'!$E$151)</f>
        <v/>
      </c>
      <c r="C59" s="139">
        <f>IF(ABS(B59-1)&lt;0.000000001,"PASS","FAIL")</f>
        <v/>
      </c>
    </row>
    <row r="60">
      <c r="A60" t="inlineStr">
        <is>
          <t>SoESCaOMCbIC-capital.csv | hydrogen combustion turbine | ISIC 30</t>
        </is>
      </c>
      <c r="B60">
        <f>('Factors applied'!$E$152+'Factors applied'!$E$153)</f>
        <v/>
      </c>
      <c r="C60" s="139">
        <f>IF(ABS(B60-1)&lt;0.000000001,"PASS","FAIL")</f>
        <v/>
      </c>
    </row>
    <row r="61">
      <c r="A61" t="inlineStr">
        <is>
          <t>SoESCaOMCbIC-capital.csv | hydrogen combustion turbine | ISIC 49T53</t>
        </is>
      </c>
      <c r="B61">
        <f>('Factors applied'!$E$154+'Factors applied'!$E$155+'Factors applied'!$E$156+'Factors applied'!$E$157+'Factors applied'!$E$158)</f>
        <v/>
      </c>
      <c r="C61" s="139">
        <f>IF(ABS(B61-1)&lt;0.000000001,"PASS","FAIL")</f>
        <v/>
      </c>
    </row>
    <row r="62">
      <c r="A62" t="inlineStr">
        <is>
          <t>SoESCaOMCbIC-capital.csv | hydrogen combustion turbine | ISIC 69T82</t>
        </is>
      </c>
      <c r="B62">
        <f>('Factors applied'!$E$159+'Factors applied'!$E$160)</f>
        <v/>
      </c>
      <c r="C62" s="139">
        <f>IF(ABS(B62-1)&lt;0.000000001,"PASS","FAIL")</f>
        <v/>
      </c>
    </row>
    <row r="63">
      <c r="A63" t="inlineStr">
        <is>
          <t>SoESCaOMCbIC-capital.csv | hydrogen combustion turbine | ISIC 90T96</t>
        </is>
      </c>
      <c r="B63">
        <f>('Factors applied'!$E$161+'Factors applied'!$E$162)</f>
        <v/>
      </c>
      <c r="C63" s="139">
        <f>IF(ABS(B63-1)&lt;0.000000001,"PASS","FAIL")</f>
        <v/>
      </c>
    </row>
    <row r="64">
      <c r="A64" t="inlineStr">
        <is>
          <t>SoESCaOMCbIC-capital.csv | lignite | ISIC 01T03</t>
        </is>
      </c>
      <c r="B64">
        <f>('Factors applied'!$E$163+'Factors applied'!$E$164+'Factors applied'!$E$165)</f>
        <v/>
      </c>
      <c r="C64" s="139">
        <f>IF(ABS(B64-1)&lt;0.000000001,"PASS","FAIL")</f>
        <v/>
      </c>
    </row>
    <row r="65">
      <c r="A65" t="inlineStr">
        <is>
          <t>SoESCaOMCbIC-capital.csv | lignite | ISIC 07T08</t>
        </is>
      </c>
      <c r="B65">
        <f>('Factors applied'!$E$166+'Factors applied'!$E$167)</f>
        <v/>
      </c>
      <c r="C65" s="139">
        <f>IF(ABS(B65-1)&lt;0.000000001,"PASS","FAIL")</f>
        <v/>
      </c>
    </row>
    <row r="66">
      <c r="A66" t="inlineStr">
        <is>
          <t>SoESCaOMCbIC-capital.csv | lignite | ISIC 30</t>
        </is>
      </c>
      <c r="B66">
        <f>('Factors applied'!$E$168+'Factors applied'!$E$169)</f>
        <v/>
      </c>
      <c r="C66" s="139">
        <f>IF(ABS(B66-1)&lt;0.000000001,"PASS","FAIL")</f>
        <v/>
      </c>
    </row>
    <row r="67">
      <c r="A67" t="inlineStr">
        <is>
          <t>SoESCaOMCbIC-capital.csv | lignite | ISIC 49T53</t>
        </is>
      </c>
      <c r="B67">
        <f>('Factors applied'!$E$170+'Factors applied'!$E$171+'Factors applied'!$E$172+'Factors applied'!$E$173+'Factors applied'!$E$174)</f>
        <v/>
      </c>
      <c r="C67" s="139">
        <f>IF(ABS(B67-1)&lt;0.000000001,"PASS","FAIL")</f>
        <v/>
      </c>
    </row>
    <row r="68">
      <c r="A68" t="inlineStr">
        <is>
          <t>SoESCaOMCbIC-capital.csv | lignite | ISIC 69T82</t>
        </is>
      </c>
      <c r="B68">
        <f>('Factors applied'!$E$175+'Factors applied'!$E$176)</f>
        <v/>
      </c>
      <c r="C68" s="139">
        <f>IF(ABS(B68-1)&lt;0.000000001,"PASS","FAIL")</f>
        <v/>
      </c>
    </row>
    <row r="69">
      <c r="A69" t="inlineStr">
        <is>
          <t>SoESCaOMCbIC-capital.csv | lignite | ISIC 90T96</t>
        </is>
      </c>
      <c r="B69">
        <f>('Factors applied'!$E$177+'Factors applied'!$E$178)</f>
        <v/>
      </c>
      <c r="C69" s="139">
        <f>IF(ABS(B69-1)&lt;0.000000001,"PASS","FAIL")</f>
        <v/>
      </c>
    </row>
    <row r="70">
      <c r="A70" t="inlineStr">
        <is>
          <t>SoESCaOMCbIC-capital.csv | lignite w CCS | ISIC 01T03</t>
        </is>
      </c>
      <c r="B70">
        <f>('Factors applied'!$E$179+'Factors applied'!$E$180+'Factors applied'!$E$181)</f>
        <v/>
      </c>
      <c r="C70" s="139">
        <f>IF(ABS(B70-1)&lt;0.000000001,"PASS","FAIL")</f>
        <v/>
      </c>
    </row>
    <row r="71">
      <c r="A71" t="inlineStr">
        <is>
          <t>SoESCaOMCbIC-capital.csv | lignite w CCS | ISIC 07T08</t>
        </is>
      </c>
      <c r="B71">
        <f>('Factors applied'!$E$182+'Factors applied'!$E$183)</f>
        <v/>
      </c>
      <c r="C71" s="139">
        <f>IF(ABS(B71-1)&lt;0.000000001,"PASS","FAIL")</f>
        <v/>
      </c>
    </row>
    <row r="72">
      <c r="A72" t="inlineStr">
        <is>
          <t>SoESCaOMCbIC-capital.csv | lignite w CCS | ISIC 30</t>
        </is>
      </c>
      <c r="B72">
        <f>('Factors applied'!$E$184+'Factors applied'!$E$185)</f>
        <v/>
      </c>
      <c r="C72" s="139">
        <f>IF(ABS(B72-1)&lt;0.000000001,"PASS","FAIL")</f>
        <v/>
      </c>
    </row>
    <row r="73">
      <c r="A73" t="inlineStr">
        <is>
          <t>SoESCaOMCbIC-capital.csv | lignite w CCS | ISIC 49T53</t>
        </is>
      </c>
      <c r="B73">
        <f>('Factors applied'!$E$186+'Factors applied'!$E$187+'Factors applied'!$E$188+'Factors applied'!$E$189+'Factors applied'!$E$190)</f>
        <v/>
      </c>
      <c r="C73" s="139">
        <f>IF(ABS(B73-1)&lt;0.000000001,"PASS","FAIL")</f>
        <v/>
      </c>
    </row>
    <row r="74">
      <c r="A74" t="inlineStr">
        <is>
          <t>SoESCaOMCbIC-capital.csv | lignite w CCS | ISIC 69T82</t>
        </is>
      </c>
      <c r="B74">
        <f>('Factors applied'!$E$191+'Factors applied'!$E$192)</f>
        <v/>
      </c>
      <c r="C74" s="139">
        <f>IF(ABS(B74-1)&lt;0.000000001,"PASS","FAIL")</f>
        <v/>
      </c>
    </row>
    <row r="75">
      <c r="A75" t="inlineStr">
        <is>
          <t>SoESCaOMCbIC-capital.csv | lignite w CCS | ISIC 90T96</t>
        </is>
      </c>
      <c r="B75">
        <f>('Factors applied'!$E$193+'Factors applied'!$E$194)</f>
        <v/>
      </c>
      <c r="C75" s="139">
        <f>IF(ABS(B75-1)&lt;0.000000001,"PASS","FAIL")</f>
        <v/>
      </c>
    </row>
    <row r="76">
      <c r="A76" t="inlineStr">
        <is>
          <t>SoESCaOMCbIC-capital.csv | municipal solid waste | ISIC 01T03</t>
        </is>
      </c>
      <c r="B76">
        <f>('Factors applied'!$E$195+'Factors applied'!$E$196+'Factors applied'!$E$197)</f>
        <v/>
      </c>
      <c r="C76" s="139">
        <f>IF(ABS(B76-1)&lt;0.000000001,"PASS","FAIL")</f>
        <v/>
      </c>
    </row>
    <row r="77">
      <c r="A77" t="inlineStr">
        <is>
          <t>SoESCaOMCbIC-capital.csv | municipal solid waste | ISIC 07T08</t>
        </is>
      </c>
      <c r="B77">
        <f>('Factors applied'!$E$198+'Factors applied'!$E$199)</f>
        <v/>
      </c>
      <c r="C77" s="139">
        <f>IF(ABS(B77-1)&lt;0.000000001,"PASS","FAIL")</f>
        <v/>
      </c>
    </row>
    <row r="78">
      <c r="A78" t="inlineStr">
        <is>
          <t>SoESCaOMCbIC-capital.csv | municipal solid waste | ISIC 30</t>
        </is>
      </c>
      <c r="B78">
        <f>('Factors applied'!$E$200+'Factors applied'!$E$201)</f>
        <v/>
      </c>
      <c r="C78" s="139">
        <f>IF(ABS(B78-1)&lt;0.000000001,"PASS","FAIL")</f>
        <v/>
      </c>
    </row>
    <row r="79">
      <c r="A79" t="inlineStr">
        <is>
          <t>SoESCaOMCbIC-capital.csv | municipal solid waste | ISIC 49T53</t>
        </is>
      </c>
      <c r="B79">
        <f>('Factors applied'!$E$202+'Factors applied'!$E$203+'Factors applied'!$E$204+'Factors applied'!$E$205+'Factors applied'!$E$206)</f>
        <v/>
      </c>
      <c r="C79" s="139">
        <f>IF(ABS(B79-1)&lt;0.000000001,"PASS","FAIL")</f>
        <v/>
      </c>
    </row>
    <row r="80">
      <c r="A80" t="inlineStr">
        <is>
          <t>SoESCaOMCbIC-capital.csv | municipal solid waste | ISIC 69T82</t>
        </is>
      </c>
      <c r="B80">
        <f>('Factors applied'!$E$207+'Factors applied'!$E$208)</f>
        <v/>
      </c>
      <c r="C80" s="139">
        <f>IF(ABS(B80-1)&lt;0.000000001,"PASS","FAIL")</f>
        <v/>
      </c>
    </row>
    <row r="81">
      <c r="A81" t="inlineStr">
        <is>
          <t>SoESCaOMCbIC-capital.csv | municipal solid waste | ISIC 90T96</t>
        </is>
      </c>
      <c r="B81">
        <f>('Factors applied'!$E$209+'Factors applied'!$E$210)</f>
        <v/>
      </c>
      <c r="C81" s="139">
        <f>IF(ABS(B81-1)&lt;0.000000001,"PASS","FAIL")</f>
        <v/>
      </c>
    </row>
    <row r="82">
      <c r="A82" t="inlineStr">
        <is>
          <t>SoESCaOMCbIC-capital.csv | natural gas combined cycle | ISIC 01T03</t>
        </is>
      </c>
      <c r="B82">
        <f>('Factors applied'!$E$211+'Factors applied'!$E$212+'Factors applied'!$E$213)</f>
        <v/>
      </c>
      <c r="C82" s="139">
        <f>IF(ABS(B82-1)&lt;0.000000001,"PASS","FAIL")</f>
        <v/>
      </c>
    </row>
    <row r="83">
      <c r="A83" t="inlineStr">
        <is>
          <t>SoESCaOMCbIC-capital.csv | natural gas combined cycle | ISIC 07T08</t>
        </is>
      </c>
      <c r="B83">
        <f>('Factors applied'!$E$214+'Factors applied'!$E$215)</f>
        <v/>
      </c>
      <c r="C83" s="139">
        <f>IF(ABS(B83-1)&lt;0.000000001,"PASS","FAIL")</f>
        <v/>
      </c>
    </row>
    <row r="84">
      <c r="A84" t="inlineStr">
        <is>
          <t>SoESCaOMCbIC-capital.csv | natural gas combined cycle | ISIC 30</t>
        </is>
      </c>
      <c r="B84">
        <f>('Factors applied'!$E$216+'Factors applied'!$E$217)</f>
        <v/>
      </c>
      <c r="C84" s="139">
        <f>IF(ABS(B84-1)&lt;0.000000001,"PASS","FAIL")</f>
        <v/>
      </c>
    </row>
    <row r="85">
      <c r="A85" t="inlineStr">
        <is>
          <t>SoESCaOMCbIC-capital.csv | natural gas combined cycle | ISIC 49T53</t>
        </is>
      </c>
      <c r="B85">
        <f>('Factors applied'!$E$218+'Factors applied'!$E$219+'Factors applied'!$E$220+'Factors applied'!$E$221+'Factors applied'!$E$222)</f>
        <v/>
      </c>
      <c r="C85" s="139">
        <f>IF(ABS(B85-1)&lt;0.000000001,"PASS","FAIL")</f>
        <v/>
      </c>
    </row>
    <row r="86">
      <c r="A86" t="inlineStr">
        <is>
          <t>SoESCaOMCbIC-capital.csv | natural gas combined cycle | ISIC 69T82</t>
        </is>
      </c>
      <c r="B86">
        <f>('Factors applied'!$E$223+'Factors applied'!$E$224)</f>
        <v/>
      </c>
      <c r="C86" s="139">
        <f>IF(ABS(B86-1)&lt;0.000000001,"PASS","FAIL")</f>
        <v/>
      </c>
    </row>
    <row r="87">
      <c r="A87" t="inlineStr">
        <is>
          <t>SoESCaOMCbIC-capital.csv | natural gas combined cycle | ISIC 90T96</t>
        </is>
      </c>
      <c r="B87">
        <f>('Factors applied'!$E$225+'Factors applied'!$E$226)</f>
        <v/>
      </c>
      <c r="C87" s="139">
        <f>IF(ABS(B87-1)&lt;0.000000001,"PASS","FAIL")</f>
        <v/>
      </c>
    </row>
    <row r="88">
      <c r="A88" t="inlineStr">
        <is>
          <t>SoESCaOMCbIC-capital.csv | natural gas combined cycle w C | ISIC 01T03</t>
        </is>
      </c>
      <c r="B88">
        <f>('Factors applied'!$E$227+'Factors applied'!$E$228+'Factors applied'!$E$229)</f>
        <v/>
      </c>
      <c r="C88" s="139">
        <f>IF(ABS(B88-1)&lt;0.000000001,"PASS","FAIL")</f>
        <v/>
      </c>
    </row>
    <row r="89">
      <c r="A89" t="inlineStr">
        <is>
          <t>SoESCaOMCbIC-capital.csv | natural gas combined cycle w C | ISIC 07T08</t>
        </is>
      </c>
      <c r="B89">
        <f>('Factors applied'!$E$230+'Factors applied'!$E$231)</f>
        <v/>
      </c>
      <c r="C89" s="139">
        <f>IF(ABS(B89-1)&lt;0.000000001,"PASS","FAIL")</f>
        <v/>
      </c>
    </row>
    <row r="90">
      <c r="A90" t="inlineStr">
        <is>
          <t>SoESCaOMCbIC-capital.csv | natural gas combined cycle w C | ISIC 30</t>
        </is>
      </c>
      <c r="B90">
        <f>('Factors applied'!$E$232+'Factors applied'!$E$233)</f>
        <v/>
      </c>
      <c r="C90" s="139">
        <f>IF(ABS(B90-1)&lt;0.000000001,"PASS","FAIL")</f>
        <v/>
      </c>
    </row>
    <row r="91">
      <c r="A91" t="inlineStr">
        <is>
          <t>SoESCaOMCbIC-capital.csv | natural gas combined cycle w C | ISIC 49T53</t>
        </is>
      </c>
      <c r="B91">
        <f>('Factors applied'!$E$234+'Factors applied'!$E$235+'Factors applied'!$E$236+'Factors applied'!$E$237+'Factors applied'!$E$238)</f>
        <v/>
      </c>
      <c r="C91" s="139">
        <f>IF(ABS(B91-1)&lt;0.000000001,"PASS","FAIL")</f>
        <v/>
      </c>
    </row>
    <row r="92">
      <c r="A92" t="inlineStr">
        <is>
          <t>SoESCaOMCbIC-capital.csv | natural gas combined cycle w C | ISIC 69T82</t>
        </is>
      </c>
      <c r="B92">
        <f>('Factors applied'!$E$239+'Factors applied'!$E$240)</f>
        <v/>
      </c>
      <c r="C92" s="139">
        <f>IF(ABS(B92-1)&lt;0.000000001,"PASS","FAIL")</f>
        <v/>
      </c>
    </row>
    <row r="93">
      <c r="A93" t="inlineStr">
        <is>
          <t>SoESCaOMCbIC-capital.csv | natural gas combined cycle w C | ISIC 90T96</t>
        </is>
      </c>
      <c r="B93">
        <f>('Factors applied'!$E$241+'Factors applied'!$E$242)</f>
        <v/>
      </c>
      <c r="C93" s="139">
        <f>IF(ABS(B93-1)&lt;0.000000001,"PASS","FAIL")</f>
        <v/>
      </c>
    </row>
    <row r="94">
      <c r="A94" t="inlineStr">
        <is>
          <t>SoESCaOMCbIC-capital.csv | natural gas peaker | ISIC 01T03</t>
        </is>
      </c>
      <c r="B94">
        <f>('Factors applied'!$E$243+'Factors applied'!$E$244+'Factors applied'!$E$245)</f>
        <v/>
      </c>
      <c r="C94" s="139">
        <f>IF(ABS(B94-1)&lt;0.000000001,"PASS","FAIL")</f>
        <v/>
      </c>
    </row>
    <row r="95">
      <c r="A95" t="inlineStr">
        <is>
          <t>SoESCaOMCbIC-capital.csv | natural gas peaker | ISIC 07T08</t>
        </is>
      </c>
      <c r="B95">
        <f>('Factors applied'!$E$246+'Factors applied'!$E$247)</f>
        <v/>
      </c>
      <c r="C95" s="139">
        <f>IF(ABS(B95-1)&lt;0.000000001,"PASS","FAIL")</f>
        <v/>
      </c>
    </row>
    <row r="96">
      <c r="A96" t="inlineStr">
        <is>
          <t>SoESCaOMCbIC-capital.csv | natural gas peaker | ISIC 30</t>
        </is>
      </c>
      <c r="B96">
        <f>('Factors applied'!$E$248+'Factors applied'!$E$249)</f>
        <v/>
      </c>
      <c r="C96" s="139">
        <f>IF(ABS(B96-1)&lt;0.000000001,"PASS","FAIL")</f>
        <v/>
      </c>
    </row>
    <row r="97">
      <c r="A97" t="inlineStr">
        <is>
          <t>SoESCaOMCbIC-capital.csv | natural gas peaker | ISIC 49T53</t>
        </is>
      </c>
      <c r="B97">
        <f>('Factors applied'!$E$250+'Factors applied'!$E$251+'Factors applied'!$E$252+'Factors applied'!$E$253+'Factors applied'!$E$254)</f>
        <v/>
      </c>
      <c r="C97" s="139">
        <f>IF(ABS(B97-1)&lt;0.000000001,"PASS","FAIL")</f>
        <v/>
      </c>
    </row>
    <row r="98">
      <c r="A98" t="inlineStr">
        <is>
          <t>SoESCaOMCbIC-capital.csv | natural gas peaker | ISIC 69T82</t>
        </is>
      </c>
      <c r="B98">
        <f>('Factors applied'!$E$255+'Factors applied'!$E$256)</f>
        <v/>
      </c>
      <c r="C98" s="139">
        <f>IF(ABS(B98-1)&lt;0.000000001,"PASS","FAIL")</f>
        <v/>
      </c>
    </row>
    <row r="99">
      <c r="A99" t="inlineStr">
        <is>
          <t>SoESCaOMCbIC-capital.csv | natural gas peaker | ISIC 90T96</t>
        </is>
      </c>
      <c r="B99">
        <f>('Factors applied'!$E$257+'Factors applied'!$E$258)</f>
        <v/>
      </c>
      <c r="C99" s="139">
        <f>IF(ABS(B99-1)&lt;0.000000001,"PASS","FAIL")</f>
        <v/>
      </c>
    </row>
    <row r="100">
      <c r="A100" t="inlineStr">
        <is>
          <t>SoESCaOMCbIC-capital.csv | natural gas steam turbine | ISIC 01T03</t>
        </is>
      </c>
      <c r="B100">
        <f>('Factors applied'!$E$259+'Factors applied'!$E$260+'Factors applied'!$E$261)</f>
        <v/>
      </c>
      <c r="C100" s="139">
        <f>IF(ABS(B100-1)&lt;0.000000001,"PASS","FAIL")</f>
        <v/>
      </c>
    </row>
    <row r="101">
      <c r="A101" t="inlineStr">
        <is>
          <t>SoESCaOMCbIC-capital.csv | natural gas steam turbine | ISIC 07T08</t>
        </is>
      </c>
      <c r="B101">
        <f>('Factors applied'!$E$262+'Factors applied'!$E$263)</f>
        <v/>
      </c>
      <c r="C101" s="139">
        <f>IF(ABS(B101-1)&lt;0.000000001,"PASS","FAIL")</f>
        <v/>
      </c>
    </row>
    <row r="102">
      <c r="A102" t="inlineStr">
        <is>
          <t>SoESCaOMCbIC-capital.csv | natural gas steam turbine | ISIC 30</t>
        </is>
      </c>
      <c r="B102">
        <f>('Factors applied'!$E$264+'Factors applied'!$E$265)</f>
        <v/>
      </c>
      <c r="C102" s="139">
        <f>IF(ABS(B102-1)&lt;0.000000001,"PASS","FAIL")</f>
        <v/>
      </c>
    </row>
    <row r="103">
      <c r="A103" t="inlineStr">
        <is>
          <t>SoESCaOMCbIC-capital.csv | natural gas steam turbine | ISIC 49T53</t>
        </is>
      </c>
      <c r="B103">
        <f>('Factors applied'!$E$266+'Factors applied'!$E$267+'Factors applied'!$E$268+'Factors applied'!$E$269+'Factors applied'!$E$270)</f>
        <v/>
      </c>
      <c r="C103" s="139">
        <f>IF(ABS(B103-1)&lt;0.000000001,"PASS","FAIL")</f>
        <v/>
      </c>
    </row>
    <row r="104">
      <c r="A104" t="inlineStr">
        <is>
          <t>SoESCaOMCbIC-capital.csv | natural gas steam turbine | ISIC 69T82</t>
        </is>
      </c>
      <c r="B104">
        <f>('Factors applied'!$E$271+'Factors applied'!$E$272)</f>
        <v/>
      </c>
      <c r="C104" s="139">
        <f>IF(ABS(B104-1)&lt;0.000000001,"PASS","FAIL")</f>
        <v/>
      </c>
    </row>
    <row r="105">
      <c r="A105" t="inlineStr">
        <is>
          <t>SoESCaOMCbIC-capital.csv | natural gas steam turbine | ISIC 90T96</t>
        </is>
      </c>
      <c r="B105">
        <f>('Factors applied'!$E$273+'Factors applied'!$E$274)</f>
        <v/>
      </c>
      <c r="C105" s="139">
        <f>IF(ABS(B105-1)&lt;0.000000001,"PASS","FAIL")</f>
        <v/>
      </c>
    </row>
    <row r="106">
      <c r="A106" t="inlineStr">
        <is>
          <t>SoESCaOMCbIC-capital.csv | nuclear | ISIC 01T03</t>
        </is>
      </c>
      <c r="B106">
        <f>('Factors applied'!$E$275+'Factors applied'!$E$276+'Factors applied'!$E$277)</f>
        <v/>
      </c>
      <c r="C106" s="139">
        <f>IF(ABS(B106-1)&lt;0.000000001,"PASS","FAIL")</f>
        <v/>
      </c>
    </row>
    <row r="107">
      <c r="A107" t="inlineStr">
        <is>
          <t>SoESCaOMCbIC-capital.csv | nuclear | ISIC 07T08</t>
        </is>
      </c>
      <c r="B107">
        <f>('Factors applied'!$E$278+'Factors applied'!$E$279)</f>
        <v/>
      </c>
      <c r="C107" s="139">
        <f>IF(ABS(B107-1)&lt;0.000000001,"PASS","FAIL")</f>
        <v/>
      </c>
    </row>
    <row r="108">
      <c r="A108" t="inlineStr">
        <is>
          <t>SoESCaOMCbIC-capital.csv | nuclear | ISIC 30</t>
        </is>
      </c>
      <c r="B108">
        <f>('Factors applied'!$E$280+'Factors applied'!$E$281)</f>
        <v/>
      </c>
      <c r="C108" s="139">
        <f>IF(ABS(B108-1)&lt;0.000000001,"PASS","FAIL")</f>
        <v/>
      </c>
    </row>
    <row r="109">
      <c r="A109" t="inlineStr">
        <is>
          <t>SoESCaOMCbIC-capital.csv | nuclear | ISIC 49T53</t>
        </is>
      </c>
      <c r="B109">
        <f>('Factors applied'!$E$282+'Factors applied'!$E$283+'Factors applied'!$E$284+'Factors applied'!$E$285+'Factors applied'!$E$286)</f>
        <v/>
      </c>
      <c r="C109" s="139">
        <f>IF(ABS(B109-1)&lt;0.000000001,"PASS","FAIL")</f>
        <v/>
      </c>
    </row>
    <row r="110">
      <c r="A110" t="inlineStr">
        <is>
          <t>SoESCaOMCbIC-capital.csv | nuclear | ISIC 69T82</t>
        </is>
      </c>
      <c r="B110">
        <f>('Factors applied'!$E$287+'Factors applied'!$E$288)</f>
        <v/>
      </c>
      <c r="C110" s="139">
        <f>IF(ABS(B110-1)&lt;0.000000001,"PASS","FAIL")</f>
        <v/>
      </c>
    </row>
    <row r="111">
      <c r="A111" t="inlineStr">
        <is>
          <t>SoESCaOMCbIC-capital.csv | nuclear | ISIC 90T96</t>
        </is>
      </c>
      <c r="B111">
        <f>('Factors applied'!$E$289+'Factors applied'!$E$290)</f>
        <v/>
      </c>
      <c r="C111" s="139">
        <f>IF(ABS(B111-1)&lt;0.000000001,"PASS","FAIL")</f>
        <v/>
      </c>
    </row>
    <row r="112">
      <c r="A112" t="inlineStr">
        <is>
          <t>SoESCaOMCbIC-capital.csv | offshore wind | ISIC 01T03</t>
        </is>
      </c>
      <c r="B112">
        <f>('Factors applied'!$E$291+'Factors applied'!$E$292+'Factors applied'!$E$293)</f>
        <v/>
      </c>
      <c r="C112" s="139">
        <f>IF(ABS(B112-1)&lt;0.000000001,"PASS","FAIL")</f>
        <v/>
      </c>
    </row>
    <row r="113">
      <c r="A113" t="inlineStr">
        <is>
          <t>SoESCaOMCbIC-capital.csv | offshore wind | ISIC 07T08</t>
        </is>
      </c>
      <c r="B113">
        <f>('Factors applied'!$E$294+'Factors applied'!$E$295)</f>
        <v/>
      </c>
      <c r="C113" s="139">
        <f>IF(ABS(B113-1)&lt;0.000000001,"PASS","FAIL")</f>
        <v/>
      </c>
    </row>
    <row r="114">
      <c r="A114" t="inlineStr">
        <is>
          <t>SoESCaOMCbIC-capital.csv | offshore wind | ISIC 30</t>
        </is>
      </c>
      <c r="B114">
        <f>('Factors applied'!$E$296+'Factors applied'!$E$297)</f>
        <v/>
      </c>
      <c r="C114" s="139">
        <f>IF(ABS(B114-1)&lt;0.000000001,"PASS","FAIL")</f>
        <v/>
      </c>
    </row>
    <row r="115">
      <c r="A115" t="inlineStr">
        <is>
          <t>SoESCaOMCbIC-capital.csv | offshore wind | ISIC 49T53</t>
        </is>
      </c>
      <c r="B115">
        <f>('Factors applied'!$E$298+'Factors applied'!$E$299+'Factors applied'!$E$300+'Factors applied'!$E$301+'Factors applied'!$E$302)</f>
        <v/>
      </c>
      <c r="C115" s="139">
        <f>IF(ABS(B115-1)&lt;0.000000001,"PASS","FAIL")</f>
        <v/>
      </c>
    </row>
    <row r="116">
      <c r="A116" t="inlineStr">
        <is>
          <t>SoESCaOMCbIC-capital.csv | offshore wind | ISIC 69T82</t>
        </is>
      </c>
      <c r="B116">
        <f>('Factors applied'!$E$303+'Factors applied'!$E$304)</f>
        <v/>
      </c>
      <c r="C116" s="139">
        <f>IF(ABS(B116-1)&lt;0.000000001,"PASS","FAIL")</f>
        <v/>
      </c>
    </row>
    <row r="117">
      <c r="A117" t="inlineStr">
        <is>
          <t>SoESCaOMCbIC-capital.csv | offshore wind | ISIC 90T96</t>
        </is>
      </c>
      <c r="B117">
        <f>('Factors applied'!$E$305+'Factors applied'!$E$306)</f>
        <v/>
      </c>
      <c r="C117" s="139">
        <f>IF(ABS(B117-1)&lt;0.000000001,"PASS","FAIL")</f>
        <v/>
      </c>
    </row>
    <row r="118">
      <c r="A118" t="inlineStr">
        <is>
          <t>SoESCaOMCbIC-capital.csv | petroleum | ISIC 01T03</t>
        </is>
      </c>
      <c r="B118">
        <f>('Factors applied'!$E$307+'Factors applied'!$E$308+'Factors applied'!$E$309)</f>
        <v/>
      </c>
      <c r="C118" s="139">
        <f>IF(ABS(B118-1)&lt;0.000000001,"PASS","FAIL")</f>
        <v/>
      </c>
    </row>
    <row r="119">
      <c r="A119" t="inlineStr">
        <is>
          <t>SoESCaOMCbIC-capital.csv | petroleum | ISIC 07T08</t>
        </is>
      </c>
      <c r="B119">
        <f>('Factors applied'!$E$310+'Factors applied'!$E$311)</f>
        <v/>
      </c>
      <c r="C119" s="139">
        <f>IF(ABS(B119-1)&lt;0.000000001,"PASS","FAIL")</f>
        <v/>
      </c>
    </row>
    <row r="120">
      <c r="A120" t="inlineStr">
        <is>
          <t>SoESCaOMCbIC-capital.csv | petroleum | ISIC 30</t>
        </is>
      </c>
      <c r="B120">
        <f>('Factors applied'!$E$312+'Factors applied'!$E$313)</f>
        <v/>
      </c>
      <c r="C120" s="139">
        <f>IF(ABS(B120-1)&lt;0.000000001,"PASS","FAIL")</f>
        <v/>
      </c>
    </row>
    <row r="121">
      <c r="A121" t="inlineStr">
        <is>
          <t>SoESCaOMCbIC-capital.csv | petroleum | ISIC 49T53</t>
        </is>
      </c>
      <c r="B121">
        <f>('Factors applied'!$E$314+'Factors applied'!$E$315+'Factors applied'!$E$316+'Factors applied'!$E$317+'Factors applied'!$E$318)</f>
        <v/>
      </c>
      <c r="C121" s="139">
        <f>IF(ABS(B121-1)&lt;0.000000001,"PASS","FAIL")</f>
        <v/>
      </c>
    </row>
    <row r="122">
      <c r="A122" t="inlineStr">
        <is>
          <t>SoESCaOMCbIC-capital.csv | petroleum | ISIC 69T82</t>
        </is>
      </c>
      <c r="B122">
        <f>('Factors applied'!$E$319+'Factors applied'!$E$320)</f>
        <v/>
      </c>
      <c r="C122" s="139">
        <f>IF(ABS(B122-1)&lt;0.000000001,"PASS","FAIL")</f>
        <v/>
      </c>
    </row>
    <row r="123">
      <c r="A123" t="inlineStr">
        <is>
          <t>SoESCaOMCbIC-capital.csv | petroleum | ISIC 90T96</t>
        </is>
      </c>
      <c r="B123">
        <f>('Factors applied'!$E$321+'Factors applied'!$E$322)</f>
        <v/>
      </c>
      <c r="C123" s="139">
        <f>IF(ABS(B123-1)&lt;0.000000001,"PASS","FAIL")</f>
        <v/>
      </c>
    </row>
    <row r="124">
      <c r="A124" t="inlineStr">
        <is>
          <t>SoESCaOMCbIC-capital.csv | small modular reactor | ISIC 01T03</t>
        </is>
      </c>
      <c r="B124">
        <f>('Factors applied'!$E$323+'Factors applied'!$E$324+'Factors applied'!$E$325)</f>
        <v/>
      </c>
      <c r="C124" s="139">
        <f>IF(ABS(B124-1)&lt;0.000000001,"PASS","FAIL")</f>
        <v/>
      </c>
    </row>
    <row r="125">
      <c r="A125" t="inlineStr">
        <is>
          <t>SoESCaOMCbIC-capital.csv | small modular reactor | ISIC 07T08</t>
        </is>
      </c>
      <c r="B125">
        <f>('Factors applied'!$E$326+'Factors applied'!$E$327)</f>
        <v/>
      </c>
      <c r="C125" s="139">
        <f>IF(ABS(B125-1)&lt;0.000000001,"PASS","FAIL")</f>
        <v/>
      </c>
    </row>
    <row r="126">
      <c r="A126" t="inlineStr">
        <is>
          <t>SoESCaOMCbIC-capital.csv | small modular reactor | ISIC 30</t>
        </is>
      </c>
      <c r="B126">
        <f>('Factors applied'!$E$328+'Factors applied'!$E$329)</f>
        <v/>
      </c>
      <c r="C126" s="139">
        <f>IF(ABS(B126-1)&lt;0.000000001,"PASS","FAIL")</f>
        <v/>
      </c>
    </row>
    <row r="127">
      <c r="A127" t="inlineStr">
        <is>
          <t>SoESCaOMCbIC-capital.csv | small modular reactor | ISIC 49T53</t>
        </is>
      </c>
      <c r="B127">
        <f>('Factors applied'!$E$330+'Factors applied'!$E$331+'Factors applied'!$E$332+'Factors applied'!$E$333+'Factors applied'!$E$334)</f>
        <v/>
      </c>
      <c r="C127" s="139">
        <f>IF(ABS(B127-1)&lt;0.000000001,"PASS","FAIL")</f>
        <v/>
      </c>
    </row>
    <row r="128">
      <c r="A128" t="inlineStr">
        <is>
          <t>SoESCaOMCbIC-capital.csv | small modular reactor | ISIC 69T82</t>
        </is>
      </c>
      <c r="B128">
        <f>('Factors applied'!$E$335+'Factors applied'!$E$336)</f>
        <v/>
      </c>
      <c r="C128" s="139">
        <f>IF(ABS(B128-1)&lt;0.000000001,"PASS","FAIL")</f>
        <v/>
      </c>
    </row>
    <row r="129">
      <c r="A129" t="inlineStr">
        <is>
          <t>SoESCaOMCbIC-capital.csv | small modular reactor | ISIC 90T96</t>
        </is>
      </c>
      <c r="B129">
        <f>('Factors applied'!$E$337+'Factors applied'!$E$338)</f>
        <v/>
      </c>
      <c r="C129" s="139">
        <f>IF(ABS(B129-1)&lt;0.000000001,"PASS","FAIL")</f>
        <v/>
      </c>
    </row>
    <row r="130">
      <c r="A130" t="inlineStr">
        <is>
          <t>SoESCaOMCbIC-capital.csv | solar PV | ISIC 01T03</t>
        </is>
      </c>
      <c r="B130">
        <f>('Factors applied'!$E$339+'Factors applied'!$E$340+'Factors applied'!$E$341)</f>
        <v/>
      </c>
      <c r="C130" s="139">
        <f>IF(ABS(B130-1)&lt;0.000000001,"PASS","FAIL")</f>
        <v/>
      </c>
    </row>
    <row r="131">
      <c r="A131" t="inlineStr">
        <is>
          <t>SoESCaOMCbIC-capital.csv | solar PV | ISIC 07T08</t>
        </is>
      </c>
      <c r="B131">
        <f>('Factors applied'!$E$342+'Factors applied'!$E$343)</f>
        <v/>
      </c>
      <c r="C131" s="139">
        <f>IF(ABS(B131-1)&lt;0.000000001,"PASS","FAIL")</f>
        <v/>
      </c>
    </row>
    <row r="132">
      <c r="A132" t="inlineStr">
        <is>
          <t>SoESCaOMCbIC-capital.csv | solar PV | ISIC 30</t>
        </is>
      </c>
      <c r="B132">
        <f>('Factors applied'!$E$344+'Factors applied'!$E$345)</f>
        <v/>
      </c>
      <c r="C132" s="139">
        <f>IF(ABS(B132-1)&lt;0.000000001,"PASS","FAIL")</f>
        <v/>
      </c>
    </row>
    <row r="133">
      <c r="A133" t="inlineStr">
        <is>
          <t>SoESCaOMCbIC-capital.csv | solar PV | ISIC 49T53</t>
        </is>
      </c>
      <c r="B133">
        <f>('Factors applied'!$E$346+'Factors applied'!$E$347+'Factors applied'!$E$348+'Factors applied'!$E$349+'Factors applied'!$E$350)</f>
        <v/>
      </c>
      <c r="C133" s="139">
        <f>IF(ABS(B133-1)&lt;0.000000001,"PASS","FAIL")</f>
        <v/>
      </c>
    </row>
    <row r="134">
      <c r="A134" t="inlineStr">
        <is>
          <t>SoESCaOMCbIC-capital.csv | solar PV | ISIC 69T82</t>
        </is>
      </c>
      <c r="B134">
        <f>('Factors applied'!$E$351+'Factors applied'!$E$352)</f>
        <v/>
      </c>
      <c r="C134" s="139">
        <f>IF(ABS(B134-1)&lt;0.000000001,"PASS","FAIL")</f>
        <v/>
      </c>
    </row>
    <row r="135">
      <c r="A135" t="inlineStr">
        <is>
          <t>SoESCaOMCbIC-capital.csv | solar PV | ISIC 90T96</t>
        </is>
      </c>
      <c r="B135">
        <f>('Factors applied'!$E$353+'Factors applied'!$E$354)</f>
        <v/>
      </c>
      <c r="C135" s="139">
        <f>IF(ABS(B135-1)&lt;0.000000001,"PASS","FAIL")</f>
        <v/>
      </c>
    </row>
    <row r="136">
      <c r="A136" t="inlineStr">
        <is>
          <t>SoESCaOMCbIC-capital.csv | solar thermal | ISIC 01T03</t>
        </is>
      </c>
      <c r="B136">
        <f>('Factors applied'!$E$355+'Factors applied'!$E$356+'Factors applied'!$E$357)</f>
        <v/>
      </c>
      <c r="C136" s="139">
        <f>IF(ABS(B136-1)&lt;0.000000001,"PASS","FAIL")</f>
        <v/>
      </c>
    </row>
    <row r="137">
      <c r="A137" t="inlineStr">
        <is>
          <t>SoESCaOMCbIC-capital.csv | solar thermal | ISIC 07T08</t>
        </is>
      </c>
      <c r="B137">
        <f>('Factors applied'!$E$358+'Factors applied'!$E$359)</f>
        <v/>
      </c>
      <c r="C137" s="139">
        <f>IF(ABS(B137-1)&lt;0.000000001,"PASS","FAIL")</f>
        <v/>
      </c>
    </row>
    <row r="138">
      <c r="A138" t="inlineStr">
        <is>
          <t>SoESCaOMCbIC-capital.csv | solar thermal | ISIC 30</t>
        </is>
      </c>
      <c r="B138">
        <f>('Factors applied'!$E$360+'Factors applied'!$E$361)</f>
        <v/>
      </c>
      <c r="C138" s="139">
        <f>IF(ABS(B138-1)&lt;0.000000001,"PASS","FAIL")</f>
        <v/>
      </c>
    </row>
    <row r="139">
      <c r="A139" t="inlineStr">
        <is>
          <t>SoESCaOMCbIC-capital.csv | solar thermal | ISIC 49T53</t>
        </is>
      </c>
      <c r="B139">
        <f>('Factors applied'!$E$362+'Factors applied'!$E$363+'Factors applied'!$E$364+'Factors applied'!$E$365+'Factors applied'!$E$366)</f>
        <v/>
      </c>
      <c r="C139" s="139">
        <f>IF(ABS(B139-1)&lt;0.000000001,"PASS","FAIL")</f>
        <v/>
      </c>
    </row>
    <row r="140">
      <c r="A140" t="inlineStr">
        <is>
          <t>SoESCaOMCbIC-capital.csv | solar thermal | ISIC 69T82</t>
        </is>
      </c>
      <c r="B140">
        <f>('Factors applied'!$E$367+'Factors applied'!$E$368)</f>
        <v/>
      </c>
      <c r="C140" s="139">
        <f>IF(ABS(B140-1)&lt;0.000000001,"PASS","FAIL")</f>
        <v/>
      </c>
    </row>
    <row r="141">
      <c r="A141" t="inlineStr">
        <is>
          <t>SoESCaOMCbIC-capital.csv | solar thermal | ISIC 90T96</t>
        </is>
      </c>
      <c r="B141">
        <f>('Factors applied'!$E$369+'Factors applied'!$E$370)</f>
        <v/>
      </c>
      <c r="C141" s="139">
        <f>IF(ABS(B141-1)&lt;0.000000001,"PASS","FAIL")</f>
        <v/>
      </c>
    </row>
    <row r="142">
      <c r="A142" t="inlineStr">
        <is>
          <t>SoESCaOMCbIC-capital.csv | wind | ISIC 01T03</t>
        </is>
      </c>
      <c r="B142">
        <f>('Factors applied'!$E$371+'Factors applied'!$E$372+'Factors applied'!$E$373)</f>
        <v/>
      </c>
      <c r="C142" s="139">
        <f>IF(ABS(B142-1)&lt;0.000000001,"PASS","FAIL")</f>
        <v/>
      </c>
    </row>
    <row r="143">
      <c r="A143" t="inlineStr">
        <is>
          <t>SoESCaOMCbIC-capital.csv | wind | ISIC 07T08</t>
        </is>
      </c>
      <c r="B143">
        <f>('Factors applied'!$E$374+'Factors applied'!$E$375)</f>
        <v/>
      </c>
      <c r="C143" s="139">
        <f>IF(ABS(B143-1)&lt;0.000000001,"PASS","FAIL")</f>
        <v/>
      </c>
    </row>
    <row r="144">
      <c r="A144" t="inlineStr">
        <is>
          <t>SoESCaOMCbIC-capital.csv | wind | ISIC 30</t>
        </is>
      </c>
      <c r="B144">
        <f>('Factors applied'!$E$376+'Factors applied'!$E$377)</f>
        <v/>
      </c>
      <c r="C144" s="139">
        <f>IF(ABS(B144-1)&lt;0.000000001,"PASS","FAIL")</f>
        <v/>
      </c>
    </row>
    <row r="145">
      <c r="A145" t="inlineStr">
        <is>
          <t>SoESCaOMCbIC-capital.csv | wind | ISIC 49T53</t>
        </is>
      </c>
      <c r="B145">
        <f>('Factors applied'!$E$378+'Factors applied'!$E$379+'Factors applied'!$E$380+'Factors applied'!$E$381+'Factors applied'!$E$382)</f>
        <v/>
      </c>
      <c r="C145" s="139">
        <f>IF(ABS(B145-1)&lt;0.000000001,"PASS","FAIL")</f>
        <v/>
      </c>
    </row>
    <row r="146">
      <c r="A146" t="inlineStr">
        <is>
          <t>SoESCaOMCbIC-capital.csv | wind | ISIC 69T82</t>
        </is>
      </c>
      <c r="B146">
        <f>('Factors applied'!$E$383+'Factors applied'!$E$384)</f>
        <v/>
      </c>
      <c r="C146" s="139">
        <f>IF(ABS(B146-1)&lt;0.000000001,"PASS","FAIL")</f>
        <v/>
      </c>
    </row>
    <row r="147">
      <c r="A147" t="inlineStr">
        <is>
          <t>SoESCaOMCbIC-capital.csv | wind | ISIC 90T96</t>
        </is>
      </c>
      <c r="B147">
        <f>('Factors applied'!$E$385+'Factors applied'!$E$386)</f>
        <v/>
      </c>
      <c r="C147" s="139">
        <f>IF(ABS(B147-1)&lt;0.000000001,"PASS","FAIL")</f>
        <v/>
      </c>
    </row>
    <row r="148">
      <c r="A148" t="inlineStr">
        <is>
          <t>SoESCaOMCbIC-fixedOM.csv | biomass | ISIC 01T03</t>
        </is>
      </c>
      <c r="B148">
        <f>('Factors applied'!$E$387+'Factors applied'!$E$388+'Factors applied'!$E$389)</f>
        <v/>
      </c>
      <c r="C148" s="139">
        <f>IF(ABS(B148-1)&lt;0.000000001,"PASS","FAIL")</f>
        <v/>
      </c>
    </row>
    <row r="149">
      <c r="A149" t="inlineStr">
        <is>
          <t>SoESCaOMCbIC-fixedOM.csv | biomass | ISIC 07T08</t>
        </is>
      </c>
      <c r="B149">
        <f>('Factors applied'!$E$390+'Factors applied'!$E$391)</f>
        <v/>
      </c>
      <c r="C149" s="139">
        <f>IF(ABS(B149-1)&lt;0.000000001,"PASS","FAIL")</f>
        <v/>
      </c>
    </row>
    <row r="150">
      <c r="A150" t="inlineStr">
        <is>
          <t>SoESCaOMCbIC-fixedOM.csv | biomass | ISIC 30</t>
        </is>
      </c>
      <c r="B150">
        <f>('Factors applied'!$E$392+'Factors applied'!$E$393)</f>
        <v/>
      </c>
      <c r="C150" s="139">
        <f>IF(ABS(B150-1)&lt;0.000000001,"PASS","FAIL")</f>
        <v/>
      </c>
    </row>
    <row r="151">
      <c r="A151" t="inlineStr">
        <is>
          <t>SoESCaOMCbIC-fixedOM.csv | biomass | ISIC 49T53</t>
        </is>
      </c>
      <c r="B151">
        <f>('Factors applied'!$E$394+'Factors applied'!$E$395+'Factors applied'!$E$396+'Factors applied'!$E$397+'Factors applied'!$E$398)</f>
        <v/>
      </c>
      <c r="C151" s="139">
        <f>IF(ABS(B151-1)&lt;0.000000001,"PASS","FAIL")</f>
        <v/>
      </c>
    </row>
    <row r="152">
      <c r="A152" t="inlineStr">
        <is>
          <t>SoESCaOMCbIC-fixedOM.csv | biomass | ISIC 69T82</t>
        </is>
      </c>
      <c r="B152">
        <f>('Factors applied'!$E$399+'Factors applied'!$E$400)</f>
        <v/>
      </c>
      <c r="C152" s="139">
        <f>IF(ABS(B152-1)&lt;0.000000001,"PASS","FAIL")</f>
        <v/>
      </c>
    </row>
    <row r="153">
      <c r="A153" t="inlineStr">
        <is>
          <t>SoESCaOMCbIC-fixedOM.csv | biomass | ISIC 90T96</t>
        </is>
      </c>
      <c r="B153">
        <f>('Factors applied'!$E$401+'Factors applied'!$E$402)</f>
        <v/>
      </c>
      <c r="C153" s="139">
        <f>IF(ABS(B153-1)&lt;0.000000001,"PASS","FAIL")</f>
        <v/>
      </c>
    </row>
    <row r="154">
      <c r="A154" t="inlineStr">
        <is>
          <t>SoESCaOMCbIC-fixedOM.csv | biomass w CCS | ISIC 01T03</t>
        </is>
      </c>
      <c r="B154">
        <f>('Factors applied'!$E$403+'Factors applied'!$E$404+'Factors applied'!$E$405)</f>
        <v/>
      </c>
      <c r="C154" s="139">
        <f>IF(ABS(B154-1)&lt;0.000000001,"PASS","FAIL")</f>
        <v/>
      </c>
    </row>
    <row r="155">
      <c r="A155" t="inlineStr">
        <is>
          <t>SoESCaOMCbIC-fixedOM.csv | biomass w CCS | ISIC 07T08</t>
        </is>
      </c>
      <c r="B155">
        <f>('Factors applied'!$E$406+'Factors applied'!$E$407)</f>
        <v/>
      </c>
      <c r="C155" s="139">
        <f>IF(ABS(B155-1)&lt;0.000000001,"PASS","FAIL")</f>
        <v/>
      </c>
    </row>
    <row r="156">
      <c r="A156" t="inlineStr">
        <is>
          <t>SoESCaOMCbIC-fixedOM.csv | biomass w CCS | ISIC 30</t>
        </is>
      </c>
      <c r="B156">
        <f>('Factors applied'!$E$408+'Factors applied'!$E$409)</f>
        <v/>
      </c>
      <c r="C156" s="139">
        <f>IF(ABS(B156-1)&lt;0.000000001,"PASS","FAIL")</f>
        <v/>
      </c>
    </row>
    <row r="157">
      <c r="A157" t="inlineStr">
        <is>
          <t>SoESCaOMCbIC-fixedOM.csv | biomass w CCS | ISIC 49T53</t>
        </is>
      </c>
      <c r="B157">
        <f>('Factors applied'!$E$410+'Factors applied'!$E$411+'Factors applied'!$E$412+'Factors applied'!$E$413+'Factors applied'!$E$414)</f>
        <v/>
      </c>
      <c r="C157" s="139">
        <f>IF(ABS(B157-1)&lt;0.000000001,"PASS","FAIL")</f>
        <v/>
      </c>
    </row>
    <row r="158">
      <c r="A158" t="inlineStr">
        <is>
          <t>SoESCaOMCbIC-fixedOM.csv | biomass w CCS | ISIC 69T82</t>
        </is>
      </c>
      <c r="B158">
        <f>('Factors applied'!$E$415+'Factors applied'!$E$416)</f>
        <v/>
      </c>
      <c r="C158" s="139">
        <f>IF(ABS(B158-1)&lt;0.000000001,"PASS","FAIL")</f>
        <v/>
      </c>
    </row>
    <row r="159">
      <c r="A159" t="inlineStr">
        <is>
          <t>SoESCaOMCbIC-fixedOM.csv | biomass w CCS | ISIC 90T96</t>
        </is>
      </c>
      <c r="B159">
        <f>('Factors applied'!$E$417+'Factors applied'!$E$418)</f>
        <v/>
      </c>
      <c r="C159" s="139">
        <f>IF(ABS(B159-1)&lt;0.000000001,"PASS","FAIL")</f>
        <v/>
      </c>
    </row>
    <row r="160">
      <c r="A160" t="inlineStr">
        <is>
          <t>SoESCaOMCbIC-fixedOM.csv | crude oil | ISIC 01T03</t>
        </is>
      </c>
      <c r="B160">
        <f>('Factors applied'!$E$419+'Factors applied'!$E$420+'Factors applied'!$E$421)</f>
        <v/>
      </c>
      <c r="C160" s="139">
        <f>IF(ABS(B160-1)&lt;0.000000001,"PASS","FAIL")</f>
        <v/>
      </c>
    </row>
    <row r="161">
      <c r="A161" t="inlineStr">
        <is>
          <t>SoESCaOMCbIC-fixedOM.csv | crude oil | ISIC 07T08</t>
        </is>
      </c>
      <c r="B161">
        <f>('Factors applied'!$E$422+'Factors applied'!$E$423)</f>
        <v/>
      </c>
      <c r="C161" s="139">
        <f>IF(ABS(B161-1)&lt;0.000000001,"PASS","FAIL")</f>
        <v/>
      </c>
    </row>
    <row r="162">
      <c r="A162" t="inlineStr">
        <is>
          <t>SoESCaOMCbIC-fixedOM.csv | crude oil | ISIC 30</t>
        </is>
      </c>
      <c r="B162">
        <f>('Factors applied'!$E$424+'Factors applied'!$E$425)</f>
        <v/>
      </c>
      <c r="C162" s="139">
        <f>IF(ABS(B162-1)&lt;0.000000001,"PASS","FAIL")</f>
        <v/>
      </c>
    </row>
    <row r="163">
      <c r="A163" t="inlineStr">
        <is>
          <t>SoESCaOMCbIC-fixedOM.csv | crude oil | ISIC 49T53</t>
        </is>
      </c>
      <c r="B163">
        <f>('Factors applied'!$E$426+'Factors applied'!$E$427+'Factors applied'!$E$428+'Factors applied'!$E$429+'Factors applied'!$E$430)</f>
        <v/>
      </c>
      <c r="C163" s="139">
        <f>IF(ABS(B163-1)&lt;0.000000001,"PASS","FAIL")</f>
        <v/>
      </c>
    </row>
    <row r="164">
      <c r="A164" t="inlineStr">
        <is>
          <t>SoESCaOMCbIC-fixedOM.csv | crude oil | ISIC 69T82</t>
        </is>
      </c>
      <c r="B164">
        <f>('Factors applied'!$E$431+'Factors applied'!$E$432)</f>
        <v/>
      </c>
      <c r="C164" s="139">
        <f>IF(ABS(B164-1)&lt;0.000000001,"PASS","FAIL")</f>
        <v/>
      </c>
    </row>
    <row r="165">
      <c r="A165" t="inlineStr">
        <is>
          <t>SoESCaOMCbIC-fixedOM.csv | crude oil | ISIC 90T96</t>
        </is>
      </c>
      <c r="B165">
        <f>('Factors applied'!$E$433+'Factors applied'!$E$434)</f>
        <v/>
      </c>
      <c r="C165" s="139">
        <f>IF(ABS(B165-1)&lt;0.000000001,"PASS","FAIL")</f>
        <v/>
      </c>
    </row>
    <row r="166">
      <c r="A166" t="inlineStr">
        <is>
          <t>SoESCaOMCbIC-fixedOM.csv | geothermal | ISIC 01T03</t>
        </is>
      </c>
      <c r="B166">
        <f>('Factors applied'!$E$435+'Factors applied'!$E$436+'Factors applied'!$E$437)</f>
        <v/>
      </c>
      <c r="C166" s="139">
        <f>IF(ABS(B166-1)&lt;0.000000001,"PASS","FAIL")</f>
        <v/>
      </c>
    </row>
    <row r="167">
      <c r="A167" t="inlineStr">
        <is>
          <t>SoESCaOMCbIC-fixedOM.csv | geothermal | ISIC 07T08</t>
        </is>
      </c>
      <c r="B167">
        <f>('Factors applied'!$E$438+'Factors applied'!$E$439)</f>
        <v/>
      </c>
      <c r="C167" s="139">
        <f>IF(ABS(B167-1)&lt;0.000000001,"PASS","FAIL")</f>
        <v/>
      </c>
    </row>
    <row r="168">
      <c r="A168" t="inlineStr">
        <is>
          <t>SoESCaOMCbIC-fixedOM.csv | geothermal | ISIC 30</t>
        </is>
      </c>
      <c r="B168">
        <f>('Factors applied'!$E$440+'Factors applied'!$E$441)</f>
        <v/>
      </c>
      <c r="C168" s="139">
        <f>IF(ABS(B168-1)&lt;0.000000001,"PASS","FAIL")</f>
        <v/>
      </c>
    </row>
    <row r="169">
      <c r="A169" t="inlineStr">
        <is>
          <t>SoESCaOMCbIC-fixedOM.csv | geothermal | ISIC 49T53</t>
        </is>
      </c>
      <c r="B169">
        <f>('Factors applied'!$E$442+'Factors applied'!$E$443+'Factors applied'!$E$444+'Factors applied'!$E$445+'Factors applied'!$E$446)</f>
        <v/>
      </c>
      <c r="C169" s="139">
        <f>IF(ABS(B169-1)&lt;0.000000001,"PASS","FAIL")</f>
        <v/>
      </c>
    </row>
    <row r="170">
      <c r="A170" t="inlineStr">
        <is>
          <t>SoESCaOMCbIC-fixedOM.csv | geothermal | ISIC 69T82</t>
        </is>
      </c>
      <c r="B170">
        <f>('Factors applied'!$E$447+'Factors applied'!$E$448)</f>
        <v/>
      </c>
      <c r="C170" s="139">
        <f>IF(ABS(B170-1)&lt;0.000000001,"PASS","FAIL")</f>
        <v/>
      </c>
    </row>
    <row r="171">
      <c r="A171" t="inlineStr">
        <is>
          <t>SoESCaOMCbIC-fixedOM.csv | geothermal | ISIC 90T96</t>
        </is>
      </c>
      <c r="B171">
        <f>('Factors applied'!$E$449+'Factors applied'!$E$450)</f>
        <v/>
      </c>
      <c r="C171" s="139">
        <f>IF(ABS(B171-1)&lt;0.000000001,"PASS","FAIL")</f>
        <v/>
      </c>
    </row>
    <row r="172">
      <c r="A172" t="inlineStr">
        <is>
          <t>SoESCaOMCbIC-fixedOM.csv | hard coal | ISIC 01T03</t>
        </is>
      </c>
      <c r="B172">
        <f>('Factors applied'!$E$451+'Factors applied'!$E$452+'Factors applied'!$E$453)</f>
        <v/>
      </c>
      <c r="C172" s="139">
        <f>IF(ABS(B172-1)&lt;0.000000001,"PASS","FAIL")</f>
        <v/>
      </c>
    </row>
    <row r="173">
      <c r="A173" t="inlineStr">
        <is>
          <t>SoESCaOMCbIC-fixedOM.csv | hard coal | ISIC 07T08</t>
        </is>
      </c>
      <c r="B173">
        <f>('Factors applied'!$E$454+'Factors applied'!$E$455)</f>
        <v/>
      </c>
      <c r="C173" s="139">
        <f>IF(ABS(B173-1)&lt;0.000000001,"PASS","FAIL")</f>
        <v/>
      </c>
    </row>
    <row r="174">
      <c r="A174" t="inlineStr">
        <is>
          <t>SoESCaOMCbIC-fixedOM.csv | hard coal | ISIC 30</t>
        </is>
      </c>
      <c r="B174">
        <f>('Factors applied'!$E$456+'Factors applied'!$E$457)</f>
        <v/>
      </c>
      <c r="C174" s="139">
        <f>IF(ABS(B174-1)&lt;0.000000001,"PASS","FAIL")</f>
        <v/>
      </c>
    </row>
    <row r="175">
      <c r="A175" t="inlineStr">
        <is>
          <t>SoESCaOMCbIC-fixedOM.csv | hard coal | ISIC 49T53</t>
        </is>
      </c>
      <c r="B175">
        <f>('Factors applied'!$E$458+'Factors applied'!$E$459+'Factors applied'!$E$460+'Factors applied'!$E$461+'Factors applied'!$E$462)</f>
        <v/>
      </c>
      <c r="C175" s="139">
        <f>IF(ABS(B175-1)&lt;0.000000001,"PASS","FAIL")</f>
        <v/>
      </c>
    </row>
    <row r="176">
      <c r="A176" t="inlineStr">
        <is>
          <t>SoESCaOMCbIC-fixedOM.csv | hard coal | ISIC 69T82</t>
        </is>
      </c>
      <c r="B176">
        <f>('Factors applied'!$E$463+'Factors applied'!$E$464)</f>
        <v/>
      </c>
      <c r="C176" s="139">
        <f>IF(ABS(B176-1)&lt;0.000000001,"PASS","FAIL")</f>
        <v/>
      </c>
    </row>
    <row r="177">
      <c r="A177" t="inlineStr">
        <is>
          <t>SoESCaOMCbIC-fixedOM.csv | hard coal | ISIC 90T96</t>
        </is>
      </c>
      <c r="B177">
        <f>('Factors applied'!$E$465+'Factors applied'!$E$466)</f>
        <v/>
      </c>
      <c r="C177" s="139">
        <f>IF(ABS(B177-1)&lt;0.000000001,"PASS","FAIL")</f>
        <v/>
      </c>
    </row>
    <row r="178">
      <c r="A178" t="inlineStr">
        <is>
          <t>SoESCaOMCbIC-fixedOM.csv | hard coal w CCS | ISIC 01T03</t>
        </is>
      </c>
      <c r="B178">
        <f>('Factors applied'!$E$467+'Factors applied'!$E$468+'Factors applied'!$E$469)</f>
        <v/>
      </c>
      <c r="C178" s="139">
        <f>IF(ABS(B178-1)&lt;0.000000001,"PASS","FAIL")</f>
        <v/>
      </c>
    </row>
    <row r="179">
      <c r="A179" t="inlineStr">
        <is>
          <t>SoESCaOMCbIC-fixedOM.csv | hard coal w CCS | ISIC 07T08</t>
        </is>
      </c>
      <c r="B179">
        <f>('Factors applied'!$E$470+'Factors applied'!$E$471)</f>
        <v/>
      </c>
      <c r="C179" s="139">
        <f>IF(ABS(B179-1)&lt;0.000000001,"PASS","FAIL")</f>
        <v/>
      </c>
    </row>
    <row r="180">
      <c r="A180" t="inlineStr">
        <is>
          <t>SoESCaOMCbIC-fixedOM.csv | hard coal w CCS | ISIC 30</t>
        </is>
      </c>
      <c r="B180">
        <f>('Factors applied'!$E$472+'Factors applied'!$E$473)</f>
        <v/>
      </c>
      <c r="C180" s="139">
        <f>IF(ABS(B180-1)&lt;0.000000001,"PASS","FAIL")</f>
        <v/>
      </c>
    </row>
    <row r="181">
      <c r="A181" t="inlineStr">
        <is>
          <t>SoESCaOMCbIC-fixedOM.csv | hard coal w CCS | ISIC 49T53</t>
        </is>
      </c>
      <c r="B181">
        <f>('Factors applied'!$E$474+'Factors applied'!$E$475+'Factors applied'!$E$476+'Factors applied'!$E$477+'Factors applied'!$E$478)</f>
        <v/>
      </c>
      <c r="C181" s="139">
        <f>IF(ABS(B181-1)&lt;0.000000001,"PASS","FAIL")</f>
        <v/>
      </c>
    </row>
    <row r="182">
      <c r="A182" t="inlineStr">
        <is>
          <t>SoESCaOMCbIC-fixedOM.csv | hard coal w CCS | ISIC 69T82</t>
        </is>
      </c>
      <c r="B182">
        <f>('Factors applied'!$E$479+'Factors applied'!$E$480)</f>
        <v/>
      </c>
      <c r="C182" s="139">
        <f>IF(ABS(B182-1)&lt;0.000000001,"PASS","FAIL")</f>
        <v/>
      </c>
    </row>
    <row r="183">
      <c r="A183" t="inlineStr">
        <is>
          <t>SoESCaOMCbIC-fixedOM.csv | hard coal w CCS | ISIC 90T96</t>
        </is>
      </c>
      <c r="B183">
        <f>('Factors applied'!$E$481+'Factors applied'!$E$482)</f>
        <v/>
      </c>
      <c r="C183" s="139">
        <f>IF(ABS(B183-1)&lt;0.000000001,"PASS","FAIL")</f>
        <v/>
      </c>
    </row>
    <row r="184">
      <c r="A184" t="inlineStr">
        <is>
          <t>SoESCaOMCbIC-fixedOM.csv | heavy or residual fuel oil | ISIC 01T03</t>
        </is>
      </c>
      <c r="B184">
        <f>('Factors applied'!$E$483+'Factors applied'!$E$484+'Factors applied'!$E$485)</f>
        <v/>
      </c>
      <c r="C184" s="139">
        <f>IF(ABS(B184-1)&lt;0.000000001,"PASS","FAIL")</f>
        <v/>
      </c>
    </row>
    <row r="185">
      <c r="A185" t="inlineStr">
        <is>
          <t>SoESCaOMCbIC-fixedOM.csv | heavy or residual fuel oil | ISIC 07T08</t>
        </is>
      </c>
      <c r="B185">
        <f>('Factors applied'!$E$486+'Factors applied'!$E$487)</f>
        <v/>
      </c>
      <c r="C185" s="139">
        <f>IF(ABS(B185-1)&lt;0.000000001,"PASS","FAIL")</f>
        <v/>
      </c>
    </row>
    <row r="186">
      <c r="A186" t="inlineStr">
        <is>
          <t>SoESCaOMCbIC-fixedOM.csv | heavy or residual fuel oil | ISIC 30</t>
        </is>
      </c>
      <c r="B186">
        <f>('Factors applied'!$E$488+'Factors applied'!$E$489)</f>
        <v/>
      </c>
      <c r="C186" s="139">
        <f>IF(ABS(B186-1)&lt;0.000000001,"PASS","FAIL")</f>
        <v/>
      </c>
    </row>
    <row r="187">
      <c r="A187" t="inlineStr">
        <is>
          <t>SoESCaOMCbIC-fixedOM.csv | heavy or residual fuel oil | ISIC 49T53</t>
        </is>
      </c>
      <c r="B187">
        <f>('Factors applied'!$E$490+'Factors applied'!$E$491+'Factors applied'!$E$492+'Factors applied'!$E$493+'Factors applied'!$E$494)</f>
        <v/>
      </c>
      <c r="C187" s="139">
        <f>IF(ABS(B187-1)&lt;0.000000001,"PASS","FAIL")</f>
        <v/>
      </c>
    </row>
    <row r="188">
      <c r="A188" t="inlineStr">
        <is>
          <t>SoESCaOMCbIC-fixedOM.csv | heavy or residual fuel oil | ISIC 69T82</t>
        </is>
      </c>
      <c r="B188">
        <f>('Factors applied'!$E$495+'Factors applied'!$E$496)</f>
        <v/>
      </c>
      <c r="C188" s="139">
        <f>IF(ABS(B188-1)&lt;0.000000001,"PASS","FAIL")</f>
        <v/>
      </c>
    </row>
    <row r="189">
      <c r="A189" t="inlineStr">
        <is>
          <t>SoESCaOMCbIC-fixedOM.csv | heavy or residual fuel oil | ISIC 90T96</t>
        </is>
      </c>
      <c r="B189">
        <f>('Factors applied'!$E$497+'Factors applied'!$E$498)</f>
        <v/>
      </c>
      <c r="C189" s="139">
        <f>IF(ABS(B189-1)&lt;0.000000001,"PASS","FAIL")</f>
        <v/>
      </c>
    </row>
    <row r="190">
      <c r="A190" t="inlineStr">
        <is>
          <t>SoESCaOMCbIC-fixedOM.csv | hydro | ISIC 01T03</t>
        </is>
      </c>
      <c r="B190">
        <f>('Factors applied'!$E$499+'Factors applied'!$E$500+'Factors applied'!$E$501)</f>
        <v/>
      </c>
      <c r="C190" s="139">
        <f>IF(ABS(B190-1)&lt;0.000000001,"PASS","FAIL")</f>
        <v/>
      </c>
    </row>
    <row r="191">
      <c r="A191" t="inlineStr">
        <is>
          <t>SoESCaOMCbIC-fixedOM.csv | hydro | ISIC 07T08</t>
        </is>
      </c>
      <c r="B191">
        <f>('Factors applied'!$E$502+'Factors applied'!$E$503)</f>
        <v/>
      </c>
      <c r="C191" s="139">
        <f>IF(ABS(B191-1)&lt;0.000000001,"PASS","FAIL")</f>
        <v/>
      </c>
    </row>
    <row r="192">
      <c r="A192" t="inlineStr">
        <is>
          <t>SoESCaOMCbIC-fixedOM.csv | hydro | ISIC 30</t>
        </is>
      </c>
      <c r="B192">
        <f>('Factors applied'!$E$504+'Factors applied'!$E$505)</f>
        <v/>
      </c>
      <c r="C192" s="139">
        <f>IF(ABS(B192-1)&lt;0.000000001,"PASS","FAIL")</f>
        <v/>
      </c>
    </row>
    <row r="193">
      <c r="A193" t="inlineStr">
        <is>
          <t>SoESCaOMCbIC-fixedOM.csv | hydro | ISIC 49T53</t>
        </is>
      </c>
      <c r="B193">
        <f>('Factors applied'!$E$506+'Factors applied'!$E$507+'Factors applied'!$E$508+'Factors applied'!$E$509+'Factors applied'!$E$510)</f>
        <v/>
      </c>
      <c r="C193" s="139">
        <f>IF(ABS(B193-1)&lt;0.000000001,"PASS","FAIL")</f>
        <v/>
      </c>
    </row>
    <row r="194">
      <c r="A194" t="inlineStr">
        <is>
          <t>SoESCaOMCbIC-fixedOM.csv | hydro | ISIC 69T82</t>
        </is>
      </c>
      <c r="B194">
        <f>('Factors applied'!$E$511+'Factors applied'!$E$512)</f>
        <v/>
      </c>
      <c r="C194" s="139">
        <f>IF(ABS(B194-1)&lt;0.000000001,"PASS","FAIL")</f>
        <v/>
      </c>
    </row>
    <row r="195">
      <c r="A195" t="inlineStr">
        <is>
          <t>SoESCaOMCbIC-fixedOM.csv | hydro | ISIC 90T96</t>
        </is>
      </c>
      <c r="B195">
        <f>('Factors applied'!$E$513+'Factors applied'!$E$514)</f>
        <v/>
      </c>
      <c r="C195" s="139">
        <f>IF(ABS(B195-1)&lt;0.000000001,"PASS","FAIL")</f>
        <v/>
      </c>
    </row>
    <row r="196">
      <c r="A196" t="inlineStr">
        <is>
          <t>SoESCaOMCbIC-fixedOM.csv | hydrogen combined cycle | ISIC 01T03</t>
        </is>
      </c>
      <c r="B196">
        <f>('Factors applied'!$E$515+'Factors applied'!$E$516+'Factors applied'!$E$517)</f>
        <v/>
      </c>
      <c r="C196" s="139">
        <f>IF(ABS(B196-1)&lt;0.000000001,"PASS","FAIL")</f>
        <v/>
      </c>
    </row>
    <row r="197">
      <c r="A197" t="inlineStr">
        <is>
          <t>SoESCaOMCbIC-fixedOM.csv | hydrogen combined cycle | ISIC 07T08</t>
        </is>
      </c>
      <c r="B197">
        <f>('Factors applied'!$E$518+'Factors applied'!$E$519)</f>
        <v/>
      </c>
      <c r="C197" s="139">
        <f>IF(ABS(B197-1)&lt;0.000000001,"PASS","FAIL")</f>
        <v/>
      </c>
    </row>
    <row r="198">
      <c r="A198" t="inlineStr">
        <is>
          <t>SoESCaOMCbIC-fixedOM.csv | hydrogen combined cycle | ISIC 30</t>
        </is>
      </c>
      <c r="B198">
        <f>('Factors applied'!$E$520+'Factors applied'!$E$521)</f>
        <v/>
      </c>
      <c r="C198" s="139">
        <f>IF(ABS(B198-1)&lt;0.000000001,"PASS","FAIL")</f>
        <v/>
      </c>
    </row>
    <row r="199">
      <c r="A199" t="inlineStr">
        <is>
          <t>SoESCaOMCbIC-fixedOM.csv | hydrogen combined cycle | ISIC 49T53</t>
        </is>
      </c>
      <c r="B199">
        <f>('Factors applied'!$E$522+'Factors applied'!$E$523+'Factors applied'!$E$524+'Factors applied'!$E$525+'Factors applied'!$E$526)</f>
        <v/>
      </c>
      <c r="C199" s="139">
        <f>IF(ABS(B199-1)&lt;0.000000001,"PASS","FAIL")</f>
        <v/>
      </c>
    </row>
    <row r="200">
      <c r="A200" t="inlineStr">
        <is>
          <t>SoESCaOMCbIC-fixedOM.csv | hydrogen combined cycle | ISIC 69T82</t>
        </is>
      </c>
      <c r="B200">
        <f>('Factors applied'!$E$527+'Factors applied'!$E$528)</f>
        <v/>
      </c>
      <c r="C200" s="139">
        <f>IF(ABS(B200-1)&lt;0.000000001,"PASS","FAIL")</f>
        <v/>
      </c>
    </row>
    <row r="201">
      <c r="A201" t="inlineStr">
        <is>
          <t>SoESCaOMCbIC-fixedOM.csv | hydrogen combined cycle | ISIC 90T96</t>
        </is>
      </c>
      <c r="B201">
        <f>('Factors applied'!$E$529+'Factors applied'!$E$530)</f>
        <v/>
      </c>
      <c r="C201" s="139">
        <f>IF(ABS(B201-1)&lt;0.000000001,"PASS","FAIL")</f>
        <v/>
      </c>
    </row>
    <row r="202">
      <c r="A202" t="inlineStr">
        <is>
          <t>SoESCaOMCbIC-fixedOM.csv | hydrogen combustion turbine | ISIC 01T03</t>
        </is>
      </c>
      <c r="B202">
        <f>('Factors applied'!$E$531+'Factors applied'!$E$532+'Factors applied'!$E$533)</f>
        <v/>
      </c>
      <c r="C202" s="139">
        <f>IF(ABS(B202-1)&lt;0.000000001,"PASS","FAIL")</f>
        <v/>
      </c>
    </row>
    <row r="203">
      <c r="A203" t="inlineStr">
        <is>
          <t>SoESCaOMCbIC-fixedOM.csv | hydrogen combustion turbine | ISIC 07T08</t>
        </is>
      </c>
      <c r="B203">
        <f>('Factors applied'!$E$534+'Factors applied'!$E$535)</f>
        <v/>
      </c>
      <c r="C203" s="139">
        <f>IF(ABS(B203-1)&lt;0.000000001,"PASS","FAIL")</f>
        <v/>
      </c>
    </row>
    <row r="204">
      <c r="A204" t="inlineStr">
        <is>
          <t>SoESCaOMCbIC-fixedOM.csv | hydrogen combustion turbine | ISIC 30</t>
        </is>
      </c>
      <c r="B204">
        <f>('Factors applied'!$E$536+'Factors applied'!$E$537)</f>
        <v/>
      </c>
      <c r="C204" s="139">
        <f>IF(ABS(B204-1)&lt;0.000000001,"PASS","FAIL")</f>
        <v/>
      </c>
    </row>
    <row r="205">
      <c r="A205" t="inlineStr">
        <is>
          <t>SoESCaOMCbIC-fixedOM.csv | hydrogen combustion turbine | ISIC 49T53</t>
        </is>
      </c>
      <c r="B205">
        <f>('Factors applied'!$E$538+'Factors applied'!$E$539+'Factors applied'!$E$540+'Factors applied'!$E$541+'Factors applied'!$E$542)</f>
        <v/>
      </c>
      <c r="C205" s="139">
        <f>IF(ABS(B205-1)&lt;0.000000001,"PASS","FAIL")</f>
        <v/>
      </c>
    </row>
    <row r="206">
      <c r="A206" t="inlineStr">
        <is>
          <t>SoESCaOMCbIC-fixedOM.csv | hydrogen combustion turbine | ISIC 69T82</t>
        </is>
      </c>
      <c r="B206">
        <f>('Factors applied'!$E$543+'Factors applied'!$E$544)</f>
        <v/>
      </c>
      <c r="C206" s="139">
        <f>IF(ABS(B206-1)&lt;0.000000001,"PASS","FAIL")</f>
        <v/>
      </c>
    </row>
    <row r="207">
      <c r="A207" t="inlineStr">
        <is>
          <t>SoESCaOMCbIC-fixedOM.csv | hydrogen combustion turbine | ISIC 90T96</t>
        </is>
      </c>
      <c r="B207">
        <f>('Factors applied'!$E$545+'Factors applied'!$E$546)</f>
        <v/>
      </c>
      <c r="C207" s="139">
        <f>IF(ABS(B207-1)&lt;0.000000001,"PASS","FAIL")</f>
        <v/>
      </c>
    </row>
    <row r="208">
      <c r="A208" t="inlineStr">
        <is>
          <t>SoESCaOMCbIC-fixedOM.csv | lignite | ISIC 01T03</t>
        </is>
      </c>
      <c r="B208">
        <f>('Factors applied'!$E$547+'Factors applied'!$E$548+'Factors applied'!$E$549)</f>
        <v/>
      </c>
      <c r="C208" s="139">
        <f>IF(ABS(B208-1)&lt;0.000000001,"PASS","FAIL")</f>
        <v/>
      </c>
    </row>
    <row r="209">
      <c r="A209" t="inlineStr">
        <is>
          <t>SoESCaOMCbIC-fixedOM.csv | lignite | ISIC 07T08</t>
        </is>
      </c>
      <c r="B209">
        <f>('Factors applied'!$E$550+'Factors applied'!$E$551)</f>
        <v/>
      </c>
      <c r="C209" s="139">
        <f>IF(ABS(B209-1)&lt;0.000000001,"PASS","FAIL")</f>
        <v/>
      </c>
    </row>
    <row r="210">
      <c r="A210" t="inlineStr">
        <is>
          <t>SoESCaOMCbIC-fixedOM.csv | lignite | ISIC 30</t>
        </is>
      </c>
      <c r="B210">
        <f>('Factors applied'!$E$552+'Factors applied'!$E$553)</f>
        <v/>
      </c>
      <c r="C210" s="139">
        <f>IF(ABS(B210-1)&lt;0.000000001,"PASS","FAIL")</f>
        <v/>
      </c>
    </row>
    <row r="211">
      <c r="A211" t="inlineStr">
        <is>
          <t>SoESCaOMCbIC-fixedOM.csv | lignite | ISIC 49T53</t>
        </is>
      </c>
      <c r="B211">
        <f>('Factors applied'!$E$554+'Factors applied'!$E$555+'Factors applied'!$E$556+'Factors applied'!$E$557+'Factors applied'!$E$558)</f>
        <v/>
      </c>
      <c r="C211" s="139">
        <f>IF(ABS(B211-1)&lt;0.000000001,"PASS","FAIL")</f>
        <v/>
      </c>
    </row>
    <row r="212">
      <c r="A212" t="inlineStr">
        <is>
          <t>SoESCaOMCbIC-fixedOM.csv | lignite | ISIC 69T82</t>
        </is>
      </c>
      <c r="B212">
        <f>('Factors applied'!$E$559+'Factors applied'!$E$560)</f>
        <v/>
      </c>
      <c r="C212" s="139">
        <f>IF(ABS(B212-1)&lt;0.000000001,"PASS","FAIL")</f>
        <v/>
      </c>
    </row>
    <row r="213">
      <c r="A213" t="inlineStr">
        <is>
          <t>SoESCaOMCbIC-fixedOM.csv | lignite | ISIC 90T96</t>
        </is>
      </c>
      <c r="B213">
        <f>('Factors applied'!$E$561+'Factors applied'!$E$562)</f>
        <v/>
      </c>
      <c r="C213" s="139">
        <f>IF(ABS(B213-1)&lt;0.000000001,"PASS","FAIL")</f>
        <v/>
      </c>
    </row>
    <row r="214">
      <c r="A214" t="inlineStr">
        <is>
          <t>SoESCaOMCbIC-fixedOM.csv | lignite w CCS | ISIC 01T03</t>
        </is>
      </c>
      <c r="B214">
        <f>('Factors applied'!$E$563+'Factors applied'!$E$564+'Factors applied'!$E$565)</f>
        <v/>
      </c>
      <c r="C214" s="139">
        <f>IF(ABS(B214-1)&lt;0.000000001,"PASS","FAIL")</f>
        <v/>
      </c>
    </row>
    <row r="215">
      <c r="A215" t="inlineStr">
        <is>
          <t>SoESCaOMCbIC-fixedOM.csv | lignite w CCS | ISIC 07T08</t>
        </is>
      </c>
      <c r="B215">
        <f>('Factors applied'!$E$566+'Factors applied'!$E$567)</f>
        <v/>
      </c>
      <c r="C215" s="139">
        <f>IF(ABS(B215-1)&lt;0.000000001,"PASS","FAIL")</f>
        <v/>
      </c>
    </row>
    <row r="216">
      <c r="A216" t="inlineStr">
        <is>
          <t>SoESCaOMCbIC-fixedOM.csv | lignite w CCS | ISIC 30</t>
        </is>
      </c>
      <c r="B216">
        <f>('Factors applied'!$E$568+'Factors applied'!$E$569)</f>
        <v/>
      </c>
      <c r="C216" s="139">
        <f>IF(ABS(B216-1)&lt;0.000000001,"PASS","FAIL")</f>
        <v/>
      </c>
    </row>
    <row r="217">
      <c r="A217" t="inlineStr">
        <is>
          <t>SoESCaOMCbIC-fixedOM.csv | lignite w CCS | ISIC 49T53</t>
        </is>
      </c>
      <c r="B217">
        <f>('Factors applied'!$E$570+'Factors applied'!$E$571+'Factors applied'!$E$572+'Factors applied'!$E$573+'Factors applied'!$E$574)</f>
        <v/>
      </c>
      <c r="C217" s="139">
        <f>IF(ABS(B217-1)&lt;0.000000001,"PASS","FAIL")</f>
        <v/>
      </c>
    </row>
    <row r="218">
      <c r="A218" t="inlineStr">
        <is>
          <t>SoESCaOMCbIC-fixedOM.csv | lignite w CCS | ISIC 69T82</t>
        </is>
      </c>
      <c r="B218">
        <f>('Factors applied'!$E$575+'Factors applied'!$E$576)</f>
        <v/>
      </c>
      <c r="C218" s="139">
        <f>IF(ABS(B218-1)&lt;0.000000001,"PASS","FAIL")</f>
        <v/>
      </c>
    </row>
    <row r="219">
      <c r="A219" t="inlineStr">
        <is>
          <t>SoESCaOMCbIC-fixedOM.csv | lignite w CCS | ISIC 90T96</t>
        </is>
      </c>
      <c r="B219">
        <f>('Factors applied'!$E$577+'Factors applied'!$E$578)</f>
        <v/>
      </c>
      <c r="C219" s="139">
        <f>IF(ABS(B219-1)&lt;0.000000001,"PASS","FAIL")</f>
        <v/>
      </c>
    </row>
    <row r="220">
      <c r="A220" t="inlineStr">
        <is>
          <t>SoESCaOMCbIC-fixedOM.csv | municipal solid waste | ISIC 01T03</t>
        </is>
      </c>
      <c r="B220">
        <f>('Factors applied'!$E$579+'Factors applied'!$E$580+'Factors applied'!$E$581)</f>
        <v/>
      </c>
      <c r="C220" s="139">
        <f>IF(ABS(B220-1)&lt;0.000000001,"PASS","FAIL")</f>
        <v/>
      </c>
    </row>
    <row r="221">
      <c r="A221" t="inlineStr">
        <is>
          <t>SoESCaOMCbIC-fixedOM.csv | municipal solid waste | ISIC 07T08</t>
        </is>
      </c>
      <c r="B221">
        <f>('Factors applied'!$E$582+'Factors applied'!$E$583)</f>
        <v/>
      </c>
      <c r="C221" s="139">
        <f>IF(ABS(B221-1)&lt;0.000000001,"PASS","FAIL")</f>
        <v/>
      </c>
    </row>
    <row r="222">
      <c r="A222" t="inlineStr">
        <is>
          <t>SoESCaOMCbIC-fixedOM.csv | municipal solid waste | ISIC 30</t>
        </is>
      </c>
      <c r="B222">
        <f>('Factors applied'!$E$584+'Factors applied'!$E$585)</f>
        <v/>
      </c>
      <c r="C222" s="139">
        <f>IF(ABS(B222-1)&lt;0.000000001,"PASS","FAIL")</f>
        <v/>
      </c>
    </row>
    <row r="223">
      <c r="A223" t="inlineStr">
        <is>
          <t>SoESCaOMCbIC-fixedOM.csv | municipal solid waste | ISIC 49T53</t>
        </is>
      </c>
      <c r="B223">
        <f>('Factors applied'!$E$586+'Factors applied'!$E$587+'Factors applied'!$E$588+'Factors applied'!$E$589+'Factors applied'!$E$590)</f>
        <v/>
      </c>
      <c r="C223" s="139">
        <f>IF(ABS(B223-1)&lt;0.000000001,"PASS","FAIL")</f>
        <v/>
      </c>
    </row>
    <row r="224">
      <c r="A224" t="inlineStr">
        <is>
          <t>SoESCaOMCbIC-fixedOM.csv | municipal solid waste | ISIC 69T82</t>
        </is>
      </c>
      <c r="B224">
        <f>('Factors applied'!$E$591+'Factors applied'!$E$592)</f>
        <v/>
      </c>
      <c r="C224" s="139">
        <f>IF(ABS(B224-1)&lt;0.000000001,"PASS","FAIL")</f>
        <v/>
      </c>
    </row>
    <row r="225">
      <c r="A225" t="inlineStr">
        <is>
          <t>SoESCaOMCbIC-fixedOM.csv | municipal solid waste | ISIC 90T96</t>
        </is>
      </c>
      <c r="B225">
        <f>('Factors applied'!$E$593+'Factors applied'!$E$594)</f>
        <v/>
      </c>
      <c r="C225" s="139">
        <f>IF(ABS(B225-1)&lt;0.000000001,"PASS","FAIL")</f>
        <v/>
      </c>
    </row>
    <row r="226">
      <c r="A226" t="inlineStr">
        <is>
          <t>SoESCaOMCbIC-fixedOM.csv | natural gas combined cycle | ISIC 01T03</t>
        </is>
      </c>
      <c r="B226">
        <f>('Factors applied'!$E$595+'Factors applied'!$E$596+'Factors applied'!$E$597)</f>
        <v/>
      </c>
      <c r="C226" s="139">
        <f>IF(ABS(B226-1)&lt;0.000000001,"PASS","FAIL")</f>
        <v/>
      </c>
    </row>
    <row r="227">
      <c r="A227" t="inlineStr">
        <is>
          <t>SoESCaOMCbIC-fixedOM.csv | natural gas combined cycle | ISIC 07T08</t>
        </is>
      </c>
      <c r="B227">
        <f>('Factors applied'!$E$598+'Factors applied'!$E$599)</f>
        <v/>
      </c>
      <c r="C227" s="139">
        <f>IF(ABS(B227-1)&lt;0.000000001,"PASS","FAIL")</f>
        <v/>
      </c>
    </row>
    <row r="228">
      <c r="A228" t="inlineStr">
        <is>
          <t>SoESCaOMCbIC-fixedOM.csv | natural gas combined cycle | ISIC 30</t>
        </is>
      </c>
      <c r="B228">
        <f>('Factors applied'!$E$600+'Factors applied'!$E$601)</f>
        <v/>
      </c>
      <c r="C228" s="139">
        <f>IF(ABS(B228-1)&lt;0.000000001,"PASS","FAIL")</f>
        <v/>
      </c>
    </row>
    <row r="229">
      <c r="A229" t="inlineStr">
        <is>
          <t>SoESCaOMCbIC-fixedOM.csv | natural gas combined cycle | ISIC 49T53</t>
        </is>
      </c>
      <c r="B229">
        <f>('Factors applied'!$E$602+'Factors applied'!$E$603+'Factors applied'!$E$604+'Factors applied'!$E$605+'Factors applied'!$E$606)</f>
        <v/>
      </c>
      <c r="C229" s="139">
        <f>IF(ABS(B229-1)&lt;0.000000001,"PASS","FAIL")</f>
        <v/>
      </c>
    </row>
    <row r="230">
      <c r="A230" t="inlineStr">
        <is>
          <t>SoESCaOMCbIC-fixedOM.csv | natural gas combined cycle | ISIC 69T82</t>
        </is>
      </c>
      <c r="B230">
        <f>('Factors applied'!$E$607+'Factors applied'!$E$608)</f>
        <v/>
      </c>
      <c r="C230" s="139">
        <f>IF(ABS(B230-1)&lt;0.000000001,"PASS","FAIL")</f>
        <v/>
      </c>
    </row>
    <row r="231">
      <c r="A231" t="inlineStr">
        <is>
          <t>SoESCaOMCbIC-fixedOM.csv | natural gas combined cycle | ISIC 90T96</t>
        </is>
      </c>
      <c r="B231">
        <f>('Factors applied'!$E$609+'Factors applied'!$E$610)</f>
        <v/>
      </c>
      <c r="C231" s="139">
        <f>IF(ABS(B231-1)&lt;0.000000001,"PASS","FAIL")</f>
        <v/>
      </c>
    </row>
    <row r="232">
      <c r="A232" t="inlineStr">
        <is>
          <t>SoESCaOMCbIC-fixedOM.csv | natural gas combined cycle w C | ISIC 01T03</t>
        </is>
      </c>
      <c r="B232">
        <f>('Factors applied'!$E$611+'Factors applied'!$E$612+'Factors applied'!$E$613)</f>
        <v/>
      </c>
      <c r="C232" s="139">
        <f>IF(ABS(B232-1)&lt;0.000000001,"PASS","FAIL")</f>
        <v/>
      </c>
    </row>
    <row r="233">
      <c r="A233" t="inlineStr">
        <is>
          <t>SoESCaOMCbIC-fixedOM.csv | natural gas combined cycle w C | ISIC 07T08</t>
        </is>
      </c>
      <c r="B233">
        <f>('Factors applied'!$E$614+'Factors applied'!$E$615)</f>
        <v/>
      </c>
      <c r="C233" s="139">
        <f>IF(ABS(B233-1)&lt;0.000000001,"PASS","FAIL")</f>
        <v/>
      </c>
    </row>
    <row r="234">
      <c r="A234" t="inlineStr">
        <is>
          <t>SoESCaOMCbIC-fixedOM.csv | natural gas combined cycle w C | ISIC 30</t>
        </is>
      </c>
      <c r="B234">
        <f>('Factors applied'!$E$616+'Factors applied'!$E$617)</f>
        <v/>
      </c>
      <c r="C234" s="139">
        <f>IF(ABS(B234-1)&lt;0.000000001,"PASS","FAIL")</f>
        <v/>
      </c>
    </row>
    <row r="235">
      <c r="A235" t="inlineStr">
        <is>
          <t>SoESCaOMCbIC-fixedOM.csv | natural gas combined cycle w C | ISIC 49T53</t>
        </is>
      </c>
      <c r="B235">
        <f>('Factors applied'!$E$618+'Factors applied'!$E$619+'Factors applied'!$E$620+'Factors applied'!$E$621+'Factors applied'!$E$622)</f>
        <v/>
      </c>
      <c r="C235" s="139">
        <f>IF(ABS(B235-1)&lt;0.000000001,"PASS","FAIL")</f>
        <v/>
      </c>
    </row>
    <row r="236">
      <c r="A236" t="inlineStr">
        <is>
          <t>SoESCaOMCbIC-fixedOM.csv | natural gas combined cycle w C | ISIC 69T82</t>
        </is>
      </c>
      <c r="B236">
        <f>('Factors applied'!$E$623+'Factors applied'!$E$624)</f>
        <v/>
      </c>
      <c r="C236" s="139">
        <f>IF(ABS(B236-1)&lt;0.000000001,"PASS","FAIL")</f>
        <v/>
      </c>
    </row>
    <row r="237">
      <c r="A237" t="inlineStr">
        <is>
          <t>SoESCaOMCbIC-fixedOM.csv | natural gas combined cycle w C | ISIC 90T96</t>
        </is>
      </c>
      <c r="B237">
        <f>('Factors applied'!$E$625+'Factors applied'!$E$626)</f>
        <v/>
      </c>
      <c r="C237" s="139">
        <f>IF(ABS(B237-1)&lt;0.000000001,"PASS","FAIL")</f>
        <v/>
      </c>
    </row>
    <row r="238">
      <c r="A238" t="inlineStr">
        <is>
          <t>SoESCaOMCbIC-fixedOM.csv | natural gas peaker | ISIC 01T03</t>
        </is>
      </c>
      <c r="B238">
        <f>('Factors applied'!$E$627+'Factors applied'!$E$628+'Factors applied'!$E$629)</f>
        <v/>
      </c>
      <c r="C238" s="139">
        <f>IF(ABS(B238-1)&lt;0.000000001,"PASS","FAIL")</f>
        <v/>
      </c>
    </row>
    <row r="239">
      <c r="A239" t="inlineStr">
        <is>
          <t>SoESCaOMCbIC-fixedOM.csv | natural gas peaker | ISIC 07T08</t>
        </is>
      </c>
      <c r="B239">
        <f>('Factors applied'!$E$630+'Factors applied'!$E$631)</f>
        <v/>
      </c>
      <c r="C239" s="139">
        <f>IF(ABS(B239-1)&lt;0.000000001,"PASS","FAIL")</f>
        <v/>
      </c>
    </row>
    <row r="240">
      <c r="A240" t="inlineStr">
        <is>
          <t>SoESCaOMCbIC-fixedOM.csv | natural gas peaker | ISIC 30</t>
        </is>
      </c>
      <c r="B240">
        <f>('Factors applied'!$E$632+'Factors applied'!$E$633)</f>
        <v/>
      </c>
      <c r="C240" s="139">
        <f>IF(ABS(B240-1)&lt;0.000000001,"PASS","FAIL")</f>
        <v/>
      </c>
    </row>
    <row r="241">
      <c r="A241" t="inlineStr">
        <is>
          <t>SoESCaOMCbIC-fixedOM.csv | natural gas peaker | ISIC 49T53</t>
        </is>
      </c>
      <c r="B241">
        <f>('Factors applied'!$E$634+'Factors applied'!$E$635+'Factors applied'!$E$636+'Factors applied'!$E$637+'Factors applied'!$E$638)</f>
        <v/>
      </c>
      <c r="C241" s="139">
        <f>IF(ABS(B241-1)&lt;0.000000001,"PASS","FAIL")</f>
        <v/>
      </c>
    </row>
    <row r="242">
      <c r="A242" t="inlineStr">
        <is>
          <t>SoESCaOMCbIC-fixedOM.csv | natural gas peaker | ISIC 69T82</t>
        </is>
      </c>
      <c r="B242">
        <f>('Factors applied'!$E$639+'Factors applied'!$E$640)</f>
        <v/>
      </c>
      <c r="C242" s="139">
        <f>IF(ABS(B242-1)&lt;0.000000001,"PASS","FAIL")</f>
        <v/>
      </c>
    </row>
    <row r="243">
      <c r="A243" t="inlineStr">
        <is>
          <t>SoESCaOMCbIC-fixedOM.csv | natural gas peaker | ISIC 90T96</t>
        </is>
      </c>
      <c r="B243">
        <f>('Factors applied'!$E$641+'Factors applied'!$E$642)</f>
        <v/>
      </c>
      <c r="C243" s="139">
        <f>IF(ABS(B243-1)&lt;0.000000001,"PASS","FAIL")</f>
        <v/>
      </c>
    </row>
    <row r="244">
      <c r="A244" t="inlineStr">
        <is>
          <t>SoESCaOMCbIC-fixedOM.csv | natural gas steam turbine | ISIC 01T03</t>
        </is>
      </c>
      <c r="B244">
        <f>('Factors applied'!$E$643+'Factors applied'!$E$644+'Factors applied'!$E$645)</f>
        <v/>
      </c>
      <c r="C244" s="139">
        <f>IF(ABS(B244-1)&lt;0.000000001,"PASS","FAIL")</f>
        <v/>
      </c>
    </row>
    <row r="245">
      <c r="A245" t="inlineStr">
        <is>
          <t>SoESCaOMCbIC-fixedOM.csv | natural gas steam turbine | ISIC 07T08</t>
        </is>
      </c>
      <c r="B245">
        <f>('Factors applied'!$E$646+'Factors applied'!$E$647)</f>
        <v/>
      </c>
      <c r="C245" s="139">
        <f>IF(ABS(B245-1)&lt;0.000000001,"PASS","FAIL")</f>
        <v/>
      </c>
    </row>
    <row r="246">
      <c r="A246" t="inlineStr">
        <is>
          <t>SoESCaOMCbIC-fixedOM.csv | natural gas steam turbine | ISIC 30</t>
        </is>
      </c>
      <c r="B246">
        <f>('Factors applied'!$E$648+'Factors applied'!$E$649)</f>
        <v/>
      </c>
      <c r="C246" s="139">
        <f>IF(ABS(B246-1)&lt;0.000000001,"PASS","FAIL")</f>
        <v/>
      </c>
    </row>
    <row r="247">
      <c r="A247" t="inlineStr">
        <is>
          <t>SoESCaOMCbIC-fixedOM.csv | natural gas steam turbine | ISIC 49T53</t>
        </is>
      </c>
      <c r="B247">
        <f>('Factors applied'!$E$650+'Factors applied'!$E$651+'Factors applied'!$E$652+'Factors applied'!$E$653+'Factors applied'!$E$654)</f>
        <v/>
      </c>
      <c r="C247" s="139">
        <f>IF(ABS(B247-1)&lt;0.000000001,"PASS","FAIL")</f>
        <v/>
      </c>
    </row>
    <row r="248">
      <c r="A248" t="inlineStr">
        <is>
          <t>SoESCaOMCbIC-fixedOM.csv | natural gas steam turbine | ISIC 69T82</t>
        </is>
      </c>
      <c r="B248">
        <f>('Factors applied'!$E$655+'Factors applied'!$E$656)</f>
        <v/>
      </c>
      <c r="C248" s="139">
        <f>IF(ABS(B248-1)&lt;0.000000001,"PASS","FAIL")</f>
        <v/>
      </c>
    </row>
    <row r="249">
      <c r="A249" t="inlineStr">
        <is>
          <t>SoESCaOMCbIC-fixedOM.csv | natural gas steam turbine | ISIC 90T96</t>
        </is>
      </c>
      <c r="B249">
        <f>('Factors applied'!$E$657+'Factors applied'!$E$658)</f>
        <v/>
      </c>
      <c r="C249" s="139">
        <f>IF(ABS(B249-1)&lt;0.000000001,"PASS","FAIL")</f>
        <v/>
      </c>
    </row>
    <row r="250">
      <c r="A250" t="inlineStr">
        <is>
          <t>SoESCaOMCbIC-fixedOM.csv | nuclear | ISIC 01T03</t>
        </is>
      </c>
      <c r="B250">
        <f>('Factors applied'!$E$659+'Factors applied'!$E$660+'Factors applied'!$E$661)</f>
        <v/>
      </c>
      <c r="C250" s="139">
        <f>IF(ABS(B250-1)&lt;0.000000001,"PASS","FAIL")</f>
        <v/>
      </c>
    </row>
    <row r="251">
      <c r="A251" t="inlineStr">
        <is>
          <t>SoESCaOMCbIC-fixedOM.csv | nuclear | ISIC 07T08</t>
        </is>
      </c>
      <c r="B251">
        <f>('Factors applied'!$E$662+'Factors applied'!$E$663)</f>
        <v/>
      </c>
      <c r="C251" s="139">
        <f>IF(ABS(B251-1)&lt;0.000000001,"PASS","FAIL")</f>
        <v/>
      </c>
    </row>
    <row r="252">
      <c r="A252" t="inlineStr">
        <is>
          <t>SoESCaOMCbIC-fixedOM.csv | nuclear | ISIC 30</t>
        </is>
      </c>
      <c r="B252">
        <f>('Factors applied'!$E$664+'Factors applied'!$E$665)</f>
        <v/>
      </c>
      <c r="C252" s="139">
        <f>IF(ABS(B252-1)&lt;0.000000001,"PASS","FAIL")</f>
        <v/>
      </c>
    </row>
    <row r="253">
      <c r="A253" t="inlineStr">
        <is>
          <t>SoESCaOMCbIC-fixedOM.csv | nuclear | ISIC 49T53</t>
        </is>
      </c>
      <c r="B253">
        <f>('Factors applied'!$E$666+'Factors applied'!$E$667+'Factors applied'!$E$668+'Factors applied'!$E$669+'Factors applied'!$E$670)</f>
        <v/>
      </c>
      <c r="C253" s="139">
        <f>IF(ABS(B253-1)&lt;0.000000001,"PASS","FAIL")</f>
        <v/>
      </c>
    </row>
    <row r="254">
      <c r="A254" t="inlineStr">
        <is>
          <t>SoESCaOMCbIC-fixedOM.csv | nuclear | ISIC 69T82</t>
        </is>
      </c>
      <c r="B254">
        <f>('Factors applied'!$E$671+'Factors applied'!$E$672)</f>
        <v/>
      </c>
      <c r="C254" s="139">
        <f>IF(ABS(B254-1)&lt;0.000000001,"PASS","FAIL")</f>
        <v/>
      </c>
    </row>
    <row r="255">
      <c r="A255" t="inlineStr">
        <is>
          <t>SoESCaOMCbIC-fixedOM.csv | nuclear | ISIC 90T96</t>
        </is>
      </c>
      <c r="B255">
        <f>('Factors applied'!$E$673+'Factors applied'!$E$674)</f>
        <v/>
      </c>
      <c r="C255" s="139">
        <f>IF(ABS(B255-1)&lt;0.000000001,"PASS","FAIL")</f>
        <v/>
      </c>
    </row>
    <row r="256">
      <c r="A256" t="inlineStr">
        <is>
          <t>SoESCaOMCbIC-fixedOM.csv | offshore wind | ISIC 01T03</t>
        </is>
      </c>
      <c r="B256">
        <f>('Factors applied'!$E$675+'Factors applied'!$E$676+'Factors applied'!$E$677)</f>
        <v/>
      </c>
      <c r="C256" s="139">
        <f>IF(ABS(B256-1)&lt;0.000000001,"PASS","FAIL")</f>
        <v/>
      </c>
    </row>
    <row r="257">
      <c r="A257" t="inlineStr">
        <is>
          <t>SoESCaOMCbIC-fixedOM.csv | offshore wind | ISIC 07T08</t>
        </is>
      </c>
      <c r="B257">
        <f>('Factors applied'!$E$678+'Factors applied'!$E$679)</f>
        <v/>
      </c>
      <c r="C257" s="139">
        <f>IF(ABS(B257-1)&lt;0.000000001,"PASS","FAIL")</f>
        <v/>
      </c>
    </row>
    <row r="258">
      <c r="A258" t="inlineStr">
        <is>
          <t>SoESCaOMCbIC-fixedOM.csv | offshore wind | ISIC 30</t>
        </is>
      </c>
      <c r="B258">
        <f>('Factors applied'!$E$680+'Factors applied'!$E$681)</f>
        <v/>
      </c>
      <c r="C258" s="139">
        <f>IF(ABS(B258-1)&lt;0.000000001,"PASS","FAIL")</f>
        <v/>
      </c>
    </row>
    <row r="259">
      <c r="A259" t="inlineStr">
        <is>
          <t>SoESCaOMCbIC-fixedOM.csv | offshore wind | ISIC 49T53</t>
        </is>
      </c>
      <c r="B259">
        <f>('Factors applied'!$E$682+'Factors applied'!$E$683+'Factors applied'!$E$684+'Factors applied'!$E$685+'Factors applied'!$E$686)</f>
        <v/>
      </c>
      <c r="C259" s="139">
        <f>IF(ABS(B259-1)&lt;0.000000001,"PASS","FAIL")</f>
        <v/>
      </c>
    </row>
    <row r="260">
      <c r="A260" t="inlineStr">
        <is>
          <t>SoESCaOMCbIC-fixedOM.csv | offshore wind | ISIC 69T82</t>
        </is>
      </c>
      <c r="B260">
        <f>('Factors applied'!$E$687+'Factors applied'!$E$688)</f>
        <v/>
      </c>
      <c r="C260" s="139">
        <f>IF(ABS(B260-1)&lt;0.000000001,"PASS","FAIL")</f>
        <v/>
      </c>
    </row>
    <row r="261">
      <c r="A261" t="inlineStr">
        <is>
          <t>SoESCaOMCbIC-fixedOM.csv | offshore wind | ISIC 90T96</t>
        </is>
      </c>
      <c r="B261">
        <f>('Factors applied'!$E$689+'Factors applied'!$E$690)</f>
        <v/>
      </c>
      <c r="C261" s="139">
        <f>IF(ABS(B261-1)&lt;0.000000001,"PASS","FAIL")</f>
        <v/>
      </c>
    </row>
    <row r="262">
      <c r="A262" t="inlineStr">
        <is>
          <t>SoESCaOMCbIC-fixedOM.csv | petroleum | ISIC 01T03</t>
        </is>
      </c>
      <c r="B262">
        <f>('Factors applied'!$E$691+'Factors applied'!$E$692+'Factors applied'!$E$693)</f>
        <v/>
      </c>
      <c r="C262" s="139">
        <f>IF(ABS(B262-1)&lt;0.000000001,"PASS","FAIL")</f>
        <v/>
      </c>
    </row>
    <row r="263">
      <c r="A263" t="inlineStr">
        <is>
          <t>SoESCaOMCbIC-fixedOM.csv | petroleum | ISIC 07T08</t>
        </is>
      </c>
      <c r="B263">
        <f>('Factors applied'!$E$694+'Factors applied'!$E$695)</f>
        <v/>
      </c>
      <c r="C263" s="139">
        <f>IF(ABS(B263-1)&lt;0.000000001,"PASS","FAIL")</f>
        <v/>
      </c>
    </row>
    <row r="264">
      <c r="A264" t="inlineStr">
        <is>
          <t>SoESCaOMCbIC-fixedOM.csv | petroleum | ISIC 30</t>
        </is>
      </c>
      <c r="B264">
        <f>('Factors applied'!$E$696+'Factors applied'!$E$697)</f>
        <v/>
      </c>
      <c r="C264" s="139">
        <f>IF(ABS(B264-1)&lt;0.000000001,"PASS","FAIL")</f>
        <v/>
      </c>
    </row>
    <row r="265">
      <c r="A265" t="inlineStr">
        <is>
          <t>SoESCaOMCbIC-fixedOM.csv | petroleum | ISIC 49T53</t>
        </is>
      </c>
      <c r="B265">
        <f>('Factors applied'!$E$698+'Factors applied'!$E$699+'Factors applied'!$E$700+'Factors applied'!$E$701+'Factors applied'!$E$702)</f>
        <v/>
      </c>
      <c r="C265" s="139">
        <f>IF(ABS(B265-1)&lt;0.000000001,"PASS","FAIL")</f>
        <v/>
      </c>
    </row>
    <row r="266">
      <c r="A266" t="inlineStr">
        <is>
          <t>SoESCaOMCbIC-fixedOM.csv | petroleum | ISIC 69T82</t>
        </is>
      </c>
      <c r="B266">
        <f>('Factors applied'!$E$703+'Factors applied'!$E$704)</f>
        <v/>
      </c>
      <c r="C266" s="139">
        <f>IF(ABS(B266-1)&lt;0.000000001,"PASS","FAIL")</f>
        <v/>
      </c>
    </row>
    <row r="267">
      <c r="A267" t="inlineStr">
        <is>
          <t>SoESCaOMCbIC-fixedOM.csv | petroleum | ISIC 90T96</t>
        </is>
      </c>
      <c r="B267">
        <f>('Factors applied'!$E$705+'Factors applied'!$E$706)</f>
        <v/>
      </c>
      <c r="C267" s="139">
        <f>IF(ABS(B267-1)&lt;0.000000001,"PASS","FAIL")</f>
        <v/>
      </c>
    </row>
    <row r="268">
      <c r="A268" t="inlineStr">
        <is>
          <t>SoESCaOMCbIC-fixedOM.csv | small modular reactor | ISIC 01T03</t>
        </is>
      </c>
      <c r="B268">
        <f>('Factors applied'!$E$707+'Factors applied'!$E$708+'Factors applied'!$E$709)</f>
        <v/>
      </c>
      <c r="C268" s="139">
        <f>IF(ABS(B268-1)&lt;0.000000001,"PASS","FAIL")</f>
        <v/>
      </c>
    </row>
    <row r="269">
      <c r="A269" t="inlineStr">
        <is>
          <t>SoESCaOMCbIC-fixedOM.csv | small modular reactor | ISIC 07T08</t>
        </is>
      </c>
      <c r="B269">
        <f>('Factors applied'!$E$710+'Factors applied'!$E$711)</f>
        <v/>
      </c>
      <c r="C269" s="139">
        <f>IF(ABS(B269-1)&lt;0.000000001,"PASS","FAIL")</f>
        <v/>
      </c>
    </row>
    <row r="270">
      <c r="A270" t="inlineStr">
        <is>
          <t>SoESCaOMCbIC-fixedOM.csv | small modular reactor | ISIC 30</t>
        </is>
      </c>
      <c r="B270">
        <f>('Factors applied'!$E$712+'Factors applied'!$E$713)</f>
        <v/>
      </c>
      <c r="C270" s="139">
        <f>IF(ABS(B270-1)&lt;0.000000001,"PASS","FAIL")</f>
        <v/>
      </c>
    </row>
    <row r="271">
      <c r="A271" t="inlineStr">
        <is>
          <t>SoESCaOMCbIC-fixedOM.csv | small modular reactor | ISIC 49T53</t>
        </is>
      </c>
      <c r="B271">
        <f>('Factors applied'!$E$714+'Factors applied'!$E$715+'Factors applied'!$E$716+'Factors applied'!$E$717+'Factors applied'!$E$718)</f>
        <v/>
      </c>
      <c r="C271" s="139">
        <f>IF(ABS(B271-1)&lt;0.000000001,"PASS","FAIL")</f>
        <v/>
      </c>
    </row>
    <row r="272">
      <c r="A272" t="inlineStr">
        <is>
          <t>SoESCaOMCbIC-fixedOM.csv | small modular reactor | ISIC 69T82</t>
        </is>
      </c>
      <c r="B272">
        <f>('Factors applied'!$E$719+'Factors applied'!$E$720)</f>
        <v/>
      </c>
      <c r="C272" s="139">
        <f>IF(ABS(B272-1)&lt;0.000000001,"PASS","FAIL")</f>
        <v/>
      </c>
    </row>
    <row r="273">
      <c r="A273" t="inlineStr">
        <is>
          <t>SoESCaOMCbIC-fixedOM.csv | small modular reactor | ISIC 90T96</t>
        </is>
      </c>
      <c r="B273">
        <f>('Factors applied'!$E$721+'Factors applied'!$E$722)</f>
        <v/>
      </c>
      <c r="C273" s="139">
        <f>IF(ABS(B273-1)&lt;0.000000001,"PASS","FAIL")</f>
        <v/>
      </c>
    </row>
    <row r="274">
      <c r="A274" t="inlineStr">
        <is>
          <t>SoESCaOMCbIC-fixedOM.csv | solar PV | ISIC 01T03</t>
        </is>
      </c>
      <c r="B274">
        <f>('Factors applied'!$E$723+'Factors applied'!$E$724+'Factors applied'!$E$725)</f>
        <v/>
      </c>
      <c r="C274" s="139">
        <f>IF(ABS(B274-1)&lt;0.000000001,"PASS","FAIL")</f>
        <v/>
      </c>
    </row>
    <row r="275">
      <c r="A275" t="inlineStr">
        <is>
          <t>SoESCaOMCbIC-fixedOM.csv | solar PV | ISIC 07T08</t>
        </is>
      </c>
      <c r="B275">
        <f>('Factors applied'!$E$726+'Factors applied'!$E$727)</f>
        <v/>
      </c>
      <c r="C275" s="139">
        <f>IF(ABS(B275-1)&lt;0.000000001,"PASS","FAIL")</f>
        <v/>
      </c>
    </row>
    <row r="276">
      <c r="A276" t="inlineStr">
        <is>
          <t>SoESCaOMCbIC-fixedOM.csv | solar PV | ISIC 30</t>
        </is>
      </c>
      <c r="B276">
        <f>('Factors applied'!$E$728+'Factors applied'!$E$729)</f>
        <v/>
      </c>
      <c r="C276" s="139">
        <f>IF(ABS(B276-1)&lt;0.000000001,"PASS","FAIL")</f>
        <v/>
      </c>
    </row>
    <row r="277">
      <c r="A277" t="inlineStr">
        <is>
          <t>SoESCaOMCbIC-fixedOM.csv | solar PV | ISIC 49T53</t>
        </is>
      </c>
      <c r="B277">
        <f>('Factors applied'!$E$730+'Factors applied'!$E$731+'Factors applied'!$E$732+'Factors applied'!$E$733+'Factors applied'!$E$734)</f>
        <v/>
      </c>
      <c r="C277" s="139">
        <f>IF(ABS(B277-1)&lt;0.000000001,"PASS","FAIL")</f>
        <v/>
      </c>
    </row>
    <row r="278">
      <c r="A278" t="inlineStr">
        <is>
          <t>SoESCaOMCbIC-fixedOM.csv | solar PV | ISIC 69T82</t>
        </is>
      </c>
      <c r="B278">
        <f>('Factors applied'!$E$735+'Factors applied'!$E$736)</f>
        <v/>
      </c>
      <c r="C278" s="139">
        <f>IF(ABS(B278-1)&lt;0.000000001,"PASS","FAIL")</f>
        <v/>
      </c>
    </row>
    <row r="279">
      <c r="A279" t="inlineStr">
        <is>
          <t>SoESCaOMCbIC-fixedOM.csv | solar PV | ISIC 90T96</t>
        </is>
      </c>
      <c r="B279">
        <f>('Factors applied'!$E$737+'Factors applied'!$E$738)</f>
        <v/>
      </c>
      <c r="C279" s="139">
        <f>IF(ABS(B279-1)&lt;0.000000001,"PASS","FAIL")</f>
        <v/>
      </c>
    </row>
    <row r="280">
      <c r="A280" t="inlineStr">
        <is>
          <t>SoESCaOMCbIC-fixedOM.csv | solar thermal | ISIC 01T03</t>
        </is>
      </c>
      <c r="B280">
        <f>('Factors applied'!$E$739+'Factors applied'!$E$740+'Factors applied'!$E$741)</f>
        <v/>
      </c>
      <c r="C280" s="139">
        <f>IF(ABS(B280-1)&lt;0.000000001,"PASS","FAIL")</f>
        <v/>
      </c>
    </row>
    <row r="281">
      <c r="A281" t="inlineStr">
        <is>
          <t>SoESCaOMCbIC-fixedOM.csv | solar thermal | ISIC 07T08</t>
        </is>
      </c>
      <c r="B281">
        <f>('Factors applied'!$E$742+'Factors applied'!$E$743)</f>
        <v/>
      </c>
      <c r="C281" s="139">
        <f>IF(ABS(B281-1)&lt;0.000000001,"PASS","FAIL")</f>
        <v/>
      </c>
    </row>
    <row r="282">
      <c r="A282" t="inlineStr">
        <is>
          <t>SoESCaOMCbIC-fixedOM.csv | solar thermal | ISIC 30</t>
        </is>
      </c>
      <c r="B282">
        <f>('Factors applied'!$E$744+'Factors applied'!$E$745)</f>
        <v/>
      </c>
      <c r="C282" s="139">
        <f>IF(ABS(B282-1)&lt;0.000000001,"PASS","FAIL")</f>
        <v/>
      </c>
    </row>
    <row r="283">
      <c r="A283" t="inlineStr">
        <is>
          <t>SoESCaOMCbIC-fixedOM.csv | solar thermal | ISIC 49T53</t>
        </is>
      </c>
      <c r="B283">
        <f>('Factors applied'!$E$746+'Factors applied'!$E$747+'Factors applied'!$E$748+'Factors applied'!$E$749+'Factors applied'!$E$750)</f>
        <v/>
      </c>
      <c r="C283" s="139">
        <f>IF(ABS(B283-1)&lt;0.000000001,"PASS","FAIL")</f>
        <v/>
      </c>
    </row>
    <row r="284">
      <c r="A284" t="inlineStr">
        <is>
          <t>SoESCaOMCbIC-fixedOM.csv | solar thermal | ISIC 69T82</t>
        </is>
      </c>
      <c r="B284">
        <f>('Factors applied'!$E$751+'Factors applied'!$E$752)</f>
        <v/>
      </c>
      <c r="C284" s="139">
        <f>IF(ABS(B284-1)&lt;0.000000001,"PASS","FAIL")</f>
        <v/>
      </c>
    </row>
    <row r="285">
      <c r="A285" t="inlineStr">
        <is>
          <t>SoESCaOMCbIC-fixedOM.csv | solar thermal | ISIC 90T96</t>
        </is>
      </c>
      <c r="B285">
        <f>('Factors applied'!$E$753+'Factors applied'!$E$754)</f>
        <v/>
      </c>
      <c r="C285" s="139">
        <f>IF(ABS(B285-1)&lt;0.000000001,"PASS","FAIL")</f>
        <v/>
      </c>
    </row>
    <row r="286">
      <c r="A286" t="inlineStr">
        <is>
          <t>SoESCaOMCbIC-fixedOM.csv | wind | ISIC 01T03</t>
        </is>
      </c>
      <c r="B286">
        <f>('Factors applied'!$E$755+'Factors applied'!$E$756+'Factors applied'!$E$757)</f>
        <v/>
      </c>
      <c r="C286" s="139">
        <f>IF(ABS(B286-1)&lt;0.000000001,"PASS","FAIL")</f>
        <v/>
      </c>
    </row>
    <row r="287">
      <c r="A287" t="inlineStr">
        <is>
          <t>SoESCaOMCbIC-fixedOM.csv | wind | ISIC 07T08</t>
        </is>
      </c>
      <c r="B287">
        <f>('Factors applied'!$E$758+'Factors applied'!$E$759)</f>
        <v/>
      </c>
      <c r="C287" s="139">
        <f>IF(ABS(B287-1)&lt;0.000000001,"PASS","FAIL")</f>
        <v/>
      </c>
    </row>
    <row r="288">
      <c r="A288" t="inlineStr">
        <is>
          <t>SoESCaOMCbIC-fixedOM.csv | wind | ISIC 30</t>
        </is>
      </c>
      <c r="B288">
        <f>('Factors applied'!$E$760+'Factors applied'!$E$761)</f>
        <v/>
      </c>
      <c r="C288" s="139">
        <f>IF(ABS(B288-1)&lt;0.000000001,"PASS","FAIL")</f>
        <v/>
      </c>
    </row>
    <row r="289">
      <c r="A289" t="inlineStr">
        <is>
          <t>SoESCaOMCbIC-fixedOM.csv | wind | ISIC 49T53</t>
        </is>
      </c>
      <c r="B289">
        <f>('Factors applied'!$E$762+'Factors applied'!$E$763+'Factors applied'!$E$764+'Factors applied'!$E$765+'Factors applied'!$E$766)</f>
        <v/>
      </c>
      <c r="C289" s="139">
        <f>IF(ABS(B289-1)&lt;0.000000001,"PASS","FAIL")</f>
        <v/>
      </c>
    </row>
    <row r="290">
      <c r="A290" t="inlineStr">
        <is>
          <t>SoESCaOMCbIC-fixedOM.csv | wind | ISIC 69T82</t>
        </is>
      </c>
      <c r="B290">
        <f>('Factors applied'!$E$767+'Factors applied'!$E$768)</f>
        <v/>
      </c>
      <c r="C290" s="139">
        <f>IF(ABS(B290-1)&lt;0.000000001,"PASS","FAIL")</f>
        <v/>
      </c>
    </row>
    <row r="291">
      <c r="A291" t="inlineStr">
        <is>
          <t>SoESCaOMCbIC-fixedOM.csv | wind | ISIC 90T96</t>
        </is>
      </c>
      <c r="B291">
        <f>('Factors applied'!$E$769+'Factors applied'!$E$770)</f>
        <v/>
      </c>
      <c r="C291" s="139">
        <f>IF(ABS(B291-1)&lt;0.000000001,"PASS","FAIL")</f>
        <v/>
      </c>
    </row>
    <row r="292">
      <c r="A292" t="inlineStr">
        <is>
          <t>SoESCaOMCbIC-variableOM.csv | biomass | ISIC 01T03</t>
        </is>
      </c>
      <c r="B292">
        <f>('Factors applied'!$E$771+'Factors applied'!$E$772+'Factors applied'!$E$773)</f>
        <v/>
      </c>
      <c r="C292" s="139">
        <f>IF(ABS(B292-1)&lt;0.000000001,"PASS","FAIL")</f>
        <v/>
      </c>
    </row>
    <row r="293">
      <c r="A293" t="inlineStr">
        <is>
          <t>SoESCaOMCbIC-variableOM.csv | biomass | ISIC 07T08</t>
        </is>
      </c>
      <c r="B293">
        <f>('Factors applied'!$E$774+'Factors applied'!$E$775)</f>
        <v/>
      </c>
      <c r="C293" s="139">
        <f>IF(ABS(B293-1)&lt;0.000000001,"PASS","FAIL")</f>
        <v/>
      </c>
    </row>
    <row r="294">
      <c r="A294" t="inlineStr">
        <is>
          <t>SoESCaOMCbIC-variableOM.csv | biomass | ISIC 30</t>
        </is>
      </c>
      <c r="B294">
        <f>('Factors applied'!$E$776+'Factors applied'!$E$777)</f>
        <v/>
      </c>
      <c r="C294" s="139">
        <f>IF(ABS(B294-1)&lt;0.000000001,"PASS","FAIL")</f>
        <v/>
      </c>
    </row>
    <row r="295">
      <c r="A295" t="inlineStr">
        <is>
          <t>SoESCaOMCbIC-variableOM.csv | biomass | ISIC 49T53</t>
        </is>
      </c>
      <c r="B295">
        <f>('Factors applied'!$E$778+'Factors applied'!$E$779+'Factors applied'!$E$780+'Factors applied'!$E$781+'Factors applied'!$E$782)</f>
        <v/>
      </c>
      <c r="C295" s="139">
        <f>IF(ABS(B295-1)&lt;0.000000001,"PASS","FAIL")</f>
        <v/>
      </c>
    </row>
    <row r="296">
      <c r="A296" t="inlineStr">
        <is>
          <t>SoESCaOMCbIC-variableOM.csv | biomass | ISIC 69T82</t>
        </is>
      </c>
      <c r="B296">
        <f>('Factors applied'!$E$783+'Factors applied'!$E$784)</f>
        <v/>
      </c>
      <c r="C296" s="139">
        <f>IF(ABS(B296-1)&lt;0.000000001,"PASS","FAIL")</f>
        <v/>
      </c>
    </row>
    <row r="297">
      <c r="A297" t="inlineStr">
        <is>
          <t>SoESCaOMCbIC-variableOM.csv | biomass | ISIC 90T96</t>
        </is>
      </c>
      <c r="B297">
        <f>('Factors applied'!$E$785+'Factors applied'!$E$786)</f>
        <v/>
      </c>
      <c r="C297" s="139">
        <f>IF(ABS(B297-1)&lt;0.000000001,"PASS","FAIL")</f>
        <v/>
      </c>
    </row>
    <row r="298">
      <c r="A298" t="inlineStr">
        <is>
          <t>SoESCaOMCbIC-variableOM.csv | biomass w CCS | ISIC 01T03</t>
        </is>
      </c>
      <c r="B298">
        <f>('Factors applied'!$E$787+'Factors applied'!$E$788+'Factors applied'!$E$789)</f>
        <v/>
      </c>
      <c r="C298" s="139">
        <f>IF(ABS(B298-1)&lt;0.000000001,"PASS","FAIL")</f>
        <v/>
      </c>
    </row>
    <row r="299">
      <c r="A299" t="inlineStr">
        <is>
          <t>SoESCaOMCbIC-variableOM.csv | biomass w CCS | ISIC 07T08</t>
        </is>
      </c>
      <c r="B299">
        <f>('Factors applied'!$E$790+'Factors applied'!$E$791)</f>
        <v/>
      </c>
      <c r="C299" s="139">
        <f>IF(ABS(B299-1)&lt;0.000000001,"PASS","FAIL")</f>
        <v/>
      </c>
    </row>
    <row r="300">
      <c r="A300" t="inlineStr">
        <is>
          <t>SoESCaOMCbIC-variableOM.csv | biomass w CCS | ISIC 30</t>
        </is>
      </c>
      <c r="B300">
        <f>('Factors applied'!$E$792+'Factors applied'!$E$793)</f>
        <v/>
      </c>
      <c r="C300" s="139">
        <f>IF(ABS(B300-1)&lt;0.000000001,"PASS","FAIL")</f>
        <v/>
      </c>
    </row>
    <row r="301">
      <c r="A301" t="inlineStr">
        <is>
          <t>SoESCaOMCbIC-variableOM.csv | biomass w CCS | ISIC 49T53</t>
        </is>
      </c>
      <c r="B301">
        <f>('Factors applied'!$E$794+'Factors applied'!$E$795+'Factors applied'!$E$796+'Factors applied'!$E$797+'Factors applied'!$E$798)</f>
        <v/>
      </c>
      <c r="C301" s="139">
        <f>IF(ABS(B301-1)&lt;0.000000001,"PASS","FAIL")</f>
        <v/>
      </c>
    </row>
    <row r="302">
      <c r="A302" t="inlineStr">
        <is>
          <t>SoESCaOMCbIC-variableOM.csv | biomass w CCS | ISIC 69T82</t>
        </is>
      </c>
      <c r="B302">
        <f>('Factors applied'!$E$799+'Factors applied'!$E$800)</f>
        <v/>
      </c>
      <c r="C302" s="139">
        <f>IF(ABS(B302-1)&lt;0.000000001,"PASS","FAIL")</f>
        <v/>
      </c>
    </row>
    <row r="303">
      <c r="A303" t="inlineStr">
        <is>
          <t>SoESCaOMCbIC-variableOM.csv | biomass w CCS | ISIC 90T96</t>
        </is>
      </c>
      <c r="B303">
        <f>('Factors applied'!$E$801+'Factors applied'!$E$802)</f>
        <v/>
      </c>
      <c r="C303" s="139">
        <f>IF(ABS(B303-1)&lt;0.000000001,"PASS","FAIL")</f>
        <v/>
      </c>
    </row>
    <row r="304">
      <c r="A304" t="inlineStr">
        <is>
          <t>SoESCaOMCbIC-variableOM.csv | crude oil | ISIC 01T03</t>
        </is>
      </c>
      <c r="B304">
        <f>('Factors applied'!$E$803+'Factors applied'!$E$804+'Factors applied'!$E$805)</f>
        <v/>
      </c>
      <c r="C304" s="139">
        <f>IF(ABS(B304-1)&lt;0.000000001,"PASS","FAIL")</f>
        <v/>
      </c>
    </row>
    <row r="305">
      <c r="A305" t="inlineStr">
        <is>
          <t>SoESCaOMCbIC-variableOM.csv | crude oil | ISIC 07T08</t>
        </is>
      </c>
      <c r="B305">
        <f>('Factors applied'!$E$806+'Factors applied'!$E$807)</f>
        <v/>
      </c>
      <c r="C305" s="139">
        <f>IF(ABS(B305-1)&lt;0.000000001,"PASS","FAIL")</f>
        <v/>
      </c>
    </row>
    <row r="306">
      <c r="A306" t="inlineStr">
        <is>
          <t>SoESCaOMCbIC-variableOM.csv | crude oil | ISIC 30</t>
        </is>
      </c>
      <c r="B306">
        <f>('Factors applied'!$E$808+'Factors applied'!$E$809)</f>
        <v/>
      </c>
      <c r="C306" s="139">
        <f>IF(ABS(B306-1)&lt;0.000000001,"PASS","FAIL")</f>
        <v/>
      </c>
    </row>
    <row r="307">
      <c r="A307" t="inlineStr">
        <is>
          <t>SoESCaOMCbIC-variableOM.csv | crude oil | ISIC 49T53</t>
        </is>
      </c>
      <c r="B307">
        <f>('Factors applied'!$E$810+'Factors applied'!$E$811+'Factors applied'!$E$812+'Factors applied'!$E$813+'Factors applied'!$E$814)</f>
        <v/>
      </c>
      <c r="C307" s="139">
        <f>IF(ABS(B307-1)&lt;0.000000001,"PASS","FAIL")</f>
        <v/>
      </c>
    </row>
    <row r="308">
      <c r="A308" t="inlineStr">
        <is>
          <t>SoESCaOMCbIC-variableOM.csv | crude oil | ISIC 69T82</t>
        </is>
      </c>
      <c r="B308">
        <f>('Factors applied'!$E$815+'Factors applied'!$E$816)</f>
        <v/>
      </c>
      <c r="C308" s="139">
        <f>IF(ABS(B308-1)&lt;0.000000001,"PASS","FAIL")</f>
        <v/>
      </c>
    </row>
    <row r="309">
      <c r="A309" t="inlineStr">
        <is>
          <t>SoESCaOMCbIC-variableOM.csv | crude oil | ISIC 90T96</t>
        </is>
      </c>
      <c r="B309">
        <f>('Factors applied'!$E$817+'Factors applied'!$E$818)</f>
        <v/>
      </c>
      <c r="C309" s="139">
        <f>IF(ABS(B309-1)&lt;0.000000001,"PASS","FAIL")</f>
        <v/>
      </c>
    </row>
    <row r="310">
      <c r="A310" t="inlineStr">
        <is>
          <t>SoESCaOMCbIC-variableOM.csv | geothermal | ISIC 01T03</t>
        </is>
      </c>
      <c r="B310">
        <f>('Factors applied'!$E$819+'Factors applied'!$E$820+'Factors applied'!$E$821)</f>
        <v/>
      </c>
      <c r="C310" s="139">
        <f>IF(ABS(B310-1)&lt;0.000000001,"PASS","FAIL")</f>
        <v/>
      </c>
    </row>
    <row r="311">
      <c r="A311" t="inlineStr">
        <is>
          <t>SoESCaOMCbIC-variableOM.csv | geothermal | ISIC 07T08</t>
        </is>
      </c>
      <c r="B311">
        <f>('Factors applied'!$E$822+'Factors applied'!$E$823)</f>
        <v/>
      </c>
      <c r="C311" s="139">
        <f>IF(ABS(B311-1)&lt;0.000000001,"PASS","FAIL")</f>
        <v/>
      </c>
    </row>
    <row r="312">
      <c r="A312" t="inlineStr">
        <is>
          <t>SoESCaOMCbIC-variableOM.csv | geothermal | ISIC 30</t>
        </is>
      </c>
      <c r="B312">
        <f>('Factors applied'!$E$824+'Factors applied'!$E$825)</f>
        <v/>
      </c>
      <c r="C312" s="139">
        <f>IF(ABS(B312-1)&lt;0.000000001,"PASS","FAIL")</f>
        <v/>
      </c>
    </row>
    <row r="313">
      <c r="A313" t="inlineStr">
        <is>
          <t>SoESCaOMCbIC-variableOM.csv | geothermal | ISIC 49T53</t>
        </is>
      </c>
      <c r="B313">
        <f>('Factors applied'!$E$826+'Factors applied'!$E$827+'Factors applied'!$E$828+'Factors applied'!$E$829+'Factors applied'!$E$830)</f>
        <v/>
      </c>
      <c r="C313" s="139">
        <f>IF(ABS(B313-1)&lt;0.000000001,"PASS","FAIL")</f>
        <v/>
      </c>
    </row>
    <row r="314">
      <c r="A314" t="inlineStr">
        <is>
          <t>SoESCaOMCbIC-variableOM.csv | geothermal | ISIC 69T82</t>
        </is>
      </c>
      <c r="B314">
        <f>('Factors applied'!$E$831+'Factors applied'!$E$832)</f>
        <v/>
      </c>
      <c r="C314" s="139">
        <f>IF(ABS(B314-1)&lt;0.000000001,"PASS","FAIL")</f>
        <v/>
      </c>
    </row>
    <row r="315">
      <c r="A315" t="inlineStr">
        <is>
          <t>SoESCaOMCbIC-variableOM.csv | geothermal | ISIC 90T96</t>
        </is>
      </c>
      <c r="B315">
        <f>('Factors applied'!$E$833+'Factors applied'!$E$834)</f>
        <v/>
      </c>
      <c r="C315" s="139">
        <f>IF(ABS(B315-1)&lt;0.000000001,"PASS","FAIL")</f>
        <v/>
      </c>
    </row>
    <row r="316">
      <c r="A316" t="inlineStr">
        <is>
          <t>SoESCaOMCbIC-variableOM.csv | hard coal | ISIC 01T03</t>
        </is>
      </c>
      <c r="B316">
        <f>('Factors applied'!$E$835+'Factors applied'!$E$836+'Factors applied'!$E$837)</f>
        <v/>
      </c>
      <c r="C316" s="139">
        <f>IF(ABS(B316-1)&lt;0.000000001,"PASS","FAIL")</f>
        <v/>
      </c>
    </row>
    <row r="317">
      <c r="A317" t="inlineStr">
        <is>
          <t>SoESCaOMCbIC-variableOM.csv | hard coal | ISIC 07T08</t>
        </is>
      </c>
      <c r="B317">
        <f>('Factors applied'!$E$838+'Factors applied'!$E$839)</f>
        <v/>
      </c>
      <c r="C317" s="139">
        <f>IF(ABS(B317-1)&lt;0.000000001,"PASS","FAIL")</f>
        <v/>
      </c>
    </row>
    <row r="318">
      <c r="A318" t="inlineStr">
        <is>
          <t>SoESCaOMCbIC-variableOM.csv | hard coal | ISIC 30</t>
        </is>
      </c>
      <c r="B318">
        <f>('Factors applied'!$E$840+'Factors applied'!$E$841)</f>
        <v/>
      </c>
      <c r="C318" s="139">
        <f>IF(ABS(B318-1)&lt;0.000000001,"PASS","FAIL")</f>
        <v/>
      </c>
    </row>
    <row r="319">
      <c r="A319" t="inlineStr">
        <is>
          <t>SoESCaOMCbIC-variableOM.csv | hard coal | ISIC 49T53</t>
        </is>
      </c>
      <c r="B319">
        <f>('Factors applied'!$E$842+'Factors applied'!$E$843+'Factors applied'!$E$844+'Factors applied'!$E$845+'Factors applied'!$E$846)</f>
        <v/>
      </c>
      <c r="C319" s="139">
        <f>IF(ABS(B319-1)&lt;0.000000001,"PASS","FAIL")</f>
        <v/>
      </c>
    </row>
    <row r="320">
      <c r="A320" t="inlineStr">
        <is>
          <t>SoESCaOMCbIC-variableOM.csv | hard coal | ISIC 69T82</t>
        </is>
      </c>
      <c r="B320">
        <f>('Factors applied'!$E$847+'Factors applied'!$E$848)</f>
        <v/>
      </c>
      <c r="C320" s="139">
        <f>IF(ABS(B320-1)&lt;0.000000001,"PASS","FAIL")</f>
        <v/>
      </c>
    </row>
    <row r="321">
      <c r="A321" t="inlineStr">
        <is>
          <t>SoESCaOMCbIC-variableOM.csv | hard coal | ISIC 90T96</t>
        </is>
      </c>
      <c r="B321">
        <f>('Factors applied'!$E$849+'Factors applied'!$E$850)</f>
        <v/>
      </c>
      <c r="C321" s="139">
        <f>IF(ABS(B321-1)&lt;0.000000001,"PASS","FAIL")</f>
        <v/>
      </c>
    </row>
    <row r="322">
      <c r="A322" t="inlineStr">
        <is>
          <t>SoESCaOMCbIC-variableOM.csv | hard coal w CCS | ISIC 01T03</t>
        </is>
      </c>
      <c r="B322">
        <f>('Factors applied'!$E$851+'Factors applied'!$E$852+'Factors applied'!$E$853)</f>
        <v/>
      </c>
      <c r="C322" s="139">
        <f>IF(ABS(B322-1)&lt;0.000000001,"PASS","FAIL")</f>
        <v/>
      </c>
    </row>
    <row r="323">
      <c r="A323" t="inlineStr">
        <is>
          <t>SoESCaOMCbIC-variableOM.csv | hard coal w CCS | ISIC 07T08</t>
        </is>
      </c>
      <c r="B323">
        <f>('Factors applied'!$E$854+'Factors applied'!$E$855)</f>
        <v/>
      </c>
      <c r="C323" s="139">
        <f>IF(ABS(B323-1)&lt;0.000000001,"PASS","FAIL")</f>
        <v/>
      </c>
    </row>
    <row r="324">
      <c r="A324" t="inlineStr">
        <is>
          <t>SoESCaOMCbIC-variableOM.csv | hard coal w CCS | ISIC 30</t>
        </is>
      </c>
      <c r="B324">
        <f>('Factors applied'!$E$856+'Factors applied'!$E$857)</f>
        <v/>
      </c>
      <c r="C324" s="139">
        <f>IF(ABS(B324-1)&lt;0.000000001,"PASS","FAIL")</f>
        <v/>
      </c>
    </row>
    <row r="325">
      <c r="A325" t="inlineStr">
        <is>
          <t>SoESCaOMCbIC-variableOM.csv | hard coal w CCS | ISIC 49T53</t>
        </is>
      </c>
      <c r="B325">
        <f>('Factors applied'!$E$858+'Factors applied'!$E$859+'Factors applied'!$E$860+'Factors applied'!$E$861+'Factors applied'!$E$862)</f>
        <v/>
      </c>
      <c r="C325" s="139">
        <f>IF(ABS(B325-1)&lt;0.000000001,"PASS","FAIL")</f>
        <v/>
      </c>
    </row>
    <row r="326">
      <c r="A326" t="inlineStr">
        <is>
          <t>SoESCaOMCbIC-variableOM.csv | hard coal w CCS | ISIC 69T82</t>
        </is>
      </c>
      <c r="B326">
        <f>('Factors applied'!$E$863+'Factors applied'!$E$864)</f>
        <v/>
      </c>
      <c r="C326" s="139">
        <f>IF(ABS(B326-1)&lt;0.000000001,"PASS","FAIL")</f>
        <v/>
      </c>
    </row>
    <row r="327">
      <c r="A327" t="inlineStr">
        <is>
          <t>SoESCaOMCbIC-variableOM.csv | hard coal w CCS | ISIC 90T96</t>
        </is>
      </c>
      <c r="B327">
        <f>('Factors applied'!$E$865+'Factors applied'!$E$866)</f>
        <v/>
      </c>
      <c r="C327" s="139">
        <f>IF(ABS(B327-1)&lt;0.000000001,"PASS","FAIL")</f>
        <v/>
      </c>
    </row>
    <row r="328">
      <c r="A328" t="inlineStr">
        <is>
          <t>SoESCaOMCbIC-variableOM.csv | heavy or residual fuel oil | ISIC 01T03</t>
        </is>
      </c>
      <c r="B328">
        <f>('Factors applied'!$E$867+'Factors applied'!$E$868+'Factors applied'!$E$869)</f>
        <v/>
      </c>
      <c r="C328" s="139">
        <f>IF(ABS(B328-1)&lt;0.000000001,"PASS","FAIL")</f>
        <v/>
      </c>
    </row>
    <row r="329">
      <c r="A329" t="inlineStr">
        <is>
          <t>SoESCaOMCbIC-variableOM.csv | heavy or residual fuel oil | ISIC 07T08</t>
        </is>
      </c>
      <c r="B329">
        <f>('Factors applied'!$E$870+'Factors applied'!$E$871)</f>
        <v/>
      </c>
      <c r="C329" s="139">
        <f>IF(ABS(B329-1)&lt;0.000000001,"PASS","FAIL")</f>
        <v/>
      </c>
    </row>
    <row r="330">
      <c r="A330" t="inlineStr">
        <is>
          <t>SoESCaOMCbIC-variableOM.csv | heavy or residual fuel oil | ISIC 30</t>
        </is>
      </c>
      <c r="B330">
        <f>('Factors applied'!$E$872+'Factors applied'!$E$873)</f>
        <v/>
      </c>
      <c r="C330" s="139">
        <f>IF(ABS(B330-1)&lt;0.000000001,"PASS","FAIL")</f>
        <v/>
      </c>
    </row>
    <row r="331">
      <c r="A331" t="inlineStr">
        <is>
          <t>SoESCaOMCbIC-variableOM.csv | heavy or residual fuel oil | ISIC 49T53</t>
        </is>
      </c>
      <c r="B331">
        <f>('Factors applied'!$E$874+'Factors applied'!$E$875+'Factors applied'!$E$876+'Factors applied'!$E$877+'Factors applied'!$E$878)</f>
        <v/>
      </c>
      <c r="C331" s="139">
        <f>IF(ABS(B331-1)&lt;0.000000001,"PASS","FAIL")</f>
        <v/>
      </c>
    </row>
    <row r="332">
      <c r="A332" t="inlineStr">
        <is>
          <t>SoESCaOMCbIC-variableOM.csv | heavy or residual fuel oil | ISIC 69T82</t>
        </is>
      </c>
      <c r="B332">
        <f>('Factors applied'!$E$879+'Factors applied'!$E$880)</f>
        <v/>
      </c>
      <c r="C332" s="139">
        <f>IF(ABS(B332-1)&lt;0.000000001,"PASS","FAIL")</f>
        <v/>
      </c>
    </row>
    <row r="333">
      <c r="A333" t="inlineStr">
        <is>
          <t>SoESCaOMCbIC-variableOM.csv | heavy or residual fuel oil | ISIC 90T96</t>
        </is>
      </c>
      <c r="B333">
        <f>('Factors applied'!$E$881+'Factors applied'!$E$882)</f>
        <v/>
      </c>
      <c r="C333" s="139">
        <f>IF(ABS(B333-1)&lt;0.000000001,"PASS","FAIL")</f>
        <v/>
      </c>
    </row>
    <row r="334">
      <c r="A334" t="inlineStr">
        <is>
          <t>SoESCaOMCbIC-variableOM.csv | hydro | ISIC 01T03</t>
        </is>
      </c>
      <c r="B334">
        <f>('Factors applied'!$E$883+'Factors applied'!$E$884+'Factors applied'!$E$885)</f>
        <v/>
      </c>
      <c r="C334" s="139">
        <f>IF(ABS(B334-1)&lt;0.000000001,"PASS","FAIL")</f>
        <v/>
      </c>
    </row>
    <row r="335">
      <c r="A335" t="inlineStr">
        <is>
          <t>SoESCaOMCbIC-variableOM.csv | hydro | ISIC 07T08</t>
        </is>
      </c>
      <c r="B335">
        <f>('Factors applied'!$E$886+'Factors applied'!$E$887)</f>
        <v/>
      </c>
      <c r="C335" s="139">
        <f>IF(ABS(B335-1)&lt;0.000000001,"PASS","FAIL")</f>
        <v/>
      </c>
    </row>
    <row r="336">
      <c r="A336" t="inlineStr">
        <is>
          <t>SoESCaOMCbIC-variableOM.csv | hydro | ISIC 30</t>
        </is>
      </c>
      <c r="B336">
        <f>('Factors applied'!$E$888+'Factors applied'!$E$889)</f>
        <v/>
      </c>
      <c r="C336" s="139">
        <f>IF(ABS(B336-1)&lt;0.000000001,"PASS","FAIL")</f>
        <v/>
      </c>
    </row>
    <row r="337">
      <c r="A337" t="inlineStr">
        <is>
          <t>SoESCaOMCbIC-variableOM.csv | hydro | ISIC 49T53</t>
        </is>
      </c>
      <c r="B337">
        <f>('Factors applied'!$E$890+'Factors applied'!$E$891+'Factors applied'!$E$892+'Factors applied'!$E$893+'Factors applied'!$E$894)</f>
        <v/>
      </c>
      <c r="C337" s="139">
        <f>IF(ABS(B337-1)&lt;0.000000001,"PASS","FAIL")</f>
        <v/>
      </c>
    </row>
    <row r="338">
      <c r="A338" t="inlineStr">
        <is>
          <t>SoESCaOMCbIC-variableOM.csv | hydro | ISIC 69T82</t>
        </is>
      </c>
      <c r="B338">
        <f>('Factors applied'!$E$895+'Factors applied'!$E$896)</f>
        <v/>
      </c>
      <c r="C338" s="139">
        <f>IF(ABS(B338-1)&lt;0.000000001,"PASS","FAIL")</f>
        <v/>
      </c>
    </row>
    <row r="339">
      <c r="A339" t="inlineStr">
        <is>
          <t>SoESCaOMCbIC-variableOM.csv | hydro | ISIC 90T96</t>
        </is>
      </c>
      <c r="B339">
        <f>('Factors applied'!$E$897+'Factors applied'!$E$898)</f>
        <v/>
      </c>
      <c r="C339" s="139">
        <f>IF(ABS(B339-1)&lt;0.000000001,"PASS","FAIL")</f>
        <v/>
      </c>
    </row>
    <row r="340">
      <c r="A340" t="inlineStr">
        <is>
          <t>SoESCaOMCbIC-variableOM.csv | hydrogen combined cycle | ISIC 01T03</t>
        </is>
      </c>
      <c r="B340">
        <f>('Factors applied'!$E$899+'Factors applied'!$E$900+'Factors applied'!$E$901)</f>
        <v/>
      </c>
      <c r="C340" s="139">
        <f>IF(ABS(B340-1)&lt;0.000000001,"PASS","FAIL")</f>
        <v/>
      </c>
    </row>
    <row r="341">
      <c r="A341" t="inlineStr">
        <is>
          <t>SoESCaOMCbIC-variableOM.csv | hydrogen combined cycle | ISIC 07T08</t>
        </is>
      </c>
      <c r="B341">
        <f>('Factors applied'!$E$902+'Factors applied'!$E$903)</f>
        <v/>
      </c>
      <c r="C341" s="139">
        <f>IF(ABS(B341-1)&lt;0.000000001,"PASS","FAIL")</f>
        <v/>
      </c>
    </row>
    <row r="342">
      <c r="A342" t="inlineStr">
        <is>
          <t>SoESCaOMCbIC-variableOM.csv | hydrogen combined cycle | ISIC 30</t>
        </is>
      </c>
      <c r="B342">
        <f>('Factors applied'!$E$904+'Factors applied'!$E$905)</f>
        <v/>
      </c>
      <c r="C342" s="139">
        <f>IF(ABS(B342-1)&lt;0.000000001,"PASS","FAIL")</f>
        <v/>
      </c>
    </row>
    <row r="343">
      <c r="A343" t="inlineStr">
        <is>
          <t>SoESCaOMCbIC-variableOM.csv | hydrogen combined cycle | ISIC 49T53</t>
        </is>
      </c>
      <c r="B343">
        <f>('Factors applied'!$E$906+'Factors applied'!$E$907+'Factors applied'!$E$908+'Factors applied'!$E$909+'Factors applied'!$E$910)</f>
        <v/>
      </c>
      <c r="C343" s="139">
        <f>IF(ABS(B343-1)&lt;0.000000001,"PASS","FAIL")</f>
        <v/>
      </c>
    </row>
    <row r="344">
      <c r="A344" t="inlineStr">
        <is>
          <t>SoESCaOMCbIC-variableOM.csv | hydrogen combined cycle | ISIC 69T82</t>
        </is>
      </c>
      <c r="B344">
        <f>('Factors applied'!$E$911+'Factors applied'!$E$912)</f>
        <v/>
      </c>
      <c r="C344" s="139">
        <f>IF(ABS(B344-1)&lt;0.000000001,"PASS","FAIL")</f>
        <v/>
      </c>
    </row>
    <row r="345">
      <c r="A345" t="inlineStr">
        <is>
          <t>SoESCaOMCbIC-variableOM.csv | hydrogen combined cycle | ISIC 90T96</t>
        </is>
      </c>
      <c r="B345">
        <f>('Factors applied'!$E$913+'Factors applied'!$E$914)</f>
        <v/>
      </c>
      <c r="C345" s="139">
        <f>IF(ABS(B345-1)&lt;0.000000001,"PASS","FAIL")</f>
        <v/>
      </c>
    </row>
    <row r="346">
      <c r="A346" t="inlineStr">
        <is>
          <t>SoESCaOMCbIC-variableOM.csv | hydrogen combustion turbine | ISIC 01T03</t>
        </is>
      </c>
      <c r="B346">
        <f>('Factors applied'!$E$915+'Factors applied'!$E$916+'Factors applied'!$E$917)</f>
        <v/>
      </c>
      <c r="C346" s="139">
        <f>IF(ABS(B346-1)&lt;0.000000001,"PASS","FAIL")</f>
        <v/>
      </c>
    </row>
    <row r="347">
      <c r="A347" t="inlineStr">
        <is>
          <t>SoESCaOMCbIC-variableOM.csv | hydrogen combustion turbine | ISIC 07T08</t>
        </is>
      </c>
      <c r="B347">
        <f>('Factors applied'!$E$918+'Factors applied'!$E$919)</f>
        <v/>
      </c>
      <c r="C347" s="139">
        <f>IF(ABS(B347-1)&lt;0.000000001,"PASS","FAIL")</f>
        <v/>
      </c>
    </row>
    <row r="348">
      <c r="A348" t="inlineStr">
        <is>
          <t>SoESCaOMCbIC-variableOM.csv | hydrogen combustion turbine | ISIC 30</t>
        </is>
      </c>
      <c r="B348">
        <f>('Factors applied'!$E$920+'Factors applied'!$E$921)</f>
        <v/>
      </c>
      <c r="C348" s="139">
        <f>IF(ABS(B348-1)&lt;0.000000001,"PASS","FAIL")</f>
        <v/>
      </c>
    </row>
    <row r="349">
      <c r="A349" t="inlineStr">
        <is>
          <t>SoESCaOMCbIC-variableOM.csv | hydrogen combustion turbine | ISIC 49T53</t>
        </is>
      </c>
      <c r="B349">
        <f>('Factors applied'!$E$922+'Factors applied'!$E$923+'Factors applied'!$E$924+'Factors applied'!$E$925+'Factors applied'!$E$926)</f>
        <v/>
      </c>
      <c r="C349" s="139">
        <f>IF(ABS(B349-1)&lt;0.000000001,"PASS","FAIL")</f>
        <v/>
      </c>
    </row>
    <row r="350">
      <c r="A350" t="inlineStr">
        <is>
          <t>SoESCaOMCbIC-variableOM.csv | hydrogen combustion turbine | ISIC 69T82</t>
        </is>
      </c>
      <c r="B350">
        <f>('Factors applied'!$E$927+'Factors applied'!$E$928)</f>
        <v/>
      </c>
      <c r="C350" s="139">
        <f>IF(ABS(B350-1)&lt;0.000000001,"PASS","FAIL")</f>
        <v/>
      </c>
    </row>
    <row r="351">
      <c r="A351" t="inlineStr">
        <is>
          <t>SoESCaOMCbIC-variableOM.csv | hydrogen combustion turbine | ISIC 90T96</t>
        </is>
      </c>
      <c r="B351">
        <f>('Factors applied'!$E$929+'Factors applied'!$E$930)</f>
        <v/>
      </c>
      <c r="C351" s="139">
        <f>IF(ABS(B351-1)&lt;0.000000001,"PASS","FAIL")</f>
        <v/>
      </c>
    </row>
    <row r="352">
      <c r="A352" t="inlineStr">
        <is>
          <t>SoESCaOMCbIC-variableOM.csv | lignite | ISIC 01T03</t>
        </is>
      </c>
      <c r="B352">
        <f>('Factors applied'!$E$931+'Factors applied'!$E$932+'Factors applied'!$E$933)</f>
        <v/>
      </c>
      <c r="C352" s="139">
        <f>IF(ABS(B352-1)&lt;0.000000001,"PASS","FAIL")</f>
        <v/>
      </c>
    </row>
    <row r="353">
      <c r="A353" t="inlineStr">
        <is>
          <t>SoESCaOMCbIC-variableOM.csv | lignite | ISIC 07T08</t>
        </is>
      </c>
      <c r="B353">
        <f>('Factors applied'!$E$934+'Factors applied'!$E$935)</f>
        <v/>
      </c>
      <c r="C353" s="139">
        <f>IF(ABS(B353-1)&lt;0.000000001,"PASS","FAIL")</f>
        <v/>
      </c>
    </row>
    <row r="354">
      <c r="A354" t="inlineStr">
        <is>
          <t>SoESCaOMCbIC-variableOM.csv | lignite | ISIC 30</t>
        </is>
      </c>
      <c r="B354">
        <f>('Factors applied'!$E$936+'Factors applied'!$E$937)</f>
        <v/>
      </c>
      <c r="C354" s="139">
        <f>IF(ABS(B354-1)&lt;0.000000001,"PASS","FAIL")</f>
        <v/>
      </c>
    </row>
    <row r="355">
      <c r="A355" t="inlineStr">
        <is>
          <t>SoESCaOMCbIC-variableOM.csv | lignite | ISIC 49T53</t>
        </is>
      </c>
      <c r="B355">
        <f>('Factors applied'!$E$938+'Factors applied'!$E$939+'Factors applied'!$E$940+'Factors applied'!$E$941+'Factors applied'!$E$942)</f>
        <v/>
      </c>
      <c r="C355" s="139">
        <f>IF(ABS(B355-1)&lt;0.000000001,"PASS","FAIL")</f>
        <v/>
      </c>
    </row>
    <row r="356">
      <c r="A356" t="inlineStr">
        <is>
          <t>SoESCaOMCbIC-variableOM.csv | lignite | ISIC 69T82</t>
        </is>
      </c>
      <c r="B356">
        <f>('Factors applied'!$E$943+'Factors applied'!$E$944)</f>
        <v/>
      </c>
      <c r="C356" s="139">
        <f>IF(ABS(B356-1)&lt;0.000000001,"PASS","FAIL")</f>
        <v/>
      </c>
    </row>
    <row r="357">
      <c r="A357" t="inlineStr">
        <is>
          <t>SoESCaOMCbIC-variableOM.csv | lignite | ISIC 90T96</t>
        </is>
      </c>
      <c r="B357">
        <f>('Factors applied'!$E$945+'Factors applied'!$E$946)</f>
        <v/>
      </c>
      <c r="C357" s="139">
        <f>IF(ABS(B357-1)&lt;0.000000001,"PASS","FAIL")</f>
        <v/>
      </c>
    </row>
    <row r="358">
      <c r="A358" t="inlineStr">
        <is>
          <t>SoESCaOMCbIC-variableOM.csv | lignite w CCS | ISIC 01T03</t>
        </is>
      </c>
      <c r="B358">
        <f>('Factors applied'!$E$947+'Factors applied'!$E$948+'Factors applied'!$E$949)</f>
        <v/>
      </c>
      <c r="C358" s="139">
        <f>IF(ABS(B358-1)&lt;0.000000001,"PASS","FAIL")</f>
        <v/>
      </c>
    </row>
    <row r="359">
      <c r="A359" t="inlineStr">
        <is>
          <t>SoESCaOMCbIC-variableOM.csv | lignite w CCS | ISIC 07T08</t>
        </is>
      </c>
      <c r="B359">
        <f>('Factors applied'!$E$950+'Factors applied'!$E$951)</f>
        <v/>
      </c>
      <c r="C359" s="139">
        <f>IF(ABS(B359-1)&lt;0.000000001,"PASS","FAIL")</f>
        <v/>
      </c>
    </row>
    <row r="360">
      <c r="A360" t="inlineStr">
        <is>
          <t>SoESCaOMCbIC-variableOM.csv | lignite w CCS | ISIC 30</t>
        </is>
      </c>
      <c r="B360">
        <f>('Factors applied'!$E$952+'Factors applied'!$E$953)</f>
        <v/>
      </c>
      <c r="C360" s="139">
        <f>IF(ABS(B360-1)&lt;0.000000001,"PASS","FAIL")</f>
        <v/>
      </c>
    </row>
    <row r="361">
      <c r="A361" t="inlineStr">
        <is>
          <t>SoESCaOMCbIC-variableOM.csv | lignite w CCS | ISIC 49T53</t>
        </is>
      </c>
      <c r="B361">
        <f>('Factors applied'!$E$954+'Factors applied'!$E$955+'Factors applied'!$E$956+'Factors applied'!$E$957+'Factors applied'!$E$958)</f>
        <v/>
      </c>
      <c r="C361" s="139">
        <f>IF(ABS(B361-1)&lt;0.000000001,"PASS","FAIL")</f>
        <v/>
      </c>
    </row>
    <row r="362">
      <c r="A362" t="inlineStr">
        <is>
          <t>SoESCaOMCbIC-variableOM.csv | lignite w CCS | ISIC 69T82</t>
        </is>
      </c>
      <c r="B362">
        <f>('Factors applied'!$E$959+'Factors applied'!$E$960)</f>
        <v/>
      </c>
      <c r="C362" s="139">
        <f>IF(ABS(B362-1)&lt;0.000000001,"PASS","FAIL")</f>
        <v/>
      </c>
    </row>
    <row r="363">
      <c r="A363" t="inlineStr">
        <is>
          <t>SoESCaOMCbIC-variableOM.csv | lignite w CCS | ISIC 90T96</t>
        </is>
      </c>
      <c r="B363">
        <f>('Factors applied'!$E$961+'Factors applied'!$E$962)</f>
        <v/>
      </c>
      <c r="C363" s="139">
        <f>IF(ABS(B363-1)&lt;0.000000001,"PASS","FAIL")</f>
        <v/>
      </c>
    </row>
    <row r="364">
      <c r="A364" t="inlineStr">
        <is>
          <t>SoESCaOMCbIC-variableOM.csv | municipal solid waste | ISIC 01T03</t>
        </is>
      </c>
      <c r="B364">
        <f>('Factors applied'!$E$963+'Factors applied'!$E$964+'Factors applied'!$E$965)</f>
        <v/>
      </c>
      <c r="C364" s="139">
        <f>IF(ABS(B364-1)&lt;0.000000001,"PASS","FAIL")</f>
        <v/>
      </c>
    </row>
    <row r="365">
      <c r="A365" t="inlineStr">
        <is>
          <t>SoESCaOMCbIC-variableOM.csv | municipal solid waste | ISIC 07T08</t>
        </is>
      </c>
      <c r="B365">
        <f>('Factors applied'!$E$966+'Factors applied'!$E$967)</f>
        <v/>
      </c>
      <c r="C365" s="139">
        <f>IF(ABS(B365-1)&lt;0.000000001,"PASS","FAIL")</f>
        <v/>
      </c>
    </row>
    <row r="366">
      <c r="A366" t="inlineStr">
        <is>
          <t>SoESCaOMCbIC-variableOM.csv | municipal solid waste | ISIC 30</t>
        </is>
      </c>
      <c r="B366">
        <f>('Factors applied'!$E$968+'Factors applied'!$E$969)</f>
        <v/>
      </c>
      <c r="C366" s="139">
        <f>IF(ABS(B366-1)&lt;0.000000001,"PASS","FAIL")</f>
        <v/>
      </c>
    </row>
    <row r="367">
      <c r="A367" t="inlineStr">
        <is>
          <t>SoESCaOMCbIC-variableOM.csv | municipal solid waste | ISIC 49T53</t>
        </is>
      </c>
      <c r="B367">
        <f>('Factors applied'!$E$970+'Factors applied'!$E$971+'Factors applied'!$E$972+'Factors applied'!$E$973+'Factors applied'!$E$974)</f>
        <v/>
      </c>
      <c r="C367" s="139">
        <f>IF(ABS(B367-1)&lt;0.000000001,"PASS","FAIL")</f>
        <v/>
      </c>
    </row>
    <row r="368">
      <c r="A368" t="inlineStr">
        <is>
          <t>SoESCaOMCbIC-variableOM.csv | municipal solid waste | ISIC 69T82</t>
        </is>
      </c>
      <c r="B368">
        <f>('Factors applied'!$E$975+'Factors applied'!$E$976)</f>
        <v/>
      </c>
      <c r="C368" s="139">
        <f>IF(ABS(B368-1)&lt;0.000000001,"PASS","FAIL")</f>
        <v/>
      </c>
    </row>
    <row r="369">
      <c r="A369" t="inlineStr">
        <is>
          <t>SoESCaOMCbIC-variableOM.csv | municipal solid waste | ISIC 90T96</t>
        </is>
      </c>
      <c r="B369">
        <f>('Factors applied'!$E$977+'Factors applied'!$E$978)</f>
        <v/>
      </c>
      <c r="C369" s="139">
        <f>IF(ABS(B369-1)&lt;0.000000001,"PASS","FAIL")</f>
        <v/>
      </c>
    </row>
    <row r="370">
      <c r="A370" t="inlineStr">
        <is>
          <t>SoESCaOMCbIC-variableOM.csv | natural gas combined cycle | ISIC 01T03</t>
        </is>
      </c>
      <c r="B370">
        <f>('Factors applied'!$E$979+'Factors applied'!$E$980+'Factors applied'!$E$981)</f>
        <v/>
      </c>
      <c r="C370" s="139">
        <f>IF(ABS(B370-1)&lt;0.000000001,"PASS","FAIL")</f>
        <v/>
      </c>
    </row>
    <row r="371">
      <c r="A371" t="inlineStr">
        <is>
          <t>SoESCaOMCbIC-variableOM.csv | natural gas combined cycle | ISIC 07T08</t>
        </is>
      </c>
      <c r="B371">
        <f>('Factors applied'!$E$982+'Factors applied'!$E$983)</f>
        <v/>
      </c>
      <c r="C371" s="139">
        <f>IF(ABS(B371-1)&lt;0.000000001,"PASS","FAIL")</f>
        <v/>
      </c>
    </row>
    <row r="372">
      <c r="A372" t="inlineStr">
        <is>
          <t>SoESCaOMCbIC-variableOM.csv | natural gas combined cycle | ISIC 30</t>
        </is>
      </c>
      <c r="B372">
        <f>('Factors applied'!$E$984+'Factors applied'!$E$985)</f>
        <v/>
      </c>
      <c r="C372" s="139">
        <f>IF(ABS(B372-1)&lt;0.000000001,"PASS","FAIL")</f>
        <v/>
      </c>
    </row>
    <row r="373">
      <c r="A373" t="inlineStr">
        <is>
          <t>SoESCaOMCbIC-variableOM.csv | natural gas combined cycle | ISIC 49T53</t>
        </is>
      </c>
      <c r="B373">
        <f>('Factors applied'!$E$986+'Factors applied'!$E$987+'Factors applied'!$E$988+'Factors applied'!$E$989+'Factors applied'!$E$990)</f>
        <v/>
      </c>
      <c r="C373" s="139">
        <f>IF(ABS(B373-1)&lt;0.000000001,"PASS","FAIL")</f>
        <v/>
      </c>
    </row>
    <row r="374">
      <c r="A374" t="inlineStr">
        <is>
          <t>SoESCaOMCbIC-variableOM.csv | natural gas combined cycle | ISIC 69T82</t>
        </is>
      </c>
      <c r="B374">
        <f>('Factors applied'!$E$991+'Factors applied'!$E$992)</f>
        <v/>
      </c>
      <c r="C374" s="139">
        <f>IF(ABS(B374-1)&lt;0.000000001,"PASS","FAIL")</f>
        <v/>
      </c>
    </row>
    <row r="375">
      <c r="A375" t="inlineStr">
        <is>
          <t>SoESCaOMCbIC-variableOM.csv | natural gas combined cycle | ISIC 90T96</t>
        </is>
      </c>
      <c r="B375">
        <f>('Factors applied'!$E$993+'Factors applied'!$E$994)</f>
        <v/>
      </c>
      <c r="C375" s="139">
        <f>IF(ABS(B375-1)&lt;0.000000001,"PASS","FAIL")</f>
        <v/>
      </c>
    </row>
    <row r="376">
      <c r="A376" t="inlineStr">
        <is>
          <t>SoESCaOMCbIC-variableOM.csv | natural gas combined cycle w C | ISIC 01T03</t>
        </is>
      </c>
      <c r="B376">
        <f>('Factors applied'!$E$995+'Factors applied'!$E$996+'Factors applied'!$E$997)</f>
        <v/>
      </c>
      <c r="C376" s="139">
        <f>IF(ABS(B376-1)&lt;0.000000001,"PASS","FAIL")</f>
        <v/>
      </c>
    </row>
    <row r="377">
      <c r="A377" t="inlineStr">
        <is>
          <t>SoESCaOMCbIC-variableOM.csv | natural gas combined cycle w C | ISIC 07T08</t>
        </is>
      </c>
      <c r="B377">
        <f>('Factors applied'!$E$998+'Factors applied'!$E$999)</f>
        <v/>
      </c>
      <c r="C377" s="139">
        <f>IF(ABS(B377-1)&lt;0.000000001,"PASS","FAIL")</f>
        <v/>
      </c>
    </row>
    <row r="378">
      <c r="A378" t="inlineStr">
        <is>
          <t>SoESCaOMCbIC-variableOM.csv | natural gas combined cycle w C | ISIC 30</t>
        </is>
      </c>
      <c r="B378">
        <f>('Factors applied'!$E$1000+'Factors applied'!$E$1001)</f>
        <v/>
      </c>
      <c r="C378" s="139">
        <f>IF(ABS(B378-1)&lt;0.000000001,"PASS","FAIL")</f>
        <v/>
      </c>
    </row>
    <row r="379">
      <c r="A379" t="inlineStr">
        <is>
          <t>SoESCaOMCbIC-variableOM.csv | natural gas combined cycle w C | ISIC 49T53</t>
        </is>
      </c>
      <c r="B379">
        <f>('Factors applied'!$E$1002+'Factors applied'!$E$1003+'Factors applied'!$E$1004+'Factors applied'!$E$1005+'Factors applied'!$E$1006)</f>
        <v/>
      </c>
      <c r="C379" s="139">
        <f>IF(ABS(B379-1)&lt;0.000000001,"PASS","FAIL")</f>
        <v/>
      </c>
    </row>
    <row r="380">
      <c r="A380" t="inlineStr">
        <is>
          <t>SoESCaOMCbIC-variableOM.csv | natural gas combined cycle w C | ISIC 69T82</t>
        </is>
      </c>
      <c r="B380">
        <f>('Factors applied'!$E$1007+'Factors applied'!$E$1008)</f>
        <v/>
      </c>
      <c r="C380" s="139">
        <f>IF(ABS(B380-1)&lt;0.000000001,"PASS","FAIL")</f>
        <v/>
      </c>
    </row>
    <row r="381">
      <c r="A381" t="inlineStr">
        <is>
          <t>SoESCaOMCbIC-variableOM.csv | natural gas combined cycle w C | ISIC 90T96</t>
        </is>
      </c>
      <c r="B381">
        <f>('Factors applied'!$E$1009+'Factors applied'!$E$1010)</f>
        <v/>
      </c>
      <c r="C381" s="139">
        <f>IF(ABS(B381-1)&lt;0.000000001,"PASS","FAIL")</f>
        <v/>
      </c>
    </row>
    <row r="382">
      <c r="A382" t="inlineStr">
        <is>
          <t>SoESCaOMCbIC-variableOM.csv | natural gas peaker | ISIC 01T03</t>
        </is>
      </c>
      <c r="B382">
        <f>('Factors applied'!$E$1011+'Factors applied'!$E$1012+'Factors applied'!$E$1013)</f>
        <v/>
      </c>
      <c r="C382" s="139">
        <f>IF(ABS(B382-1)&lt;0.000000001,"PASS","FAIL")</f>
        <v/>
      </c>
    </row>
    <row r="383">
      <c r="A383" t="inlineStr">
        <is>
          <t>SoESCaOMCbIC-variableOM.csv | natural gas peaker | ISIC 07T08</t>
        </is>
      </c>
      <c r="B383">
        <f>('Factors applied'!$E$1014+'Factors applied'!$E$1015)</f>
        <v/>
      </c>
      <c r="C383" s="139">
        <f>IF(ABS(B383-1)&lt;0.000000001,"PASS","FAIL")</f>
        <v/>
      </c>
    </row>
    <row r="384">
      <c r="A384" t="inlineStr">
        <is>
          <t>SoESCaOMCbIC-variableOM.csv | natural gas peaker | ISIC 30</t>
        </is>
      </c>
      <c r="B384">
        <f>('Factors applied'!$E$1016+'Factors applied'!$E$1017)</f>
        <v/>
      </c>
      <c r="C384" s="139">
        <f>IF(ABS(B384-1)&lt;0.000000001,"PASS","FAIL")</f>
        <v/>
      </c>
    </row>
    <row r="385">
      <c r="A385" t="inlineStr">
        <is>
          <t>SoESCaOMCbIC-variableOM.csv | natural gas peaker | ISIC 49T53</t>
        </is>
      </c>
      <c r="B385">
        <f>('Factors applied'!$E$1018+'Factors applied'!$E$1019+'Factors applied'!$E$1020+'Factors applied'!$E$1021+'Factors applied'!$E$1022)</f>
        <v/>
      </c>
      <c r="C385" s="139">
        <f>IF(ABS(B385-1)&lt;0.000000001,"PASS","FAIL")</f>
        <v/>
      </c>
    </row>
    <row r="386">
      <c r="A386" t="inlineStr">
        <is>
          <t>SoESCaOMCbIC-variableOM.csv | natural gas peaker | ISIC 69T82</t>
        </is>
      </c>
      <c r="B386">
        <f>('Factors applied'!$E$1023+'Factors applied'!$E$1024)</f>
        <v/>
      </c>
      <c r="C386" s="139">
        <f>IF(ABS(B386-1)&lt;0.000000001,"PASS","FAIL")</f>
        <v/>
      </c>
    </row>
    <row r="387">
      <c r="A387" t="inlineStr">
        <is>
          <t>SoESCaOMCbIC-variableOM.csv | natural gas peaker | ISIC 90T96</t>
        </is>
      </c>
      <c r="B387">
        <f>('Factors applied'!$E$1025+'Factors applied'!$E$1026)</f>
        <v/>
      </c>
      <c r="C387" s="139">
        <f>IF(ABS(B387-1)&lt;0.000000001,"PASS","FAIL")</f>
        <v/>
      </c>
    </row>
    <row r="388">
      <c r="A388" t="inlineStr">
        <is>
          <t>SoESCaOMCbIC-variableOM.csv | natural gas steam turbine | ISIC 01T03</t>
        </is>
      </c>
      <c r="B388">
        <f>('Factors applied'!$E$1027+'Factors applied'!$E$1028+'Factors applied'!$E$1029)</f>
        <v/>
      </c>
      <c r="C388" s="139">
        <f>IF(ABS(B388-1)&lt;0.000000001,"PASS","FAIL")</f>
        <v/>
      </c>
    </row>
    <row r="389">
      <c r="A389" t="inlineStr">
        <is>
          <t>SoESCaOMCbIC-variableOM.csv | natural gas steam turbine | ISIC 07T08</t>
        </is>
      </c>
      <c r="B389">
        <f>('Factors applied'!$E$1030+'Factors applied'!$E$1031)</f>
        <v/>
      </c>
      <c r="C389" s="139">
        <f>IF(ABS(B389-1)&lt;0.000000001,"PASS","FAIL")</f>
        <v/>
      </c>
    </row>
    <row r="390">
      <c r="A390" t="inlineStr">
        <is>
          <t>SoESCaOMCbIC-variableOM.csv | natural gas steam turbine | ISIC 30</t>
        </is>
      </c>
      <c r="B390">
        <f>('Factors applied'!$E$1032+'Factors applied'!$E$1033)</f>
        <v/>
      </c>
      <c r="C390" s="139">
        <f>IF(ABS(B390-1)&lt;0.000000001,"PASS","FAIL")</f>
        <v/>
      </c>
    </row>
    <row r="391">
      <c r="A391" t="inlineStr">
        <is>
          <t>SoESCaOMCbIC-variableOM.csv | natural gas steam turbine | ISIC 49T53</t>
        </is>
      </c>
      <c r="B391">
        <f>('Factors applied'!$E$1034+'Factors applied'!$E$1035+'Factors applied'!$E$1036+'Factors applied'!$E$1037+'Factors applied'!$E$1038)</f>
        <v/>
      </c>
      <c r="C391" s="139">
        <f>IF(ABS(B391-1)&lt;0.000000001,"PASS","FAIL")</f>
        <v/>
      </c>
    </row>
    <row r="392">
      <c r="A392" t="inlineStr">
        <is>
          <t>SoESCaOMCbIC-variableOM.csv | natural gas steam turbine | ISIC 69T82</t>
        </is>
      </c>
      <c r="B392">
        <f>('Factors applied'!$E$1039+'Factors applied'!$E$1040)</f>
        <v/>
      </c>
      <c r="C392" s="139">
        <f>IF(ABS(B392-1)&lt;0.000000001,"PASS","FAIL")</f>
        <v/>
      </c>
    </row>
    <row r="393">
      <c r="A393" t="inlineStr">
        <is>
          <t>SoESCaOMCbIC-variableOM.csv | natural gas steam turbine | ISIC 90T96</t>
        </is>
      </c>
      <c r="B393">
        <f>('Factors applied'!$E$1041+'Factors applied'!$E$1042)</f>
        <v/>
      </c>
      <c r="C393" s="139">
        <f>IF(ABS(B393-1)&lt;0.000000001,"PASS","FAIL")</f>
        <v/>
      </c>
    </row>
    <row r="394">
      <c r="A394" t="inlineStr">
        <is>
          <t>SoESCaOMCbIC-variableOM.csv | nuclear | ISIC 01T03</t>
        </is>
      </c>
      <c r="B394">
        <f>('Factors applied'!$E$1043+'Factors applied'!$E$1044+'Factors applied'!$E$1045)</f>
        <v/>
      </c>
      <c r="C394" s="139">
        <f>IF(ABS(B394-1)&lt;0.000000001,"PASS","FAIL")</f>
        <v/>
      </c>
    </row>
    <row r="395">
      <c r="A395" t="inlineStr">
        <is>
          <t>SoESCaOMCbIC-variableOM.csv | nuclear | ISIC 07T08</t>
        </is>
      </c>
      <c r="B395">
        <f>('Factors applied'!$E$1046+'Factors applied'!$E$1047)</f>
        <v/>
      </c>
      <c r="C395" s="139">
        <f>IF(ABS(B395-1)&lt;0.000000001,"PASS","FAIL")</f>
        <v/>
      </c>
    </row>
    <row r="396">
      <c r="A396" t="inlineStr">
        <is>
          <t>SoESCaOMCbIC-variableOM.csv | nuclear | ISIC 30</t>
        </is>
      </c>
      <c r="B396">
        <f>('Factors applied'!$E$1048+'Factors applied'!$E$1049)</f>
        <v/>
      </c>
      <c r="C396" s="139">
        <f>IF(ABS(B396-1)&lt;0.000000001,"PASS","FAIL")</f>
        <v/>
      </c>
    </row>
    <row r="397">
      <c r="A397" t="inlineStr">
        <is>
          <t>SoESCaOMCbIC-variableOM.csv | nuclear | ISIC 49T53</t>
        </is>
      </c>
      <c r="B397">
        <f>('Factors applied'!$E$1050+'Factors applied'!$E$1051+'Factors applied'!$E$1052+'Factors applied'!$E$1053+'Factors applied'!$E$1054)</f>
        <v/>
      </c>
      <c r="C397" s="139">
        <f>IF(ABS(B397-1)&lt;0.000000001,"PASS","FAIL")</f>
        <v/>
      </c>
    </row>
    <row r="398">
      <c r="A398" t="inlineStr">
        <is>
          <t>SoESCaOMCbIC-variableOM.csv | nuclear | ISIC 69T82</t>
        </is>
      </c>
      <c r="B398">
        <f>('Factors applied'!$E$1055+'Factors applied'!$E$1056)</f>
        <v/>
      </c>
      <c r="C398" s="139">
        <f>IF(ABS(B398-1)&lt;0.000000001,"PASS","FAIL")</f>
        <v/>
      </c>
    </row>
    <row r="399">
      <c r="A399" t="inlineStr">
        <is>
          <t>SoESCaOMCbIC-variableOM.csv | nuclear | ISIC 90T96</t>
        </is>
      </c>
      <c r="B399">
        <f>('Factors applied'!$E$1057+'Factors applied'!$E$1058)</f>
        <v/>
      </c>
      <c r="C399" s="139">
        <f>IF(ABS(B399-1)&lt;0.000000001,"PASS","FAIL")</f>
        <v/>
      </c>
    </row>
    <row r="400">
      <c r="A400" t="inlineStr">
        <is>
          <t>SoESCaOMCbIC-variableOM.csv | offshore wind | ISIC 01T03</t>
        </is>
      </c>
      <c r="B400">
        <f>('Factors applied'!$E$1059+'Factors applied'!$E$1060+'Factors applied'!$E$1061)</f>
        <v/>
      </c>
      <c r="C400" s="139">
        <f>IF(ABS(B400-1)&lt;0.000000001,"PASS","FAIL")</f>
        <v/>
      </c>
    </row>
    <row r="401">
      <c r="A401" t="inlineStr">
        <is>
          <t>SoESCaOMCbIC-variableOM.csv | offshore wind | ISIC 07T08</t>
        </is>
      </c>
      <c r="B401">
        <f>('Factors applied'!$E$1062+'Factors applied'!$E$1063)</f>
        <v/>
      </c>
      <c r="C401" s="139">
        <f>IF(ABS(B401-1)&lt;0.000000001,"PASS","FAIL")</f>
        <v/>
      </c>
    </row>
    <row r="402">
      <c r="A402" t="inlineStr">
        <is>
          <t>SoESCaOMCbIC-variableOM.csv | offshore wind | ISIC 30</t>
        </is>
      </c>
      <c r="B402">
        <f>('Factors applied'!$E$1064+'Factors applied'!$E$1065)</f>
        <v/>
      </c>
      <c r="C402" s="139">
        <f>IF(ABS(B402-1)&lt;0.000000001,"PASS","FAIL")</f>
        <v/>
      </c>
    </row>
    <row r="403">
      <c r="A403" t="inlineStr">
        <is>
          <t>SoESCaOMCbIC-variableOM.csv | offshore wind | ISIC 49T53</t>
        </is>
      </c>
      <c r="B403">
        <f>('Factors applied'!$E$1066+'Factors applied'!$E$1067+'Factors applied'!$E$1068+'Factors applied'!$E$1069+'Factors applied'!$E$1070)</f>
        <v/>
      </c>
      <c r="C403" s="139">
        <f>IF(ABS(B403-1)&lt;0.000000001,"PASS","FAIL")</f>
        <v/>
      </c>
    </row>
    <row r="404">
      <c r="A404" t="inlineStr">
        <is>
          <t>SoESCaOMCbIC-variableOM.csv | offshore wind | ISIC 69T82</t>
        </is>
      </c>
      <c r="B404">
        <f>('Factors applied'!$E$1071+'Factors applied'!$E$1072)</f>
        <v/>
      </c>
      <c r="C404" s="139">
        <f>IF(ABS(B404-1)&lt;0.000000001,"PASS","FAIL")</f>
        <v/>
      </c>
    </row>
    <row r="405">
      <c r="A405" t="inlineStr">
        <is>
          <t>SoESCaOMCbIC-variableOM.csv | offshore wind | ISIC 90T96</t>
        </is>
      </c>
      <c r="B405">
        <f>('Factors applied'!$E$1073+'Factors applied'!$E$1074)</f>
        <v/>
      </c>
      <c r="C405" s="139">
        <f>IF(ABS(B405-1)&lt;0.000000001,"PASS","FAIL")</f>
        <v/>
      </c>
    </row>
    <row r="406">
      <c r="A406" t="inlineStr">
        <is>
          <t>SoESCaOMCbIC-variableOM.csv | petroleum | ISIC 01T03</t>
        </is>
      </c>
      <c r="B406">
        <f>('Factors applied'!$E$1075+'Factors applied'!$E$1076+'Factors applied'!$E$1077)</f>
        <v/>
      </c>
      <c r="C406" s="139">
        <f>IF(ABS(B406-1)&lt;0.000000001,"PASS","FAIL")</f>
        <v/>
      </c>
    </row>
    <row r="407">
      <c r="A407" t="inlineStr">
        <is>
          <t>SoESCaOMCbIC-variableOM.csv | petroleum | ISIC 07T08</t>
        </is>
      </c>
      <c r="B407">
        <f>('Factors applied'!$E$1078+'Factors applied'!$E$1079)</f>
        <v/>
      </c>
      <c r="C407" s="139">
        <f>IF(ABS(B407-1)&lt;0.000000001,"PASS","FAIL")</f>
        <v/>
      </c>
    </row>
    <row r="408">
      <c r="A408" t="inlineStr">
        <is>
          <t>SoESCaOMCbIC-variableOM.csv | petroleum | ISIC 30</t>
        </is>
      </c>
      <c r="B408">
        <f>('Factors applied'!$E$1080+'Factors applied'!$E$1081)</f>
        <v/>
      </c>
      <c r="C408" s="139">
        <f>IF(ABS(B408-1)&lt;0.000000001,"PASS","FAIL")</f>
        <v/>
      </c>
    </row>
    <row r="409">
      <c r="A409" t="inlineStr">
        <is>
          <t>SoESCaOMCbIC-variableOM.csv | petroleum | ISIC 49T53</t>
        </is>
      </c>
      <c r="B409">
        <f>('Factors applied'!$E$1082+'Factors applied'!$E$1083+'Factors applied'!$E$1084+'Factors applied'!$E$1085+'Factors applied'!$E$1086)</f>
        <v/>
      </c>
      <c r="C409" s="139">
        <f>IF(ABS(B409-1)&lt;0.000000001,"PASS","FAIL")</f>
        <v/>
      </c>
    </row>
    <row r="410">
      <c r="A410" t="inlineStr">
        <is>
          <t>SoESCaOMCbIC-variableOM.csv | petroleum | ISIC 69T82</t>
        </is>
      </c>
      <c r="B410">
        <f>('Factors applied'!$E$1087+'Factors applied'!$E$1088)</f>
        <v/>
      </c>
      <c r="C410" s="139">
        <f>IF(ABS(B410-1)&lt;0.000000001,"PASS","FAIL")</f>
        <v/>
      </c>
    </row>
    <row r="411">
      <c r="A411" t="inlineStr">
        <is>
          <t>SoESCaOMCbIC-variableOM.csv | petroleum | ISIC 90T96</t>
        </is>
      </c>
      <c r="B411">
        <f>('Factors applied'!$E$1089+'Factors applied'!$E$1090)</f>
        <v/>
      </c>
      <c r="C411" s="139">
        <f>IF(ABS(B411-1)&lt;0.000000001,"PASS","FAIL")</f>
        <v/>
      </c>
    </row>
    <row r="412">
      <c r="A412" t="inlineStr">
        <is>
          <t>SoESCaOMCbIC-variableOM.csv | small modular reactor | ISIC 01T03</t>
        </is>
      </c>
      <c r="B412">
        <f>('Factors applied'!$E$1091+'Factors applied'!$E$1092+'Factors applied'!$E$1093)</f>
        <v/>
      </c>
      <c r="C412" s="139">
        <f>IF(ABS(B412-1)&lt;0.000000001,"PASS","FAIL")</f>
        <v/>
      </c>
    </row>
    <row r="413">
      <c r="A413" t="inlineStr">
        <is>
          <t>SoESCaOMCbIC-variableOM.csv | small modular reactor | ISIC 07T08</t>
        </is>
      </c>
      <c r="B413">
        <f>('Factors applied'!$E$1094+'Factors applied'!$E$1095)</f>
        <v/>
      </c>
      <c r="C413" s="139">
        <f>IF(ABS(B413-1)&lt;0.000000001,"PASS","FAIL")</f>
        <v/>
      </c>
    </row>
    <row r="414">
      <c r="A414" t="inlineStr">
        <is>
          <t>SoESCaOMCbIC-variableOM.csv | small modular reactor | ISIC 30</t>
        </is>
      </c>
      <c r="B414">
        <f>('Factors applied'!$E$1096+'Factors applied'!$E$1097)</f>
        <v/>
      </c>
      <c r="C414" s="139">
        <f>IF(ABS(B414-1)&lt;0.000000001,"PASS","FAIL")</f>
        <v/>
      </c>
    </row>
    <row r="415">
      <c r="A415" t="inlineStr">
        <is>
          <t>SoESCaOMCbIC-variableOM.csv | small modular reactor | ISIC 49T53</t>
        </is>
      </c>
      <c r="B415">
        <f>('Factors applied'!$E$1098+'Factors applied'!$E$1099+'Factors applied'!$E$1100+'Factors applied'!$E$1101+'Factors applied'!$E$1102)</f>
        <v/>
      </c>
      <c r="C415" s="139">
        <f>IF(ABS(B415-1)&lt;0.000000001,"PASS","FAIL")</f>
        <v/>
      </c>
    </row>
    <row r="416">
      <c r="A416" t="inlineStr">
        <is>
          <t>SoESCaOMCbIC-variableOM.csv | small modular reactor | ISIC 69T82</t>
        </is>
      </c>
      <c r="B416">
        <f>('Factors applied'!$E$1103+'Factors applied'!$E$1104)</f>
        <v/>
      </c>
      <c r="C416" s="139">
        <f>IF(ABS(B416-1)&lt;0.000000001,"PASS","FAIL")</f>
        <v/>
      </c>
    </row>
    <row r="417">
      <c r="A417" t="inlineStr">
        <is>
          <t>SoESCaOMCbIC-variableOM.csv | small modular reactor | ISIC 90T96</t>
        </is>
      </c>
      <c r="B417">
        <f>('Factors applied'!$E$1105+'Factors applied'!$E$1106)</f>
        <v/>
      </c>
      <c r="C417" s="139">
        <f>IF(ABS(B417-1)&lt;0.000000001,"PASS","FAIL")</f>
        <v/>
      </c>
    </row>
    <row r="418">
      <c r="A418" t="inlineStr">
        <is>
          <t>SoESCaOMCbIC-variableOM.csv | solar PV | ISIC 01T03</t>
        </is>
      </c>
      <c r="B418">
        <f>('Factors applied'!$E$1107+'Factors applied'!$E$1108+'Factors applied'!$E$1109)</f>
        <v/>
      </c>
      <c r="C418" s="139">
        <f>IF(ABS(B418-1)&lt;0.000000001,"PASS","FAIL")</f>
        <v/>
      </c>
    </row>
    <row r="419">
      <c r="A419" t="inlineStr">
        <is>
          <t>SoESCaOMCbIC-variableOM.csv | solar PV | ISIC 07T08</t>
        </is>
      </c>
      <c r="B419">
        <f>('Factors applied'!$E$1110+'Factors applied'!$E$1111)</f>
        <v/>
      </c>
      <c r="C419" s="139">
        <f>IF(ABS(B419-1)&lt;0.000000001,"PASS","FAIL")</f>
        <v/>
      </c>
    </row>
    <row r="420">
      <c r="A420" t="inlineStr">
        <is>
          <t>SoESCaOMCbIC-variableOM.csv | solar PV | ISIC 30</t>
        </is>
      </c>
      <c r="B420">
        <f>('Factors applied'!$E$1112+'Factors applied'!$E$1113)</f>
        <v/>
      </c>
      <c r="C420" s="139">
        <f>IF(ABS(B420-1)&lt;0.000000001,"PASS","FAIL")</f>
        <v/>
      </c>
    </row>
    <row r="421">
      <c r="A421" t="inlineStr">
        <is>
          <t>SoESCaOMCbIC-variableOM.csv | solar PV | ISIC 49T53</t>
        </is>
      </c>
      <c r="B421">
        <f>('Factors applied'!$E$1114+'Factors applied'!$E$1115+'Factors applied'!$E$1116+'Factors applied'!$E$1117+'Factors applied'!$E$1118)</f>
        <v/>
      </c>
      <c r="C421" s="139">
        <f>IF(ABS(B421-1)&lt;0.000000001,"PASS","FAIL")</f>
        <v/>
      </c>
    </row>
    <row r="422">
      <c r="A422" t="inlineStr">
        <is>
          <t>SoESCaOMCbIC-variableOM.csv | solar PV | ISIC 69T82</t>
        </is>
      </c>
      <c r="B422">
        <f>('Factors applied'!$E$1119+'Factors applied'!$E$1120)</f>
        <v/>
      </c>
      <c r="C422" s="139">
        <f>IF(ABS(B422-1)&lt;0.000000001,"PASS","FAIL")</f>
        <v/>
      </c>
    </row>
    <row r="423">
      <c r="A423" t="inlineStr">
        <is>
          <t>SoESCaOMCbIC-variableOM.csv | solar PV | ISIC 90T96</t>
        </is>
      </c>
      <c r="B423">
        <f>('Factors applied'!$E$1121+'Factors applied'!$E$1122)</f>
        <v/>
      </c>
      <c r="C423" s="139">
        <f>IF(ABS(B423-1)&lt;0.000000001,"PASS","FAIL")</f>
        <v/>
      </c>
    </row>
    <row r="424">
      <c r="A424" t="inlineStr">
        <is>
          <t>SoESCaOMCbIC-variableOM.csv | solar thermal | ISIC 01T03</t>
        </is>
      </c>
      <c r="B424">
        <f>('Factors applied'!$E$1123+'Factors applied'!$E$1124+'Factors applied'!$E$1125)</f>
        <v/>
      </c>
      <c r="C424" s="139">
        <f>IF(ABS(B424-1)&lt;0.000000001,"PASS","FAIL")</f>
        <v/>
      </c>
    </row>
    <row r="425">
      <c r="A425" t="inlineStr">
        <is>
          <t>SoESCaOMCbIC-variableOM.csv | solar thermal | ISIC 07T08</t>
        </is>
      </c>
      <c r="B425">
        <f>('Factors applied'!$E$1126+'Factors applied'!$E$1127)</f>
        <v/>
      </c>
      <c r="C425" s="139">
        <f>IF(ABS(B425-1)&lt;0.000000001,"PASS","FAIL")</f>
        <v/>
      </c>
    </row>
    <row r="426">
      <c r="A426" t="inlineStr">
        <is>
          <t>SoESCaOMCbIC-variableOM.csv | solar thermal | ISIC 30</t>
        </is>
      </c>
      <c r="B426">
        <f>('Factors applied'!$E$1128+'Factors applied'!$E$1129)</f>
        <v/>
      </c>
      <c r="C426" s="139">
        <f>IF(ABS(B426-1)&lt;0.000000001,"PASS","FAIL")</f>
        <v/>
      </c>
    </row>
    <row r="427">
      <c r="A427" t="inlineStr">
        <is>
          <t>SoESCaOMCbIC-variableOM.csv | solar thermal | ISIC 49T53</t>
        </is>
      </c>
      <c r="B427">
        <f>('Factors applied'!$E$1130+'Factors applied'!$E$1131+'Factors applied'!$E$1132+'Factors applied'!$E$1133+'Factors applied'!$E$1134)</f>
        <v/>
      </c>
      <c r="C427" s="139">
        <f>IF(ABS(B427-1)&lt;0.000000001,"PASS","FAIL")</f>
        <v/>
      </c>
    </row>
    <row r="428">
      <c r="A428" t="inlineStr">
        <is>
          <t>SoESCaOMCbIC-variableOM.csv | solar thermal | ISIC 69T82</t>
        </is>
      </c>
      <c r="B428">
        <f>('Factors applied'!$E$1135+'Factors applied'!$E$1136)</f>
        <v/>
      </c>
      <c r="C428" s="139">
        <f>IF(ABS(B428-1)&lt;0.000000001,"PASS","FAIL")</f>
        <v/>
      </c>
    </row>
    <row r="429">
      <c r="A429" t="inlineStr">
        <is>
          <t>SoESCaOMCbIC-variableOM.csv | solar thermal | ISIC 90T96</t>
        </is>
      </c>
      <c r="B429">
        <f>('Factors applied'!$E$1137+'Factors applied'!$E$1138)</f>
        <v/>
      </c>
      <c r="C429" s="139">
        <f>IF(ABS(B429-1)&lt;0.000000001,"PASS","FAIL")</f>
        <v/>
      </c>
    </row>
    <row r="430">
      <c r="A430" t="inlineStr">
        <is>
          <t>SoESCaOMCbIC-variableOM.csv | wind | ISIC 01T03</t>
        </is>
      </c>
      <c r="B430">
        <f>('Factors applied'!$E$1139+'Factors applied'!$E$1140+'Factors applied'!$E$1141)</f>
        <v/>
      </c>
      <c r="C430" s="139">
        <f>IF(ABS(B430-1)&lt;0.000000001,"PASS","FAIL")</f>
        <v/>
      </c>
    </row>
    <row r="431">
      <c r="A431" t="inlineStr">
        <is>
          <t>SoESCaOMCbIC-variableOM.csv | wind | ISIC 07T08</t>
        </is>
      </c>
      <c r="B431">
        <f>('Factors applied'!$E$1142+'Factors applied'!$E$1143)</f>
        <v/>
      </c>
      <c r="C431" s="139">
        <f>IF(ABS(B431-1)&lt;0.000000001,"PASS","FAIL")</f>
        <v/>
      </c>
    </row>
    <row r="432">
      <c r="A432" t="inlineStr">
        <is>
          <t>SoESCaOMCbIC-variableOM.csv | wind | ISIC 30</t>
        </is>
      </c>
      <c r="B432">
        <f>('Factors applied'!$E$1144+'Factors applied'!$E$1145)</f>
        <v/>
      </c>
      <c r="C432" s="139">
        <f>IF(ABS(B432-1)&lt;0.000000001,"PASS","FAIL")</f>
        <v/>
      </c>
    </row>
    <row r="433">
      <c r="A433" t="inlineStr">
        <is>
          <t>SoESCaOMCbIC-variableOM.csv | wind | ISIC 49T53</t>
        </is>
      </c>
      <c r="B433">
        <f>('Factors applied'!$E$1146+'Factors applied'!$E$1147+'Factors applied'!$E$1148+'Factors applied'!$E$1149+'Factors applied'!$E$1150)</f>
        <v/>
      </c>
      <c r="C433" s="139">
        <f>IF(ABS(B433-1)&lt;0.000000001,"PASS","FAIL")</f>
        <v/>
      </c>
    </row>
    <row r="434">
      <c r="A434" t="inlineStr">
        <is>
          <t>SoESCaOMCbIC-variableOM.csv | wind | ISIC 69T82</t>
        </is>
      </c>
      <c r="B434">
        <f>('Factors applied'!$E$1151+'Factors applied'!$E$1152)</f>
        <v/>
      </c>
      <c r="C434" s="139">
        <f>IF(ABS(B434-1)&lt;0.000000001,"PASS","FAIL")</f>
        <v/>
      </c>
    </row>
    <row r="435">
      <c r="A435" t="inlineStr">
        <is>
          <t>SoESCaOMCbIC-variableOM.csv | wind | ISIC 90T96</t>
        </is>
      </c>
      <c r="B435">
        <f>('Factors applied'!$E$1153+'Factors applied'!$E$1154)</f>
        <v/>
      </c>
      <c r="C435" s="139">
        <f>IF(ABS(B435-1)&lt;0.000000001,"PASS","FAIL")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BA25"/>
  <sheetViews>
    <sheetView topLeftCell="P1" workbookViewId="0">
      <selection activeCell="B25" sqref="B25:AQ25"/>
    </sheetView>
  </sheetViews>
  <sheetFormatPr baseColWidth="8" defaultRowHeight="14.5"/>
  <cols>
    <col width="26.54296875" customWidth="1" min="1" max="1"/>
    <col width="10.54296875" bestFit="1" customWidth="1" min="2" max="2"/>
    <col width="9.7265625" bestFit="1" customWidth="1" min="3" max="3"/>
    <col width="9.7265625" customWidth="1" min="4" max="4"/>
    <col width="9.7265625" bestFit="1" customWidth="1" min="5" max="5"/>
    <col width="6.7265625" bestFit="1" customWidth="1" min="6" max="6"/>
    <col width="9.7265625" bestFit="1" customWidth="1" min="7" max="8"/>
    <col width="6.7265625" bestFit="1" customWidth="1" min="9" max="9"/>
    <col width="9.7265625" bestFit="1" customWidth="1" min="10" max="10"/>
    <col width="6.7265625" bestFit="1" customWidth="1" min="11" max="11"/>
    <col width="9.7265625" bestFit="1" customWidth="1" min="12" max="12"/>
    <col width="9.7265625" customWidth="1" min="13" max="13"/>
    <col width="7.7265625" customWidth="1" min="14" max="24"/>
    <col width="9.7265625" bestFit="1" customWidth="1" min="25" max="26"/>
    <col width="9.7265625" customWidth="1" min="27" max="28"/>
    <col width="9.7265625" bestFit="1" customWidth="1" min="29" max="33"/>
    <col width="6.7265625" bestFit="1" customWidth="1" min="34" max="34"/>
    <col width="9.7265625" bestFit="1" customWidth="1" min="35" max="36"/>
    <col width="6.7265625" bestFit="1" customWidth="1" min="37" max="37"/>
    <col width="9.7265625" bestFit="1" customWidth="1" min="38" max="38"/>
    <col width="6.7265625" bestFit="1" customWidth="1" min="39" max="40"/>
    <col width="9.7265625" bestFit="1" customWidth="1" min="41" max="43"/>
  </cols>
  <sheetData>
    <row r="1">
      <c r="A1" s="145" t="inlineStr">
        <is>
          <t>Unit: dimensionless (share of costs)</t>
        </is>
      </c>
      <c r="B1" s="139" t="inlineStr">
        <is>
          <t>ISIC 01</t>
        </is>
      </c>
      <c r="C1" s="139" t="inlineStr">
        <is>
          <t>ISIC 02</t>
        </is>
      </c>
      <c r="D1" s="139" t="inlineStr">
        <is>
          <t>ISIC 03</t>
        </is>
      </c>
      <c r="E1" s="139" t="inlineStr">
        <is>
          <t>ISIC 05</t>
        </is>
      </c>
      <c r="F1" s="139" t="inlineStr">
        <is>
          <t>ISIC 06</t>
        </is>
      </c>
      <c r="G1" s="139" t="inlineStr">
        <is>
          <t>ISIC 07</t>
        </is>
      </c>
      <c r="H1" s="139" t="inlineStr">
        <is>
          <t>ISIC 08</t>
        </is>
      </c>
      <c r="I1" s="139" t="inlineStr">
        <is>
          <t>ISIC 09</t>
        </is>
      </c>
      <c r="J1" s="139" t="inlineStr">
        <is>
          <t>ISIC 10T12</t>
        </is>
      </c>
      <c r="K1" s="139" t="inlineStr">
        <is>
          <t>ISIC 13T15</t>
        </is>
      </c>
      <c r="L1" s="139" t="inlineStr">
        <is>
          <t>ISIC 16</t>
        </is>
      </c>
      <c r="M1" s="139" t="inlineStr">
        <is>
          <t>ISIC 17T18</t>
        </is>
      </c>
      <c r="N1" s="139" t="inlineStr">
        <is>
          <t>ISIC 19</t>
        </is>
      </c>
      <c r="O1" s="139" t="inlineStr">
        <is>
          <t>ISIC 20</t>
        </is>
      </c>
      <c r="P1" s="139" t="inlineStr">
        <is>
          <t>ISIC 21</t>
        </is>
      </c>
      <c r="Q1" s="139" t="inlineStr">
        <is>
          <t>ISIC 22</t>
        </is>
      </c>
      <c r="R1" s="139" t="inlineStr">
        <is>
          <t>ISIC 231</t>
        </is>
      </c>
      <c r="S1" s="139" t="inlineStr">
        <is>
          <t>ISIC 239</t>
        </is>
      </c>
      <c r="T1" s="139" t="inlineStr">
        <is>
          <t>ISIC 241</t>
        </is>
      </c>
      <c r="U1" s="139" t="inlineStr">
        <is>
          <t>ISIC 242</t>
        </is>
      </c>
      <c r="V1" s="139" t="inlineStr">
        <is>
          <t>ISIC 25</t>
        </is>
      </c>
      <c r="W1" s="139" t="inlineStr">
        <is>
          <t>ISIC 26</t>
        </is>
      </c>
      <c r="X1" s="139" t="inlineStr">
        <is>
          <t>ISIC 27</t>
        </is>
      </c>
      <c r="Y1" s="139" t="inlineStr">
        <is>
          <t>ISIC 28</t>
        </is>
      </c>
      <c r="Z1" s="139" t="inlineStr">
        <is>
          <t>ISIC 29</t>
        </is>
      </c>
      <c r="AA1" s="139" t="inlineStr">
        <is>
          <t>ISIC 301</t>
        </is>
      </c>
      <c r="AB1" s="139" t="inlineStr">
        <is>
          <t>ISIC 302T309</t>
        </is>
      </c>
      <c r="AC1" s="139" t="inlineStr">
        <is>
          <t>ISIC 31T33</t>
        </is>
      </c>
      <c r="AD1" s="139" t="inlineStr">
        <is>
          <t>ISIC 351</t>
        </is>
      </c>
      <c r="AE1" s="139" t="inlineStr">
        <is>
          <t>ISIC 352T353</t>
        </is>
      </c>
      <c r="AF1" s="139" t="inlineStr">
        <is>
          <t>ISIC 36T39</t>
        </is>
      </c>
      <c r="AG1" s="139" t="inlineStr">
        <is>
          <t>ISIC 41T43</t>
        </is>
      </c>
      <c r="AH1" s="139" t="inlineStr">
        <is>
          <t>ISIC 45T47</t>
        </is>
      </c>
      <c r="AI1" s="139" t="inlineStr">
        <is>
          <t>ISIC 49</t>
        </is>
      </c>
      <c r="AJ1" s="139" t="inlineStr">
        <is>
          <t>ISIC 50</t>
        </is>
      </c>
      <c r="AK1" s="139" t="inlineStr">
        <is>
          <t>ISIC 51</t>
        </is>
      </c>
      <c r="AL1" s="139" t="inlineStr">
        <is>
          <t>ISIC 52</t>
        </is>
      </c>
      <c r="AM1" s="139" t="inlineStr">
        <is>
          <t>ISIC 53</t>
        </is>
      </c>
      <c r="AN1" s="139" t="inlineStr">
        <is>
          <t>ISIC 55T56</t>
        </is>
      </c>
      <c r="AO1" s="139" t="inlineStr">
        <is>
          <t>ISIC 58T60</t>
        </is>
      </c>
      <c r="AP1" s="139" t="inlineStr">
        <is>
          <t>ISIC 61</t>
        </is>
      </c>
      <c r="AQ1" s="139" t="inlineStr">
        <is>
          <t>ISIC 62T63</t>
        </is>
      </c>
      <c r="AR1" s="139" t="inlineStr">
        <is>
          <t>ISIC 64T66</t>
        </is>
      </c>
      <c r="AS1" s="139" t="inlineStr">
        <is>
          <t>ISIC 68</t>
        </is>
      </c>
      <c r="AT1" s="139" t="inlineStr">
        <is>
          <t>ISIC 69T75</t>
        </is>
      </c>
      <c r="AU1" s="139" t="inlineStr">
        <is>
          <t>ISIC 77T82</t>
        </is>
      </c>
      <c r="AV1" s="139" t="inlineStr">
        <is>
          <t>ISIC 84</t>
        </is>
      </c>
      <c r="AW1" s="139" t="inlineStr">
        <is>
          <t>ISIC 85</t>
        </is>
      </c>
      <c r="AX1" s="139" t="inlineStr">
        <is>
          <t>ISIC 86T88</t>
        </is>
      </c>
      <c r="AY1" s="139" t="inlineStr">
        <is>
          <t>ISIC 90T93</t>
        </is>
      </c>
      <c r="AZ1" s="139" t="inlineStr">
        <is>
          <t>ISIC 94T96</t>
        </is>
      </c>
      <c r="BA1" s="139" t="inlineStr">
        <is>
          <t>ISIC 97T98</t>
        </is>
      </c>
    </row>
    <row r="2">
      <c r="A2" t="inlineStr">
        <is>
          <t>hard coal</t>
        </is>
      </c>
      <c r="B2">
        <f>(SUMIF('Cost Breakdowns'!$D$79:$D$96,"ISIC 01T03",'Cost Breakdowns'!$B$79:$B$96))*'Factors applied'!$E$67</f>
        <v/>
      </c>
      <c r="C2">
        <f>(SUMIF('Cost Breakdowns'!$D$79:$D$96,"ISIC 01T03",'Cost Breakdowns'!$B$79:$B$96))*'Factors applied'!$E$68</f>
        <v/>
      </c>
      <c r="D2">
        <f>(SUMIF('Cost Breakdowns'!$D$79:$D$96,"ISIC 01T03",'Cost Breakdowns'!$B$79:$B$96))*'Factors applied'!$E$69</f>
        <v/>
      </c>
      <c r="E2">
        <f>(SUMIF('Cost Breakdowns'!$D$79:$D$96,"ISIC 05",'Cost Breakdowns'!$B$79:$B$96))</f>
        <v/>
      </c>
      <c r="F2">
        <f>(SUMIF('Cost Breakdowns'!$D$79:$D$96,"ISIC 06",'Cost Breakdowns'!$B$79:$B$96))</f>
        <v/>
      </c>
      <c r="G2">
        <f>(SUMIF('Cost Breakdowns'!$D$79:$D$96,"ISIC 07T08",'Cost Breakdowns'!$B$79:$B$96))*'Factors applied'!$E$70</f>
        <v/>
      </c>
      <c r="H2">
        <f>(SUMIF('Cost Breakdowns'!$D$79:$D$96,"ISIC 07T08",'Cost Breakdowns'!$B$79:$B$96))*'Factors applied'!$E$71</f>
        <v/>
      </c>
      <c r="I2">
        <f>(SUMIF('Cost Breakdowns'!$D$79:$D$96,"ISIC 09",'Cost Breakdowns'!$B$79:$B$96))</f>
        <v/>
      </c>
      <c r="J2">
        <f>(SUMIF('Cost Breakdowns'!$D$79:$D$96,"ISIC 10T12",'Cost Breakdowns'!$B$79:$B$96))</f>
        <v/>
      </c>
      <c r="K2">
        <f>(SUMIF('Cost Breakdowns'!$D$79:$D$96,"ISIC 13T15",'Cost Breakdowns'!$B$79:$B$96))</f>
        <v/>
      </c>
      <c r="L2">
        <f>(SUMIF('Cost Breakdowns'!$D$79:$D$96,"ISIC 16",'Cost Breakdowns'!$B$79:$B$96))</f>
        <v/>
      </c>
      <c r="M2">
        <f>(SUMIF('Cost Breakdowns'!$D$79:$D$96,"ISIC 17T18",'Cost Breakdowns'!$B$79:$B$96))</f>
        <v/>
      </c>
      <c r="N2">
        <f>(SUMIF('Cost Breakdowns'!$D$79:$D$96,"ISIC 19",'Cost Breakdowns'!$B$79:$B$96))</f>
        <v/>
      </c>
      <c r="O2">
        <f>(SUMIF('Cost Breakdowns'!$D$79:$D$96,"ISIC 20",'Cost Breakdowns'!$B$79:$B$96))</f>
        <v/>
      </c>
      <c r="P2">
        <f>(SUMIF('Cost Breakdowns'!$D$79:$D$96,"ISIC 21",'Cost Breakdowns'!$B$79:$B$96))</f>
        <v/>
      </c>
      <c r="Q2">
        <f>(SUMIF('Cost Breakdowns'!$D$79:$D$96,"ISIC 22",'Cost Breakdowns'!$B$79:$B$96))</f>
        <v/>
      </c>
      <c r="R2">
        <f>(SUMIF('Cost Breakdowns'!$D$79:$D$96,"ISIC 231",'Cost Breakdowns'!$B$79:$B$96))</f>
        <v/>
      </c>
      <c r="S2">
        <f>(SUMIF('Cost Breakdowns'!$D$79:$D$96,"ISIC 239",'Cost Breakdowns'!$B$79:$B$96))</f>
        <v/>
      </c>
      <c r="T2">
        <f>(SUMIF('Cost Breakdowns'!$D$79:$D$96,"ISIC 241",'Cost Breakdowns'!$B$79:$B$96))</f>
        <v/>
      </c>
      <c r="U2">
        <f>(SUMIF('Cost Breakdowns'!$D$79:$D$96,"ISIC 242",'Cost Breakdowns'!$B$79:$B$96))</f>
        <v/>
      </c>
      <c r="V2">
        <f>(SUMIF('Cost Breakdowns'!$D$79:$D$96,"ISIC 25",'Cost Breakdowns'!$B$79:$B$96))</f>
        <v/>
      </c>
      <c r="W2">
        <f>(SUMIF('Cost Breakdowns'!$D$79:$D$96,"ISIC 26",'Cost Breakdowns'!$B$79:$B$96))</f>
        <v/>
      </c>
      <c r="X2">
        <f>(SUMIF('Cost Breakdowns'!$D$79:$D$96,"ISIC 27",'Cost Breakdowns'!$B$79:$B$96))</f>
        <v/>
      </c>
      <c r="Y2">
        <f>(SUMIF('Cost Breakdowns'!$D$79:$D$96,"ISIC 28",'Cost Breakdowns'!$B$79:$B$96))</f>
        <v/>
      </c>
      <c r="Z2">
        <f>(SUMIF('Cost Breakdowns'!$D$79:$D$96,"ISIC 29",'Cost Breakdowns'!$B$79:$B$96))</f>
        <v/>
      </c>
      <c r="AA2">
        <f>(SUMIF('Cost Breakdowns'!$D$79:$D$96,"ISIC 30",'Cost Breakdowns'!$B$79:$B$96))*'Factors applied'!$E$72</f>
        <v/>
      </c>
      <c r="AB2">
        <f>(SUMIF('Cost Breakdowns'!$D$79:$D$96,"ISIC 30",'Cost Breakdowns'!$B$79:$B$96))*'Factors applied'!$E$73</f>
        <v/>
      </c>
      <c r="AC2">
        <f>(SUMIF('Cost Breakdowns'!$D$79:$D$96,"ISIC 31T33",'Cost Breakdowns'!$B$79:$B$96))</f>
        <v/>
      </c>
      <c r="AD2">
        <f>(SUMIF('Cost Breakdowns'!$D$79:$D$96,"ISIC 351",'Cost Breakdowns'!$B$79:$B$96))</f>
        <v/>
      </c>
      <c r="AE2">
        <f>(SUMIF('Cost Breakdowns'!$D$79:$D$96,"ISIC 352T353",'Cost Breakdowns'!$B$79:$B$96))</f>
        <v/>
      </c>
      <c r="AF2">
        <f>(SUMIF('Cost Breakdowns'!$D$79:$D$96,"ISIC 36T39",'Cost Breakdowns'!$B$79:$B$96))</f>
        <v/>
      </c>
      <c r="AG2">
        <f>(SUMIF('Cost Breakdowns'!$D$79:$D$96,"ISIC 41T43",'Cost Breakdowns'!$B$79:$B$96))</f>
        <v/>
      </c>
      <c r="AH2">
        <f>(SUMIF('Cost Breakdowns'!$D$79:$D$96,"ISIC 45T47",'Cost Breakdowns'!$B$79:$B$96))</f>
        <v/>
      </c>
      <c r="AI2">
        <f>(SUMIF('Cost Breakdowns'!$D$79:$D$96,"ISIC 49T53",'Cost Breakdowns'!$B$79:$B$96))*'Factors applied'!$E$74</f>
        <v/>
      </c>
      <c r="AJ2">
        <f>(SUMIF('Cost Breakdowns'!$D$79:$D$96,"ISIC 49T53",'Cost Breakdowns'!$B$79:$B$96))*'Factors applied'!$E$75</f>
        <v/>
      </c>
      <c r="AK2">
        <f>(SUMIF('Cost Breakdowns'!$D$79:$D$96,"ISIC 49T53",'Cost Breakdowns'!$B$79:$B$96))*'Factors applied'!$E$76</f>
        <v/>
      </c>
      <c r="AL2">
        <f>(SUMIF('Cost Breakdowns'!$D$79:$D$96,"ISIC 49T53",'Cost Breakdowns'!$B$79:$B$96))*'Factors applied'!$E$77</f>
        <v/>
      </c>
      <c r="AM2">
        <f>(SUMIF('Cost Breakdowns'!$D$79:$D$96,"ISIC 49T53",'Cost Breakdowns'!$B$79:$B$96))*'Factors applied'!$E$78</f>
        <v/>
      </c>
      <c r="AN2">
        <f>(SUMIF('Cost Breakdowns'!$D$79:$D$96,"ISIC 55T56",'Cost Breakdowns'!$B$79:$B$96))</f>
        <v/>
      </c>
      <c r="AO2">
        <f>(SUMIF('Cost Breakdowns'!$D$79:$D$96,"ISIC 58T60",'Cost Breakdowns'!$B$79:$B$96))</f>
        <v/>
      </c>
      <c r="AP2">
        <f>(SUMIF('Cost Breakdowns'!$D$79:$D$96,"ISIC 61",'Cost Breakdowns'!$B$79:$B$96))</f>
        <v/>
      </c>
      <c r="AQ2">
        <f>(SUMIF('Cost Breakdowns'!$D$79:$D$96,"ISIC 62T63",'Cost Breakdowns'!$B$79:$B$96))</f>
        <v/>
      </c>
      <c r="AR2">
        <f>(SUMIF('Cost Breakdowns'!$D$79:$D$96,"ISIC 64T66",'Cost Breakdowns'!$B$79:$B$96))</f>
        <v/>
      </c>
      <c r="AS2">
        <f>(SUMIF('Cost Breakdowns'!$D$79:$D$96,"ISIC 68",'Cost Breakdowns'!$B$79:$B$96))</f>
        <v/>
      </c>
      <c r="AT2">
        <f>(SUMIF('Cost Breakdowns'!$D$79:$D$96,"ISIC 69T82",'Cost Breakdowns'!$B$79:$B$96))*'Factors applied'!$E$79</f>
        <v/>
      </c>
      <c r="AU2">
        <f>(SUMIF('Cost Breakdowns'!$D$79:$D$96,"ISIC 69T82",'Cost Breakdowns'!$B$79:$B$96))*'Factors applied'!$E$80</f>
        <v/>
      </c>
      <c r="AV2">
        <f>(SUMIF('Cost Breakdowns'!$D$79:$D$96,"ISIC 84",'Cost Breakdowns'!$B$79:$B$96))</f>
        <v/>
      </c>
      <c r="AW2">
        <f>(SUMIF('Cost Breakdowns'!$D$79:$D$96,"ISIC 85",'Cost Breakdowns'!$B$79:$B$96))</f>
        <v/>
      </c>
      <c r="AX2">
        <f>(SUMIF('Cost Breakdowns'!$D$79:$D$96,"ISIC 86T88",'Cost Breakdowns'!$B$79:$B$96))</f>
        <v/>
      </c>
      <c r="AY2">
        <f>(SUMIF('Cost Breakdowns'!$D$79:$D$96,"ISIC 90T96",'Cost Breakdowns'!$B$79:$B$96))*'Factors applied'!$E$81</f>
        <v/>
      </c>
      <c r="AZ2">
        <f>(SUMIF('Cost Breakdowns'!$D$79:$D$96,"ISIC 90T96",'Cost Breakdowns'!$B$79:$B$96))*'Factors applied'!$E$82</f>
        <v/>
      </c>
      <c r="BA2">
        <f>(SUMIF('Cost Breakdowns'!$D$79:$D$96,"ISIC 97T98",'Cost Breakdowns'!$B$79:$B$96))</f>
        <v/>
      </c>
    </row>
    <row r="3">
      <c r="A3" t="inlineStr">
        <is>
          <t>natural gas steam turbine</t>
        </is>
      </c>
      <c r="B3">
        <f>(SUMIF('Cost Breakdowns'!$D$114:$D$131,"ISIC 01T03",'Cost Breakdowns'!$B$114:$B$131))*'Factors applied'!$E$259</f>
        <v/>
      </c>
      <c r="C3">
        <f>(SUMIF('Cost Breakdowns'!$D$114:$D$131,"ISIC 01T03",'Cost Breakdowns'!$B$114:$B$131))*'Factors applied'!$E$260</f>
        <v/>
      </c>
      <c r="D3">
        <f>(SUMIF('Cost Breakdowns'!$D$114:$D$131,"ISIC 01T03",'Cost Breakdowns'!$B$114:$B$131))*'Factors applied'!$E$261</f>
        <v/>
      </c>
      <c r="E3">
        <f>(SUMIF('Cost Breakdowns'!$D$114:$D$131,"ISIC 05",'Cost Breakdowns'!$B$114:$B$131))</f>
        <v/>
      </c>
      <c r="F3">
        <f>(SUMIF('Cost Breakdowns'!$D$114:$D$131,"ISIC 06",'Cost Breakdowns'!$B$114:$B$131))</f>
        <v/>
      </c>
      <c r="G3">
        <f>(SUMIF('Cost Breakdowns'!$D$114:$D$131,"ISIC 07T08",'Cost Breakdowns'!$B$114:$B$131))*'Factors applied'!$E$262</f>
        <v/>
      </c>
      <c r="H3">
        <f>(SUMIF('Cost Breakdowns'!$D$114:$D$131,"ISIC 07T08",'Cost Breakdowns'!$B$114:$B$131))*'Factors applied'!$E$263</f>
        <v/>
      </c>
      <c r="I3">
        <f>(SUMIF('Cost Breakdowns'!$D$114:$D$131,"ISIC 09",'Cost Breakdowns'!$B$114:$B$131))</f>
        <v/>
      </c>
      <c r="J3">
        <f>(SUMIF('Cost Breakdowns'!$D$114:$D$131,"ISIC 10T12",'Cost Breakdowns'!$B$114:$B$131))</f>
        <v/>
      </c>
      <c r="K3">
        <f>(SUMIF('Cost Breakdowns'!$D$114:$D$131,"ISIC 13T15",'Cost Breakdowns'!$B$114:$B$131))</f>
        <v/>
      </c>
      <c r="L3">
        <f>(SUMIF('Cost Breakdowns'!$D$114:$D$131,"ISIC 16",'Cost Breakdowns'!$B$114:$B$131))</f>
        <v/>
      </c>
      <c r="M3">
        <f>(SUMIF('Cost Breakdowns'!$D$114:$D$131,"ISIC 17T18",'Cost Breakdowns'!$B$114:$B$131))</f>
        <v/>
      </c>
      <c r="N3">
        <f>(SUMIF('Cost Breakdowns'!$D$114:$D$131,"ISIC 19",'Cost Breakdowns'!$B$114:$B$131))</f>
        <v/>
      </c>
      <c r="O3">
        <f>(SUMIF('Cost Breakdowns'!$D$114:$D$131,"ISIC 20",'Cost Breakdowns'!$B$114:$B$131))</f>
        <v/>
      </c>
      <c r="P3">
        <f>(SUMIF('Cost Breakdowns'!$D$114:$D$131,"ISIC 21",'Cost Breakdowns'!$B$114:$B$131))</f>
        <v/>
      </c>
      <c r="Q3">
        <f>(SUMIF('Cost Breakdowns'!$D$114:$D$131,"ISIC 22",'Cost Breakdowns'!$B$114:$B$131))</f>
        <v/>
      </c>
      <c r="R3">
        <f>(SUMIF('Cost Breakdowns'!$D$114:$D$131,"ISIC 231",'Cost Breakdowns'!$B$114:$B$131))</f>
        <v/>
      </c>
      <c r="S3">
        <f>(SUMIF('Cost Breakdowns'!$D$114:$D$131,"ISIC 239",'Cost Breakdowns'!$B$114:$B$131))</f>
        <v/>
      </c>
      <c r="T3">
        <f>(SUMIF('Cost Breakdowns'!$D$114:$D$131,"ISIC 241",'Cost Breakdowns'!$B$114:$B$131))</f>
        <v/>
      </c>
      <c r="U3">
        <f>(SUMIF('Cost Breakdowns'!$D$114:$D$131,"ISIC 242",'Cost Breakdowns'!$B$114:$B$131))</f>
        <v/>
      </c>
      <c r="V3">
        <f>(SUMIF('Cost Breakdowns'!$D$114:$D$131,"ISIC 25",'Cost Breakdowns'!$B$114:$B$131))</f>
        <v/>
      </c>
      <c r="W3">
        <f>(SUMIF('Cost Breakdowns'!$D$114:$D$131,"ISIC 26",'Cost Breakdowns'!$B$114:$B$131))</f>
        <v/>
      </c>
      <c r="X3">
        <f>(SUMIF('Cost Breakdowns'!$D$114:$D$131,"ISIC 27",'Cost Breakdowns'!$B$114:$B$131))</f>
        <v/>
      </c>
      <c r="Y3">
        <f>(SUMIF('Cost Breakdowns'!$D$114:$D$131,"ISIC 28",'Cost Breakdowns'!$B$114:$B$131))</f>
        <v/>
      </c>
      <c r="Z3">
        <f>(SUMIF('Cost Breakdowns'!$D$114:$D$131,"ISIC 29",'Cost Breakdowns'!$B$114:$B$131))</f>
        <v/>
      </c>
      <c r="AA3">
        <f>(SUMIF('Cost Breakdowns'!$D$114:$D$131,"ISIC 30",'Cost Breakdowns'!$B$114:$B$131))*'Factors applied'!$E$264</f>
        <v/>
      </c>
      <c r="AB3">
        <f>(SUMIF('Cost Breakdowns'!$D$114:$D$131,"ISIC 30",'Cost Breakdowns'!$B$114:$B$131))*'Factors applied'!$E$265</f>
        <v/>
      </c>
      <c r="AC3">
        <f>(SUMIF('Cost Breakdowns'!$D$114:$D$131,"ISIC 31T33",'Cost Breakdowns'!$B$114:$B$131))</f>
        <v/>
      </c>
      <c r="AD3">
        <f>(SUMIF('Cost Breakdowns'!$D$114:$D$131,"ISIC 351",'Cost Breakdowns'!$B$114:$B$131))</f>
        <v/>
      </c>
      <c r="AE3">
        <f>(SUMIF('Cost Breakdowns'!$D$114:$D$131,"ISIC 352T353",'Cost Breakdowns'!$B$114:$B$131))</f>
        <v/>
      </c>
      <c r="AF3">
        <f>(SUMIF('Cost Breakdowns'!$D$114:$D$131,"ISIC 36T39",'Cost Breakdowns'!$B$114:$B$131))</f>
        <v/>
      </c>
      <c r="AG3">
        <f>(SUMIF('Cost Breakdowns'!$D$114:$D$131,"ISIC 41T43",'Cost Breakdowns'!$B$114:$B$131))</f>
        <v/>
      </c>
      <c r="AH3">
        <f>(SUMIF('Cost Breakdowns'!$D$114:$D$131,"ISIC 45T47",'Cost Breakdowns'!$B$114:$B$131))</f>
        <v/>
      </c>
      <c r="AI3">
        <f>(SUMIF('Cost Breakdowns'!$D$114:$D$131,"ISIC 49T53",'Cost Breakdowns'!$B$114:$B$131))*'Factors applied'!$E$266</f>
        <v/>
      </c>
      <c r="AJ3">
        <f>(SUMIF('Cost Breakdowns'!$D$114:$D$131,"ISIC 49T53",'Cost Breakdowns'!$B$114:$B$131))*'Factors applied'!$E$267</f>
        <v/>
      </c>
      <c r="AK3">
        <f>(SUMIF('Cost Breakdowns'!$D$114:$D$131,"ISIC 49T53",'Cost Breakdowns'!$B$114:$B$131))*'Factors applied'!$E$268</f>
        <v/>
      </c>
      <c r="AL3">
        <f>(SUMIF('Cost Breakdowns'!$D$114:$D$131,"ISIC 49T53",'Cost Breakdowns'!$B$114:$B$131))*'Factors applied'!$E$269</f>
        <v/>
      </c>
      <c r="AM3">
        <f>(SUMIF('Cost Breakdowns'!$D$114:$D$131,"ISIC 49T53",'Cost Breakdowns'!$B$114:$B$131))*'Factors applied'!$E$270</f>
        <v/>
      </c>
      <c r="AN3">
        <f>(SUMIF('Cost Breakdowns'!$D$114:$D$131,"ISIC 55T56",'Cost Breakdowns'!$B$114:$B$131))</f>
        <v/>
      </c>
      <c r="AO3">
        <f>(SUMIF('Cost Breakdowns'!$D$114:$D$131,"ISIC 58T60",'Cost Breakdowns'!$B$114:$B$131))</f>
        <v/>
      </c>
      <c r="AP3">
        <f>(SUMIF('Cost Breakdowns'!$D$114:$D$131,"ISIC 61",'Cost Breakdowns'!$B$114:$B$131))</f>
        <v/>
      </c>
      <c r="AQ3">
        <f>(SUMIF('Cost Breakdowns'!$D$114:$D$131,"ISIC 62T63",'Cost Breakdowns'!$B$114:$B$131))</f>
        <v/>
      </c>
      <c r="AR3">
        <f>(SUMIF('Cost Breakdowns'!$D$114:$D$131,"ISIC 64T66",'Cost Breakdowns'!$B$114:$B$131))</f>
        <v/>
      </c>
      <c r="AS3">
        <f>(SUMIF('Cost Breakdowns'!$D$114:$D$131,"ISIC 68",'Cost Breakdowns'!$B$114:$B$131))</f>
        <v/>
      </c>
      <c r="AT3">
        <f>(SUMIF('Cost Breakdowns'!$D$114:$D$131,"ISIC 69T82",'Cost Breakdowns'!$B$114:$B$131))*'Factors applied'!$E$271</f>
        <v/>
      </c>
      <c r="AU3">
        <f>(SUMIF('Cost Breakdowns'!$D$114:$D$131,"ISIC 69T82",'Cost Breakdowns'!$B$114:$B$131))*'Factors applied'!$E$272</f>
        <v/>
      </c>
      <c r="AV3">
        <f>(SUMIF('Cost Breakdowns'!$D$114:$D$131,"ISIC 84",'Cost Breakdowns'!$B$114:$B$131))</f>
        <v/>
      </c>
      <c r="AW3">
        <f>(SUMIF('Cost Breakdowns'!$D$114:$D$131,"ISIC 85",'Cost Breakdowns'!$B$114:$B$131))</f>
        <v/>
      </c>
      <c r="AX3">
        <f>(SUMIF('Cost Breakdowns'!$D$114:$D$131,"ISIC 86T88",'Cost Breakdowns'!$B$114:$B$131))</f>
        <v/>
      </c>
      <c r="AY3">
        <f>(SUMIF('Cost Breakdowns'!$D$114:$D$131,"ISIC 90T96",'Cost Breakdowns'!$B$114:$B$131))*'Factors applied'!$E$273</f>
        <v/>
      </c>
      <c r="AZ3">
        <f>(SUMIF('Cost Breakdowns'!$D$114:$D$131,"ISIC 90T96",'Cost Breakdowns'!$B$114:$B$131))*'Factors applied'!$E$274</f>
        <v/>
      </c>
      <c r="BA3">
        <f>(SUMIF('Cost Breakdowns'!$D$114:$D$131,"ISIC 97T98",'Cost Breakdowns'!$B$114:$B$131))</f>
        <v/>
      </c>
    </row>
    <row r="4">
      <c r="A4" t="inlineStr">
        <is>
          <t>natural gas combined cycle</t>
        </is>
      </c>
      <c r="B4">
        <f>((SUMIF('Cost Breakdowns'!$D$114:$D$131,"ISIC 01T03",'Cost Breakdowns'!$B$114:$B$131)))*'Factors applied'!$E$211</f>
        <v/>
      </c>
      <c r="C4">
        <f>((SUMIF('Cost Breakdowns'!$D$114:$D$131,"ISIC 01T03",'Cost Breakdowns'!$B$114:$B$131)))*'Factors applied'!$E$212</f>
        <v/>
      </c>
      <c r="D4">
        <f>((SUMIF('Cost Breakdowns'!$D$114:$D$131,"ISIC 01T03",'Cost Breakdowns'!$B$114:$B$131)))*'Factors applied'!$E$213</f>
        <v/>
      </c>
      <c r="E4">
        <f>((SUMIF('Cost Breakdowns'!$D$114:$D$131,"ISIC 05",'Cost Breakdowns'!$B$114:$B$131)))</f>
        <v/>
      </c>
      <c r="F4">
        <f>((SUMIF('Cost Breakdowns'!$D$114:$D$131,"ISIC 06",'Cost Breakdowns'!$B$114:$B$131)))</f>
        <v/>
      </c>
      <c r="G4">
        <f>((SUMIF('Cost Breakdowns'!$D$114:$D$131,"ISIC 07T08",'Cost Breakdowns'!$B$114:$B$131)))*'Factors applied'!$E$214</f>
        <v/>
      </c>
      <c r="H4">
        <f>((SUMIF('Cost Breakdowns'!$D$114:$D$131,"ISIC 07T08",'Cost Breakdowns'!$B$114:$B$131)))*'Factors applied'!$E$215</f>
        <v/>
      </c>
      <c r="I4">
        <f>((SUMIF('Cost Breakdowns'!$D$114:$D$131,"ISIC 09",'Cost Breakdowns'!$B$114:$B$131)))</f>
        <v/>
      </c>
      <c r="J4">
        <f>((SUMIF('Cost Breakdowns'!$D$114:$D$131,"ISIC 10T12",'Cost Breakdowns'!$B$114:$B$131)))</f>
        <v/>
      </c>
      <c r="K4">
        <f>((SUMIF('Cost Breakdowns'!$D$114:$D$131,"ISIC 13T15",'Cost Breakdowns'!$B$114:$B$131)))</f>
        <v/>
      </c>
      <c r="L4">
        <f>((SUMIF('Cost Breakdowns'!$D$114:$D$131,"ISIC 16",'Cost Breakdowns'!$B$114:$B$131)))</f>
        <v/>
      </c>
      <c r="M4">
        <f>((SUMIF('Cost Breakdowns'!$D$114:$D$131,"ISIC 17T18",'Cost Breakdowns'!$B$114:$B$131)))</f>
        <v/>
      </c>
      <c r="N4">
        <f>((SUMIF('Cost Breakdowns'!$D$114:$D$131,"ISIC 19",'Cost Breakdowns'!$B$114:$B$131)))</f>
        <v/>
      </c>
      <c r="O4">
        <f>((SUMIF('Cost Breakdowns'!$D$114:$D$131,"ISIC 20",'Cost Breakdowns'!$B$114:$B$131)))</f>
        <v/>
      </c>
      <c r="P4">
        <f>((SUMIF('Cost Breakdowns'!$D$114:$D$131,"ISIC 21",'Cost Breakdowns'!$B$114:$B$131)))</f>
        <v/>
      </c>
      <c r="Q4">
        <f>((SUMIF('Cost Breakdowns'!$D$114:$D$131,"ISIC 22",'Cost Breakdowns'!$B$114:$B$131)))</f>
        <v/>
      </c>
      <c r="R4">
        <f>((SUMIF('Cost Breakdowns'!$D$114:$D$131,"ISIC 231",'Cost Breakdowns'!$B$114:$B$131)))</f>
        <v/>
      </c>
      <c r="S4">
        <f>((SUMIF('Cost Breakdowns'!$D$114:$D$131,"ISIC 239",'Cost Breakdowns'!$B$114:$B$131)))</f>
        <v/>
      </c>
      <c r="T4">
        <f>((SUMIF('Cost Breakdowns'!$D$114:$D$131,"ISIC 241",'Cost Breakdowns'!$B$114:$B$131)))</f>
        <v/>
      </c>
      <c r="U4">
        <f>((SUMIF('Cost Breakdowns'!$D$114:$D$131,"ISIC 242",'Cost Breakdowns'!$B$114:$B$131)))</f>
        <v/>
      </c>
      <c r="V4">
        <f>((SUMIF('Cost Breakdowns'!$D$114:$D$131,"ISIC 25",'Cost Breakdowns'!$B$114:$B$131)))</f>
        <v/>
      </c>
      <c r="W4">
        <f>((SUMIF('Cost Breakdowns'!$D$114:$D$131,"ISIC 26",'Cost Breakdowns'!$B$114:$B$131)))</f>
        <v/>
      </c>
      <c r="X4">
        <f>((SUMIF('Cost Breakdowns'!$D$114:$D$131,"ISIC 27",'Cost Breakdowns'!$B$114:$B$131)))</f>
        <v/>
      </c>
      <c r="Y4">
        <f>((SUMIF('Cost Breakdowns'!$D$114:$D$131,"ISIC 28",'Cost Breakdowns'!$B$114:$B$131)))</f>
        <v/>
      </c>
      <c r="Z4">
        <f>((SUMIF('Cost Breakdowns'!$D$114:$D$131,"ISIC 29",'Cost Breakdowns'!$B$114:$B$131)))</f>
        <v/>
      </c>
      <c r="AA4">
        <f>((SUMIF('Cost Breakdowns'!$D$114:$D$131,"ISIC 30",'Cost Breakdowns'!$B$114:$B$131)))*'Factors applied'!$E$216</f>
        <v/>
      </c>
      <c r="AB4">
        <f>((SUMIF('Cost Breakdowns'!$D$114:$D$131,"ISIC 30",'Cost Breakdowns'!$B$114:$B$131)))*'Factors applied'!$E$217</f>
        <v/>
      </c>
      <c r="AC4">
        <f>((SUMIF('Cost Breakdowns'!$D$114:$D$131,"ISIC 31T33",'Cost Breakdowns'!$B$114:$B$131)))</f>
        <v/>
      </c>
      <c r="AD4">
        <f>((SUMIF('Cost Breakdowns'!$D$114:$D$131,"ISIC 351",'Cost Breakdowns'!$B$114:$B$131)))</f>
        <v/>
      </c>
      <c r="AE4">
        <f>((SUMIF('Cost Breakdowns'!$D$114:$D$131,"ISIC 352T353",'Cost Breakdowns'!$B$114:$B$131)))</f>
        <v/>
      </c>
      <c r="AF4">
        <f>((SUMIF('Cost Breakdowns'!$D$114:$D$131,"ISIC 36T39",'Cost Breakdowns'!$B$114:$B$131)))</f>
        <v/>
      </c>
      <c r="AG4">
        <f>((SUMIF('Cost Breakdowns'!$D$114:$D$131,"ISIC 41T43",'Cost Breakdowns'!$B$114:$B$131)))</f>
        <v/>
      </c>
      <c r="AH4">
        <f>((SUMIF('Cost Breakdowns'!$D$114:$D$131,"ISIC 45T47",'Cost Breakdowns'!$B$114:$B$131)))</f>
        <v/>
      </c>
      <c r="AI4">
        <f>((SUMIF('Cost Breakdowns'!$D$114:$D$131,"ISIC 49T53",'Cost Breakdowns'!$B$114:$B$131)))*'Factors applied'!$E$218</f>
        <v/>
      </c>
      <c r="AJ4">
        <f>((SUMIF('Cost Breakdowns'!$D$114:$D$131,"ISIC 49T53",'Cost Breakdowns'!$B$114:$B$131)))*'Factors applied'!$E$219</f>
        <v/>
      </c>
      <c r="AK4">
        <f>((SUMIF('Cost Breakdowns'!$D$114:$D$131,"ISIC 49T53",'Cost Breakdowns'!$B$114:$B$131)))*'Factors applied'!$E$220</f>
        <v/>
      </c>
      <c r="AL4">
        <f>((SUMIF('Cost Breakdowns'!$D$114:$D$131,"ISIC 49T53",'Cost Breakdowns'!$B$114:$B$131)))*'Factors applied'!$E$221</f>
        <v/>
      </c>
      <c r="AM4">
        <f>((SUMIF('Cost Breakdowns'!$D$114:$D$131,"ISIC 49T53",'Cost Breakdowns'!$B$114:$B$131)))*'Factors applied'!$E$222</f>
        <v/>
      </c>
      <c r="AN4">
        <f>((SUMIF('Cost Breakdowns'!$D$114:$D$131,"ISIC 55T56",'Cost Breakdowns'!$B$114:$B$131)))</f>
        <v/>
      </c>
      <c r="AO4">
        <f>((SUMIF('Cost Breakdowns'!$D$114:$D$131,"ISIC 58T60",'Cost Breakdowns'!$B$114:$B$131)))</f>
        <v/>
      </c>
      <c r="AP4">
        <f>((SUMIF('Cost Breakdowns'!$D$114:$D$131,"ISIC 61",'Cost Breakdowns'!$B$114:$B$131)))</f>
        <v/>
      </c>
      <c r="AQ4">
        <f>((SUMIF('Cost Breakdowns'!$D$114:$D$131,"ISIC 62T63",'Cost Breakdowns'!$B$114:$B$131)))</f>
        <v/>
      </c>
      <c r="AR4">
        <f>((SUMIF('Cost Breakdowns'!$D$114:$D$131,"ISIC 64T66",'Cost Breakdowns'!$B$114:$B$131)))</f>
        <v/>
      </c>
      <c r="AS4">
        <f>((SUMIF('Cost Breakdowns'!$D$114:$D$131,"ISIC 68",'Cost Breakdowns'!$B$114:$B$131)))</f>
        <v/>
      </c>
      <c r="AT4">
        <f>((SUMIF('Cost Breakdowns'!$D$114:$D$131,"ISIC 69T82",'Cost Breakdowns'!$B$114:$B$131)))*'Factors applied'!$E$223</f>
        <v/>
      </c>
      <c r="AU4">
        <f>((SUMIF('Cost Breakdowns'!$D$114:$D$131,"ISIC 69T82",'Cost Breakdowns'!$B$114:$B$131)))*'Factors applied'!$E$224</f>
        <v/>
      </c>
      <c r="AV4">
        <f>((SUMIF('Cost Breakdowns'!$D$114:$D$131,"ISIC 84",'Cost Breakdowns'!$B$114:$B$131)))</f>
        <v/>
      </c>
      <c r="AW4">
        <f>((SUMIF('Cost Breakdowns'!$D$114:$D$131,"ISIC 85",'Cost Breakdowns'!$B$114:$B$131)))</f>
        <v/>
      </c>
      <c r="AX4">
        <f>((SUMIF('Cost Breakdowns'!$D$114:$D$131,"ISIC 86T88",'Cost Breakdowns'!$B$114:$B$131)))</f>
        <v/>
      </c>
      <c r="AY4">
        <f>((SUMIF('Cost Breakdowns'!$D$114:$D$131,"ISIC 90T96",'Cost Breakdowns'!$B$114:$B$131)))*'Factors applied'!$E$225</f>
        <v/>
      </c>
      <c r="AZ4">
        <f>((SUMIF('Cost Breakdowns'!$D$114:$D$131,"ISIC 90T96",'Cost Breakdowns'!$B$114:$B$131)))*'Factors applied'!$E$226</f>
        <v/>
      </c>
      <c r="BA4">
        <f>((SUMIF('Cost Breakdowns'!$D$114:$D$131,"ISIC 97T98",'Cost Breakdowns'!$B$114:$B$131)))</f>
        <v/>
      </c>
    </row>
    <row r="5">
      <c r="A5" t="inlineStr">
        <is>
          <t>nuclear</t>
        </is>
      </c>
      <c r="B5">
        <f>(SUMIF('Cost Breakdowns'!$D$149:$D$157,"ISIC 01T03",'Cost Breakdowns'!$B$149:$B$157))*'Factors applied'!$E$275</f>
        <v/>
      </c>
      <c r="C5">
        <f>(SUMIF('Cost Breakdowns'!$D$149:$D$157,"ISIC 01T03",'Cost Breakdowns'!$B$149:$B$157))*'Factors applied'!$E$276</f>
        <v/>
      </c>
      <c r="D5">
        <f>(SUMIF('Cost Breakdowns'!$D$149:$D$157,"ISIC 01T03",'Cost Breakdowns'!$B$149:$B$157))*'Factors applied'!$E$277</f>
        <v/>
      </c>
      <c r="E5">
        <f>(SUMIF('Cost Breakdowns'!$D$149:$D$157,"ISIC 05",'Cost Breakdowns'!$B$149:$B$157))</f>
        <v/>
      </c>
      <c r="F5">
        <f>(SUMIF('Cost Breakdowns'!$D$149:$D$157,"ISIC 06",'Cost Breakdowns'!$B$149:$B$157))</f>
        <v/>
      </c>
      <c r="G5">
        <f>(SUMIF('Cost Breakdowns'!$D$149:$D$157,"ISIC 07T08",'Cost Breakdowns'!$B$149:$B$157))*'Factors applied'!$E$278</f>
        <v/>
      </c>
      <c r="H5">
        <f>(SUMIF('Cost Breakdowns'!$D$149:$D$157,"ISIC 07T08",'Cost Breakdowns'!$B$149:$B$157))*'Factors applied'!$E$279</f>
        <v/>
      </c>
      <c r="I5">
        <f>(SUMIF('Cost Breakdowns'!$D$149:$D$157,"ISIC 09",'Cost Breakdowns'!$B$149:$B$157))</f>
        <v/>
      </c>
      <c r="J5">
        <f>(SUMIF('Cost Breakdowns'!$D$149:$D$157,"ISIC 10T12",'Cost Breakdowns'!$B$149:$B$157))</f>
        <v/>
      </c>
      <c r="K5">
        <f>(SUMIF('Cost Breakdowns'!$D$149:$D$157,"ISIC 13T15",'Cost Breakdowns'!$B$149:$B$157))</f>
        <v/>
      </c>
      <c r="L5">
        <f>(SUMIF('Cost Breakdowns'!$D$149:$D$157,"ISIC 16",'Cost Breakdowns'!$B$149:$B$157))</f>
        <v/>
      </c>
      <c r="M5">
        <f>(SUMIF('Cost Breakdowns'!$D$149:$D$157,"ISIC 17T18",'Cost Breakdowns'!$B$149:$B$157))</f>
        <v/>
      </c>
      <c r="N5">
        <f>(SUMIF('Cost Breakdowns'!$D$149:$D$157,"ISIC 19",'Cost Breakdowns'!$B$149:$B$157))</f>
        <v/>
      </c>
      <c r="O5">
        <f>(SUMIF('Cost Breakdowns'!$D$149:$D$157,"ISIC 20",'Cost Breakdowns'!$B$149:$B$157))</f>
        <v/>
      </c>
      <c r="P5">
        <f>(SUMIF('Cost Breakdowns'!$D$149:$D$157,"ISIC 21",'Cost Breakdowns'!$B$149:$B$157))</f>
        <v/>
      </c>
      <c r="Q5">
        <f>(SUMIF('Cost Breakdowns'!$D$149:$D$157,"ISIC 22",'Cost Breakdowns'!$B$149:$B$157))</f>
        <v/>
      </c>
      <c r="R5">
        <f>(SUMIF('Cost Breakdowns'!$D$149:$D$157,"ISIC 231",'Cost Breakdowns'!$B$149:$B$157))</f>
        <v/>
      </c>
      <c r="S5">
        <f>(SUMIF('Cost Breakdowns'!$D$149:$D$157,"ISIC 239",'Cost Breakdowns'!$B$149:$B$157))</f>
        <v/>
      </c>
      <c r="T5">
        <f>(SUMIF('Cost Breakdowns'!$D$149:$D$157,"ISIC 241",'Cost Breakdowns'!$B$149:$B$157))</f>
        <v/>
      </c>
      <c r="U5">
        <f>(SUMIF('Cost Breakdowns'!$D$149:$D$157,"ISIC 242",'Cost Breakdowns'!$B$149:$B$157))</f>
        <v/>
      </c>
      <c r="V5">
        <f>(SUMIF('Cost Breakdowns'!$D$149:$D$157,"ISIC 25",'Cost Breakdowns'!$B$149:$B$157))</f>
        <v/>
      </c>
      <c r="W5">
        <f>(SUMIF('Cost Breakdowns'!$D$149:$D$157,"ISIC 26",'Cost Breakdowns'!$B$149:$B$157))</f>
        <v/>
      </c>
      <c r="X5">
        <f>(SUMIF('Cost Breakdowns'!$D$149:$D$157,"ISIC 27",'Cost Breakdowns'!$B$149:$B$157))</f>
        <v/>
      </c>
      <c r="Y5">
        <f>(SUMIF('Cost Breakdowns'!$D$149:$D$157,"ISIC 28",'Cost Breakdowns'!$B$149:$B$157))</f>
        <v/>
      </c>
      <c r="Z5">
        <f>(SUMIF('Cost Breakdowns'!$D$149:$D$157,"ISIC 29",'Cost Breakdowns'!$B$149:$B$157))</f>
        <v/>
      </c>
      <c r="AA5">
        <f>(SUMIF('Cost Breakdowns'!$D$149:$D$157,"ISIC 30",'Cost Breakdowns'!$B$149:$B$157))*'Factors applied'!$E$280</f>
        <v/>
      </c>
      <c r="AB5">
        <f>(SUMIF('Cost Breakdowns'!$D$149:$D$157,"ISIC 30",'Cost Breakdowns'!$B$149:$B$157))*'Factors applied'!$E$281</f>
        <v/>
      </c>
      <c r="AC5">
        <f>(SUMIF('Cost Breakdowns'!$D$149:$D$157,"ISIC 31T33",'Cost Breakdowns'!$B$149:$B$157))</f>
        <v/>
      </c>
      <c r="AD5">
        <f>(SUMIF('Cost Breakdowns'!$D$149:$D$157,"ISIC 351",'Cost Breakdowns'!$B$149:$B$157))</f>
        <v/>
      </c>
      <c r="AE5">
        <f>(SUMIF('Cost Breakdowns'!$D$149:$D$157,"ISIC 352T353",'Cost Breakdowns'!$B$149:$B$157))</f>
        <v/>
      </c>
      <c r="AF5">
        <f>(SUMIF('Cost Breakdowns'!$D$149:$D$157,"ISIC 36T39",'Cost Breakdowns'!$B$149:$B$157))</f>
        <v/>
      </c>
      <c r="AG5">
        <f>(SUMIF('Cost Breakdowns'!$D$149:$D$157,"ISIC 41T43",'Cost Breakdowns'!$B$149:$B$157))</f>
        <v/>
      </c>
      <c r="AH5">
        <f>(SUMIF('Cost Breakdowns'!$D$149:$D$157,"ISIC 45T47",'Cost Breakdowns'!$B$149:$B$157))</f>
        <v/>
      </c>
      <c r="AI5">
        <f>(SUMIF('Cost Breakdowns'!$D$149:$D$157,"ISIC 49T53",'Cost Breakdowns'!$B$149:$B$157))*'Factors applied'!$E$282</f>
        <v/>
      </c>
      <c r="AJ5">
        <f>(SUMIF('Cost Breakdowns'!$D$149:$D$157,"ISIC 49T53",'Cost Breakdowns'!$B$149:$B$157))*'Factors applied'!$E$283</f>
        <v/>
      </c>
      <c r="AK5">
        <f>(SUMIF('Cost Breakdowns'!$D$149:$D$157,"ISIC 49T53",'Cost Breakdowns'!$B$149:$B$157))*'Factors applied'!$E$284</f>
        <v/>
      </c>
      <c r="AL5">
        <f>(SUMIF('Cost Breakdowns'!$D$149:$D$157,"ISIC 49T53",'Cost Breakdowns'!$B$149:$B$157))*'Factors applied'!$E$285</f>
        <v/>
      </c>
      <c r="AM5">
        <f>(SUMIF('Cost Breakdowns'!$D$149:$D$157,"ISIC 49T53",'Cost Breakdowns'!$B$149:$B$157))*'Factors applied'!$E$286</f>
        <v/>
      </c>
      <c r="AN5">
        <f>(SUMIF('Cost Breakdowns'!$D$149:$D$157,"ISIC 55T56",'Cost Breakdowns'!$B$149:$B$157))</f>
        <v/>
      </c>
      <c r="AO5">
        <f>(SUMIF('Cost Breakdowns'!$D$149:$D$157,"ISIC 58T60",'Cost Breakdowns'!$B$149:$B$157))</f>
        <v/>
      </c>
      <c r="AP5">
        <f>(SUMIF('Cost Breakdowns'!$D$149:$D$157,"ISIC 61",'Cost Breakdowns'!$B$149:$B$157))</f>
        <v/>
      </c>
      <c r="AQ5">
        <f>(SUMIF('Cost Breakdowns'!$D$149:$D$157,"ISIC 62T63",'Cost Breakdowns'!$B$149:$B$157))</f>
        <v/>
      </c>
      <c r="AR5">
        <f>(SUMIF('Cost Breakdowns'!$D$149:$D$157,"ISIC 64T66",'Cost Breakdowns'!$B$149:$B$157))</f>
        <v/>
      </c>
      <c r="AS5">
        <f>(SUMIF('Cost Breakdowns'!$D$149:$D$157,"ISIC 68",'Cost Breakdowns'!$B$149:$B$157))</f>
        <v/>
      </c>
      <c r="AT5">
        <f>(SUMIF('Cost Breakdowns'!$D$149:$D$157,"ISIC 69T82",'Cost Breakdowns'!$B$149:$B$157))*'Factors applied'!$E$287</f>
        <v/>
      </c>
      <c r="AU5">
        <f>(SUMIF('Cost Breakdowns'!$D$149:$D$157,"ISIC 69T82",'Cost Breakdowns'!$B$149:$B$157))*'Factors applied'!$E$288</f>
        <v/>
      </c>
      <c r="AV5">
        <f>(SUMIF('Cost Breakdowns'!$D$149:$D$157,"ISIC 84",'Cost Breakdowns'!$B$149:$B$157))</f>
        <v/>
      </c>
      <c r="AW5">
        <f>(SUMIF('Cost Breakdowns'!$D$149:$D$157,"ISIC 85",'Cost Breakdowns'!$B$149:$B$157))</f>
        <v/>
      </c>
      <c r="AX5">
        <f>(SUMIF('Cost Breakdowns'!$D$149:$D$157,"ISIC 86T88",'Cost Breakdowns'!$B$149:$B$157))</f>
        <v/>
      </c>
      <c r="AY5">
        <f>(SUMIF('Cost Breakdowns'!$D$149:$D$157,"ISIC 90T96",'Cost Breakdowns'!$B$149:$B$157))*'Factors applied'!$E$289</f>
        <v/>
      </c>
      <c r="AZ5">
        <f>(SUMIF('Cost Breakdowns'!$D$149:$D$157,"ISIC 90T96",'Cost Breakdowns'!$B$149:$B$157))*'Factors applied'!$E$290</f>
        <v/>
      </c>
      <c r="BA5">
        <f>(SUMIF('Cost Breakdowns'!$D$149:$D$157,"ISIC 97T98",'Cost Breakdowns'!$B$149:$B$157))</f>
        <v/>
      </c>
    </row>
    <row r="6">
      <c r="A6" t="inlineStr">
        <is>
          <t>hydro</t>
        </is>
      </c>
      <c r="B6">
        <f>(SUMIF('Cost Breakdowns'!$D$168:$D$198,"ISIC 01T03",'Cost Breakdowns'!$B$168:$B$198))*'Factors applied'!$E$115</f>
        <v/>
      </c>
      <c r="C6">
        <f>(SUMIF('Cost Breakdowns'!$D$168:$D$198,"ISIC 01T03",'Cost Breakdowns'!$B$168:$B$198))*'Factors applied'!$E$116</f>
        <v/>
      </c>
      <c r="D6">
        <f>(SUMIF('Cost Breakdowns'!$D$168:$D$198,"ISIC 01T03",'Cost Breakdowns'!$B$168:$B$198))*'Factors applied'!$E$117</f>
        <v/>
      </c>
      <c r="E6">
        <f>(SUMIF('Cost Breakdowns'!$D$168:$D$198,"ISIC 05",'Cost Breakdowns'!$B$168:$B$198))</f>
        <v/>
      </c>
      <c r="F6">
        <f>(SUMIF('Cost Breakdowns'!$D$168:$D$198,"ISIC 06",'Cost Breakdowns'!$B$168:$B$198))</f>
        <v/>
      </c>
      <c r="G6">
        <f>(SUMIF('Cost Breakdowns'!$D$168:$D$198,"ISIC 07T08",'Cost Breakdowns'!$B$168:$B$198))*'Factors applied'!$E$118</f>
        <v/>
      </c>
      <c r="H6">
        <f>(SUMIF('Cost Breakdowns'!$D$168:$D$198,"ISIC 07T08",'Cost Breakdowns'!$B$168:$B$198))*'Factors applied'!$E$119</f>
        <v/>
      </c>
      <c r="I6">
        <f>(SUMIF('Cost Breakdowns'!$D$168:$D$198,"ISIC 09",'Cost Breakdowns'!$B$168:$B$198))</f>
        <v/>
      </c>
      <c r="J6">
        <f>(SUMIF('Cost Breakdowns'!$D$168:$D$198,"ISIC 10T12",'Cost Breakdowns'!$B$168:$B$198))</f>
        <v/>
      </c>
      <c r="K6">
        <f>(SUMIF('Cost Breakdowns'!$D$168:$D$198,"ISIC 13T15",'Cost Breakdowns'!$B$168:$B$198))</f>
        <v/>
      </c>
      <c r="L6">
        <f>(SUMIF('Cost Breakdowns'!$D$168:$D$198,"ISIC 16",'Cost Breakdowns'!$B$168:$B$198))</f>
        <v/>
      </c>
      <c r="M6">
        <f>(SUMIF('Cost Breakdowns'!$D$168:$D$198,"ISIC 17T18",'Cost Breakdowns'!$B$168:$B$198))</f>
        <v/>
      </c>
      <c r="N6">
        <f>(SUMIF('Cost Breakdowns'!$D$168:$D$198,"ISIC 19",'Cost Breakdowns'!$B$168:$B$198))</f>
        <v/>
      </c>
      <c r="O6">
        <f>(SUMIF('Cost Breakdowns'!$D$168:$D$198,"ISIC 20",'Cost Breakdowns'!$B$168:$B$198))</f>
        <v/>
      </c>
      <c r="P6">
        <f>(SUMIF('Cost Breakdowns'!$D$168:$D$198,"ISIC 21",'Cost Breakdowns'!$B$168:$B$198))</f>
        <v/>
      </c>
      <c r="Q6">
        <f>(SUMIF('Cost Breakdowns'!$D$168:$D$198,"ISIC 22",'Cost Breakdowns'!$B$168:$B$198))</f>
        <v/>
      </c>
      <c r="R6">
        <f>(SUMIF('Cost Breakdowns'!$D$168:$D$198,"ISIC 231",'Cost Breakdowns'!$B$168:$B$198))</f>
        <v/>
      </c>
      <c r="S6">
        <f>(SUMIF('Cost Breakdowns'!$D$168:$D$198,"ISIC 239",'Cost Breakdowns'!$B$168:$B$198))</f>
        <v/>
      </c>
      <c r="T6">
        <f>(SUMIF('Cost Breakdowns'!$D$168:$D$198,"ISIC 241",'Cost Breakdowns'!$B$168:$B$198))</f>
        <v/>
      </c>
      <c r="U6">
        <f>(SUMIF('Cost Breakdowns'!$D$168:$D$198,"ISIC 242",'Cost Breakdowns'!$B$168:$B$198))</f>
        <v/>
      </c>
      <c r="V6">
        <f>(SUMIF('Cost Breakdowns'!$D$168:$D$198,"ISIC 25",'Cost Breakdowns'!$B$168:$B$198))</f>
        <v/>
      </c>
      <c r="W6">
        <f>(SUMIF('Cost Breakdowns'!$D$168:$D$198,"ISIC 26",'Cost Breakdowns'!$B$168:$B$198))</f>
        <v/>
      </c>
      <c r="X6">
        <f>(SUMIF('Cost Breakdowns'!$D$168:$D$198,"ISIC 27",'Cost Breakdowns'!$B$168:$B$198))</f>
        <v/>
      </c>
      <c r="Y6">
        <f>(SUMIF('Cost Breakdowns'!$D$168:$D$198,"ISIC 28",'Cost Breakdowns'!$B$168:$B$198))</f>
        <v/>
      </c>
      <c r="Z6">
        <f>(SUMIF('Cost Breakdowns'!$D$168:$D$198,"ISIC 29",'Cost Breakdowns'!$B$168:$B$198))</f>
        <v/>
      </c>
      <c r="AA6">
        <f>(SUMIF('Cost Breakdowns'!$D$168:$D$198,"ISIC 30",'Cost Breakdowns'!$B$168:$B$198))*'Factors applied'!$E$120</f>
        <v/>
      </c>
      <c r="AB6">
        <f>(SUMIF('Cost Breakdowns'!$D$168:$D$198,"ISIC 30",'Cost Breakdowns'!$B$168:$B$198))*'Factors applied'!$E$121</f>
        <v/>
      </c>
      <c r="AC6">
        <f>(SUMIF('Cost Breakdowns'!$D$168:$D$198,"ISIC 31T33",'Cost Breakdowns'!$B$168:$B$198))</f>
        <v/>
      </c>
      <c r="AD6">
        <f>(SUMIF('Cost Breakdowns'!$D$168:$D$198,"ISIC 351",'Cost Breakdowns'!$B$168:$B$198))</f>
        <v/>
      </c>
      <c r="AE6">
        <f>(SUMIF('Cost Breakdowns'!$D$168:$D$198,"ISIC 352T353",'Cost Breakdowns'!$B$168:$B$198))</f>
        <v/>
      </c>
      <c r="AF6">
        <f>(SUMIF('Cost Breakdowns'!$D$168:$D$198,"ISIC 36T39",'Cost Breakdowns'!$B$168:$B$198))</f>
        <v/>
      </c>
      <c r="AG6">
        <f>(SUMIF('Cost Breakdowns'!$D$168:$D$198,"ISIC 41T43",'Cost Breakdowns'!$B$168:$B$198))</f>
        <v/>
      </c>
      <c r="AH6">
        <f>(SUMIF('Cost Breakdowns'!$D$168:$D$198,"ISIC 45T47",'Cost Breakdowns'!$B$168:$B$198))</f>
        <v/>
      </c>
      <c r="AI6">
        <f>(SUMIF('Cost Breakdowns'!$D$168:$D$198,"ISIC 49T53",'Cost Breakdowns'!$B$168:$B$198))*'Factors applied'!$E$122</f>
        <v/>
      </c>
      <c r="AJ6">
        <f>(SUMIF('Cost Breakdowns'!$D$168:$D$198,"ISIC 49T53",'Cost Breakdowns'!$B$168:$B$198))*'Factors applied'!$E$123</f>
        <v/>
      </c>
      <c r="AK6">
        <f>(SUMIF('Cost Breakdowns'!$D$168:$D$198,"ISIC 49T53",'Cost Breakdowns'!$B$168:$B$198))*'Factors applied'!$E$124</f>
        <v/>
      </c>
      <c r="AL6">
        <f>(SUMIF('Cost Breakdowns'!$D$168:$D$198,"ISIC 49T53",'Cost Breakdowns'!$B$168:$B$198))*'Factors applied'!$E$125</f>
        <v/>
      </c>
      <c r="AM6">
        <f>(SUMIF('Cost Breakdowns'!$D$168:$D$198,"ISIC 49T53",'Cost Breakdowns'!$B$168:$B$198))*'Factors applied'!$E$126</f>
        <v/>
      </c>
      <c r="AN6">
        <f>(SUMIF('Cost Breakdowns'!$D$168:$D$198,"ISIC 55T56",'Cost Breakdowns'!$B$168:$B$198))</f>
        <v/>
      </c>
      <c r="AO6">
        <f>(SUMIF('Cost Breakdowns'!$D$168:$D$198,"ISIC 58T60",'Cost Breakdowns'!$B$168:$B$198))</f>
        <v/>
      </c>
      <c r="AP6">
        <f>(SUMIF('Cost Breakdowns'!$D$168:$D$198,"ISIC 61",'Cost Breakdowns'!$B$168:$B$198))</f>
        <v/>
      </c>
      <c r="AQ6">
        <f>(SUMIF('Cost Breakdowns'!$D$168:$D$198,"ISIC 62T63",'Cost Breakdowns'!$B$168:$B$198))</f>
        <v/>
      </c>
      <c r="AR6">
        <f>(SUMIF('Cost Breakdowns'!$D$168:$D$198,"ISIC 64T66",'Cost Breakdowns'!$B$168:$B$198))</f>
        <v/>
      </c>
      <c r="AS6">
        <f>(SUMIF('Cost Breakdowns'!$D$168:$D$198,"ISIC 68",'Cost Breakdowns'!$B$168:$B$198))</f>
        <v/>
      </c>
      <c r="AT6">
        <f>(SUMIF('Cost Breakdowns'!$D$168:$D$198,"ISIC 69T82",'Cost Breakdowns'!$B$168:$B$198))*'Factors applied'!$E$127</f>
        <v/>
      </c>
      <c r="AU6">
        <f>(SUMIF('Cost Breakdowns'!$D$168:$D$198,"ISIC 69T82",'Cost Breakdowns'!$B$168:$B$198))*'Factors applied'!$E$128</f>
        <v/>
      </c>
      <c r="AV6">
        <f>(SUMIF('Cost Breakdowns'!$D$168:$D$198,"ISIC 84",'Cost Breakdowns'!$B$168:$B$198))</f>
        <v/>
      </c>
      <c r="AW6">
        <f>(SUMIF('Cost Breakdowns'!$D$168:$D$198,"ISIC 85",'Cost Breakdowns'!$B$168:$B$198))</f>
        <v/>
      </c>
      <c r="AX6">
        <f>(SUMIF('Cost Breakdowns'!$D$168:$D$198,"ISIC 86T88",'Cost Breakdowns'!$B$168:$B$198))</f>
        <v/>
      </c>
      <c r="AY6">
        <f>(SUMIF('Cost Breakdowns'!$D$168:$D$198,"ISIC 90T96",'Cost Breakdowns'!$B$168:$B$198))*'Factors applied'!$E$129</f>
        <v/>
      </c>
      <c r="AZ6">
        <f>(SUMIF('Cost Breakdowns'!$D$168:$D$198,"ISIC 90T96",'Cost Breakdowns'!$B$168:$B$198))*'Factors applied'!$E$130</f>
        <v/>
      </c>
      <c r="BA6">
        <f>(SUMIF('Cost Breakdowns'!$D$168:$D$198,"ISIC 97T98",'Cost Breakdowns'!$B$168:$B$198))</f>
        <v/>
      </c>
    </row>
    <row r="7">
      <c r="A7" t="inlineStr">
        <is>
          <t>wind</t>
        </is>
      </c>
      <c r="B7">
        <f>(SUMIF('Cost Breakdowns'!$D$22:$D$52,"ISIC 01T03",'Cost Breakdowns'!$B$22:$B$52))*'Factors applied'!$E$371</f>
        <v/>
      </c>
      <c r="C7">
        <f>(SUMIF('Cost Breakdowns'!$D$22:$D$52,"ISIC 01T03",'Cost Breakdowns'!$B$22:$B$52))*'Factors applied'!$E$372</f>
        <v/>
      </c>
      <c r="D7">
        <f>(SUMIF('Cost Breakdowns'!$D$22:$D$52,"ISIC 01T03",'Cost Breakdowns'!$B$22:$B$52))*'Factors applied'!$E$373</f>
        <v/>
      </c>
      <c r="E7">
        <f>(SUMIF('Cost Breakdowns'!$D$22:$D$52,"ISIC 05",'Cost Breakdowns'!$B$22:$B$52))</f>
        <v/>
      </c>
      <c r="F7">
        <f>(SUMIF('Cost Breakdowns'!$D$22:$D$52,"ISIC 06",'Cost Breakdowns'!$B$22:$B$52))</f>
        <v/>
      </c>
      <c r="G7">
        <f>(SUMIF('Cost Breakdowns'!$D$22:$D$52,"ISIC 07T08",'Cost Breakdowns'!$B$22:$B$52))*'Factors applied'!$E$374</f>
        <v/>
      </c>
      <c r="H7">
        <f>(SUMIF('Cost Breakdowns'!$D$22:$D$52,"ISIC 07T08",'Cost Breakdowns'!$B$22:$B$52))*'Factors applied'!$E$375</f>
        <v/>
      </c>
      <c r="I7">
        <f>(SUMIF('Cost Breakdowns'!$D$22:$D$52,"ISIC 09",'Cost Breakdowns'!$B$22:$B$52))</f>
        <v/>
      </c>
      <c r="J7">
        <f>(SUMIF('Cost Breakdowns'!$D$22:$D$52,"ISIC 10T12",'Cost Breakdowns'!$B$22:$B$52))</f>
        <v/>
      </c>
      <c r="K7">
        <f>(SUMIF('Cost Breakdowns'!$D$22:$D$52,"ISIC 13T15",'Cost Breakdowns'!$B$22:$B$52))</f>
        <v/>
      </c>
      <c r="L7">
        <f>(SUMIF('Cost Breakdowns'!$D$22:$D$52,"ISIC 16",'Cost Breakdowns'!$B$22:$B$52))</f>
        <v/>
      </c>
      <c r="M7">
        <f>(SUMIF('Cost Breakdowns'!$D$22:$D$52,"ISIC 17T18",'Cost Breakdowns'!$B$22:$B$52))</f>
        <v/>
      </c>
      <c r="N7">
        <f>(SUMIF('Cost Breakdowns'!$D$22:$D$52,"ISIC 19",'Cost Breakdowns'!$B$22:$B$52))</f>
        <v/>
      </c>
      <c r="O7">
        <f>(SUMIF('Cost Breakdowns'!$D$22:$D$52,"ISIC 20",'Cost Breakdowns'!$B$22:$B$52))</f>
        <v/>
      </c>
      <c r="P7">
        <f>(SUMIF('Cost Breakdowns'!$D$22:$D$52,"ISIC 21",'Cost Breakdowns'!$B$22:$B$52))</f>
        <v/>
      </c>
      <c r="Q7">
        <f>(SUMIF('Cost Breakdowns'!$D$22:$D$52,"ISIC 22",'Cost Breakdowns'!$B$22:$B$52))</f>
        <v/>
      </c>
      <c r="R7">
        <f>(SUMIF('Cost Breakdowns'!$D$22:$D$52,"ISIC 231",'Cost Breakdowns'!$B$22:$B$52))</f>
        <v/>
      </c>
      <c r="S7">
        <f>(SUMIF('Cost Breakdowns'!$D$22:$D$52,"ISIC 239",'Cost Breakdowns'!$B$22:$B$52))</f>
        <v/>
      </c>
      <c r="T7">
        <f>(SUMIF('Cost Breakdowns'!$D$22:$D$52,"ISIC 241",'Cost Breakdowns'!$B$22:$B$52))</f>
        <v/>
      </c>
      <c r="U7">
        <f>(SUMIF('Cost Breakdowns'!$D$22:$D$52,"ISIC 242",'Cost Breakdowns'!$B$22:$B$52))</f>
        <v/>
      </c>
      <c r="V7">
        <f>(SUMIF('Cost Breakdowns'!$D$22:$D$52,"ISIC 25",'Cost Breakdowns'!$B$22:$B$52))</f>
        <v/>
      </c>
      <c r="W7">
        <f>(SUMIF('Cost Breakdowns'!$D$22:$D$52,"ISIC 26",'Cost Breakdowns'!$B$22:$B$52))</f>
        <v/>
      </c>
      <c r="X7">
        <f>(SUMIF('Cost Breakdowns'!$D$22:$D$52,"ISIC 27",'Cost Breakdowns'!$B$22:$B$52))</f>
        <v/>
      </c>
      <c r="Y7">
        <f>(SUMIF('Cost Breakdowns'!$D$22:$D$52,"ISIC 28",'Cost Breakdowns'!$B$22:$B$52))</f>
        <v/>
      </c>
      <c r="Z7">
        <f>(SUMIF('Cost Breakdowns'!$D$22:$D$52,"ISIC 29",'Cost Breakdowns'!$B$22:$B$52))</f>
        <v/>
      </c>
      <c r="AA7">
        <f>(SUMIF('Cost Breakdowns'!$D$22:$D$52,"ISIC 30",'Cost Breakdowns'!$B$22:$B$52))*'Factors applied'!$E$376</f>
        <v/>
      </c>
      <c r="AB7">
        <f>(SUMIF('Cost Breakdowns'!$D$22:$D$52,"ISIC 30",'Cost Breakdowns'!$B$22:$B$52))*'Factors applied'!$E$377</f>
        <v/>
      </c>
      <c r="AC7">
        <f>(SUMIF('Cost Breakdowns'!$D$22:$D$52,"ISIC 31T33",'Cost Breakdowns'!$B$22:$B$52))</f>
        <v/>
      </c>
      <c r="AD7">
        <f>(SUMIF('Cost Breakdowns'!$D$22:$D$52,"ISIC 351",'Cost Breakdowns'!$B$22:$B$52))</f>
        <v/>
      </c>
      <c r="AE7">
        <f>(SUMIF('Cost Breakdowns'!$D$22:$D$52,"ISIC 352T353",'Cost Breakdowns'!$B$22:$B$52))</f>
        <v/>
      </c>
      <c r="AF7">
        <f>(SUMIF('Cost Breakdowns'!$D$22:$D$52,"ISIC 36T39",'Cost Breakdowns'!$B$22:$B$52))</f>
        <v/>
      </c>
      <c r="AG7">
        <f>(SUMIF('Cost Breakdowns'!$D$22:$D$52,"ISIC 41T43",'Cost Breakdowns'!$B$22:$B$52))</f>
        <v/>
      </c>
      <c r="AH7">
        <f>(SUMIF('Cost Breakdowns'!$D$22:$D$52,"ISIC 45T47",'Cost Breakdowns'!$B$22:$B$52))</f>
        <v/>
      </c>
      <c r="AI7">
        <f>(SUMIF('Cost Breakdowns'!$D$22:$D$52,"ISIC 49T53",'Cost Breakdowns'!$B$22:$B$52))*'Factors applied'!$E$378</f>
        <v/>
      </c>
      <c r="AJ7">
        <f>(SUMIF('Cost Breakdowns'!$D$22:$D$52,"ISIC 49T53",'Cost Breakdowns'!$B$22:$B$52))*'Factors applied'!$E$379</f>
        <v/>
      </c>
      <c r="AK7">
        <f>(SUMIF('Cost Breakdowns'!$D$22:$D$52,"ISIC 49T53",'Cost Breakdowns'!$B$22:$B$52))*'Factors applied'!$E$380</f>
        <v/>
      </c>
      <c r="AL7">
        <f>(SUMIF('Cost Breakdowns'!$D$22:$D$52,"ISIC 49T53",'Cost Breakdowns'!$B$22:$B$52))*'Factors applied'!$E$381</f>
        <v/>
      </c>
      <c r="AM7">
        <f>(SUMIF('Cost Breakdowns'!$D$22:$D$52,"ISIC 49T53",'Cost Breakdowns'!$B$22:$B$52))*'Factors applied'!$E$382</f>
        <v/>
      </c>
      <c r="AN7">
        <f>(SUMIF('Cost Breakdowns'!$D$22:$D$52,"ISIC 55T56",'Cost Breakdowns'!$B$22:$B$52))</f>
        <v/>
      </c>
      <c r="AO7">
        <f>(SUMIF('Cost Breakdowns'!$D$22:$D$52,"ISIC 58T60",'Cost Breakdowns'!$B$22:$B$52))</f>
        <v/>
      </c>
      <c r="AP7">
        <f>(SUMIF('Cost Breakdowns'!$D$22:$D$52,"ISIC 61",'Cost Breakdowns'!$B$22:$B$52))</f>
        <v/>
      </c>
      <c r="AQ7">
        <f>(SUMIF('Cost Breakdowns'!$D$22:$D$52,"ISIC 62T63",'Cost Breakdowns'!$B$22:$B$52))</f>
        <v/>
      </c>
      <c r="AR7">
        <f>(SUMIF('Cost Breakdowns'!$D$22:$D$52,"ISIC 64T66",'Cost Breakdowns'!$B$22:$B$52))</f>
        <v/>
      </c>
      <c r="AS7">
        <f>(SUMIF('Cost Breakdowns'!$D$22:$D$52,"ISIC 68",'Cost Breakdowns'!$B$22:$B$52))</f>
        <v/>
      </c>
      <c r="AT7">
        <f>(SUMIF('Cost Breakdowns'!$D$22:$D$52,"ISIC 69T82",'Cost Breakdowns'!$B$22:$B$52))*'Factors applied'!$E$383</f>
        <v/>
      </c>
      <c r="AU7">
        <f>(SUMIF('Cost Breakdowns'!$D$22:$D$52,"ISIC 69T82",'Cost Breakdowns'!$B$22:$B$52))*'Factors applied'!$E$384</f>
        <v/>
      </c>
      <c r="AV7">
        <f>(SUMIF('Cost Breakdowns'!$D$22:$D$52,"ISIC 84",'Cost Breakdowns'!$B$22:$B$52))</f>
        <v/>
      </c>
      <c r="AW7">
        <f>(SUMIF('Cost Breakdowns'!$D$22:$D$52,"ISIC 85",'Cost Breakdowns'!$B$22:$B$52))</f>
        <v/>
      </c>
      <c r="AX7">
        <f>(SUMIF('Cost Breakdowns'!$D$22:$D$52,"ISIC 86T88",'Cost Breakdowns'!$B$22:$B$52))</f>
        <v/>
      </c>
      <c r="AY7">
        <f>(SUMIF('Cost Breakdowns'!$D$22:$D$52,"ISIC 90T96",'Cost Breakdowns'!$B$22:$B$52))*'Factors applied'!$E$385</f>
        <v/>
      </c>
      <c r="AZ7">
        <f>(SUMIF('Cost Breakdowns'!$D$22:$D$52,"ISIC 90T96",'Cost Breakdowns'!$B$22:$B$52))*'Factors applied'!$E$386</f>
        <v/>
      </c>
      <c r="BA7">
        <f>(SUMIF('Cost Breakdowns'!$D$22:$D$52,"ISIC 97T98",'Cost Breakdowns'!$B$22:$B$52))</f>
        <v/>
      </c>
    </row>
    <row r="8">
      <c r="A8" t="inlineStr">
        <is>
          <t>solar PV</t>
        </is>
      </c>
      <c r="B8">
        <f>(SUMIF('Cost Breakdowns'!$D$4:$D$13,"ISIC 01T03",'Cost Breakdowns'!$B$4:$B$13))*'Factors applied'!$E$339</f>
        <v/>
      </c>
      <c r="C8">
        <f>(SUMIF('Cost Breakdowns'!$D$4:$D$13,"ISIC 01T03",'Cost Breakdowns'!$B$4:$B$13))*'Factors applied'!$E$340</f>
        <v/>
      </c>
      <c r="D8">
        <f>(SUMIF('Cost Breakdowns'!$D$4:$D$13,"ISIC 01T03",'Cost Breakdowns'!$B$4:$B$13))*'Factors applied'!$E$341</f>
        <v/>
      </c>
      <c r="E8">
        <f>(SUMIF('Cost Breakdowns'!$D$4:$D$13,"ISIC 05",'Cost Breakdowns'!$B$4:$B$13))</f>
        <v/>
      </c>
      <c r="F8">
        <f>(SUMIF('Cost Breakdowns'!$D$4:$D$13,"ISIC 06",'Cost Breakdowns'!$B$4:$B$13))</f>
        <v/>
      </c>
      <c r="G8">
        <f>(SUMIF('Cost Breakdowns'!$D$4:$D$13,"ISIC 07T08",'Cost Breakdowns'!$B$4:$B$13))*'Factors applied'!$E$342</f>
        <v/>
      </c>
      <c r="H8">
        <f>(SUMIF('Cost Breakdowns'!$D$4:$D$13,"ISIC 07T08",'Cost Breakdowns'!$B$4:$B$13))*'Factors applied'!$E$343</f>
        <v/>
      </c>
      <c r="I8">
        <f>(SUMIF('Cost Breakdowns'!$D$4:$D$13,"ISIC 09",'Cost Breakdowns'!$B$4:$B$13))</f>
        <v/>
      </c>
      <c r="J8">
        <f>(SUMIF('Cost Breakdowns'!$D$4:$D$13,"ISIC 10T12",'Cost Breakdowns'!$B$4:$B$13))</f>
        <v/>
      </c>
      <c r="K8">
        <f>(SUMIF('Cost Breakdowns'!$D$4:$D$13,"ISIC 13T15",'Cost Breakdowns'!$B$4:$B$13))</f>
        <v/>
      </c>
      <c r="L8">
        <f>(SUMIF('Cost Breakdowns'!$D$4:$D$13,"ISIC 16",'Cost Breakdowns'!$B$4:$B$13))</f>
        <v/>
      </c>
      <c r="M8">
        <f>(SUMIF('Cost Breakdowns'!$D$4:$D$13,"ISIC 17T18",'Cost Breakdowns'!$B$4:$B$13))</f>
        <v/>
      </c>
      <c r="N8">
        <f>(SUMIF('Cost Breakdowns'!$D$4:$D$13,"ISIC 19",'Cost Breakdowns'!$B$4:$B$13))</f>
        <v/>
      </c>
      <c r="O8">
        <f>(SUMIF('Cost Breakdowns'!$D$4:$D$13,"ISIC 20",'Cost Breakdowns'!$B$4:$B$13))</f>
        <v/>
      </c>
      <c r="P8">
        <f>(SUMIF('Cost Breakdowns'!$D$4:$D$13,"ISIC 21",'Cost Breakdowns'!$B$4:$B$13))</f>
        <v/>
      </c>
      <c r="Q8">
        <f>(SUMIF('Cost Breakdowns'!$D$4:$D$13,"ISIC 22",'Cost Breakdowns'!$B$4:$B$13))</f>
        <v/>
      </c>
      <c r="R8">
        <f>(SUMIF('Cost Breakdowns'!$D$4:$D$13,"ISIC 231",'Cost Breakdowns'!$B$4:$B$13))</f>
        <v/>
      </c>
      <c r="S8">
        <f>(SUMIF('Cost Breakdowns'!$D$4:$D$13,"ISIC 239",'Cost Breakdowns'!$B$4:$B$13))</f>
        <v/>
      </c>
      <c r="T8">
        <f>(SUMIF('Cost Breakdowns'!$D$4:$D$13,"ISIC 241",'Cost Breakdowns'!$B$4:$B$13))</f>
        <v/>
      </c>
      <c r="U8">
        <f>(SUMIF('Cost Breakdowns'!$D$4:$D$13,"ISIC 242",'Cost Breakdowns'!$B$4:$B$13))</f>
        <v/>
      </c>
      <c r="V8">
        <f>(SUMIF('Cost Breakdowns'!$D$4:$D$13,"ISIC 25",'Cost Breakdowns'!$B$4:$B$13))</f>
        <v/>
      </c>
      <c r="W8">
        <f>(SUMIF('Cost Breakdowns'!$D$4:$D$13,"ISIC 26",'Cost Breakdowns'!$B$4:$B$13))</f>
        <v/>
      </c>
      <c r="X8">
        <f>(SUMIF('Cost Breakdowns'!$D$4:$D$13,"ISIC 27",'Cost Breakdowns'!$B$4:$B$13))</f>
        <v/>
      </c>
      <c r="Y8">
        <f>(SUMIF('Cost Breakdowns'!$D$4:$D$13,"ISIC 28",'Cost Breakdowns'!$B$4:$B$13))</f>
        <v/>
      </c>
      <c r="Z8">
        <f>(SUMIF('Cost Breakdowns'!$D$4:$D$13,"ISIC 29",'Cost Breakdowns'!$B$4:$B$13))</f>
        <v/>
      </c>
      <c r="AA8">
        <f>(SUMIF('Cost Breakdowns'!$D$4:$D$13,"ISIC 30",'Cost Breakdowns'!$B$4:$B$13))*'Factors applied'!$E$344</f>
        <v/>
      </c>
      <c r="AB8">
        <f>(SUMIF('Cost Breakdowns'!$D$4:$D$13,"ISIC 30",'Cost Breakdowns'!$B$4:$B$13))*'Factors applied'!$E$345</f>
        <v/>
      </c>
      <c r="AC8">
        <f>(SUMIF('Cost Breakdowns'!$D$4:$D$13,"ISIC 31T33",'Cost Breakdowns'!$B$4:$B$13))</f>
        <v/>
      </c>
      <c r="AD8">
        <f>(SUMIF('Cost Breakdowns'!$D$4:$D$13,"ISIC 351",'Cost Breakdowns'!$B$4:$B$13))</f>
        <v/>
      </c>
      <c r="AE8">
        <f>(SUMIF('Cost Breakdowns'!$D$4:$D$13,"ISIC 352T353",'Cost Breakdowns'!$B$4:$B$13))</f>
        <v/>
      </c>
      <c r="AF8">
        <f>(SUMIF('Cost Breakdowns'!$D$4:$D$13,"ISIC 36T39",'Cost Breakdowns'!$B$4:$B$13))</f>
        <v/>
      </c>
      <c r="AG8">
        <f>(SUMIF('Cost Breakdowns'!$D$4:$D$13,"ISIC 41T43",'Cost Breakdowns'!$B$4:$B$13))</f>
        <v/>
      </c>
      <c r="AH8">
        <f>(SUMIF('Cost Breakdowns'!$D$4:$D$13,"ISIC 45T47",'Cost Breakdowns'!$B$4:$B$13))</f>
        <v/>
      </c>
      <c r="AI8">
        <f>(SUMIF('Cost Breakdowns'!$D$4:$D$13,"ISIC 49T53",'Cost Breakdowns'!$B$4:$B$13))*'Factors applied'!$E$346</f>
        <v/>
      </c>
      <c r="AJ8">
        <f>(SUMIF('Cost Breakdowns'!$D$4:$D$13,"ISIC 49T53",'Cost Breakdowns'!$B$4:$B$13))*'Factors applied'!$E$347</f>
        <v/>
      </c>
      <c r="AK8">
        <f>(SUMIF('Cost Breakdowns'!$D$4:$D$13,"ISIC 49T53",'Cost Breakdowns'!$B$4:$B$13))*'Factors applied'!$E$348</f>
        <v/>
      </c>
      <c r="AL8">
        <f>(SUMIF('Cost Breakdowns'!$D$4:$D$13,"ISIC 49T53",'Cost Breakdowns'!$B$4:$B$13))*'Factors applied'!$E$349</f>
        <v/>
      </c>
      <c r="AM8">
        <f>(SUMIF('Cost Breakdowns'!$D$4:$D$13,"ISIC 49T53",'Cost Breakdowns'!$B$4:$B$13))*'Factors applied'!$E$350</f>
        <v/>
      </c>
      <c r="AN8">
        <f>(SUMIF('Cost Breakdowns'!$D$4:$D$13,"ISIC 55T56",'Cost Breakdowns'!$B$4:$B$13))</f>
        <v/>
      </c>
      <c r="AO8">
        <f>(SUMIF('Cost Breakdowns'!$D$4:$D$13,"ISIC 58T60",'Cost Breakdowns'!$B$4:$B$13))</f>
        <v/>
      </c>
      <c r="AP8">
        <f>(SUMIF('Cost Breakdowns'!$D$4:$D$13,"ISIC 61",'Cost Breakdowns'!$B$4:$B$13))</f>
        <v/>
      </c>
      <c r="AQ8">
        <f>(SUMIF('Cost Breakdowns'!$D$4:$D$13,"ISIC 62T63",'Cost Breakdowns'!$B$4:$B$13))</f>
        <v/>
      </c>
      <c r="AR8">
        <f>(SUMIF('Cost Breakdowns'!$D$4:$D$13,"ISIC 64T66",'Cost Breakdowns'!$B$4:$B$13))</f>
        <v/>
      </c>
      <c r="AS8">
        <f>(SUMIF('Cost Breakdowns'!$D$4:$D$13,"ISIC 68",'Cost Breakdowns'!$B$4:$B$13))</f>
        <v/>
      </c>
      <c r="AT8">
        <f>(SUMIF('Cost Breakdowns'!$D$4:$D$13,"ISIC 69T82",'Cost Breakdowns'!$B$4:$B$13))*'Factors applied'!$E$351</f>
        <v/>
      </c>
      <c r="AU8">
        <f>(SUMIF('Cost Breakdowns'!$D$4:$D$13,"ISIC 69T82",'Cost Breakdowns'!$B$4:$B$13))*'Factors applied'!$E$352</f>
        <v/>
      </c>
      <c r="AV8">
        <f>(SUMIF('Cost Breakdowns'!$D$4:$D$13,"ISIC 84",'Cost Breakdowns'!$B$4:$B$13))</f>
        <v/>
      </c>
      <c r="AW8">
        <f>(SUMIF('Cost Breakdowns'!$D$4:$D$13,"ISIC 85",'Cost Breakdowns'!$B$4:$B$13))</f>
        <v/>
      </c>
      <c r="AX8">
        <f>(SUMIF('Cost Breakdowns'!$D$4:$D$13,"ISIC 86T88",'Cost Breakdowns'!$B$4:$B$13))</f>
        <v/>
      </c>
      <c r="AY8">
        <f>(SUMIF('Cost Breakdowns'!$D$4:$D$13,"ISIC 90T96",'Cost Breakdowns'!$B$4:$B$13))*'Factors applied'!$E$353</f>
        <v/>
      </c>
      <c r="AZ8">
        <f>(SUMIF('Cost Breakdowns'!$D$4:$D$13,"ISIC 90T96",'Cost Breakdowns'!$B$4:$B$13))*'Factors applied'!$E$354</f>
        <v/>
      </c>
      <c r="BA8">
        <f>(SUMIF('Cost Breakdowns'!$D$4:$D$13,"ISIC 97T98",'Cost Breakdowns'!$B$4:$B$13))</f>
        <v/>
      </c>
    </row>
    <row r="9">
      <c r="A9" t="inlineStr">
        <is>
          <t>solar thermal</t>
        </is>
      </c>
      <c r="B9">
        <f>(SUMIF('Cost Breakdowns'!$D$239:$D$267,"ISIC 01T03",'Cost Breakdowns'!$B$239:$B$267))*'Factors applied'!$E$355</f>
        <v/>
      </c>
      <c r="C9">
        <f>(SUMIF('Cost Breakdowns'!$D$239:$D$267,"ISIC 01T03",'Cost Breakdowns'!$B$239:$B$267))*'Factors applied'!$E$356</f>
        <v/>
      </c>
      <c r="D9">
        <f>(SUMIF('Cost Breakdowns'!$D$239:$D$267,"ISIC 01T03",'Cost Breakdowns'!$B$239:$B$267))*'Factors applied'!$E$357</f>
        <v/>
      </c>
      <c r="E9">
        <f>(SUMIF('Cost Breakdowns'!$D$239:$D$267,"ISIC 05",'Cost Breakdowns'!$B$239:$B$267))</f>
        <v/>
      </c>
      <c r="F9">
        <f>(SUMIF('Cost Breakdowns'!$D$239:$D$267,"ISIC 06",'Cost Breakdowns'!$B$239:$B$267))</f>
        <v/>
      </c>
      <c r="G9">
        <f>(SUMIF('Cost Breakdowns'!$D$239:$D$267,"ISIC 07T08",'Cost Breakdowns'!$B$239:$B$267))*'Factors applied'!$E$358</f>
        <v/>
      </c>
      <c r="H9">
        <f>(SUMIF('Cost Breakdowns'!$D$239:$D$267,"ISIC 07T08",'Cost Breakdowns'!$B$239:$B$267))*'Factors applied'!$E$359</f>
        <v/>
      </c>
      <c r="I9">
        <f>(SUMIF('Cost Breakdowns'!$D$239:$D$267,"ISIC 09",'Cost Breakdowns'!$B$239:$B$267))</f>
        <v/>
      </c>
      <c r="J9">
        <f>(SUMIF('Cost Breakdowns'!$D$239:$D$267,"ISIC 10T12",'Cost Breakdowns'!$B$239:$B$267))</f>
        <v/>
      </c>
      <c r="K9">
        <f>(SUMIF('Cost Breakdowns'!$D$239:$D$267,"ISIC 13T15",'Cost Breakdowns'!$B$239:$B$267))</f>
        <v/>
      </c>
      <c r="L9">
        <f>(SUMIF('Cost Breakdowns'!$D$239:$D$267,"ISIC 16",'Cost Breakdowns'!$B$239:$B$267))</f>
        <v/>
      </c>
      <c r="M9">
        <f>(SUMIF('Cost Breakdowns'!$D$239:$D$267,"ISIC 17T18",'Cost Breakdowns'!$B$239:$B$267))</f>
        <v/>
      </c>
      <c r="N9">
        <f>(SUMIF('Cost Breakdowns'!$D$239:$D$267,"ISIC 19",'Cost Breakdowns'!$B$239:$B$267))</f>
        <v/>
      </c>
      <c r="O9">
        <f>(SUMIF('Cost Breakdowns'!$D$239:$D$267,"ISIC 20",'Cost Breakdowns'!$B$239:$B$267))</f>
        <v/>
      </c>
      <c r="P9">
        <f>(SUMIF('Cost Breakdowns'!$D$239:$D$267,"ISIC 21",'Cost Breakdowns'!$B$239:$B$267))</f>
        <v/>
      </c>
      <c r="Q9">
        <f>(SUMIF('Cost Breakdowns'!$D$239:$D$267,"ISIC 22",'Cost Breakdowns'!$B$239:$B$267))</f>
        <v/>
      </c>
      <c r="R9">
        <f>(SUMIF('Cost Breakdowns'!$D$239:$D$267,"ISIC 231",'Cost Breakdowns'!$B$239:$B$267))</f>
        <v/>
      </c>
      <c r="S9">
        <f>(SUMIF('Cost Breakdowns'!$D$239:$D$267,"ISIC 239",'Cost Breakdowns'!$B$239:$B$267))</f>
        <v/>
      </c>
      <c r="T9">
        <f>(SUMIF('Cost Breakdowns'!$D$239:$D$267,"ISIC 241",'Cost Breakdowns'!$B$239:$B$267))</f>
        <v/>
      </c>
      <c r="U9">
        <f>(SUMIF('Cost Breakdowns'!$D$239:$D$267,"ISIC 242",'Cost Breakdowns'!$B$239:$B$267))</f>
        <v/>
      </c>
      <c r="V9">
        <f>(SUMIF('Cost Breakdowns'!$D$239:$D$267,"ISIC 25",'Cost Breakdowns'!$B$239:$B$267))</f>
        <v/>
      </c>
      <c r="W9">
        <f>(SUMIF('Cost Breakdowns'!$D$239:$D$267,"ISIC 26",'Cost Breakdowns'!$B$239:$B$267))</f>
        <v/>
      </c>
      <c r="X9">
        <f>(SUMIF('Cost Breakdowns'!$D$239:$D$267,"ISIC 27",'Cost Breakdowns'!$B$239:$B$267))</f>
        <v/>
      </c>
      <c r="Y9">
        <f>(SUMIF('Cost Breakdowns'!$D$239:$D$267,"ISIC 28",'Cost Breakdowns'!$B$239:$B$267))</f>
        <v/>
      </c>
      <c r="Z9">
        <f>(SUMIF('Cost Breakdowns'!$D$239:$D$267,"ISIC 29",'Cost Breakdowns'!$B$239:$B$267))</f>
        <v/>
      </c>
      <c r="AA9">
        <f>(SUMIF('Cost Breakdowns'!$D$239:$D$267,"ISIC 30",'Cost Breakdowns'!$B$239:$B$267))*'Factors applied'!$E$360</f>
        <v/>
      </c>
      <c r="AB9">
        <f>(SUMIF('Cost Breakdowns'!$D$239:$D$267,"ISIC 30",'Cost Breakdowns'!$B$239:$B$267))*'Factors applied'!$E$361</f>
        <v/>
      </c>
      <c r="AC9">
        <f>(SUMIF('Cost Breakdowns'!$D$239:$D$267,"ISIC 31T33",'Cost Breakdowns'!$B$239:$B$267))</f>
        <v/>
      </c>
      <c r="AD9">
        <f>(SUMIF('Cost Breakdowns'!$D$239:$D$267,"ISIC 351",'Cost Breakdowns'!$B$239:$B$267))</f>
        <v/>
      </c>
      <c r="AE9">
        <f>(SUMIF('Cost Breakdowns'!$D$239:$D$267,"ISIC 352T353",'Cost Breakdowns'!$B$239:$B$267))</f>
        <v/>
      </c>
      <c r="AF9">
        <f>(SUMIF('Cost Breakdowns'!$D$239:$D$267,"ISIC 36T39",'Cost Breakdowns'!$B$239:$B$267))</f>
        <v/>
      </c>
      <c r="AG9">
        <f>(SUMIF('Cost Breakdowns'!$D$239:$D$267,"ISIC 41T43",'Cost Breakdowns'!$B$239:$B$267))</f>
        <v/>
      </c>
      <c r="AH9">
        <f>(SUMIF('Cost Breakdowns'!$D$239:$D$267,"ISIC 45T47",'Cost Breakdowns'!$B$239:$B$267))</f>
        <v/>
      </c>
      <c r="AI9">
        <f>(SUMIF('Cost Breakdowns'!$D$239:$D$267,"ISIC 49T53",'Cost Breakdowns'!$B$239:$B$267))*'Factors applied'!$E$362</f>
        <v/>
      </c>
      <c r="AJ9">
        <f>(SUMIF('Cost Breakdowns'!$D$239:$D$267,"ISIC 49T53",'Cost Breakdowns'!$B$239:$B$267))*'Factors applied'!$E$363</f>
        <v/>
      </c>
      <c r="AK9">
        <f>(SUMIF('Cost Breakdowns'!$D$239:$D$267,"ISIC 49T53",'Cost Breakdowns'!$B$239:$B$267))*'Factors applied'!$E$364</f>
        <v/>
      </c>
      <c r="AL9">
        <f>(SUMIF('Cost Breakdowns'!$D$239:$D$267,"ISIC 49T53",'Cost Breakdowns'!$B$239:$B$267))*'Factors applied'!$E$365</f>
        <v/>
      </c>
      <c r="AM9">
        <f>(SUMIF('Cost Breakdowns'!$D$239:$D$267,"ISIC 49T53",'Cost Breakdowns'!$B$239:$B$267))*'Factors applied'!$E$366</f>
        <v/>
      </c>
      <c r="AN9">
        <f>(SUMIF('Cost Breakdowns'!$D$239:$D$267,"ISIC 55T56",'Cost Breakdowns'!$B$239:$B$267))</f>
        <v/>
      </c>
      <c r="AO9">
        <f>(SUMIF('Cost Breakdowns'!$D$239:$D$267,"ISIC 58T60",'Cost Breakdowns'!$B$239:$B$267))</f>
        <v/>
      </c>
      <c r="AP9">
        <f>(SUMIF('Cost Breakdowns'!$D$239:$D$267,"ISIC 61",'Cost Breakdowns'!$B$239:$B$267))</f>
        <v/>
      </c>
      <c r="AQ9">
        <f>(SUMIF('Cost Breakdowns'!$D$239:$D$267,"ISIC 62T63",'Cost Breakdowns'!$B$239:$B$267))</f>
        <v/>
      </c>
      <c r="AR9">
        <f>(SUMIF('Cost Breakdowns'!$D$239:$D$267,"ISIC 64T66",'Cost Breakdowns'!$B$239:$B$267))</f>
        <v/>
      </c>
      <c r="AS9">
        <f>(SUMIF('Cost Breakdowns'!$D$239:$D$267,"ISIC 68",'Cost Breakdowns'!$B$239:$B$267))</f>
        <v/>
      </c>
      <c r="AT9">
        <f>(SUMIF('Cost Breakdowns'!$D$239:$D$267,"ISIC 69T82",'Cost Breakdowns'!$B$239:$B$267))*'Factors applied'!$E$367</f>
        <v/>
      </c>
      <c r="AU9">
        <f>(SUMIF('Cost Breakdowns'!$D$239:$D$267,"ISIC 69T82",'Cost Breakdowns'!$B$239:$B$267))*'Factors applied'!$E$368</f>
        <v/>
      </c>
      <c r="AV9">
        <f>(SUMIF('Cost Breakdowns'!$D$239:$D$267,"ISIC 84",'Cost Breakdowns'!$B$239:$B$267))</f>
        <v/>
      </c>
      <c r="AW9">
        <f>(SUMIF('Cost Breakdowns'!$D$239:$D$267,"ISIC 85",'Cost Breakdowns'!$B$239:$B$267))</f>
        <v/>
      </c>
      <c r="AX9">
        <f>(SUMIF('Cost Breakdowns'!$D$239:$D$267,"ISIC 86T88",'Cost Breakdowns'!$B$239:$B$267))</f>
        <v/>
      </c>
      <c r="AY9">
        <f>(SUMIF('Cost Breakdowns'!$D$239:$D$267,"ISIC 90T96",'Cost Breakdowns'!$B$239:$B$267))*'Factors applied'!$E$369</f>
        <v/>
      </c>
      <c r="AZ9">
        <f>(SUMIF('Cost Breakdowns'!$D$239:$D$267,"ISIC 90T96",'Cost Breakdowns'!$B$239:$B$267))*'Factors applied'!$E$370</f>
        <v/>
      </c>
      <c r="BA9">
        <f>(SUMIF('Cost Breakdowns'!$D$239:$D$267,"ISIC 97T98",'Cost Breakdowns'!$B$239:$B$267))</f>
        <v/>
      </c>
    </row>
    <row r="10">
      <c r="A10" t="inlineStr">
        <is>
          <t>biomass</t>
        </is>
      </c>
      <c r="B10">
        <f>(SUMIF('Cost Breakdowns'!$D$222:$D$227,"ISIC 01T03",'Cost Breakdowns'!$B$222:$B$227))*'Factors applied'!$E$3</f>
        <v/>
      </c>
      <c r="C10">
        <f>(SUMIF('Cost Breakdowns'!$D$222:$D$227,"ISIC 01T03",'Cost Breakdowns'!$B$222:$B$227))*'Factors applied'!$E$4</f>
        <v/>
      </c>
      <c r="D10">
        <f>(SUMIF('Cost Breakdowns'!$D$222:$D$227,"ISIC 01T03",'Cost Breakdowns'!$B$222:$B$227))*'Factors applied'!$E$5</f>
        <v/>
      </c>
      <c r="E10">
        <f>(SUMIF('Cost Breakdowns'!$D$222:$D$227,"ISIC 05",'Cost Breakdowns'!$B$222:$B$227))</f>
        <v/>
      </c>
      <c r="F10">
        <f>(SUMIF('Cost Breakdowns'!$D$222:$D$227,"ISIC 06",'Cost Breakdowns'!$B$222:$B$227))</f>
        <v/>
      </c>
      <c r="G10">
        <f>(SUMIF('Cost Breakdowns'!$D$222:$D$227,"ISIC 07T08",'Cost Breakdowns'!$B$222:$B$227))*'Factors applied'!$E$6</f>
        <v/>
      </c>
      <c r="H10">
        <f>(SUMIF('Cost Breakdowns'!$D$222:$D$227,"ISIC 07T08",'Cost Breakdowns'!$B$222:$B$227))*'Factors applied'!$E$7</f>
        <v/>
      </c>
      <c r="I10">
        <f>(SUMIF('Cost Breakdowns'!$D$222:$D$227,"ISIC 09",'Cost Breakdowns'!$B$222:$B$227))</f>
        <v/>
      </c>
      <c r="J10">
        <f>(SUMIF('Cost Breakdowns'!$D$222:$D$227,"ISIC 10T12",'Cost Breakdowns'!$B$222:$B$227))</f>
        <v/>
      </c>
      <c r="K10">
        <f>(SUMIF('Cost Breakdowns'!$D$222:$D$227,"ISIC 13T15",'Cost Breakdowns'!$B$222:$B$227))</f>
        <v/>
      </c>
      <c r="L10">
        <f>(SUMIF('Cost Breakdowns'!$D$222:$D$227,"ISIC 16",'Cost Breakdowns'!$B$222:$B$227))</f>
        <v/>
      </c>
      <c r="M10">
        <f>(SUMIF('Cost Breakdowns'!$D$222:$D$227,"ISIC 17T18",'Cost Breakdowns'!$B$222:$B$227))</f>
        <v/>
      </c>
      <c r="N10">
        <f>(SUMIF('Cost Breakdowns'!$D$222:$D$227,"ISIC 19",'Cost Breakdowns'!$B$222:$B$227))</f>
        <v/>
      </c>
      <c r="O10">
        <f>(SUMIF('Cost Breakdowns'!$D$222:$D$227,"ISIC 20",'Cost Breakdowns'!$B$222:$B$227))</f>
        <v/>
      </c>
      <c r="P10">
        <f>(SUMIF('Cost Breakdowns'!$D$222:$D$227,"ISIC 21",'Cost Breakdowns'!$B$222:$B$227))</f>
        <v/>
      </c>
      <c r="Q10">
        <f>(SUMIF('Cost Breakdowns'!$D$222:$D$227,"ISIC 22",'Cost Breakdowns'!$B$222:$B$227))</f>
        <v/>
      </c>
      <c r="R10">
        <f>(SUMIF('Cost Breakdowns'!$D$222:$D$227,"ISIC 231",'Cost Breakdowns'!$B$222:$B$227))</f>
        <v/>
      </c>
      <c r="S10">
        <f>(SUMIF('Cost Breakdowns'!$D$222:$D$227,"ISIC 239",'Cost Breakdowns'!$B$222:$B$227))</f>
        <v/>
      </c>
      <c r="T10">
        <f>(SUMIF('Cost Breakdowns'!$D$222:$D$227,"ISIC 241",'Cost Breakdowns'!$B$222:$B$227))</f>
        <v/>
      </c>
      <c r="U10">
        <f>(SUMIF('Cost Breakdowns'!$D$222:$D$227,"ISIC 242",'Cost Breakdowns'!$B$222:$B$227))</f>
        <v/>
      </c>
      <c r="V10">
        <f>(SUMIF('Cost Breakdowns'!$D$222:$D$227,"ISIC 25",'Cost Breakdowns'!$B$222:$B$227))</f>
        <v/>
      </c>
      <c r="W10">
        <f>(SUMIF('Cost Breakdowns'!$D$222:$D$227,"ISIC 26",'Cost Breakdowns'!$B$222:$B$227))</f>
        <v/>
      </c>
      <c r="X10">
        <f>(SUMIF('Cost Breakdowns'!$D$222:$D$227,"ISIC 27",'Cost Breakdowns'!$B$222:$B$227))</f>
        <v/>
      </c>
      <c r="Y10">
        <f>(SUMIF('Cost Breakdowns'!$D$222:$D$227,"ISIC 28",'Cost Breakdowns'!$B$222:$B$227))</f>
        <v/>
      </c>
      <c r="Z10">
        <f>(SUMIF('Cost Breakdowns'!$D$222:$D$227,"ISIC 29",'Cost Breakdowns'!$B$222:$B$227))</f>
        <v/>
      </c>
      <c r="AA10">
        <f>(SUMIF('Cost Breakdowns'!$D$222:$D$227,"ISIC 30",'Cost Breakdowns'!$B$222:$B$227))*'Factors applied'!$E$8</f>
        <v/>
      </c>
      <c r="AB10">
        <f>(SUMIF('Cost Breakdowns'!$D$222:$D$227,"ISIC 30",'Cost Breakdowns'!$B$222:$B$227))*'Factors applied'!$E$9</f>
        <v/>
      </c>
      <c r="AC10">
        <f>(SUMIF('Cost Breakdowns'!$D$222:$D$227,"ISIC 31T33",'Cost Breakdowns'!$B$222:$B$227))</f>
        <v/>
      </c>
      <c r="AD10">
        <f>(SUMIF('Cost Breakdowns'!$D$222:$D$227,"ISIC 351",'Cost Breakdowns'!$B$222:$B$227))</f>
        <v/>
      </c>
      <c r="AE10">
        <f>(SUMIF('Cost Breakdowns'!$D$222:$D$227,"ISIC 352T353",'Cost Breakdowns'!$B$222:$B$227))</f>
        <v/>
      </c>
      <c r="AF10">
        <f>(SUMIF('Cost Breakdowns'!$D$222:$D$227,"ISIC 36T39",'Cost Breakdowns'!$B$222:$B$227))</f>
        <v/>
      </c>
      <c r="AG10">
        <f>(SUMIF('Cost Breakdowns'!$D$222:$D$227,"ISIC 41T43",'Cost Breakdowns'!$B$222:$B$227))</f>
        <v/>
      </c>
      <c r="AH10">
        <f>(SUMIF('Cost Breakdowns'!$D$222:$D$227,"ISIC 45T47",'Cost Breakdowns'!$B$222:$B$227))</f>
        <v/>
      </c>
      <c r="AI10">
        <f>(SUMIF('Cost Breakdowns'!$D$222:$D$227,"ISIC 49T53",'Cost Breakdowns'!$B$222:$B$227))*'Factors applied'!$E$10</f>
        <v/>
      </c>
      <c r="AJ10">
        <f>(SUMIF('Cost Breakdowns'!$D$222:$D$227,"ISIC 49T53",'Cost Breakdowns'!$B$222:$B$227))*'Factors applied'!$E$11</f>
        <v/>
      </c>
      <c r="AK10">
        <f>(SUMIF('Cost Breakdowns'!$D$222:$D$227,"ISIC 49T53",'Cost Breakdowns'!$B$222:$B$227))*'Factors applied'!$E$12</f>
        <v/>
      </c>
      <c r="AL10">
        <f>(SUMIF('Cost Breakdowns'!$D$222:$D$227,"ISIC 49T53",'Cost Breakdowns'!$B$222:$B$227))*'Factors applied'!$E$13</f>
        <v/>
      </c>
      <c r="AM10">
        <f>(SUMIF('Cost Breakdowns'!$D$222:$D$227,"ISIC 49T53",'Cost Breakdowns'!$B$222:$B$227))*'Factors applied'!$E$14</f>
        <v/>
      </c>
      <c r="AN10">
        <f>(SUMIF('Cost Breakdowns'!$D$222:$D$227,"ISIC 55T56",'Cost Breakdowns'!$B$222:$B$227))</f>
        <v/>
      </c>
      <c r="AO10">
        <f>(SUMIF('Cost Breakdowns'!$D$222:$D$227,"ISIC 58T60",'Cost Breakdowns'!$B$222:$B$227))</f>
        <v/>
      </c>
      <c r="AP10">
        <f>(SUMIF('Cost Breakdowns'!$D$222:$D$227,"ISIC 61",'Cost Breakdowns'!$B$222:$B$227))</f>
        <v/>
      </c>
      <c r="AQ10">
        <f>(SUMIF('Cost Breakdowns'!$D$222:$D$227,"ISIC 62T63",'Cost Breakdowns'!$B$222:$B$227))</f>
        <v/>
      </c>
      <c r="AR10">
        <f>(SUMIF('Cost Breakdowns'!$D$222:$D$227,"ISIC 64T66",'Cost Breakdowns'!$B$222:$B$227))</f>
        <v/>
      </c>
      <c r="AS10">
        <f>(SUMIF('Cost Breakdowns'!$D$222:$D$227,"ISIC 68",'Cost Breakdowns'!$B$222:$B$227))</f>
        <v/>
      </c>
      <c r="AT10">
        <f>(SUMIF('Cost Breakdowns'!$D$222:$D$227,"ISIC 69T82",'Cost Breakdowns'!$B$222:$B$227))*'Factors applied'!$E$15</f>
        <v/>
      </c>
      <c r="AU10">
        <f>(SUMIF('Cost Breakdowns'!$D$222:$D$227,"ISIC 69T82",'Cost Breakdowns'!$B$222:$B$227))*'Factors applied'!$E$16</f>
        <v/>
      </c>
      <c r="AV10">
        <f>(SUMIF('Cost Breakdowns'!$D$222:$D$227,"ISIC 84",'Cost Breakdowns'!$B$222:$B$227))</f>
        <v/>
      </c>
      <c r="AW10">
        <f>(SUMIF('Cost Breakdowns'!$D$222:$D$227,"ISIC 85",'Cost Breakdowns'!$B$222:$B$227))</f>
        <v/>
      </c>
      <c r="AX10">
        <f>(SUMIF('Cost Breakdowns'!$D$222:$D$227,"ISIC 86T88",'Cost Breakdowns'!$B$222:$B$227))</f>
        <v/>
      </c>
      <c r="AY10">
        <f>(SUMIF('Cost Breakdowns'!$D$222:$D$227,"ISIC 90T96",'Cost Breakdowns'!$B$222:$B$227))*'Factors applied'!$E$17</f>
        <v/>
      </c>
      <c r="AZ10">
        <f>(SUMIF('Cost Breakdowns'!$D$222:$D$227,"ISIC 90T96",'Cost Breakdowns'!$B$222:$B$227))*'Factors applied'!$E$18</f>
        <v/>
      </c>
      <c r="BA10">
        <f>(SUMIF('Cost Breakdowns'!$D$222:$D$227,"ISIC 97T98",'Cost Breakdowns'!$B$222:$B$227))</f>
        <v/>
      </c>
    </row>
    <row r="11">
      <c r="A11" t="inlineStr">
        <is>
          <t>geothermal</t>
        </is>
      </c>
      <c r="B11">
        <f>(SUMIF('Cost Breakdowns'!$D$293:$D$306,"ISIC 01T03",'Cost Breakdowns'!$B$293:$B$306))*'Factors applied'!$E$51</f>
        <v/>
      </c>
      <c r="C11">
        <f>(SUMIF('Cost Breakdowns'!$D$293:$D$306,"ISIC 01T03",'Cost Breakdowns'!$B$293:$B$306))*'Factors applied'!$E$52</f>
        <v/>
      </c>
      <c r="D11">
        <f>(SUMIF('Cost Breakdowns'!$D$293:$D$306,"ISIC 01T03",'Cost Breakdowns'!$B$293:$B$306))*'Factors applied'!$E$53</f>
        <v/>
      </c>
      <c r="E11">
        <f>(SUMIF('Cost Breakdowns'!$D$293:$D$306,"ISIC 05",'Cost Breakdowns'!$B$293:$B$306))</f>
        <v/>
      </c>
      <c r="F11">
        <f>(SUMIF('Cost Breakdowns'!$D$293:$D$306,"ISIC 06",'Cost Breakdowns'!$B$293:$B$306))</f>
        <v/>
      </c>
      <c r="G11">
        <f>(SUMIF('Cost Breakdowns'!$D$293:$D$306,"ISIC 07T08",'Cost Breakdowns'!$B$293:$B$306))*'Factors applied'!$E$54</f>
        <v/>
      </c>
      <c r="H11">
        <f>(SUMIF('Cost Breakdowns'!$D$293:$D$306,"ISIC 07T08",'Cost Breakdowns'!$B$293:$B$306))*'Factors applied'!$E$55</f>
        <v/>
      </c>
      <c r="I11">
        <f>(SUMIF('Cost Breakdowns'!$D$293:$D$306,"ISIC 09",'Cost Breakdowns'!$B$293:$B$306))</f>
        <v/>
      </c>
      <c r="J11">
        <f>(SUMIF('Cost Breakdowns'!$D$293:$D$306,"ISIC 10T12",'Cost Breakdowns'!$B$293:$B$306))</f>
        <v/>
      </c>
      <c r="K11">
        <f>(SUMIF('Cost Breakdowns'!$D$293:$D$306,"ISIC 13T15",'Cost Breakdowns'!$B$293:$B$306))</f>
        <v/>
      </c>
      <c r="L11">
        <f>(SUMIF('Cost Breakdowns'!$D$293:$D$306,"ISIC 16",'Cost Breakdowns'!$B$293:$B$306))</f>
        <v/>
      </c>
      <c r="M11">
        <f>(SUMIF('Cost Breakdowns'!$D$293:$D$306,"ISIC 17T18",'Cost Breakdowns'!$B$293:$B$306))</f>
        <v/>
      </c>
      <c r="N11">
        <f>(SUMIF('Cost Breakdowns'!$D$293:$D$306,"ISIC 19",'Cost Breakdowns'!$B$293:$B$306))</f>
        <v/>
      </c>
      <c r="O11">
        <f>(SUMIF('Cost Breakdowns'!$D$293:$D$306,"ISIC 20",'Cost Breakdowns'!$B$293:$B$306))</f>
        <v/>
      </c>
      <c r="P11">
        <f>(SUMIF('Cost Breakdowns'!$D$293:$D$306,"ISIC 21",'Cost Breakdowns'!$B$293:$B$306))</f>
        <v/>
      </c>
      <c r="Q11">
        <f>(SUMIF('Cost Breakdowns'!$D$293:$D$306,"ISIC 22",'Cost Breakdowns'!$B$293:$B$306))</f>
        <v/>
      </c>
      <c r="R11">
        <f>(SUMIF('Cost Breakdowns'!$D$293:$D$306,"ISIC 231",'Cost Breakdowns'!$B$293:$B$306))</f>
        <v/>
      </c>
      <c r="S11">
        <f>(SUMIF('Cost Breakdowns'!$D$293:$D$306,"ISIC 239",'Cost Breakdowns'!$B$293:$B$306))</f>
        <v/>
      </c>
      <c r="T11">
        <f>(SUMIF('Cost Breakdowns'!$D$293:$D$306,"ISIC 241",'Cost Breakdowns'!$B$293:$B$306))</f>
        <v/>
      </c>
      <c r="U11">
        <f>(SUMIF('Cost Breakdowns'!$D$293:$D$306,"ISIC 242",'Cost Breakdowns'!$B$293:$B$306))</f>
        <v/>
      </c>
      <c r="V11">
        <f>(SUMIF('Cost Breakdowns'!$D$293:$D$306,"ISIC 25",'Cost Breakdowns'!$B$293:$B$306))</f>
        <v/>
      </c>
      <c r="W11">
        <f>(SUMIF('Cost Breakdowns'!$D$293:$D$306,"ISIC 26",'Cost Breakdowns'!$B$293:$B$306))</f>
        <v/>
      </c>
      <c r="X11">
        <f>(SUMIF('Cost Breakdowns'!$D$293:$D$306,"ISIC 27",'Cost Breakdowns'!$B$293:$B$306))</f>
        <v/>
      </c>
      <c r="Y11">
        <f>(SUMIF('Cost Breakdowns'!$D$293:$D$306,"ISIC 28",'Cost Breakdowns'!$B$293:$B$306))</f>
        <v/>
      </c>
      <c r="Z11">
        <f>(SUMIF('Cost Breakdowns'!$D$293:$D$306,"ISIC 29",'Cost Breakdowns'!$B$293:$B$306))</f>
        <v/>
      </c>
      <c r="AA11">
        <f>(SUMIF('Cost Breakdowns'!$D$293:$D$306,"ISIC 30",'Cost Breakdowns'!$B$293:$B$306))*'Factors applied'!$E$56</f>
        <v/>
      </c>
      <c r="AB11">
        <f>(SUMIF('Cost Breakdowns'!$D$293:$D$306,"ISIC 30",'Cost Breakdowns'!$B$293:$B$306))*'Factors applied'!$E$57</f>
        <v/>
      </c>
      <c r="AC11">
        <f>(SUMIF('Cost Breakdowns'!$D$293:$D$306,"ISIC 31T33",'Cost Breakdowns'!$B$293:$B$306))</f>
        <v/>
      </c>
      <c r="AD11">
        <f>(SUMIF('Cost Breakdowns'!$D$293:$D$306,"ISIC 351",'Cost Breakdowns'!$B$293:$B$306))</f>
        <v/>
      </c>
      <c r="AE11">
        <f>(SUMIF('Cost Breakdowns'!$D$293:$D$306,"ISIC 352T353",'Cost Breakdowns'!$B$293:$B$306))</f>
        <v/>
      </c>
      <c r="AF11">
        <f>(SUMIF('Cost Breakdowns'!$D$293:$D$306,"ISIC 36T39",'Cost Breakdowns'!$B$293:$B$306))</f>
        <v/>
      </c>
      <c r="AG11">
        <f>(SUMIF('Cost Breakdowns'!$D$293:$D$306,"ISIC 41T43",'Cost Breakdowns'!$B$293:$B$306))</f>
        <v/>
      </c>
      <c r="AH11">
        <f>(SUMIF('Cost Breakdowns'!$D$293:$D$306,"ISIC 45T47",'Cost Breakdowns'!$B$293:$B$306))</f>
        <v/>
      </c>
      <c r="AI11">
        <f>(SUMIF('Cost Breakdowns'!$D$293:$D$306,"ISIC 49T53",'Cost Breakdowns'!$B$293:$B$306))*'Factors applied'!$E$58</f>
        <v/>
      </c>
      <c r="AJ11">
        <f>(SUMIF('Cost Breakdowns'!$D$293:$D$306,"ISIC 49T53",'Cost Breakdowns'!$B$293:$B$306))*'Factors applied'!$E$59</f>
        <v/>
      </c>
      <c r="AK11">
        <f>(SUMIF('Cost Breakdowns'!$D$293:$D$306,"ISIC 49T53",'Cost Breakdowns'!$B$293:$B$306))*'Factors applied'!$E$60</f>
        <v/>
      </c>
      <c r="AL11">
        <f>(SUMIF('Cost Breakdowns'!$D$293:$D$306,"ISIC 49T53",'Cost Breakdowns'!$B$293:$B$306))*'Factors applied'!$E$61</f>
        <v/>
      </c>
      <c r="AM11">
        <f>(SUMIF('Cost Breakdowns'!$D$293:$D$306,"ISIC 49T53",'Cost Breakdowns'!$B$293:$B$306))*'Factors applied'!$E$62</f>
        <v/>
      </c>
      <c r="AN11">
        <f>(SUMIF('Cost Breakdowns'!$D$293:$D$306,"ISIC 55T56",'Cost Breakdowns'!$B$293:$B$306))</f>
        <v/>
      </c>
      <c r="AO11">
        <f>(SUMIF('Cost Breakdowns'!$D$293:$D$306,"ISIC 58T60",'Cost Breakdowns'!$B$293:$B$306))</f>
        <v/>
      </c>
      <c r="AP11">
        <f>(SUMIF('Cost Breakdowns'!$D$293:$D$306,"ISIC 61",'Cost Breakdowns'!$B$293:$B$306))</f>
        <v/>
      </c>
      <c r="AQ11">
        <f>(SUMIF('Cost Breakdowns'!$D$293:$D$306,"ISIC 62T63",'Cost Breakdowns'!$B$293:$B$306))</f>
        <v/>
      </c>
      <c r="AR11">
        <f>(SUMIF('Cost Breakdowns'!$D$293:$D$306,"ISIC 64T66",'Cost Breakdowns'!$B$293:$B$306))</f>
        <v/>
      </c>
      <c r="AS11">
        <f>(SUMIF('Cost Breakdowns'!$D$293:$D$306,"ISIC 68",'Cost Breakdowns'!$B$293:$B$306))</f>
        <v/>
      </c>
      <c r="AT11">
        <f>(SUMIF('Cost Breakdowns'!$D$293:$D$306,"ISIC 69T82",'Cost Breakdowns'!$B$293:$B$306))*'Factors applied'!$E$63</f>
        <v/>
      </c>
      <c r="AU11">
        <f>(SUMIF('Cost Breakdowns'!$D$293:$D$306,"ISIC 69T82",'Cost Breakdowns'!$B$293:$B$306))*'Factors applied'!$E$64</f>
        <v/>
      </c>
      <c r="AV11">
        <f>(SUMIF('Cost Breakdowns'!$D$293:$D$306,"ISIC 84",'Cost Breakdowns'!$B$293:$B$306))</f>
        <v/>
      </c>
      <c r="AW11">
        <f>(SUMIF('Cost Breakdowns'!$D$293:$D$306,"ISIC 85",'Cost Breakdowns'!$B$293:$B$306))</f>
        <v/>
      </c>
      <c r="AX11">
        <f>(SUMIF('Cost Breakdowns'!$D$293:$D$306,"ISIC 86T88",'Cost Breakdowns'!$B$293:$B$306))</f>
        <v/>
      </c>
      <c r="AY11">
        <f>(SUMIF('Cost Breakdowns'!$D$293:$D$306,"ISIC 90T96",'Cost Breakdowns'!$B$293:$B$306))*'Factors applied'!$E$65</f>
        <v/>
      </c>
      <c r="AZ11">
        <f>(SUMIF('Cost Breakdowns'!$D$293:$D$306,"ISIC 90T96",'Cost Breakdowns'!$B$293:$B$306))*'Factors applied'!$E$66</f>
        <v/>
      </c>
      <c r="BA11">
        <f>(SUMIF('Cost Breakdowns'!$D$293:$D$306,"ISIC 97T98",'Cost Breakdowns'!$B$293:$B$306))</f>
        <v/>
      </c>
    </row>
    <row r="12">
      <c r="A12" t="inlineStr">
        <is>
          <t>petroleum</t>
        </is>
      </c>
      <c r="B12">
        <f>((SUMIF('Cost Breakdowns'!$D$114:$D$131,"ISIC 01T03",'Cost Breakdowns'!$B$114:$B$131)))*'Factors applied'!$E$307</f>
        <v/>
      </c>
      <c r="C12">
        <f>((SUMIF('Cost Breakdowns'!$D$114:$D$131,"ISIC 01T03",'Cost Breakdowns'!$B$114:$B$131)))*'Factors applied'!$E$308</f>
        <v/>
      </c>
      <c r="D12">
        <f>((SUMIF('Cost Breakdowns'!$D$114:$D$131,"ISIC 01T03",'Cost Breakdowns'!$B$114:$B$131)))*'Factors applied'!$E$309</f>
        <v/>
      </c>
      <c r="E12">
        <f>((SUMIF('Cost Breakdowns'!$D$114:$D$131,"ISIC 05",'Cost Breakdowns'!$B$114:$B$131)))</f>
        <v/>
      </c>
      <c r="F12">
        <f>((SUMIF('Cost Breakdowns'!$D$114:$D$131,"ISIC 06",'Cost Breakdowns'!$B$114:$B$131)))</f>
        <v/>
      </c>
      <c r="G12">
        <f>((SUMIF('Cost Breakdowns'!$D$114:$D$131,"ISIC 07T08",'Cost Breakdowns'!$B$114:$B$131)))*'Factors applied'!$E$310</f>
        <v/>
      </c>
      <c r="H12">
        <f>((SUMIF('Cost Breakdowns'!$D$114:$D$131,"ISIC 07T08",'Cost Breakdowns'!$B$114:$B$131)))*'Factors applied'!$E$311</f>
        <v/>
      </c>
      <c r="I12">
        <f>((SUMIF('Cost Breakdowns'!$D$114:$D$131,"ISIC 09",'Cost Breakdowns'!$B$114:$B$131)))</f>
        <v/>
      </c>
      <c r="J12">
        <f>((SUMIF('Cost Breakdowns'!$D$114:$D$131,"ISIC 10T12",'Cost Breakdowns'!$B$114:$B$131)))</f>
        <v/>
      </c>
      <c r="K12">
        <f>((SUMIF('Cost Breakdowns'!$D$114:$D$131,"ISIC 13T15",'Cost Breakdowns'!$B$114:$B$131)))</f>
        <v/>
      </c>
      <c r="L12">
        <f>((SUMIF('Cost Breakdowns'!$D$114:$D$131,"ISIC 16",'Cost Breakdowns'!$B$114:$B$131)))</f>
        <v/>
      </c>
      <c r="M12">
        <f>((SUMIF('Cost Breakdowns'!$D$114:$D$131,"ISIC 17T18",'Cost Breakdowns'!$B$114:$B$131)))</f>
        <v/>
      </c>
      <c r="N12">
        <f>((SUMIF('Cost Breakdowns'!$D$114:$D$131,"ISIC 19",'Cost Breakdowns'!$B$114:$B$131)))</f>
        <v/>
      </c>
      <c r="O12">
        <f>((SUMIF('Cost Breakdowns'!$D$114:$D$131,"ISIC 20",'Cost Breakdowns'!$B$114:$B$131)))</f>
        <v/>
      </c>
      <c r="P12">
        <f>((SUMIF('Cost Breakdowns'!$D$114:$D$131,"ISIC 21",'Cost Breakdowns'!$B$114:$B$131)))</f>
        <v/>
      </c>
      <c r="Q12">
        <f>((SUMIF('Cost Breakdowns'!$D$114:$D$131,"ISIC 22",'Cost Breakdowns'!$B$114:$B$131)))</f>
        <v/>
      </c>
      <c r="R12">
        <f>((SUMIF('Cost Breakdowns'!$D$114:$D$131,"ISIC 231",'Cost Breakdowns'!$B$114:$B$131)))</f>
        <v/>
      </c>
      <c r="S12">
        <f>((SUMIF('Cost Breakdowns'!$D$114:$D$131,"ISIC 239",'Cost Breakdowns'!$B$114:$B$131)))</f>
        <v/>
      </c>
      <c r="T12">
        <f>((SUMIF('Cost Breakdowns'!$D$114:$D$131,"ISIC 241",'Cost Breakdowns'!$B$114:$B$131)))</f>
        <v/>
      </c>
      <c r="U12">
        <f>((SUMIF('Cost Breakdowns'!$D$114:$D$131,"ISIC 242",'Cost Breakdowns'!$B$114:$B$131)))</f>
        <v/>
      </c>
      <c r="V12">
        <f>((SUMIF('Cost Breakdowns'!$D$114:$D$131,"ISIC 25",'Cost Breakdowns'!$B$114:$B$131)))</f>
        <v/>
      </c>
      <c r="W12">
        <f>((SUMIF('Cost Breakdowns'!$D$114:$D$131,"ISIC 26",'Cost Breakdowns'!$B$114:$B$131)))</f>
        <v/>
      </c>
      <c r="X12">
        <f>((SUMIF('Cost Breakdowns'!$D$114:$D$131,"ISIC 27",'Cost Breakdowns'!$B$114:$B$131)))</f>
        <v/>
      </c>
      <c r="Y12">
        <f>((SUMIF('Cost Breakdowns'!$D$114:$D$131,"ISIC 28",'Cost Breakdowns'!$B$114:$B$131)))</f>
        <v/>
      </c>
      <c r="Z12">
        <f>((SUMIF('Cost Breakdowns'!$D$114:$D$131,"ISIC 29",'Cost Breakdowns'!$B$114:$B$131)))</f>
        <v/>
      </c>
      <c r="AA12">
        <f>((SUMIF('Cost Breakdowns'!$D$114:$D$131,"ISIC 30",'Cost Breakdowns'!$B$114:$B$131)))*'Factors applied'!$E$312</f>
        <v/>
      </c>
      <c r="AB12">
        <f>((SUMIF('Cost Breakdowns'!$D$114:$D$131,"ISIC 30",'Cost Breakdowns'!$B$114:$B$131)))*'Factors applied'!$E$313</f>
        <v/>
      </c>
      <c r="AC12">
        <f>((SUMIF('Cost Breakdowns'!$D$114:$D$131,"ISIC 31T33",'Cost Breakdowns'!$B$114:$B$131)))</f>
        <v/>
      </c>
      <c r="AD12">
        <f>((SUMIF('Cost Breakdowns'!$D$114:$D$131,"ISIC 351",'Cost Breakdowns'!$B$114:$B$131)))</f>
        <v/>
      </c>
      <c r="AE12">
        <f>((SUMIF('Cost Breakdowns'!$D$114:$D$131,"ISIC 352T353",'Cost Breakdowns'!$B$114:$B$131)))</f>
        <v/>
      </c>
      <c r="AF12">
        <f>((SUMIF('Cost Breakdowns'!$D$114:$D$131,"ISIC 36T39",'Cost Breakdowns'!$B$114:$B$131)))</f>
        <v/>
      </c>
      <c r="AG12">
        <f>((SUMIF('Cost Breakdowns'!$D$114:$D$131,"ISIC 41T43",'Cost Breakdowns'!$B$114:$B$131)))</f>
        <v/>
      </c>
      <c r="AH12">
        <f>((SUMIF('Cost Breakdowns'!$D$114:$D$131,"ISIC 45T47",'Cost Breakdowns'!$B$114:$B$131)))</f>
        <v/>
      </c>
      <c r="AI12">
        <f>((SUMIF('Cost Breakdowns'!$D$114:$D$131,"ISIC 49T53",'Cost Breakdowns'!$B$114:$B$131)))*'Factors applied'!$E$314</f>
        <v/>
      </c>
      <c r="AJ12">
        <f>((SUMIF('Cost Breakdowns'!$D$114:$D$131,"ISIC 49T53",'Cost Breakdowns'!$B$114:$B$131)))*'Factors applied'!$E$315</f>
        <v/>
      </c>
      <c r="AK12">
        <f>((SUMIF('Cost Breakdowns'!$D$114:$D$131,"ISIC 49T53",'Cost Breakdowns'!$B$114:$B$131)))*'Factors applied'!$E$316</f>
        <v/>
      </c>
      <c r="AL12">
        <f>((SUMIF('Cost Breakdowns'!$D$114:$D$131,"ISIC 49T53",'Cost Breakdowns'!$B$114:$B$131)))*'Factors applied'!$E$317</f>
        <v/>
      </c>
      <c r="AM12">
        <f>((SUMIF('Cost Breakdowns'!$D$114:$D$131,"ISIC 49T53",'Cost Breakdowns'!$B$114:$B$131)))*'Factors applied'!$E$318</f>
        <v/>
      </c>
      <c r="AN12">
        <f>((SUMIF('Cost Breakdowns'!$D$114:$D$131,"ISIC 55T56",'Cost Breakdowns'!$B$114:$B$131)))</f>
        <v/>
      </c>
      <c r="AO12">
        <f>((SUMIF('Cost Breakdowns'!$D$114:$D$131,"ISIC 58T60",'Cost Breakdowns'!$B$114:$B$131)))</f>
        <v/>
      </c>
      <c r="AP12">
        <f>((SUMIF('Cost Breakdowns'!$D$114:$D$131,"ISIC 61",'Cost Breakdowns'!$B$114:$B$131)))</f>
        <v/>
      </c>
      <c r="AQ12">
        <f>((SUMIF('Cost Breakdowns'!$D$114:$D$131,"ISIC 62T63",'Cost Breakdowns'!$B$114:$B$131)))</f>
        <v/>
      </c>
      <c r="AR12">
        <f>((SUMIF('Cost Breakdowns'!$D$114:$D$131,"ISIC 64T66",'Cost Breakdowns'!$B$114:$B$131)))</f>
        <v/>
      </c>
      <c r="AS12">
        <f>((SUMIF('Cost Breakdowns'!$D$114:$D$131,"ISIC 68",'Cost Breakdowns'!$B$114:$B$131)))</f>
        <v/>
      </c>
      <c r="AT12">
        <f>((SUMIF('Cost Breakdowns'!$D$114:$D$131,"ISIC 69T82",'Cost Breakdowns'!$B$114:$B$131)))*'Factors applied'!$E$319</f>
        <v/>
      </c>
      <c r="AU12">
        <f>((SUMIF('Cost Breakdowns'!$D$114:$D$131,"ISIC 69T82",'Cost Breakdowns'!$B$114:$B$131)))*'Factors applied'!$E$320</f>
        <v/>
      </c>
      <c r="AV12">
        <f>((SUMIF('Cost Breakdowns'!$D$114:$D$131,"ISIC 84",'Cost Breakdowns'!$B$114:$B$131)))</f>
        <v/>
      </c>
      <c r="AW12">
        <f>((SUMIF('Cost Breakdowns'!$D$114:$D$131,"ISIC 85",'Cost Breakdowns'!$B$114:$B$131)))</f>
        <v/>
      </c>
      <c r="AX12">
        <f>((SUMIF('Cost Breakdowns'!$D$114:$D$131,"ISIC 86T88",'Cost Breakdowns'!$B$114:$B$131)))</f>
        <v/>
      </c>
      <c r="AY12">
        <f>((SUMIF('Cost Breakdowns'!$D$114:$D$131,"ISIC 90T96",'Cost Breakdowns'!$B$114:$B$131)))*'Factors applied'!$E$321</f>
        <v/>
      </c>
      <c r="AZ12">
        <f>((SUMIF('Cost Breakdowns'!$D$114:$D$131,"ISIC 90T96",'Cost Breakdowns'!$B$114:$B$131)))*'Factors applied'!$E$322</f>
        <v/>
      </c>
      <c r="BA12">
        <f>((SUMIF('Cost Breakdowns'!$D$114:$D$131,"ISIC 97T98",'Cost Breakdowns'!$B$114:$B$131)))</f>
        <v/>
      </c>
    </row>
    <row r="13">
      <c r="A13" t="inlineStr">
        <is>
          <t>natural gas peaker</t>
        </is>
      </c>
      <c r="B13">
        <f>((SUMIF('Cost Breakdowns'!$D$114:$D$131,"ISIC 01T03",'Cost Breakdowns'!$B$114:$B$131)))*'Factors applied'!$E$243</f>
        <v/>
      </c>
      <c r="C13">
        <f>((SUMIF('Cost Breakdowns'!$D$114:$D$131,"ISIC 01T03",'Cost Breakdowns'!$B$114:$B$131)))*'Factors applied'!$E$244</f>
        <v/>
      </c>
      <c r="D13">
        <f>((SUMIF('Cost Breakdowns'!$D$114:$D$131,"ISIC 01T03",'Cost Breakdowns'!$B$114:$B$131)))*'Factors applied'!$E$245</f>
        <v/>
      </c>
      <c r="E13">
        <f>((SUMIF('Cost Breakdowns'!$D$114:$D$131,"ISIC 05",'Cost Breakdowns'!$B$114:$B$131)))</f>
        <v/>
      </c>
      <c r="F13">
        <f>((SUMIF('Cost Breakdowns'!$D$114:$D$131,"ISIC 06",'Cost Breakdowns'!$B$114:$B$131)))</f>
        <v/>
      </c>
      <c r="G13">
        <f>((SUMIF('Cost Breakdowns'!$D$114:$D$131,"ISIC 07T08",'Cost Breakdowns'!$B$114:$B$131)))*'Factors applied'!$E$246</f>
        <v/>
      </c>
      <c r="H13">
        <f>((SUMIF('Cost Breakdowns'!$D$114:$D$131,"ISIC 07T08",'Cost Breakdowns'!$B$114:$B$131)))*'Factors applied'!$E$247</f>
        <v/>
      </c>
      <c r="I13">
        <f>((SUMIF('Cost Breakdowns'!$D$114:$D$131,"ISIC 09",'Cost Breakdowns'!$B$114:$B$131)))</f>
        <v/>
      </c>
      <c r="J13">
        <f>((SUMIF('Cost Breakdowns'!$D$114:$D$131,"ISIC 10T12",'Cost Breakdowns'!$B$114:$B$131)))</f>
        <v/>
      </c>
      <c r="K13">
        <f>((SUMIF('Cost Breakdowns'!$D$114:$D$131,"ISIC 13T15",'Cost Breakdowns'!$B$114:$B$131)))</f>
        <v/>
      </c>
      <c r="L13">
        <f>((SUMIF('Cost Breakdowns'!$D$114:$D$131,"ISIC 16",'Cost Breakdowns'!$B$114:$B$131)))</f>
        <v/>
      </c>
      <c r="M13">
        <f>((SUMIF('Cost Breakdowns'!$D$114:$D$131,"ISIC 17T18",'Cost Breakdowns'!$B$114:$B$131)))</f>
        <v/>
      </c>
      <c r="N13">
        <f>((SUMIF('Cost Breakdowns'!$D$114:$D$131,"ISIC 19",'Cost Breakdowns'!$B$114:$B$131)))</f>
        <v/>
      </c>
      <c r="O13">
        <f>((SUMIF('Cost Breakdowns'!$D$114:$D$131,"ISIC 20",'Cost Breakdowns'!$B$114:$B$131)))</f>
        <v/>
      </c>
      <c r="P13">
        <f>((SUMIF('Cost Breakdowns'!$D$114:$D$131,"ISIC 21",'Cost Breakdowns'!$B$114:$B$131)))</f>
        <v/>
      </c>
      <c r="Q13">
        <f>((SUMIF('Cost Breakdowns'!$D$114:$D$131,"ISIC 22",'Cost Breakdowns'!$B$114:$B$131)))</f>
        <v/>
      </c>
      <c r="R13">
        <f>((SUMIF('Cost Breakdowns'!$D$114:$D$131,"ISIC 231",'Cost Breakdowns'!$B$114:$B$131)))</f>
        <v/>
      </c>
      <c r="S13">
        <f>((SUMIF('Cost Breakdowns'!$D$114:$D$131,"ISIC 239",'Cost Breakdowns'!$B$114:$B$131)))</f>
        <v/>
      </c>
      <c r="T13">
        <f>((SUMIF('Cost Breakdowns'!$D$114:$D$131,"ISIC 241",'Cost Breakdowns'!$B$114:$B$131)))</f>
        <v/>
      </c>
      <c r="U13">
        <f>((SUMIF('Cost Breakdowns'!$D$114:$D$131,"ISIC 242",'Cost Breakdowns'!$B$114:$B$131)))</f>
        <v/>
      </c>
      <c r="V13">
        <f>((SUMIF('Cost Breakdowns'!$D$114:$D$131,"ISIC 25",'Cost Breakdowns'!$B$114:$B$131)))</f>
        <v/>
      </c>
      <c r="W13">
        <f>((SUMIF('Cost Breakdowns'!$D$114:$D$131,"ISIC 26",'Cost Breakdowns'!$B$114:$B$131)))</f>
        <v/>
      </c>
      <c r="X13">
        <f>((SUMIF('Cost Breakdowns'!$D$114:$D$131,"ISIC 27",'Cost Breakdowns'!$B$114:$B$131)))</f>
        <v/>
      </c>
      <c r="Y13">
        <f>((SUMIF('Cost Breakdowns'!$D$114:$D$131,"ISIC 28",'Cost Breakdowns'!$B$114:$B$131)))</f>
        <v/>
      </c>
      <c r="Z13">
        <f>((SUMIF('Cost Breakdowns'!$D$114:$D$131,"ISIC 29",'Cost Breakdowns'!$B$114:$B$131)))</f>
        <v/>
      </c>
      <c r="AA13">
        <f>((SUMIF('Cost Breakdowns'!$D$114:$D$131,"ISIC 30",'Cost Breakdowns'!$B$114:$B$131)))*'Factors applied'!$E$248</f>
        <v/>
      </c>
      <c r="AB13">
        <f>((SUMIF('Cost Breakdowns'!$D$114:$D$131,"ISIC 30",'Cost Breakdowns'!$B$114:$B$131)))*'Factors applied'!$E$249</f>
        <v/>
      </c>
      <c r="AC13">
        <f>((SUMIF('Cost Breakdowns'!$D$114:$D$131,"ISIC 31T33",'Cost Breakdowns'!$B$114:$B$131)))</f>
        <v/>
      </c>
      <c r="AD13">
        <f>((SUMIF('Cost Breakdowns'!$D$114:$D$131,"ISIC 351",'Cost Breakdowns'!$B$114:$B$131)))</f>
        <v/>
      </c>
      <c r="AE13">
        <f>((SUMIF('Cost Breakdowns'!$D$114:$D$131,"ISIC 352T353",'Cost Breakdowns'!$B$114:$B$131)))</f>
        <v/>
      </c>
      <c r="AF13">
        <f>((SUMIF('Cost Breakdowns'!$D$114:$D$131,"ISIC 36T39",'Cost Breakdowns'!$B$114:$B$131)))</f>
        <v/>
      </c>
      <c r="AG13">
        <f>((SUMIF('Cost Breakdowns'!$D$114:$D$131,"ISIC 41T43",'Cost Breakdowns'!$B$114:$B$131)))</f>
        <v/>
      </c>
      <c r="AH13">
        <f>((SUMIF('Cost Breakdowns'!$D$114:$D$131,"ISIC 45T47",'Cost Breakdowns'!$B$114:$B$131)))</f>
        <v/>
      </c>
      <c r="AI13">
        <f>((SUMIF('Cost Breakdowns'!$D$114:$D$131,"ISIC 49T53",'Cost Breakdowns'!$B$114:$B$131)))*'Factors applied'!$E$250</f>
        <v/>
      </c>
      <c r="AJ13">
        <f>((SUMIF('Cost Breakdowns'!$D$114:$D$131,"ISIC 49T53",'Cost Breakdowns'!$B$114:$B$131)))*'Factors applied'!$E$251</f>
        <v/>
      </c>
      <c r="AK13">
        <f>((SUMIF('Cost Breakdowns'!$D$114:$D$131,"ISIC 49T53",'Cost Breakdowns'!$B$114:$B$131)))*'Factors applied'!$E$252</f>
        <v/>
      </c>
      <c r="AL13">
        <f>((SUMIF('Cost Breakdowns'!$D$114:$D$131,"ISIC 49T53",'Cost Breakdowns'!$B$114:$B$131)))*'Factors applied'!$E$253</f>
        <v/>
      </c>
      <c r="AM13">
        <f>((SUMIF('Cost Breakdowns'!$D$114:$D$131,"ISIC 49T53",'Cost Breakdowns'!$B$114:$B$131)))*'Factors applied'!$E$254</f>
        <v/>
      </c>
      <c r="AN13">
        <f>((SUMIF('Cost Breakdowns'!$D$114:$D$131,"ISIC 55T56",'Cost Breakdowns'!$B$114:$B$131)))</f>
        <v/>
      </c>
      <c r="AO13">
        <f>((SUMIF('Cost Breakdowns'!$D$114:$D$131,"ISIC 58T60",'Cost Breakdowns'!$B$114:$B$131)))</f>
        <v/>
      </c>
      <c r="AP13">
        <f>((SUMIF('Cost Breakdowns'!$D$114:$D$131,"ISIC 61",'Cost Breakdowns'!$B$114:$B$131)))</f>
        <v/>
      </c>
      <c r="AQ13">
        <f>((SUMIF('Cost Breakdowns'!$D$114:$D$131,"ISIC 62T63",'Cost Breakdowns'!$B$114:$B$131)))</f>
        <v/>
      </c>
      <c r="AR13">
        <f>((SUMIF('Cost Breakdowns'!$D$114:$D$131,"ISIC 64T66",'Cost Breakdowns'!$B$114:$B$131)))</f>
        <v/>
      </c>
      <c r="AS13">
        <f>((SUMIF('Cost Breakdowns'!$D$114:$D$131,"ISIC 68",'Cost Breakdowns'!$B$114:$B$131)))</f>
        <v/>
      </c>
      <c r="AT13">
        <f>((SUMIF('Cost Breakdowns'!$D$114:$D$131,"ISIC 69T82",'Cost Breakdowns'!$B$114:$B$131)))*'Factors applied'!$E$255</f>
        <v/>
      </c>
      <c r="AU13">
        <f>((SUMIF('Cost Breakdowns'!$D$114:$D$131,"ISIC 69T82",'Cost Breakdowns'!$B$114:$B$131)))*'Factors applied'!$E$256</f>
        <v/>
      </c>
      <c r="AV13">
        <f>((SUMIF('Cost Breakdowns'!$D$114:$D$131,"ISIC 84",'Cost Breakdowns'!$B$114:$B$131)))</f>
        <v/>
      </c>
      <c r="AW13">
        <f>((SUMIF('Cost Breakdowns'!$D$114:$D$131,"ISIC 85",'Cost Breakdowns'!$B$114:$B$131)))</f>
        <v/>
      </c>
      <c r="AX13">
        <f>((SUMIF('Cost Breakdowns'!$D$114:$D$131,"ISIC 86T88",'Cost Breakdowns'!$B$114:$B$131)))</f>
        <v/>
      </c>
      <c r="AY13">
        <f>((SUMIF('Cost Breakdowns'!$D$114:$D$131,"ISIC 90T96",'Cost Breakdowns'!$B$114:$B$131)))*'Factors applied'!$E$257</f>
        <v/>
      </c>
      <c r="AZ13">
        <f>((SUMIF('Cost Breakdowns'!$D$114:$D$131,"ISIC 90T96",'Cost Breakdowns'!$B$114:$B$131)))*'Factors applied'!$E$258</f>
        <v/>
      </c>
      <c r="BA13">
        <f>((SUMIF('Cost Breakdowns'!$D$114:$D$131,"ISIC 97T98",'Cost Breakdowns'!$B$114:$B$131)))</f>
        <v/>
      </c>
    </row>
    <row r="14">
      <c r="A14" t="inlineStr">
        <is>
          <t>lignite</t>
        </is>
      </c>
      <c r="B14">
        <f>(SUMIF('Cost Breakdowns'!$D$79:$D$96,"ISIC 01T03",'Cost Breakdowns'!$B$79:$B$96))*'Factors applied'!$E$163</f>
        <v/>
      </c>
      <c r="C14">
        <f>(SUMIF('Cost Breakdowns'!$D$79:$D$96,"ISIC 01T03",'Cost Breakdowns'!$B$79:$B$96))*'Factors applied'!$E$164</f>
        <v/>
      </c>
      <c r="D14">
        <f>(SUMIF('Cost Breakdowns'!$D$79:$D$96,"ISIC 01T03",'Cost Breakdowns'!$B$79:$B$96))*'Factors applied'!$E$165</f>
        <v/>
      </c>
      <c r="E14">
        <f>(SUMIF('Cost Breakdowns'!$D$79:$D$96,"ISIC 05",'Cost Breakdowns'!$B$79:$B$96))</f>
        <v/>
      </c>
      <c r="F14">
        <f>(SUMIF('Cost Breakdowns'!$D$79:$D$96,"ISIC 06",'Cost Breakdowns'!$B$79:$B$96))</f>
        <v/>
      </c>
      <c r="G14">
        <f>(SUMIF('Cost Breakdowns'!$D$79:$D$96,"ISIC 07T08",'Cost Breakdowns'!$B$79:$B$96))*'Factors applied'!$E$166</f>
        <v/>
      </c>
      <c r="H14">
        <f>(SUMIF('Cost Breakdowns'!$D$79:$D$96,"ISIC 07T08",'Cost Breakdowns'!$B$79:$B$96))*'Factors applied'!$E$167</f>
        <v/>
      </c>
      <c r="I14">
        <f>(SUMIF('Cost Breakdowns'!$D$79:$D$96,"ISIC 09",'Cost Breakdowns'!$B$79:$B$96))</f>
        <v/>
      </c>
      <c r="J14">
        <f>(SUMIF('Cost Breakdowns'!$D$79:$D$96,"ISIC 10T12",'Cost Breakdowns'!$B$79:$B$96))</f>
        <v/>
      </c>
      <c r="K14">
        <f>(SUMIF('Cost Breakdowns'!$D$79:$D$96,"ISIC 13T15",'Cost Breakdowns'!$B$79:$B$96))</f>
        <v/>
      </c>
      <c r="L14">
        <f>(SUMIF('Cost Breakdowns'!$D$79:$D$96,"ISIC 16",'Cost Breakdowns'!$B$79:$B$96))</f>
        <v/>
      </c>
      <c r="M14">
        <f>(SUMIF('Cost Breakdowns'!$D$79:$D$96,"ISIC 17T18",'Cost Breakdowns'!$B$79:$B$96))</f>
        <v/>
      </c>
      <c r="N14">
        <f>(SUMIF('Cost Breakdowns'!$D$79:$D$96,"ISIC 19",'Cost Breakdowns'!$B$79:$B$96))</f>
        <v/>
      </c>
      <c r="O14">
        <f>(SUMIF('Cost Breakdowns'!$D$79:$D$96,"ISIC 20",'Cost Breakdowns'!$B$79:$B$96))</f>
        <v/>
      </c>
      <c r="P14">
        <f>(SUMIF('Cost Breakdowns'!$D$79:$D$96,"ISIC 21",'Cost Breakdowns'!$B$79:$B$96))</f>
        <v/>
      </c>
      <c r="Q14">
        <f>(SUMIF('Cost Breakdowns'!$D$79:$D$96,"ISIC 22",'Cost Breakdowns'!$B$79:$B$96))</f>
        <v/>
      </c>
      <c r="R14">
        <f>(SUMIF('Cost Breakdowns'!$D$79:$D$96,"ISIC 231",'Cost Breakdowns'!$B$79:$B$96))</f>
        <v/>
      </c>
      <c r="S14">
        <f>(SUMIF('Cost Breakdowns'!$D$79:$D$96,"ISIC 239",'Cost Breakdowns'!$B$79:$B$96))</f>
        <v/>
      </c>
      <c r="T14">
        <f>(SUMIF('Cost Breakdowns'!$D$79:$D$96,"ISIC 241",'Cost Breakdowns'!$B$79:$B$96))</f>
        <v/>
      </c>
      <c r="U14">
        <f>(SUMIF('Cost Breakdowns'!$D$79:$D$96,"ISIC 242",'Cost Breakdowns'!$B$79:$B$96))</f>
        <v/>
      </c>
      <c r="V14">
        <f>(SUMIF('Cost Breakdowns'!$D$79:$D$96,"ISIC 25",'Cost Breakdowns'!$B$79:$B$96))</f>
        <v/>
      </c>
      <c r="W14">
        <f>(SUMIF('Cost Breakdowns'!$D$79:$D$96,"ISIC 26",'Cost Breakdowns'!$B$79:$B$96))</f>
        <v/>
      </c>
      <c r="X14">
        <f>(SUMIF('Cost Breakdowns'!$D$79:$D$96,"ISIC 27",'Cost Breakdowns'!$B$79:$B$96))</f>
        <v/>
      </c>
      <c r="Y14">
        <f>(SUMIF('Cost Breakdowns'!$D$79:$D$96,"ISIC 28",'Cost Breakdowns'!$B$79:$B$96))</f>
        <v/>
      </c>
      <c r="Z14">
        <f>(SUMIF('Cost Breakdowns'!$D$79:$D$96,"ISIC 29",'Cost Breakdowns'!$B$79:$B$96))</f>
        <v/>
      </c>
      <c r="AA14">
        <f>(SUMIF('Cost Breakdowns'!$D$79:$D$96,"ISIC 30",'Cost Breakdowns'!$B$79:$B$96))*'Factors applied'!$E$168</f>
        <v/>
      </c>
      <c r="AB14">
        <f>(SUMIF('Cost Breakdowns'!$D$79:$D$96,"ISIC 30",'Cost Breakdowns'!$B$79:$B$96))*'Factors applied'!$E$169</f>
        <v/>
      </c>
      <c r="AC14">
        <f>(SUMIF('Cost Breakdowns'!$D$79:$D$96,"ISIC 31T33",'Cost Breakdowns'!$B$79:$B$96))</f>
        <v/>
      </c>
      <c r="AD14">
        <f>(SUMIF('Cost Breakdowns'!$D$79:$D$96,"ISIC 351",'Cost Breakdowns'!$B$79:$B$96))</f>
        <v/>
      </c>
      <c r="AE14">
        <f>(SUMIF('Cost Breakdowns'!$D$79:$D$96,"ISIC 352T353",'Cost Breakdowns'!$B$79:$B$96))</f>
        <v/>
      </c>
      <c r="AF14">
        <f>(SUMIF('Cost Breakdowns'!$D$79:$D$96,"ISIC 36T39",'Cost Breakdowns'!$B$79:$B$96))</f>
        <v/>
      </c>
      <c r="AG14">
        <f>(SUMIF('Cost Breakdowns'!$D$79:$D$96,"ISIC 41T43",'Cost Breakdowns'!$B$79:$B$96))</f>
        <v/>
      </c>
      <c r="AH14">
        <f>(SUMIF('Cost Breakdowns'!$D$79:$D$96,"ISIC 45T47",'Cost Breakdowns'!$B$79:$B$96))</f>
        <v/>
      </c>
      <c r="AI14">
        <f>(SUMIF('Cost Breakdowns'!$D$79:$D$96,"ISIC 49T53",'Cost Breakdowns'!$B$79:$B$96))*'Factors applied'!$E$170</f>
        <v/>
      </c>
      <c r="AJ14">
        <f>(SUMIF('Cost Breakdowns'!$D$79:$D$96,"ISIC 49T53",'Cost Breakdowns'!$B$79:$B$96))*'Factors applied'!$E$171</f>
        <v/>
      </c>
      <c r="AK14">
        <f>(SUMIF('Cost Breakdowns'!$D$79:$D$96,"ISIC 49T53",'Cost Breakdowns'!$B$79:$B$96))*'Factors applied'!$E$172</f>
        <v/>
      </c>
      <c r="AL14">
        <f>(SUMIF('Cost Breakdowns'!$D$79:$D$96,"ISIC 49T53",'Cost Breakdowns'!$B$79:$B$96))*'Factors applied'!$E$173</f>
        <v/>
      </c>
      <c r="AM14">
        <f>(SUMIF('Cost Breakdowns'!$D$79:$D$96,"ISIC 49T53",'Cost Breakdowns'!$B$79:$B$96))*'Factors applied'!$E$174</f>
        <v/>
      </c>
      <c r="AN14">
        <f>(SUMIF('Cost Breakdowns'!$D$79:$D$96,"ISIC 55T56",'Cost Breakdowns'!$B$79:$B$96))</f>
        <v/>
      </c>
      <c r="AO14">
        <f>(SUMIF('Cost Breakdowns'!$D$79:$D$96,"ISIC 58T60",'Cost Breakdowns'!$B$79:$B$96))</f>
        <v/>
      </c>
      <c r="AP14">
        <f>(SUMIF('Cost Breakdowns'!$D$79:$D$96,"ISIC 61",'Cost Breakdowns'!$B$79:$B$96))</f>
        <v/>
      </c>
      <c r="AQ14">
        <f>(SUMIF('Cost Breakdowns'!$D$79:$D$96,"ISIC 62T63",'Cost Breakdowns'!$B$79:$B$96))</f>
        <v/>
      </c>
      <c r="AR14">
        <f>(SUMIF('Cost Breakdowns'!$D$79:$D$96,"ISIC 64T66",'Cost Breakdowns'!$B$79:$B$96))</f>
        <v/>
      </c>
      <c r="AS14">
        <f>(SUMIF('Cost Breakdowns'!$D$79:$D$96,"ISIC 68",'Cost Breakdowns'!$B$79:$B$96))</f>
        <v/>
      </c>
      <c r="AT14">
        <f>(SUMIF('Cost Breakdowns'!$D$79:$D$96,"ISIC 69T82",'Cost Breakdowns'!$B$79:$B$96))*'Factors applied'!$E$175</f>
        <v/>
      </c>
      <c r="AU14">
        <f>(SUMIF('Cost Breakdowns'!$D$79:$D$96,"ISIC 69T82",'Cost Breakdowns'!$B$79:$B$96))*'Factors applied'!$E$176</f>
        <v/>
      </c>
      <c r="AV14">
        <f>(SUMIF('Cost Breakdowns'!$D$79:$D$96,"ISIC 84",'Cost Breakdowns'!$B$79:$B$96))</f>
        <v/>
      </c>
      <c r="AW14">
        <f>(SUMIF('Cost Breakdowns'!$D$79:$D$96,"ISIC 85",'Cost Breakdowns'!$B$79:$B$96))</f>
        <v/>
      </c>
      <c r="AX14">
        <f>(SUMIF('Cost Breakdowns'!$D$79:$D$96,"ISIC 86T88",'Cost Breakdowns'!$B$79:$B$96))</f>
        <v/>
      </c>
      <c r="AY14">
        <f>(SUMIF('Cost Breakdowns'!$D$79:$D$96,"ISIC 90T96",'Cost Breakdowns'!$B$79:$B$96))*'Factors applied'!$E$177</f>
        <v/>
      </c>
      <c r="AZ14">
        <f>(SUMIF('Cost Breakdowns'!$D$79:$D$96,"ISIC 90T96",'Cost Breakdowns'!$B$79:$B$96))*'Factors applied'!$E$178</f>
        <v/>
      </c>
      <c r="BA14">
        <f>(SUMIF('Cost Breakdowns'!$D$79:$D$96,"ISIC 97T98",'Cost Breakdowns'!$B$79:$B$96))</f>
        <v/>
      </c>
    </row>
    <row r="15">
      <c r="A15" t="inlineStr">
        <is>
          <t>offshore wind</t>
        </is>
      </c>
      <c r="B15">
        <f>(SUMIF('Cost Breakdowns'!$D$319:$D$363,"ISIC 01T03",'Cost Breakdowns'!$B$319:$B$363))*'Factors applied'!$E$291</f>
        <v/>
      </c>
      <c r="C15">
        <f>(SUMIF('Cost Breakdowns'!$D$319:$D$363,"ISIC 01T03",'Cost Breakdowns'!$B$319:$B$363))*'Factors applied'!$E$292</f>
        <v/>
      </c>
      <c r="D15">
        <f>(SUMIF('Cost Breakdowns'!$D$319:$D$363,"ISIC 01T03",'Cost Breakdowns'!$B$319:$B$363))*'Factors applied'!$E$293</f>
        <v/>
      </c>
      <c r="E15">
        <f>(SUMIF('Cost Breakdowns'!$D$319:$D$363,"ISIC 05",'Cost Breakdowns'!$B$319:$B$363))</f>
        <v/>
      </c>
      <c r="F15">
        <f>(SUMIF('Cost Breakdowns'!$D$319:$D$363,"ISIC 06",'Cost Breakdowns'!$B$319:$B$363))</f>
        <v/>
      </c>
      <c r="G15">
        <f>(SUMIF('Cost Breakdowns'!$D$319:$D$363,"ISIC 07T08",'Cost Breakdowns'!$B$319:$B$363))*'Factors applied'!$E$294</f>
        <v/>
      </c>
      <c r="H15">
        <f>(SUMIF('Cost Breakdowns'!$D$319:$D$363,"ISIC 07T08",'Cost Breakdowns'!$B$319:$B$363))*'Factors applied'!$E$295</f>
        <v/>
      </c>
      <c r="I15">
        <f>(SUMIF('Cost Breakdowns'!$D$319:$D$363,"ISIC 09",'Cost Breakdowns'!$B$319:$B$363))</f>
        <v/>
      </c>
      <c r="J15">
        <f>(SUMIF('Cost Breakdowns'!$D$319:$D$363,"ISIC 10T12",'Cost Breakdowns'!$B$319:$B$363))</f>
        <v/>
      </c>
      <c r="K15">
        <f>(SUMIF('Cost Breakdowns'!$D$319:$D$363,"ISIC 13T15",'Cost Breakdowns'!$B$319:$B$363))</f>
        <v/>
      </c>
      <c r="L15">
        <f>(SUMIF('Cost Breakdowns'!$D$319:$D$363,"ISIC 16",'Cost Breakdowns'!$B$319:$B$363))</f>
        <v/>
      </c>
      <c r="M15">
        <f>(SUMIF('Cost Breakdowns'!$D$319:$D$363,"ISIC 17T18",'Cost Breakdowns'!$B$319:$B$363))</f>
        <v/>
      </c>
      <c r="N15">
        <f>(SUMIF('Cost Breakdowns'!$D$319:$D$363,"ISIC 19",'Cost Breakdowns'!$B$319:$B$363))</f>
        <v/>
      </c>
      <c r="O15">
        <f>(SUMIF('Cost Breakdowns'!$D$319:$D$363,"ISIC 20",'Cost Breakdowns'!$B$319:$B$363))</f>
        <v/>
      </c>
      <c r="P15">
        <f>(SUMIF('Cost Breakdowns'!$D$319:$D$363,"ISIC 21",'Cost Breakdowns'!$B$319:$B$363))</f>
        <v/>
      </c>
      <c r="Q15">
        <f>(SUMIF('Cost Breakdowns'!$D$319:$D$363,"ISIC 22",'Cost Breakdowns'!$B$319:$B$363))</f>
        <v/>
      </c>
      <c r="R15">
        <f>(SUMIF('Cost Breakdowns'!$D$319:$D$363,"ISIC 231",'Cost Breakdowns'!$B$319:$B$363))</f>
        <v/>
      </c>
      <c r="S15">
        <f>(SUMIF('Cost Breakdowns'!$D$319:$D$363,"ISIC 239",'Cost Breakdowns'!$B$319:$B$363))</f>
        <v/>
      </c>
      <c r="T15">
        <f>(SUMIF('Cost Breakdowns'!$D$319:$D$363,"ISIC 241",'Cost Breakdowns'!$B$319:$B$363))</f>
        <v/>
      </c>
      <c r="U15">
        <f>(SUMIF('Cost Breakdowns'!$D$319:$D$363,"ISIC 242",'Cost Breakdowns'!$B$319:$B$363))</f>
        <v/>
      </c>
      <c r="V15">
        <f>(SUMIF('Cost Breakdowns'!$D$319:$D$363,"ISIC 25",'Cost Breakdowns'!$B$319:$B$363))</f>
        <v/>
      </c>
      <c r="W15">
        <f>(SUMIF('Cost Breakdowns'!$D$319:$D$363,"ISIC 26",'Cost Breakdowns'!$B$319:$B$363))</f>
        <v/>
      </c>
      <c r="X15">
        <f>(SUMIF('Cost Breakdowns'!$D$319:$D$363,"ISIC 27",'Cost Breakdowns'!$B$319:$B$363))</f>
        <v/>
      </c>
      <c r="Y15">
        <f>(SUMIF('Cost Breakdowns'!$D$319:$D$363,"ISIC 28",'Cost Breakdowns'!$B$319:$B$363))</f>
        <v/>
      </c>
      <c r="Z15">
        <f>(SUMIF('Cost Breakdowns'!$D$319:$D$363,"ISIC 29",'Cost Breakdowns'!$B$319:$B$363))</f>
        <v/>
      </c>
      <c r="AA15">
        <f>(SUMIF('Cost Breakdowns'!$D$319:$D$363,"ISIC 30",'Cost Breakdowns'!$B$319:$B$363))*'Factors applied'!$E$296</f>
        <v/>
      </c>
      <c r="AB15">
        <f>(SUMIF('Cost Breakdowns'!$D$319:$D$363,"ISIC 30",'Cost Breakdowns'!$B$319:$B$363))*'Factors applied'!$E$297</f>
        <v/>
      </c>
      <c r="AC15">
        <f>(SUMIF('Cost Breakdowns'!$D$319:$D$363,"ISIC 31T33",'Cost Breakdowns'!$B$319:$B$363))</f>
        <v/>
      </c>
      <c r="AD15">
        <f>(SUMIF('Cost Breakdowns'!$D$319:$D$363,"ISIC 351",'Cost Breakdowns'!$B$319:$B$363))</f>
        <v/>
      </c>
      <c r="AE15">
        <f>(SUMIF('Cost Breakdowns'!$D$319:$D$363,"ISIC 352T353",'Cost Breakdowns'!$B$319:$B$363))</f>
        <v/>
      </c>
      <c r="AF15">
        <f>(SUMIF('Cost Breakdowns'!$D$319:$D$363,"ISIC 36T39",'Cost Breakdowns'!$B$319:$B$363))</f>
        <v/>
      </c>
      <c r="AG15">
        <f>(SUMIF('Cost Breakdowns'!$D$319:$D$363,"ISIC 41T43",'Cost Breakdowns'!$B$319:$B$363))</f>
        <v/>
      </c>
      <c r="AH15">
        <f>(SUMIF('Cost Breakdowns'!$D$319:$D$363,"ISIC 45T47",'Cost Breakdowns'!$B$319:$B$363))</f>
        <v/>
      </c>
      <c r="AI15">
        <f>(SUMIF('Cost Breakdowns'!$D$319:$D$363,"ISIC 49T53",'Cost Breakdowns'!$B$319:$B$363))*'Factors applied'!$E$298</f>
        <v/>
      </c>
      <c r="AJ15">
        <f>(SUMIF('Cost Breakdowns'!$D$319:$D$363,"ISIC 49T53",'Cost Breakdowns'!$B$319:$B$363))*'Factors applied'!$E$299</f>
        <v/>
      </c>
      <c r="AK15">
        <f>(SUMIF('Cost Breakdowns'!$D$319:$D$363,"ISIC 49T53",'Cost Breakdowns'!$B$319:$B$363))*'Factors applied'!$E$300</f>
        <v/>
      </c>
      <c r="AL15">
        <f>(SUMIF('Cost Breakdowns'!$D$319:$D$363,"ISIC 49T53",'Cost Breakdowns'!$B$319:$B$363))*'Factors applied'!$E$301</f>
        <v/>
      </c>
      <c r="AM15">
        <f>(SUMIF('Cost Breakdowns'!$D$319:$D$363,"ISIC 49T53",'Cost Breakdowns'!$B$319:$B$363))*'Factors applied'!$E$302</f>
        <v/>
      </c>
      <c r="AN15">
        <f>(SUMIF('Cost Breakdowns'!$D$319:$D$363,"ISIC 55T56",'Cost Breakdowns'!$B$319:$B$363))</f>
        <v/>
      </c>
      <c r="AO15">
        <f>(SUMIF('Cost Breakdowns'!$D$319:$D$363,"ISIC 58T60",'Cost Breakdowns'!$B$319:$B$363))</f>
        <v/>
      </c>
      <c r="AP15">
        <f>(SUMIF('Cost Breakdowns'!$D$319:$D$363,"ISIC 61",'Cost Breakdowns'!$B$319:$B$363))</f>
        <v/>
      </c>
      <c r="AQ15">
        <f>(SUMIF('Cost Breakdowns'!$D$319:$D$363,"ISIC 62T63",'Cost Breakdowns'!$B$319:$B$363))</f>
        <v/>
      </c>
      <c r="AR15">
        <f>(SUMIF('Cost Breakdowns'!$D$319:$D$363,"ISIC 64T66",'Cost Breakdowns'!$B$319:$B$363))</f>
        <v/>
      </c>
      <c r="AS15">
        <f>(SUMIF('Cost Breakdowns'!$D$319:$D$363,"ISIC 68",'Cost Breakdowns'!$B$319:$B$363))</f>
        <v/>
      </c>
      <c r="AT15">
        <f>(SUMIF('Cost Breakdowns'!$D$319:$D$363,"ISIC 69T82",'Cost Breakdowns'!$B$319:$B$363))*'Factors applied'!$E$303</f>
        <v/>
      </c>
      <c r="AU15">
        <f>(SUMIF('Cost Breakdowns'!$D$319:$D$363,"ISIC 69T82",'Cost Breakdowns'!$B$319:$B$363))*'Factors applied'!$E$304</f>
        <v/>
      </c>
      <c r="AV15">
        <f>(SUMIF('Cost Breakdowns'!$D$319:$D$363,"ISIC 84",'Cost Breakdowns'!$B$319:$B$363))</f>
        <v/>
      </c>
      <c r="AW15">
        <f>(SUMIF('Cost Breakdowns'!$D$319:$D$363,"ISIC 85",'Cost Breakdowns'!$B$319:$B$363))</f>
        <v/>
      </c>
      <c r="AX15">
        <f>(SUMIF('Cost Breakdowns'!$D$319:$D$363,"ISIC 86T88",'Cost Breakdowns'!$B$319:$B$363))</f>
        <v/>
      </c>
      <c r="AY15">
        <f>(SUMIF('Cost Breakdowns'!$D$319:$D$363,"ISIC 90T96",'Cost Breakdowns'!$B$319:$B$363))*'Factors applied'!$E$305</f>
        <v/>
      </c>
      <c r="AZ15">
        <f>(SUMIF('Cost Breakdowns'!$D$319:$D$363,"ISIC 90T96",'Cost Breakdowns'!$B$319:$B$363))*'Factors applied'!$E$306</f>
        <v/>
      </c>
      <c r="BA15">
        <f>(SUMIF('Cost Breakdowns'!$D$319:$D$363,"ISIC 97T98",'Cost Breakdowns'!$B$319:$B$363))</f>
        <v/>
      </c>
    </row>
    <row r="16">
      <c r="A16" t="inlineStr">
        <is>
          <t>crude oil</t>
        </is>
      </c>
      <c r="B16">
        <f>((SUMIF('Cost Breakdowns'!$D$114:$D$131,"ISIC 01T03",'Cost Breakdowns'!$B$114:$B$131)))*'Factors applied'!$E$35</f>
        <v/>
      </c>
      <c r="C16">
        <f>((SUMIF('Cost Breakdowns'!$D$114:$D$131,"ISIC 01T03",'Cost Breakdowns'!$B$114:$B$131)))*'Factors applied'!$E$36</f>
        <v/>
      </c>
      <c r="D16">
        <f>((SUMIF('Cost Breakdowns'!$D$114:$D$131,"ISIC 01T03",'Cost Breakdowns'!$B$114:$B$131)))*'Factors applied'!$E$37</f>
        <v/>
      </c>
      <c r="E16">
        <f>((SUMIF('Cost Breakdowns'!$D$114:$D$131,"ISIC 05",'Cost Breakdowns'!$B$114:$B$131)))</f>
        <v/>
      </c>
      <c r="F16">
        <f>((SUMIF('Cost Breakdowns'!$D$114:$D$131,"ISIC 06",'Cost Breakdowns'!$B$114:$B$131)))</f>
        <v/>
      </c>
      <c r="G16">
        <f>((SUMIF('Cost Breakdowns'!$D$114:$D$131,"ISIC 07T08",'Cost Breakdowns'!$B$114:$B$131)))*'Factors applied'!$E$38</f>
        <v/>
      </c>
      <c r="H16">
        <f>((SUMIF('Cost Breakdowns'!$D$114:$D$131,"ISIC 07T08",'Cost Breakdowns'!$B$114:$B$131)))*'Factors applied'!$E$39</f>
        <v/>
      </c>
      <c r="I16">
        <f>((SUMIF('Cost Breakdowns'!$D$114:$D$131,"ISIC 09",'Cost Breakdowns'!$B$114:$B$131)))</f>
        <v/>
      </c>
      <c r="J16">
        <f>((SUMIF('Cost Breakdowns'!$D$114:$D$131,"ISIC 10T12",'Cost Breakdowns'!$B$114:$B$131)))</f>
        <v/>
      </c>
      <c r="K16">
        <f>((SUMIF('Cost Breakdowns'!$D$114:$D$131,"ISIC 13T15",'Cost Breakdowns'!$B$114:$B$131)))</f>
        <v/>
      </c>
      <c r="L16">
        <f>((SUMIF('Cost Breakdowns'!$D$114:$D$131,"ISIC 16",'Cost Breakdowns'!$B$114:$B$131)))</f>
        <v/>
      </c>
      <c r="M16">
        <f>((SUMIF('Cost Breakdowns'!$D$114:$D$131,"ISIC 17T18",'Cost Breakdowns'!$B$114:$B$131)))</f>
        <v/>
      </c>
      <c r="N16">
        <f>((SUMIF('Cost Breakdowns'!$D$114:$D$131,"ISIC 19",'Cost Breakdowns'!$B$114:$B$131)))</f>
        <v/>
      </c>
      <c r="O16">
        <f>((SUMIF('Cost Breakdowns'!$D$114:$D$131,"ISIC 20",'Cost Breakdowns'!$B$114:$B$131)))</f>
        <v/>
      </c>
      <c r="P16">
        <f>((SUMIF('Cost Breakdowns'!$D$114:$D$131,"ISIC 21",'Cost Breakdowns'!$B$114:$B$131)))</f>
        <v/>
      </c>
      <c r="Q16">
        <f>((SUMIF('Cost Breakdowns'!$D$114:$D$131,"ISIC 22",'Cost Breakdowns'!$B$114:$B$131)))</f>
        <v/>
      </c>
      <c r="R16">
        <f>((SUMIF('Cost Breakdowns'!$D$114:$D$131,"ISIC 231",'Cost Breakdowns'!$B$114:$B$131)))</f>
        <v/>
      </c>
      <c r="S16">
        <f>((SUMIF('Cost Breakdowns'!$D$114:$D$131,"ISIC 239",'Cost Breakdowns'!$B$114:$B$131)))</f>
        <v/>
      </c>
      <c r="T16">
        <f>((SUMIF('Cost Breakdowns'!$D$114:$D$131,"ISIC 241",'Cost Breakdowns'!$B$114:$B$131)))</f>
        <v/>
      </c>
      <c r="U16">
        <f>((SUMIF('Cost Breakdowns'!$D$114:$D$131,"ISIC 242",'Cost Breakdowns'!$B$114:$B$131)))</f>
        <v/>
      </c>
      <c r="V16">
        <f>((SUMIF('Cost Breakdowns'!$D$114:$D$131,"ISIC 25",'Cost Breakdowns'!$B$114:$B$131)))</f>
        <v/>
      </c>
      <c r="W16">
        <f>((SUMIF('Cost Breakdowns'!$D$114:$D$131,"ISIC 26",'Cost Breakdowns'!$B$114:$B$131)))</f>
        <v/>
      </c>
      <c r="X16">
        <f>((SUMIF('Cost Breakdowns'!$D$114:$D$131,"ISIC 27",'Cost Breakdowns'!$B$114:$B$131)))</f>
        <v/>
      </c>
      <c r="Y16">
        <f>((SUMIF('Cost Breakdowns'!$D$114:$D$131,"ISIC 28",'Cost Breakdowns'!$B$114:$B$131)))</f>
        <v/>
      </c>
      <c r="Z16">
        <f>((SUMIF('Cost Breakdowns'!$D$114:$D$131,"ISIC 29",'Cost Breakdowns'!$B$114:$B$131)))</f>
        <v/>
      </c>
      <c r="AA16">
        <f>((SUMIF('Cost Breakdowns'!$D$114:$D$131,"ISIC 30",'Cost Breakdowns'!$B$114:$B$131)))*'Factors applied'!$E$40</f>
        <v/>
      </c>
      <c r="AB16">
        <f>((SUMIF('Cost Breakdowns'!$D$114:$D$131,"ISIC 30",'Cost Breakdowns'!$B$114:$B$131)))*'Factors applied'!$E$41</f>
        <v/>
      </c>
      <c r="AC16">
        <f>((SUMIF('Cost Breakdowns'!$D$114:$D$131,"ISIC 31T33",'Cost Breakdowns'!$B$114:$B$131)))</f>
        <v/>
      </c>
      <c r="AD16">
        <f>((SUMIF('Cost Breakdowns'!$D$114:$D$131,"ISIC 351",'Cost Breakdowns'!$B$114:$B$131)))</f>
        <v/>
      </c>
      <c r="AE16">
        <f>((SUMIF('Cost Breakdowns'!$D$114:$D$131,"ISIC 352T353",'Cost Breakdowns'!$B$114:$B$131)))</f>
        <v/>
      </c>
      <c r="AF16">
        <f>((SUMIF('Cost Breakdowns'!$D$114:$D$131,"ISIC 36T39",'Cost Breakdowns'!$B$114:$B$131)))</f>
        <v/>
      </c>
      <c r="AG16">
        <f>((SUMIF('Cost Breakdowns'!$D$114:$D$131,"ISIC 41T43",'Cost Breakdowns'!$B$114:$B$131)))</f>
        <v/>
      </c>
      <c r="AH16">
        <f>((SUMIF('Cost Breakdowns'!$D$114:$D$131,"ISIC 45T47",'Cost Breakdowns'!$B$114:$B$131)))</f>
        <v/>
      </c>
      <c r="AI16">
        <f>((SUMIF('Cost Breakdowns'!$D$114:$D$131,"ISIC 49T53",'Cost Breakdowns'!$B$114:$B$131)))*'Factors applied'!$E$42</f>
        <v/>
      </c>
      <c r="AJ16">
        <f>((SUMIF('Cost Breakdowns'!$D$114:$D$131,"ISIC 49T53",'Cost Breakdowns'!$B$114:$B$131)))*'Factors applied'!$E$43</f>
        <v/>
      </c>
      <c r="AK16">
        <f>((SUMIF('Cost Breakdowns'!$D$114:$D$131,"ISIC 49T53",'Cost Breakdowns'!$B$114:$B$131)))*'Factors applied'!$E$44</f>
        <v/>
      </c>
      <c r="AL16">
        <f>((SUMIF('Cost Breakdowns'!$D$114:$D$131,"ISIC 49T53",'Cost Breakdowns'!$B$114:$B$131)))*'Factors applied'!$E$45</f>
        <v/>
      </c>
      <c r="AM16">
        <f>((SUMIF('Cost Breakdowns'!$D$114:$D$131,"ISIC 49T53",'Cost Breakdowns'!$B$114:$B$131)))*'Factors applied'!$E$46</f>
        <v/>
      </c>
      <c r="AN16">
        <f>((SUMIF('Cost Breakdowns'!$D$114:$D$131,"ISIC 55T56",'Cost Breakdowns'!$B$114:$B$131)))</f>
        <v/>
      </c>
      <c r="AO16">
        <f>((SUMIF('Cost Breakdowns'!$D$114:$D$131,"ISIC 58T60",'Cost Breakdowns'!$B$114:$B$131)))</f>
        <v/>
      </c>
      <c r="AP16">
        <f>((SUMIF('Cost Breakdowns'!$D$114:$D$131,"ISIC 61",'Cost Breakdowns'!$B$114:$B$131)))</f>
        <v/>
      </c>
      <c r="AQ16">
        <f>((SUMIF('Cost Breakdowns'!$D$114:$D$131,"ISIC 62T63",'Cost Breakdowns'!$B$114:$B$131)))</f>
        <v/>
      </c>
      <c r="AR16">
        <f>((SUMIF('Cost Breakdowns'!$D$114:$D$131,"ISIC 64T66",'Cost Breakdowns'!$B$114:$B$131)))</f>
        <v/>
      </c>
      <c r="AS16">
        <f>((SUMIF('Cost Breakdowns'!$D$114:$D$131,"ISIC 68",'Cost Breakdowns'!$B$114:$B$131)))</f>
        <v/>
      </c>
      <c r="AT16">
        <f>((SUMIF('Cost Breakdowns'!$D$114:$D$131,"ISIC 69T82",'Cost Breakdowns'!$B$114:$B$131)))*'Factors applied'!$E$47</f>
        <v/>
      </c>
      <c r="AU16">
        <f>((SUMIF('Cost Breakdowns'!$D$114:$D$131,"ISIC 69T82",'Cost Breakdowns'!$B$114:$B$131)))*'Factors applied'!$E$48</f>
        <v/>
      </c>
      <c r="AV16">
        <f>((SUMIF('Cost Breakdowns'!$D$114:$D$131,"ISIC 84",'Cost Breakdowns'!$B$114:$B$131)))</f>
        <v/>
      </c>
      <c r="AW16">
        <f>((SUMIF('Cost Breakdowns'!$D$114:$D$131,"ISIC 85",'Cost Breakdowns'!$B$114:$B$131)))</f>
        <v/>
      </c>
      <c r="AX16">
        <f>((SUMIF('Cost Breakdowns'!$D$114:$D$131,"ISIC 86T88",'Cost Breakdowns'!$B$114:$B$131)))</f>
        <v/>
      </c>
      <c r="AY16">
        <f>((SUMIF('Cost Breakdowns'!$D$114:$D$131,"ISIC 90T96",'Cost Breakdowns'!$B$114:$B$131)))*'Factors applied'!$E$49</f>
        <v/>
      </c>
      <c r="AZ16">
        <f>((SUMIF('Cost Breakdowns'!$D$114:$D$131,"ISIC 90T96",'Cost Breakdowns'!$B$114:$B$131)))*'Factors applied'!$E$50</f>
        <v/>
      </c>
      <c r="BA16">
        <f>((SUMIF('Cost Breakdowns'!$D$114:$D$131,"ISIC 97T98",'Cost Breakdowns'!$B$114:$B$131)))</f>
        <v/>
      </c>
    </row>
    <row r="17">
      <c r="A17" t="inlineStr">
        <is>
          <t>heavy or residual fuel oil</t>
        </is>
      </c>
      <c r="B17">
        <f>((SUMIF('Cost Breakdowns'!$D$114:$D$131,"ISIC 01T03",'Cost Breakdowns'!$B$114:$B$131)))*'Factors applied'!$E$99</f>
        <v/>
      </c>
      <c r="C17">
        <f>((SUMIF('Cost Breakdowns'!$D$114:$D$131,"ISIC 01T03",'Cost Breakdowns'!$B$114:$B$131)))*'Factors applied'!$E$100</f>
        <v/>
      </c>
      <c r="D17">
        <f>((SUMIF('Cost Breakdowns'!$D$114:$D$131,"ISIC 01T03",'Cost Breakdowns'!$B$114:$B$131)))*'Factors applied'!$E$101</f>
        <v/>
      </c>
      <c r="E17">
        <f>((SUMIF('Cost Breakdowns'!$D$114:$D$131,"ISIC 05",'Cost Breakdowns'!$B$114:$B$131)))</f>
        <v/>
      </c>
      <c r="F17">
        <f>((SUMIF('Cost Breakdowns'!$D$114:$D$131,"ISIC 06",'Cost Breakdowns'!$B$114:$B$131)))</f>
        <v/>
      </c>
      <c r="G17">
        <f>((SUMIF('Cost Breakdowns'!$D$114:$D$131,"ISIC 07T08",'Cost Breakdowns'!$B$114:$B$131)))*'Factors applied'!$E$102</f>
        <v/>
      </c>
      <c r="H17">
        <f>((SUMIF('Cost Breakdowns'!$D$114:$D$131,"ISIC 07T08",'Cost Breakdowns'!$B$114:$B$131)))*'Factors applied'!$E$103</f>
        <v/>
      </c>
      <c r="I17">
        <f>((SUMIF('Cost Breakdowns'!$D$114:$D$131,"ISIC 09",'Cost Breakdowns'!$B$114:$B$131)))</f>
        <v/>
      </c>
      <c r="J17">
        <f>((SUMIF('Cost Breakdowns'!$D$114:$D$131,"ISIC 10T12",'Cost Breakdowns'!$B$114:$B$131)))</f>
        <v/>
      </c>
      <c r="K17">
        <f>((SUMIF('Cost Breakdowns'!$D$114:$D$131,"ISIC 13T15",'Cost Breakdowns'!$B$114:$B$131)))</f>
        <v/>
      </c>
      <c r="L17">
        <f>((SUMIF('Cost Breakdowns'!$D$114:$D$131,"ISIC 16",'Cost Breakdowns'!$B$114:$B$131)))</f>
        <v/>
      </c>
      <c r="M17">
        <f>((SUMIF('Cost Breakdowns'!$D$114:$D$131,"ISIC 17T18",'Cost Breakdowns'!$B$114:$B$131)))</f>
        <v/>
      </c>
      <c r="N17">
        <f>((SUMIF('Cost Breakdowns'!$D$114:$D$131,"ISIC 19",'Cost Breakdowns'!$B$114:$B$131)))</f>
        <v/>
      </c>
      <c r="O17">
        <f>((SUMIF('Cost Breakdowns'!$D$114:$D$131,"ISIC 20",'Cost Breakdowns'!$B$114:$B$131)))</f>
        <v/>
      </c>
      <c r="P17">
        <f>((SUMIF('Cost Breakdowns'!$D$114:$D$131,"ISIC 21",'Cost Breakdowns'!$B$114:$B$131)))</f>
        <v/>
      </c>
      <c r="Q17">
        <f>((SUMIF('Cost Breakdowns'!$D$114:$D$131,"ISIC 22",'Cost Breakdowns'!$B$114:$B$131)))</f>
        <v/>
      </c>
      <c r="R17">
        <f>((SUMIF('Cost Breakdowns'!$D$114:$D$131,"ISIC 231",'Cost Breakdowns'!$B$114:$B$131)))</f>
        <v/>
      </c>
      <c r="S17">
        <f>((SUMIF('Cost Breakdowns'!$D$114:$D$131,"ISIC 239",'Cost Breakdowns'!$B$114:$B$131)))</f>
        <v/>
      </c>
      <c r="T17">
        <f>((SUMIF('Cost Breakdowns'!$D$114:$D$131,"ISIC 241",'Cost Breakdowns'!$B$114:$B$131)))</f>
        <v/>
      </c>
      <c r="U17">
        <f>((SUMIF('Cost Breakdowns'!$D$114:$D$131,"ISIC 242",'Cost Breakdowns'!$B$114:$B$131)))</f>
        <v/>
      </c>
      <c r="V17">
        <f>((SUMIF('Cost Breakdowns'!$D$114:$D$131,"ISIC 25",'Cost Breakdowns'!$B$114:$B$131)))</f>
        <v/>
      </c>
      <c r="W17">
        <f>((SUMIF('Cost Breakdowns'!$D$114:$D$131,"ISIC 26",'Cost Breakdowns'!$B$114:$B$131)))</f>
        <v/>
      </c>
      <c r="X17">
        <f>((SUMIF('Cost Breakdowns'!$D$114:$D$131,"ISIC 27",'Cost Breakdowns'!$B$114:$B$131)))</f>
        <v/>
      </c>
      <c r="Y17">
        <f>((SUMIF('Cost Breakdowns'!$D$114:$D$131,"ISIC 28",'Cost Breakdowns'!$B$114:$B$131)))</f>
        <v/>
      </c>
      <c r="Z17">
        <f>((SUMIF('Cost Breakdowns'!$D$114:$D$131,"ISIC 29",'Cost Breakdowns'!$B$114:$B$131)))</f>
        <v/>
      </c>
      <c r="AA17">
        <f>((SUMIF('Cost Breakdowns'!$D$114:$D$131,"ISIC 30",'Cost Breakdowns'!$B$114:$B$131)))*'Factors applied'!$E$104</f>
        <v/>
      </c>
      <c r="AB17">
        <f>((SUMIF('Cost Breakdowns'!$D$114:$D$131,"ISIC 30",'Cost Breakdowns'!$B$114:$B$131)))*'Factors applied'!$E$105</f>
        <v/>
      </c>
      <c r="AC17">
        <f>((SUMIF('Cost Breakdowns'!$D$114:$D$131,"ISIC 31T33",'Cost Breakdowns'!$B$114:$B$131)))</f>
        <v/>
      </c>
      <c r="AD17">
        <f>((SUMIF('Cost Breakdowns'!$D$114:$D$131,"ISIC 351",'Cost Breakdowns'!$B$114:$B$131)))</f>
        <v/>
      </c>
      <c r="AE17">
        <f>((SUMIF('Cost Breakdowns'!$D$114:$D$131,"ISIC 352T353",'Cost Breakdowns'!$B$114:$B$131)))</f>
        <v/>
      </c>
      <c r="AF17">
        <f>((SUMIF('Cost Breakdowns'!$D$114:$D$131,"ISIC 36T39",'Cost Breakdowns'!$B$114:$B$131)))</f>
        <v/>
      </c>
      <c r="AG17">
        <f>((SUMIF('Cost Breakdowns'!$D$114:$D$131,"ISIC 41T43",'Cost Breakdowns'!$B$114:$B$131)))</f>
        <v/>
      </c>
      <c r="AH17">
        <f>((SUMIF('Cost Breakdowns'!$D$114:$D$131,"ISIC 45T47",'Cost Breakdowns'!$B$114:$B$131)))</f>
        <v/>
      </c>
      <c r="AI17">
        <f>((SUMIF('Cost Breakdowns'!$D$114:$D$131,"ISIC 49T53",'Cost Breakdowns'!$B$114:$B$131)))*'Factors applied'!$E$106</f>
        <v/>
      </c>
      <c r="AJ17">
        <f>((SUMIF('Cost Breakdowns'!$D$114:$D$131,"ISIC 49T53",'Cost Breakdowns'!$B$114:$B$131)))*'Factors applied'!$E$107</f>
        <v/>
      </c>
      <c r="AK17">
        <f>((SUMIF('Cost Breakdowns'!$D$114:$D$131,"ISIC 49T53",'Cost Breakdowns'!$B$114:$B$131)))*'Factors applied'!$E$108</f>
        <v/>
      </c>
      <c r="AL17">
        <f>((SUMIF('Cost Breakdowns'!$D$114:$D$131,"ISIC 49T53",'Cost Breakdowns'!$B$114:$B$131)))*'Factors applied'!$E$109</f>
        <v/>
      </c>
      <c r="AM17">
        <f>((SUMIF('Cost Breakdowns'!$D$114:$D$131,"ISIC 49T53",'Cost Breakdowns'!$B$114:$B$131)))*'Factors applied'!$E$110</f>
        <v/>
      </c>
      <c r="AN17">
        <f>((SUMIF('Cost Breakdowns'!$D$114:$D$131,"ISIC 55T56",'Cost Breakdowns'!$B$114:$B$131)))</f>
        <v/>
      </c>
      <c r="AO17">
        <f>((SUMIF('Cost Breakdowns'!$D$114:$D$131,"ISIC 58T60",'Cost Breakdowns'!$B$114:$B$131)))</f>
        <v/>
      </c>
      <c r="AP17">
        <f>((SUMIF('Cost Breakdowns'!$D$114:$D$131,"ISIC 61",'Cost Breakdowns'!$B$114:$B$131)))</f>
        <v/>
      </c>
      <c r="AQ17">
        <f>((SUMIF('Cost Breakdowns'!$D$114:$D$131,"ISIC 62T63",'Cost Breakdowns'!$B$114:$B$131)))</f>
        <v/>
      </c>
      <c r="AR17">
        <f>((SUMIF('Cost Breakdowns'!$D$114:$D$131,"ISIC 64T66",'Cost Breakdowns'!$B$114:$B$131)))</f>
        <v/>
      </c>
      <c r="AS17">
        <f>((SUMIF('Cost Breakdowns'!$D$114:$D$131,"ISIC 68",'Cost Breakdowns'!$B$114:$B$131)))</f>
        <v/>
      </c>
      <c r="AT17">
        <f>((SUMIF('Cost Breakdowns'!$D$114:$D$131,"ISIC 69T82",'Cost Breakdowns'!$B$114:$B$131)))*'Factors applied'!$E$111</f>
        <v/>
      </c>
      <c r="AU17">
        <f>((SUMIF('Cost Breakdowns'!$D$114:$D$131,"ISIC 69T82",'Cost Breakdowns'!$B$114:$B$131)))*'Factors applied'!$E$112</f>
        <v/>
      </c>
      <c r="AV17">
        <f>((SUMIF('Cost Breakdowns'!$D$114:$D$131,"ISIC 84",'Cost Breakdowns'!$B$114:$B$131)))</f>
        <v/>
      </c>
      <c r="AW17">
        <f>((SUMIF('Cost Breakdowns'!$D$114:$D$131,"ISIC 85",'Cost Breakdowns'!$B$114:$B$131)))</f>
        <v/>
      </c>
      <c r="AX17">
        <f>((SUMIF('Cost Breakdowns'!$D$114:$D$131,"ISIC 86T88",'Cost Breakdowns'!$B$114:$B$131)))</f>
        <v/>
      </c>
      <c r="AY17">
        <f>((SUMIF('Cost Breakdowns'!$D$114:$D$131,"ISIC 90T96",'Cost Breakdowns'!$B$114:$B$131)))*'Factors applied'!$E$113</f>
        <v/>
      </c>
      <c r="AZ17">
        <f>((SUMIF('Cost Breakdowns'!$D$114:$D$131,"ISIC 90T96",'Cost Breakdowns'!$B$114:$B$131)))*'Factors applied'!$E$114</f>
        <v/>
      </c>
      <c r="BA17">
        <f>((SUMIF('Cost Breakdowns'!$D$114:$D$131,"ISIC 97T98",'Cost Breakdowns'!$B$114:$B$131)))</f>
        <v/>
      </c>
    </row>
    <row r="18">
      <c r="A18" t="inlineStr">
        <is>
          <t>municipal solid waste</t>
        </is>
      </c>
      <c r="B18">
        <f>((SUMIF('Cost Breakdowns'!$D$222:$D$227,"ISIC 01T03",'Cost Breakdowns'!$B$222:$B$227)))*'Factors applied'!$E$195</f>
        <v/>
      </c>
      <c r="C18">
        <f>((SUMIF('Cost Breakdowns'!$D$222:$D$227,"ISIC 01T03",'Cost Breakdowns'!$B$222:$B$227)))*'Factors applied'!$E$196</f>
        <v/>
      </c>
      <c r="D18">
        <f>((SUMIF('Cost Breakdowns'!$D$222:$D$227,"ISIC 01T03",'Cost Breakdowns'!$B$222:$B$227)))*'Factors applied'!$E$197</f>
        <v/>
      </c>
      <c r="E18">
        <f>((SUMIF('Cost Breakdowns'!$D$222:$D$227,"ISIC 05",'Cost Breakdowns'!$B$222:$B$227)))</f>
        <v/>
      </c>
      <c r="F18">
        <f>((SUMIF('Cost Breakdowns'!$D$222:$D$227,"ISIC 06",'Cost Breakdowns'!$B$222:$B$227)))</f>
        <v/>
      </c>
      <c r="G18">
        <f>((SUMIF('Cost Breakdowns'!$D$222:$D$227,"ISIC 07T08",'Cost Breakdowns'!$B$222:$B$227)))*'Factors applied'!$E$198</f>
        <v/>
      </c>
      <c r="H18">
        <f>((SUMIF('Cost Breakdowns'!$D$222:$D$227,"ISIC 07T08",'Cost Breakdowns'!$B$222:$B$227)))*'Factors applied'!$E$199</f>
        <v/>
      </c>
      <c r="I18">
        <f>((SUMIF('Cost Breakdowns'!$D$222:$D$227,"ISIC 09",'Cost Breakdowns'!$B$222:$B$227)))</f>
        <v/>
      </c>
      <c r="J18">
        <f>((SUMIF('Cost Breakdowns'!$D$222:$D$227,"ISIC 10T12",'Cost Breakdowns'!$B$222:$B$227)))</f>
        <v/>
      </c>
      <c r="K18">
        <f>((SUMIF('Cost Breakdowns'!$D$222:$D$227,"ISIC 13T15",'Cost Breakdowns'!$B$222:$B$227)))</f>
        <v/>
      </c>
      <c r="L18">
        <f>((SUMIF('Cost Breakdowns'!$D$222:$D$227,"ISIC 16",'Cost Breakdowns'!$B$222:$B$227)))</f>
        <v/>
      </c>
      <c r="M18">
        <f>((SUMIF('Cost Breakdowns'!$D$222:$D$227,"ISIC 17T18",'Cost Breakdowns'!$B$222:$B$227)))</f>
        <v/>
      </c>
      <c r="N18">
        <f>((SUMIF('Cost Breakdowns'!$D$222:$D$227,"ISIC 19",'Cost Breakdowns'!$B$222:$B$227)))</f>
        <v/>
      </c>
      <c r="O18">
        <f>((SUMIF('Cost Breakdowns'!$D$222:$D$227,"ISIC 20",'Cost Breakdowns'!$B$222:$B$227)))</f>
        <v/>
      </c>
      <c r="P18">
        <f>((SUMIF('Cost Breakdowns'!$D$222:$D$227,"ISIC 21",'Cost Breakdowns'!$B$222:$B$227)))</f>
        <v/>
      </c>
      <c r="Q18">
        <f>((SUMIF('Cost Breakdowns'!$D$222:$D$227,"ISIC 22",'Cost Breakdowns'!$B$222:$B$227)))</f>
        <v/>
      </c>
      <c r="R18">
        <f>((SUMIF('Cost Breakdowns'!$D$222:$D$227,"ISIC 231",'Cost Breakdowns'!$B$222:$B$227)))</f>
        <v/>
      </c>
      <c r="S18">
        <f>((SUMIF('Cost Breakdowns'!$D$222:$D$227,"ISIC 239",'Cost Breakdowns'!$B$222:$B$227)))</f>
        <v/>
      </c>
      <c r="T18">
        <f>((SUMIF('Cost Breakdowns'!$D$222:$D$227,"ISIC 241",'Cost Breakdowns'!$B$222:$B$227)))</f>
        <v/>
      </c>
      <c r="U18">
        <f>((SUMIF('Cost Breakdowns'!$D$222:$D$227,"ISIC 242",'Cost Breakdowns'!$B$222:$B$227)))</f>
        <v/>
      </c>
      <c r="V18">
        <f>((SUMIF('Cost Breakdowns'!$D$222:$D$227,"ISIC 25",'Cost Breakdowns'!$B$222:$B$227)))</f>
        <v/>
      </c>
      <c r="W18">
        <f>((SUMIF('Cost Breakdowns'!$D$222:$D$227,"ISIC 26",'Cost Breakdowns'!$B$222:$B$227)))</f>
        <v/>
      </c>
      <c r="X18">
        <f>((SUMIF('Cost Breakdowns'!$D$222:$D$227,"ISIC 27",'Cost Breakdowns'!$B$222:$B$227)))</f>
        <v/>
      </c>
      <c r="Y18">
        <f>((SUMIF('Cost Breakdowns'!$D$222:$D$227,"ISIC 28",'Cost Breakdowns'!$B$222:$B$227)))</f>
        <v/>
      </c>
      <c r="Z18">
        <f>((SUMIF('Cost Breakdowns'!$D$222:$D$227,"ISIC 29",'Cost Breakdowns'!$B$222:$B$227)))</f>
        <v/>
      </c>
      <c r="AA18">
        <f>((SUMIF('Cost Breakdowns'!$D$222:$D$227,"ISIC 30",'Cost Breakdowns'!$B$222:$B$227)))*'Factors applied'!$E$200</f>
        <v/>
      </c>
      <c r="AB18">
        <f>((SUMIF('Cost Breakdowns'!$D$222:$D$227,"ISIC 30",'Cost Breakdowns'!$B$222:$B$227)))*'Factors applied'!$E$201</f>
        <v/>
      </c>
      <c r="AC18">
        <f>((SUMIF('Cost Breakdowns'!$D$222:$D$227,"ISIC 31T33",'Cost Breakdowns'!$B$222:$B$227)))</f>
        <v/>
      </c>
      <c r="AD18">
        <f>((SUMIF('Cost Breakdowns'!$D$222:$D$227,"ISIC 351",'Cost Breakdowns'!$B$222:$B$227)))</f>
        <v/>
      </c>
      <c r="AE18">
        <f>((SUMIF('Cost Breakdowns'!$D$222:$D$227,"ISIC 352T353",'Cost Breakdowns'!$B$222:$B$227)))</f>
        <v/>
      </c>
      <c r="AF18">
        <f>((SUMIF('Cost Breakdowns'!$D$222:$D$227,"ISIC 36T39",'Cost Breakdowns'!$B$222:$B$227)))</f>
        <v/>
      </c>
      <c r="AG18">
        <f>((SUMIF('Cost Breakdowns'!$D$222:$D$227,"ISIC 41T43",'Cost Breakdowns'!$B$222:$B$227)))</f>
        <v/>
      </c>
      <c r="AH18">
        <f>((SUMIF('Cost Breakdowns'!$D$222:$D$227,"ISIC 45T47",'Cost Breakdowns'!$B$222:$B$227)))</f>
        <v/>
      </c>
      <c r="AI18">
        <f>((SUMIF('Cost Breakdowns'!$D$222:$D$227,"ISIC 49T53",'Cost Breakdowns'!$B$222:$B$227)))*'Factors applied'!$E$202</f>
        <v/>
      </c>
      <c r="AJ18">
        <f>((SUMIF('Cost Breakdowns'!$D$222:$D$227,"ISIC 49T53",'Cost Breakdowns'!$B$222:$B$227)))*'Factors applied'!$E$203</f>
        <v/>
      </c>
      <c r="AK18">
        <f>((SUMIF('Cost Breakdowns'!$D$222:$D$227,"ISIC 49T53",'Cost Breakdowns'!$B$222:$B$227)))*'Factors applied'!$E$204</f>
        <v/>
      </c>
      <c r="AL18">
        <f>((SUMIF('Cost Breakdowns'!$D$222:$D$227,"ISIC 49T53",'Cost Breakdowns'!$B$222:$B$227)))*'Factors applied'!$E$205</f>
        <v/>
      </c>
      <c r="AM18">
        <f>((SUMIF('Cost Breakdowns'!$D$222:$D$227,"ISIC 49T53",'Cost Breakdowns'!$B$222:$B$227)))*'Factors applied'!$E$206</f>
        <v/>
      </c>
      <c r="AN18">
        <f>((SUMIF('Cost Breakdowns'!$D$222:$D$227,"ISIC 55T56",'Cost Breakdowns'!$B$222:$B$227)))</f>
        <v/>
      </c>
      <c r="AO18">
        <f>((SUMIF('Cost Breakdowns'!$D$222:$D$227,"ISIC 58T60",'Cost Breakdowns'!$B$222:$B$227)))</f>
        <v/>
      </c>
      <c r="AP18">
        <f>((SUMIF('Cost Breakdowns'!$D$222:$D$227,"ISIC 61",'Cost Breakdowns'!$B$222:$B$227)))</f>
        <v/>
      </c>
      <c r="AQ18">
        <f>((SUMIF('Cost Breakdowns'!$D$222:$D$227,"ISIC 62T63",'Cost Breakdowns'!$B$222:$B$227)))</f>
        <v/>
      </c>
      <c r="AR18">
        <f>((SUMIF('Cost Breakdowns'!$D$222:$D$227,"ISIC 64T66",'Cost Breakdowns'!$B$222:$B$227)))</f>
        <v/>
      </c>
      <c r="AS18">
        <f>((SUMIF('Cost Breakdowns'!$D$222:$D$227,"ISIC 68",'Cost Breakdowns'!$B$222:$B$227)))</f>
        <v/>
      </c>
      <c r="AT18">
        <f>((SUMIF('Cost Breakdowns'!$D$222:$D$227,"ISIC 69T82",'Cost Breakdowns'!$B$222:$B$227)))*'Factors applied'!$E$207</f>
        <v/>
      </c>
      <c r="AU18">
        <f>((SUMIF('Cost Breakdowns'!$D$222:$D$227,"ISIC 69T82",'Cost Breakdowns'!$B$222:$B$227)))*'Factors applied'!$E$208</f>
        <v/>
      </c>
      <c r="AV18">
        <f>((SUMIF('Cost Breakdowns'!$D$222:$D$227,"ISIC 84",'Cost Breakdowns'!$B$222:$B$227)))</f>
        <v/>
      </c>
      <c r="AW18">
        <f>((SUMIF('Cost Breakdowns'!$D$222:$D$227,"ISIC 85",'Cost Breakdowns'!$B$222:$B$227)))</f>
        <v/>
      </c>
      <c r="AX18">
        <f>((SUMIF('Cost Breakdowns'!$D$222:$D$227,"ISIC 86T88",'Cost Breakdowns'!$B$222:$B$227)))</f>
        <v/>
      </c>
      <c r="AY18">
        <f>((SUMIF('Cost Breakdowns'!$D$222:$D$227,"ISIC 90T96",'Cost Breakdowns'!$B$222:$B$227)))*'Factors applied'!$E$209</f>
        <v/>
      </c>
      <c r="AZ18">
        <f>((SUMIF('Cost Breakdowns'!$D$222:$D$227,"ISIC 90T96",'Cost Breakdowns'!$B$222:$B$227)))*'Factors applied'!$E$210</f>
        <v/>
      </c>
      <c r="BA18">
        <f>((SUMIF('Cost Breakdowns'!$D$222:$D$227,"ISIC 97T98",'Cost Breakdowns'!$B$222:$B$227)))</f>
        <v/>
      </c>
    </row>
    <row r="19">
      <c r="A19" t="inlineStr">
        <is>
          <t>hard coal w CCS</t>
        </is>
      </c>
      <c r="B19">
        <f>('CCS Costs'!B60+'CCS Costs'!B68)*'Factors applied'!$E$83</f>
        <v/>
      </c>
      <c r="C19">
        <f>('CCS Costs'!B60+'CCS Costs'!B68)*'Factors applied'!$E$84</f>
        <v/>
      </c>
      <c r="D19">
        <f>('CCS Costs'!B60+'CCS Costs'!B68)*'Factors applied'!$E$85</f>
        <v/>
      </c>
      <c r="E19">
        <f>('CCS Costs'!C60+'CCS Costs'!C68)</f>
        <v/>
      </c>
      <c r="F19">
        <f>('CCS Costs'!D60+'CCS Costs'!D68)</f>
        <v/>
      </c>
      <c r="G19">
        <f>('CCS Costs'!E60+'CCS Costs'!E68)*'Factors applied'!$E$86</f>
        <v/>
      </c>
      <c r="H19">
        <f>('CCS Costs'!E60+'CCS Costs'!E68)*'Factors applied'!$E$87</f>
        <v/>
      </c>
      <c r="I19">
        <f>('CCS Costs'!F60+'CCS Costs'!F68)</f>
        <v/>
      </c>
      <c r="J19">
        <f>('CCS Costs'!G60+'CCS Costs'!G68)</f>
        <v/>
      </c>
      <c r="K19">
        <f>('CCS Costs'!H60+'CCS Costs'!H68)</f>
        <v/>
      </c>
      <c r="L19">
        <f>('CCS Costs'!I60+'CCS Costs'!I68)</f>
        <v/>
      </c>
      <c r="M19">
        <f>('CCS Costs'!J60+'CCS Costs'!J68)</f>
        <v/>
      </c>
      <c r="N19">
        <f>('CCS Costs'!K60+'CCS Costs'!K68)</f>
        <v/>
      </c>
      <c r="O19">
        <f>('CCS Costs'!L60+'CCS Costs'!L68)</f>
        <v/>
      </c>
      <c r="P19">
        <f>('CCS Costs'!M60+'CCS Costs'!M68)</f>
        <v/>
      </c>
      <c r="Q19">
        <f>('CCS Costs'!N60+'CCS Costs'!N68)</f>
        <v/>
      </c>
      <c r="R19">
        <f>('CCS Costs'!O60+'CCS Costs'!O68)</f>
        <v/>
      </c>
      <c r="S19">
        <f>('CCS Costs'!P60+'CCS Costs'!P68)</f>
        <v/>
      </c>
      <c r="T19">
        <f>('CCS Costs'!Q60+'CCS Costs'!Q68)</f>
        <v/>
      </c>
      <c r="U19">
        <f>('CCS Costs'!R60+'CCS Costs'!R68)</f>
        <v/>
      </c>
      <c r="V19">
        <f>('CCS Costs'!S60+'CCS Costs'!S68)</f>
        <v/>
      </c>
      <c r="W19">
        <f>('CCS Costs'!T60+'CCS Costs'!T68)</f>
        <v/>
      </c>
      <c r="X19">
        <f>('CCS Costs'!U60+'CCS Costs'!U68)</f>
        <v/>
      </c>
      <c r="Y19">
        <f>('CCS Costs'!V60+'CCS Costs'!V68)</f>
        <v/>
      </c>
      <c r="Z19">
        <f>('CCS Costs'!W60+'CCS Costs'!W68)</f>
        <v/>
      </c>
      <c r="AA19">
        <f>('CCS Costs'!X60+'CCS Costs'!X68)*'Factors applied'!$E$88</f>
        <v/>
      </c>
      <c r="AB19">
        <f>('CCS Costs'!X60+'CCS Costs'!X68)*'Factors applied'!$E$89</f>
        <v/>
      </c>
      <c r="AC19">
        <f>('CCS Costs'!Y60+'CCS Costs'!Y68)</f>
        <v/>
      </c>
      <c r="AD19">
        <f>('CCS Costs'!Z60+'CCS Costs'!Z68)</f>
        <v/>
      </c>
      <c r="AE19">
        <f>('CCS Costs'!AA60+'CCS Costs'!AA68)</f>
        <v/>
      </c>
      <c r="AF19">
        <f>('CCS Costs'!AB60+'CCS Costs'!AB68)</f>
        <v/>
      </c>
      <c r="AG19">
        <f>('CCS Costs'!AC60+'CCS Costs'!AC68)</f>
        <v/>
      </c>
      <c r="AH19">
        <f>('CCS Costs'!AD60+'CCS Costs'!AD68)</f>
        <v/>
      </c>
      <c r="AI19">
        <f>('CCS Costs'!AE60+'CCS Costs'!AE68)*'Factors applied'!$E$90</f>
        <v/>
      </c>
      <c r="AJ19">
        <f>('CCS Costs'!AE60+'CCS Costs'!AE68)*'Factors applied'!$E$91</f>
        <v/>
      </c>
      <c r="AK19">
        <f>('CCS Costs'!AE60+'CCS Costs'!AE68)*'Factors applied'!$E$92</f>
        <v/>
      </c>
      <c r="AL19">
        <f>('CCS Costs'!AE60+'CCS Costs'!AE68)*'Factors applied'!$E$93</f>
        <v/>
      </c>
      <c r="AM19">
        <f>('CCS Costs'!AE60+'CCS Costs'!AE68)*'Factors applied'!$E$94</f>
        <v/>
      </c>
      <c r="AN19">
        <f>('CCS Costs'!AF60+'CCS Costs'!AF68)</f>
        <v/>
      </c>
      <c r="AO19">
        <f>('CCS Costs'!AG60+'CCS Costs'!AG68)</f>
        <v/>
      </c>
      <c r="AP19">
        <f>('CCS Costs'!AH60+'CCS Costs'!AH68)</f>
        <v/>
      </c>
      <c r="AQ19">
        <f>('CCS Costs'!AI60+'CCS Costs'!AI68)</f>
        <v/>
      </c>
      <c r="AR19">
        <f>('CCS Costs'!AJ60+'CCS Costs'!AJ68)</f>
        <v/>
      </c>
      <c r="AS19">
        <f>('CCS Costs'!AK60+'CCS Costs'!AK68)</f>
        <v/>
      </c>
      <c r="AT19">
        <f>('CCS Costs'!AL60+'CCS Costs'!AL68)*'Factors applied'!$E$95</f>
        <v/>
      </c>
      <c r="AU19">
        <f>('CCS Costs'!AL60+'CCS Costs'!AL68)*'Factors applied'!$E$96</f>
        <v/>
      </c>
      <c r="AV19">
        <f>('CCS Costs'!AM60+'CCS Costs'!AM68)</f>
        <v/>
      </c>
      <c r="AW19">
        <f>('CCS Costs'!AN60+'CCS Costs'!AN68)</f>
        <v/>
      </c>
      <c r="AX19">
        <f>('CCS Costs'!AO60+'CCS Costs'!AO68)</f>
        <v/>
      </c>
      <c r="AY19">
        <f>('CCS Costs'!AP60+'CCS Costs'!AP68)*'Factors applied'!$E$97</f>
        <v/>
      </c>
      <c r="AZ19">
        <f>('CCS Costs'!AP60+'CCS Costs'!AP68)*'Factors applied'!$E$98</f>
        <v/>
      </c>
      <c r="BA19">
        <f>('CCS Costs'!AQ60+'CCS Costs'!AQ68)</f>
        <v/>
      </c>
    </row>
    <row r="20">
      <c r="A20" t="inlineStr">
        <is>
          <t>natural gas combined cycle w CCS</t>
        </is>
      </c>
      <c r="B20">
        <f>('CCS Costs'!B61+'CCS Costs'!B69)*'Factors applied'!$E$227</f>
        <v/>
      </c>
      <c r="C20">
        <f>('CCS Costs'!B61+'CCS Costs'!B69)*'Factors applied'!$E$228</f>
        <v/>
      </c>
      <c r="D20">
        <f>('CCS Costs'!B61+'CCS Costs'!B69)*'Factors applied'!$E$229</f>
        <v/>
      </c>
      <c r="E20">
        <f>('CCS Costs'!C61+'CCS Costs'!C69)</f>
        <v/>
      </c>
      <c r="F20">
        <f>('CCS Costs'!D61+'CCS Costs'!D69)</f>
        <v/>
      </c>
      <c r="G20">
        <f>('CCS Costs'!E61+'CCS Costs'!E69)*'Factors applied'!$E$230</f>
        <v/>
      </c>
      <c r="H20">
        <f>('CCS Costs'!E61+'CCS Costs'!E69)*'Factors applied'!$E$231</f>
        <v/>
      </c>
      <c r="I20">
        <f>('CCS Costs'!F61+'CCS Costs'!F69)</f>
        <v/>
      </c>
      <c r="J20">
        <f>('CCS Costs'!G61+'CCS Costs'!G69)</f>
        <v/>
      </c>
      <c r="K20">
        <f>('CCS Costs'!H61+'CCS Costs'!H69)</f>
        <v/>
      </c>
      <c r="L20">
        <f>('CCS Costs'!I61+'CCS Costs'!I69)</f>
        <v/>
      </c>
      <c r="M20">
        <f>('CCS Costs'!J61+'CCS Costs'!J69)</f>
        <v/>
      </c>
      <c r="N20">
        <f>('CCS Costs'!K61+'CCS Costs'!K69)</f>
        <v/>
      </c>
      <c r="O20">
        <f>('CCS Costs'!L61+'CCS Costs'!L69)</f>
        <v/>
      </c>
      <c r="P20">
        <f>('CCS Costs'!M61+'CCS Costs'!M69)</f>
        <v/>
      </c>
      <c r="Q20">
        <f>('CCS Costs'!N61+'CCS Costs'!N69)</f>
        <v/>
      </c>
      <c r="R20">
        <f>('CCS Costs'!O61+'CCS Costs'!O69)</f>
        <v/>
      </c>
      <c r="S20">
        <f>('CCS Costs'!P61+'CCS Costs'!P69)</f>
        <v/>
      </c>
      <c r="T20">
        <f>('CCS Costs'!Q61+'CCS Costs'!Q69)</f>
        <v/>
      </c>
      <c r="U20">
        <f>('CCS Costs'!R61+'CCS Costs'!R69)</f>
        <v/>
      </c>
      <c r="V20">
        <f>('CCS Costs'!S61+'CCS Costs'!S69)</f>
        <v/>
      </c>
      <c r="W20">
        <f>('CCS Costs'!T61+'CCS Costs'!T69)</f>
        <v/>
      </c>
      <c r="X20">
        <f>('CCS Costs'!U61+'CCS Costs'!U69)</f>
        <v/>
      </c>
      <c r="Y20">
        <f>('CCS Costs'!V61+'CCS Costs'!V69)</f>
        <v/>
      </c>
      <c r="Z20">
        <f>('CCS Costs'!W61+'CCS Costs'!W69)</f>
        <v/>
      </c>
      <c r="AA20">
        <f>('CCS Costs'!X61+'CCS Costs'!X69)*'Factors applied'!$E$232</f>
        <v/>
      </c>
      <c r="AB20">
        <f>('CCS Costs'!X61+'CCS Costs'!X69)*'Factors applied'!$E$233</f>
        <v/>
      </c>
      <c r="AC20">
        <f>('CCS Costs'!Y61+'CCS Costs'!Y69)</f>
        <v/>
      </c>
      <c r="AD20">
        <f>('CCS Costs'!Z61+'CCS Costs'!Z69)</f>
        <v/>
      </c>
      <c r="AE20">
        <f>('CCS Costs'!AA61+'CCS Costs'!AA69)</f>
        <v/>
      </c>
      <c r="AF20">
        <f>('CCS Costs'!AB61+'CCS Costs'!AB69)</f>
        <v/>
      </c>
      <c r="AG20">
        <f>('CCS Costs'!AC61+'CCS Costs'!AC69)</f>
        <v/>
      </c>
      <c r="AH20">
        <f>('CCS Costs'!AD61+'CCS Costs'!AD69)</f>
        <v/>
      </c>
      <c r="AI20">
        <f>('CCS Costs'!AE61+'CCS Costs'!AE69)*'Factors applied'!$E$234</f>
        <v/>
      </c>
      <c r="AJ20">
        <f>('CCS Costs'!AE61+'CCS Costs'!AE69)*'Factors applied'!$E$235</f>
        <v/>
      </c>
      <c r="AK20">
        <f>('CCS Costs'!AE61+'CCS Costs'!AE69)*'Factors applied'!$E$236</f>
        <v/>
      </c>
      <c r="AL20">
        <f>('CCS Costs'!AE61+'CCS Costs'!AE69)*'Factors applied'!$E$237</f>
        <v/>
      </c>
      <c r="AM20">
        <f>('CCS Costs'!AE61+'CCS Costs'!AE69)*'Factors applied'!$E$238</f>
        <v/>
      </c>
      <c r="AN20">
        <f>('CCS Costs'!AF61+'CCS Costs'!AF69)</f>
        <v/>
      </c>
      <c r="AO20">
        <f>('CCS Costs'!AG61+'CCS Costs'!AG69)</f>
        <v/>
      </c>
      <c r="AP20">
        <f>('CCS Costs'!AH61+'CCS Costs'!AH69)</f>
        <v/>
      </c>
      <c r="AQ20">
        <f>('CCS Costs'!AI61+'CCS Costs'!AI69)</f>
        <v/>
      </c>
      <c r="AR20">
        <f>('CCS Costs'!AJ61+'CCS Costs'!AJ69)</f>
        <v/>
      </c>
      <c r="AS20">
        <f>('CCS Costs'!AK61+'CCS Costs'!AK69)</f>
        <v/>
      </c>
      <c r="AT20">
        <f>('CCS Costs'!AL61+'CCS Costs'!AL69)*'Factors applied'!$E$239</f>
        <v/>
      </c>
      <c r="AU20">
        <f>('CCS Costs'!AL61+'CCS Costs'!AL69)*'Factors applied'!$E$240</f>
        <v/>
      </c>
      <c r="AV20">
        <f>('CCS Costs'!AM61+'CCS Costs'!AM69)</f>
        <v/>
      </c>
      <c r="AW20">
        <f>('CCS Costs'!AN61+'CCS Costs'!AN69)</f>
        <v/>
      </c>
      <c r="AX20">
        <f>('CCS Costs'!AO61+'CCS Costs'!AO69)</f>
        <v/>
      </c>
      <c r="AY20">
        <f>('CCS Costs'!AP61+'CCS Costs'!AP69)*'Factors applied'!$E$241</f>
        <v/>
      </c>
      <c r="AZ20">
        <f>('CCS Costs'!AP61+'CCS Costs'!AP69)*'Factors applied'!$E$242</f>
        <v/>
      </c>
      <c r="BA20">
        <f>('CCS Costs'!AQ61+'CCS Costs'!AQ69)</f>
        <v/>
      </c>
    </row>
    <row r="21">
      <c r="A21" t="inlineStr">
        <is>
          <t>biomass w CCS</t>
        </is>
      </c>
      <c r="B21">
        <f>('CCS Costs'!B62+'CCS Costs'!B70)*'Factors applied'!$E$19</f>
        <v/>
      </c>
      <c r="C21">
        <f>('CCS Costs'!B62+'CCS Costs'!B70)*'Factors applied'!$E$20</f>
        <v/>
      </c>
      <c r="D21">
        <f>('CCS Costs'!B62+'CCS Costs'!B70)*'Factors applied'!$E$21</f>
        <v/>
      </c>
      <c r="E21">
        <f>('CCS Costs'!C62+'CCS Costs'!C70)</f>
        <v/>
      </c>
      <c r="F21">
        <f>('CCS Costs'!D62+'CCS Costs'!D70)</f>
        <v/>
      </c>
      <c r="G21">
        <f>('CCS Costs'!E62+'CCS Costs'!E70)*'Factors applied'!$E$22</f>
        <v/>
      </c>
      <c r="H21">
        <f>('CCS Costs'!E62+'CCS Costs'!E70)*'Factors applied'!$E$23</f>
        <v/>
      </c>
      <c r="I21">
        <f>('CCS Costs'!F62+'CCS Costs'!F70)</f>
        <v/>
      </c>
      <c r="J21">
        <f>('CCS Costs'!G62+'CCS Costs'!G70)</f>
        <v/>
      </c>
      <c r="K21">
        <f>('CCS Costs'!H62+'CCS Costs'!H70)</f>
        <v/>
      </c>
      <c r="L21">
        <f>('CCS Costs'!I62+'CCS Costs'!I70)</f>
        <v/>
      </c>
      <c r="M21">
        <f>('CCS Costs'!J62+'CCS Costs'!J70)</f>
        <v/>
      </c>
      <c r="N21">
        <f>('CCS Costs'!K62+'CCS Costs'!K70)</f>
        <v/>
      </c>
      <c r="O21">
        <f>('CCS Costs'!L62+'CCS Costs'!L70)</f>
        <v/>
      </c>
      <c r="P21">
        <f>('CCS Costs'!M62+'CCS Costs'!M70)</f>
        <v/>
      </c>
      <c r="Q21">
        <f>('CCS Costs'!N62+'CCS Costs'!N70)</f>
        <v/>
      </c>
      <c r="R21">
        <f>('CCS Costs'!O62+'CCS Costs'!O70)</f>
        <v/>
      </c>
      <c r="S21">
        <f>('CCS Costs'!P62+'CCS Costs'!P70)</f>
        <v/>
      </c>
      <c r="T21">
        <f>('CCS Costs'!Q62+'CCS Costs'!Q70)</f>
        <v/>
      </c>
      <c r="U21">
        <f>('CCS Costs'!R62+'CCS Costs'!R70)</f>
        <v/>
      </c>
      <c r="V21">
        <f>('CCS Costs'!S62+'CCS Costs'!S70)</f>
        <v/>
      </c>
      <c r="W21">
        <f>('CCS Costs'!T62+'CCS Costs'!T70)</f>
        <v/>
      </c>
      <c r="X21">
        <f>('CCS Costs'!U62+'CCS Costs'!U70)</f>
        <v/>
      </c>
      <c r="Y21">
        <f>('CCS Costs'!V62+'CCS Costs'!V70)</f>
        <v/>
      </c>
      <c r="Z21">
        <f>('CCS Costs'!W62+'CCS Costs'!W70)</f>
        <v/>
      </c>
      <c r="AA21">
        <f>('CCS Costs'!X62+'CCS Costs'!X70)*'Factors applied'!$E$24</f>
        <v/>
      </c>
      <c r="AB21">
        <f>('CCS Costs'!X62+'CCS Costs'!X70)*'Factors applied'!$E$25</f>
        <v/>
      </c>
      <c r="AC21">
        <f>('CCS Costs'!Y62+'CCS Costs'!Y70)</f>
        <v/>
      </c>
      <c r="AD21">
        <f>('CCS Costs'!Z62+'CCS Costs'!Z70)</f>
        <v/>
      </c>
      <c r="AE21">
        <f>('CCS Costs'!AA62+'CCS Costs'!AA70)</f>
        <v/>
      </c>
      <c r="AF21">
        <f>('CCS Costs'!AB62+'CCS Costs'!AB70)</f>
        <v/>
      </c>
      <c r="AG21">
        <f>('CCS Costs'!AC62+'CCS Costs'!AC70)</f>
        <v/>
      </c>
      <c r="AH21">
        <f>('CCS Costs'!AD62+'CCS Costs'!AD70)</f>
        <v/>
      </c>
      <c r="AI21">
        <f>('CCS Costs'!AE62+'CCS Costs'!AE70)*'Factors applied'!$E$26</f>
        <v/>
      </c>
      <c r="AJ21">
        <f>('CCS Costs'!AE62+'CCS Costs'!AE70)*'Factors applied'!$E$27</f>
        <v/>
      </c>
      <c r="AK21">
        <f>('CCS Costs'!AE62+'CCS Costs'!AE70)*'Factors applied'!$E$28</f>
        <v/>
      </c>
      <c r="AL21">
        <f>('CCS Costs'!AE62+'CCS Costs'!AE70)*'Factors applied'!$E$29</f>
        <v/>
      </c>
      <c r="AM21">
        <f>('CCS Costs'!AE62+'CCS Costs'!AE70)*'Factors applied'!$E$30</f>
        <v/>
      </c>
      <c r="AN21">
        <f>('CCS Costs'!AF62+'CCS Costs'!AF70)</f>
        <v/>
      </c>
      <c r="AO21">
        <f>('CCS Costs'!AG62+'CCS Costs'!AG70)</f>
        <v/>
      </c>
      <c r="AP21">
        <f>('CCS Costs'!AH62+'CCS Costs'!AH70)</f>
        <v/>
      </c>
      <c r="AQ21">
        <f>('CCS Costs'!AI62+'CCS Costs'!AI70)</f>
        <v/>
      </c>
      <c r="AR21">
        <f>('CCS Costs'!AJ62+'CCS Costs'!AJ70)</f>
        <v/>
      </c>
      <c r="AS21">
        <f>('CCS Costs'!AK62+'CCS Costs'!AK70)</f>
        <v/>
      </c>
      <c r="AT21">
        <f>('CCS Costs'!AL62+'CCS Costs'!AL70)*'Factors applied'!$E$31</f>
        <v/>
      </c>
      <c r="AU21">
        <f>('CCS Costs'!AL62+'CCS Costs'!AL70)*'Factors applied'!$E$32</f>
        <v/>
      </c>
      <c r="AV21">
        <f>('CCS Costs'!AM62+'CCS Costs'!AM70)</f>
        <v/>
      </c>
      <c r="AW21">
        <f>('CCS Costs'!AN62+'CCS Costs'!AN70)</f>
        <v/>
      </c>
      <c r="AX21">
        <f>('CCS Costs'!AO62+'CCS Costs'!AO70)</f>
        <v/>
      </c>
      <c r="AY21">
        <f>('CCS Costs'!AP62+'CCS Costs'!AP70)*'Factors applied'!$E$33</f>
        <v/>
      </c>
      <c r="AZ21">
        <f>('CCS Costs'!AP62+'CCS Costs'!AP70)*'Factors applied'!$E$34</f>
        <v/>
      </c>
      <c r="BA21">
        <f>('CCS Costs'!AQ62+'CCS Costs'!AQ70)</f>
        <v/>
      </c>
    </row>
    <row r="22">
      <c r="A22" t="inlineStr">
        <is>
          <t>lignite w CCS</t>
        </is>
      </c>
      <c r="B22">
        <f>('CCS Costs'!B63+'CCS Costs'!B71)*'Factors applied'!$E$179</f>
        <v/>
      </c>
      <c r="C22">
        <f>('CCS Costs'!B63+'CCS Costs'!B71)*'Factors applied'!$E$180</f>
        <v/>
      </c>
      <c r="D22">
        <f>('CCS Costs'!B63+'CCS Costs'!B71)*'Factors applied'!$E$181</f>
        <v/>
      </c>
      <c r="E22">
        <f>('CCS Costs'!C63+'CCS Costs'!C71)</f>
        <v/>
      </c>
      <c r="F22">
        <f>('CCS Costs'!D63+'CCS Costs'!D71)</f>
        <v/>
      </c>
      <c r="G22">
        <f>('CCS Costs'!E63+'CCS Costs'!E71)*'Factors applied'!$E$182</f>
        <v/>
      </c>
      <c r="H22">
        <f>('CCS Costs'!E63+'CCS Costs'!E71)*'Factors applied'!$E$183</f>
        <v/>
      </c>
      <c r="I22">
        <f>('CCS Costs'!F63+'CCS Costs'!F71)</f>
        <v/>
      </c>
      <c r="J22">
        <f>('CCS Costs'!G63+'CCS Costs'!G71)</f>
        <v/>
      </c>
      <c r="K22">
        <f>('CCS Costs'!H63+'CCS Costs'!H71)</f>
        <v/>
      </c>
      <c r="L22">
        <f>('CCS Costs'!I63+'CCS Costs'!I71)</f>
        <v/>
      </c>
      <c r="M22">
        <f>('CCS Costs'!J63+'CCS Costs'!J71)</f>
        <v/>
      </c>
      <c r="N22">
        <f>('CCS Costs'!K63+'CCS Costs'!K71)</f>
        <v/>
      </c>
      <c r="O22">
        <f>('CCS Costs'!L63+'CCS Costs'!L71)</f>
        <v/>
      </c>
      <c r="P22">
        <f>('CCS Costs'!M63+'CCS Costs'!M71)</f>
        <v/>
      </c>
      <c r="Q22">
        <f>('CCS Costs'!N63+'CCS Costs'!N71)</f>
        <v/>
      </c>
      <c r="R22">
        <f>('CCS Costs'!O63+'CCS Costs'!O71)</f>
        <v/>
      </c>
      <c r="S22">
        <f>('CCS Costs'!P63+'CCS Costs'!P71)</f>
        <v/>
      </c>
      <c r="T22">
        <f>('CCS Costs'!Q63+'CCS Costs'!Q71)</f>
        <v/>
      </c>
      <c r="U22">
        <f>('CCS Costs'!R63+'CCS Costs'!R71)</f>
        <v/>
      </c>
      <c r="V22">
        <f>('CCS Costs'!S63+'CCS Costs'!S71)</f>
        <v/>
      </c>
      <c r="W22">
        <f>('CCS Costs'!T63+'CCS Costs'!T71)</f>
        <v/>
      </c>
      <c r="X22">
        <f>('CCS Costs'!U63+'CCS Costs'!U71)</f>
        <v/>
      </c>
      <c r="Y22">
        <f>('CCS Costs'!V63+'CCS Costs'!V71)</f>
        <v/>
      </c>
      <c r="Z22">
        <f>('CCS Costs'!W63+'CCS Costs'!W71)</f>
        <v/>
      </c>
      <c r="AA22">
        <f>('CCS Costs'!X63+'CCS Costs'!X71)*'Factors applied'!$E$184</f>
        <v/>
      </c>
      <c r="AB22">
        <f>('CCS Costs'!X63+'CCS Costs'!X71)*'Factors applied'!$E$185</f>
        <v/>
      </c>
      <c r="AC22">
        <f>('CCS Costs'!Y63+'CCS Costs'!Y71)</f>
        <v/>
      </c>
      <c r="AD22">
        <f>('CCS Costs'!Z63+'CCS Costs'!Z71)</f>
        <v/>
      </c>
      <c r="AE22">
        <f>('CCS Costs'!AA63+'CCS Costs'!AA71)</f>
        <v/>
      </c>
      <c r="AF22">
        <f>('CCS Costs'!AB63+'CCS Costs'!AB71)</f>
        <v/>
      </c>
      <c r="AG22">
        <f>('CCS Costs'!AC63+'CCS Costs'!AC71)</f>
        <v/>
      </c>
      <c r="AH22">
        <f>('CCS Costs'!AD63+'CCS Costs'!AD71)</f>
        <v/>
      </c>
      <c r="AI22">
        <f>('CCS Costs'!AE63+'CCS Costs'!AE71)*'Factors applied'!$E$186</f>
        <v/>
      </c>
      <c r="AJ22">
        <f>('CCS Costs'!AE63+'CCS Costs'!AE71)*'Factors applied'!$E$187</f>
        <v/>
      </c>
      <c r="AK22">
        <f>('CCS Costs'!AE63+'CCS Costs'!AE71)*'Factors applied'!$E$188</f>
        <v/>
      </c>
      <c r="AL22">
        <f>('CCS Costs'!AE63+'CCS Costs'!AE71)*'Factors applied'!$E$189</f>
        <v/>
      </c>
      <c r="AM22">
        <f>('CCS Costs'!AE63+'CCS Costs'!AE71)*'Factors applied'!$E$190</f>
        <v/>
      </c>
      <c r="AN22">
        <f>('CCS Costs'!AF63+'CCS Costs'!AF71)</f>
        <v/>
      </c>
      <c r="AO22">
        <f>('CCS Costs'!AG63+'CCS Costs'!AG71)</f>
        <v/>
      </c>
      <c r="AP22">
        <f>('CCS Costs'!AH63+'CCS Costs'!AH71)</f>
        <v/>
      </c>
      <c r="AQ22">
        <f>('CCS Costs'!AI63+'CCS Costs'!AI71)</f>
        <v/>
      </c>
      <c r="AR22">
        <f>('CCS Costs'!AJ63+'CCS Costs'!AJ71)</f>
        <v/>
      </c>
      <c r="AS22">
        <f>('CCS Costs'!AK63+'CCS Costs'!AK71)</f>
        <v/>
      </c>
      <c r="AT22">
        <f>('CCS Costs'!AL63+'CCS Costs'!AL71)*'Factors applied'!$E$191</f>
        <v/>
      </c>
      <c r="AU22">
        <f>('CCS Costs'!AL63+'CCS Costs'!AL71)*'Factors applied'!$E$192</f>
        <v/>
      </c>
      <c r="AV22">
        <f>('CCS Costs'!AM63+'CCS Costs'!AM71)</f>
        <v/>
      </c>
      <c r="AW22">
        <f>('CCS Costs'!AN63+'CCS Costs'!AN71)</f>
        <v/>
      </c>
      <c r="AX22">
        <f>('CCS Costs'!AO63+'CCS Costs'!AO71)</f>
        <v/>
      </c>
      <c r="AY22">
        <f>('CCS Costs'!AP63+'CCS Costs'!AP71)*'Factors applied'!$E$193</f>
        <v/>
      </c>
      <c r="AZ22">
        <f>('CCS Costs'!AP63+'CCS Costs'!AP71)*'Factors applied'!$E$194</f>
        <v/>
      </c>
      <c r="BA22">
        <f>('CCS Costs'!AQ63+'CCS Costs'!AQ71)</f>
        <v/>
      </c>
    </row>
    <row r="23">
      <c r="A23" t="inlineStr">
        <is>
          <t>small modular reactor</t>
        </is>
      </c>
      <c r="B23">
        <f>((SUMIF('Cost Breakdowns'!$D$149:$D$157,"ISIC 01T03",'Cost Breakdowns'!$B$149:$B$157)))*'Factors applied'!$E$323</f>
        <v/>
      </c>
      <c r="C23">
        <f>((SUMIF('Cost Breakdowns'!$D$149:$D$157,"ISIC 01T03",'Cost Breakdowns'!$B$149:$B$157)))*'Factors applied'!$E$324</f>
        <v/>
      </c>
      <c r="D23">
        <f>((SUMIF('Cost Breakdowns'!$D$149:$D$157,"ISIC 01T03",'Cost Breakdowns'!$B$149:$B$157)))*'Factors applied'!$E$325</f>
        <v/>
      </c>
      <c r="E23">
        <f>((SUMIF('Cost Breakdowns'!$D$149:$D$157,"ISIC 05",'Cost Breakdowns'!$B$149:$B$157)))</f>
        <v/>
      </c>
      <c r="F23">
        <f>((SUMIF('Cost Breakdowns'!$D$149:$D$157,"ISIC 06",'Cost Breakdowns'!$B$149:$B$157)))</f>
        <v/>
      </c>
      <c r="G23">
        <f>((SUMIF('Cost Breakdowns'!$D$149:$D$157,"ISIC 07T08",'Cost Breakdowns'!$B$149:$B$157)))*'Factors applied'!$E$326</f>
        <v/>
      </c>
      <c r="H23">
        <f>((SUMIF('Cost Breakdowns'!$D$149:$D$157,"ISIC 07T08",'Cost Breakdowns'!$B$149:$B$157)))*'Factors applied'!$E$327</f>
        <v/>
      </c>
      <c r="I23">
        <f>((SUMIF('Cost Breakdowns'!$D$149:$D$157,"ISIC 09",'Cost Breakdowns'!$B$149:$B$157)))</f>
        <v/>
      </c>
      <c r="J23">
        <f>((SUMIF('Cost Breakdowns'!$D$149:$D$157,"ISIC 10T12",'Cost Breakdowns'!$B$149:$B$157)))</f>
        <v/>
      </c>
      <c r="K23">
        <f>((SUMIF('Cost Breakdowns'!$D$149:$D$157,"ISIC 13T15",'Cost Breakdowns'!$B$149:$B$157)))</f>
        <v/>
      </c>
      <c r="L23">
        <f>((SUMIF('Cost Breakdowns'!$D$149:$D$157,"ISIC 16",'Cost Breakdowns'!$B$149:$B$157)))</f>
        <v/>
      </c>
      <c r="M23">
        <f>((SUMIF('Cost Breakdowns'!$D$149:$D$157,"ISIC 17T18",'Cost Breakdowns'!$B$149:$B$157)))</f>
        <v/>
      </c>
      <c r="N23">
        <f>((SUMIF('Cost Breakdowns'!$D$149:$D$157,"ISIC 19",'Cost Breakdowns'!$B$149:$B$157)))</f>
        <v/>
      </c>
      <c r="O23">
        <f>((SUMIF('Cost Breakdowns'!$D$149:$D$157,"ISIC 20",'Cost Breakdowns'!$B$149:$B$157)))</f>
        <v/>
      </c>
      <c r="P23">
        <f>((SUMIF('Cost Breakdowns'!$D$149:$D$157,"ISIC 21",'Cost Breakdowns'!$B$149:$B$157)))</f>
        <v/>
      </c>
      <c r="Q23">
        <f>((SUMIF('Cost Breakdowns'!$D$149:$D$157,"ISIC 22",'Cost Breakdowns'!$B$149:$B$157)))</f>
        <v/>
      </c>
      <c r="R23">
        <f>((SUMIF('Cost Breakdowns'!$D$149:$D$157,"ISIC 231",'Cost Breakdowns'!$B$149:$B$157)))</f>
        <v/>
      </c>
      <c r="S23">
        <f>((SUMIF('Cost Breakdowns'!$D$149:$D$157,"ISIC 239",'Cost Breakdowns'!$B$149:$B$157)))</f>
        <v/>
      </c>
      <c r="T23">
        <f>((SUMIF('Cost Breakdowns'!$D$149:$D$157,"ISIC 241",'Cost Breakdowns'!$B$149:$B$157)))</f>
        <v/>
      </c>
      <c r="U23">
        <f>((SUMIF('Cost Breakdowns'!$D$149:$D$157,"ISIC 242",'Cost Breakdowns'!$B$149:$B$157)))</f>
        <v/>
      </c>
      <c r="V23">
        <f>((SUMIF('Cost Breakdowns'!$D$149:$D$157,"ISIC 25",'Cost Breakdowns'!$B$149:$B$157)))</f>
        <v/>
      </c>
      <c r="W23">
        <f>((SUMIF('Cost Breakdowns'!$D$149:$D$157,"ISIC 26",'Cost Breakdowns'!$B$149:$B$157)))</f>
        <v/>
      </c>
      <c r="X23">
        <f>((SUMIF('Cost Breakdowns'!$D$149:$D$157,"ISIC 27",'Cost Breakdowns'!$B$149:$B$157)))</f>
        <v/>
      </c>
      <c r="Y23">
        <f>((SUMIF('Cost Breakdowns'!$D$149:$D$157,"ISIC 28",'Cost Breakdowns'!$B$149:$B$157)))</f>
        <v/>
      </c>
      <c r="Z23">
        <f>((SUMIF('Cost Breakdowns'!$D$149:$D$157,"ISIC 29",'Cost Breakdowns'!$B$149:$B$157)))</f>
        <v/>
      </c>
      <c r="AA23">
        <f>((SUMIF('Cost Breakdowns'!$D$149:$D$157,"ISIC 30",'Cost Breakdowns'!$B$149:$B$157)))*'Factors applied'!$E$328</f>
        <v/>
      </c>
      <c r="AB23">
        <f>((SUMIF('Cost Breakdowns'!$D$149:$D$157,"ISIC 30",'Cost Breakdowns'!$B$149:$B$157)))*'Factors applied'!$E$329</f>
        <v/>
      </c>
      <c r="AC23">
        <f>((SUMIF('Cost Breakdowns'!$D$149:$D$157,"ISIC 31T33",'Cost Breakdowns'!$B$149:$B$157)))</f>
        <v/>
      </c>
      <c r="AD23">
        <f>((SUMIF('Cost Breakdowns'!$D$149:$D$157,"ISIC 351",'Cost Breakdowns'!$B$149:$B$157)))</f>
        <v/>
      </c>
      <c r="AE23">
        <f>((SUMIF('Cost Breakdowns'!$D$149:$D$157,"ISIC 352T353",'Cost Breakdowns'!$B$149:$B$157)))</f>
        <v/>
      </c>
      <c r="AF23">
        <f>((SUMIF('Cost Breakdowns'!$D$149:$D$157,"ISIC 36T39",'Cost Breakdowns'!$B$149:$B$157)))</f>
        <v/>
      </c>
      <c r="AG23">
        <f>((SUMIF('Cost Breakdowns'!$D$149:$D$157,"ISIC 41T43",'Cost Breakdowns'!$B$149:$B$157)))</f>
        <v/>
      </c>
      <c r="AH23">
        <f>((SUMIF('Cost Breakdowns'!$D$149:$D$157,"ISIC 45T47",'Cost Breakdowns'!$B$149:$B$157)))</f>
        <v/>
      </c>
      <c r="AI23">
        <f>((SUMIF('Cost Breakdowns'!$D$149:$D$157,"ISIC 49T53",'Cost Breakdowns'!$B$149:$B$157)))*'Factors applied'!$E$330</f>
        <v/>
      </c>
      <c r="AJ23">
        <f>((SUMIF('Cost Breakdowns'!$D$149:$D$157,"ISIC 49T53",'Cost Breakdowns'!$B$149:$B$157)))*'Factors applied'!$E$331</f>
        <v/>
      </c>
      <c r="AK23">
        <f>((SUMIF('Cost Breakdowns'!$D$149:$D$157,"ISIC 49T53",'Cost Breakdowns'!$B$149:$B$157)))*'Factors applied'!$E$332</f>
        <v/>
      </c>
      <c r="AL23">
        <f>((SUMIF('Cost Breakdowns'!$D$149:$D$157,"ISIC 49T53",'Cost Breakdowns'!$B$149:$B$157)))*'Factors applied'!$E$333</f>
        <v/>
      </c>
      <c r="AM23">
        <f>((SUMIF('Cost Breakdowns'!$D$149:$D$157,"ISIC 49T53",'Cost Breakdowns'!$B$149:$B$157)))*'Factors applied'!$E$334</f>
        <v/>
      </c>
      <c r="AN23">
        <f>((SUMIF('Cost Breakdowns'!$D$149:$D$157,"ISIC 55T56",'Cost Breakdowns'!$B$149:$B$157)))</f>
        <v/>
      </c>
      <c r="AO23">
        <f>((SUMIF('Cost Breakdowns'!$D$149:$D$157,"ISIC 58T60",'Cost Breakdowns'!$B$149:$B$157)))</f>
        <v/>
      </c>
      <c r="AP23">
        <f>((SUMIF('Cost Breakdowns'!$D$149:$D$157,"ISIC 61",'Cost Breakdowns'!$B$149:$B$157)))</f>
        <v/>
      </c>
      <c r="AQ23">
        <f>((SUMIF('Cost Breakdowns'!$D$149:$D$157,"ISIC 62T63",'Cost Breakdowns'!$B$149:$B$157)))</f>
        <v/>
      </c>
      <c r="AR23">
        <f>((SUMIF('Cost Breakdowns'!$D$149:$D$157,"ISIC 64T66",'Cost Breakdowns'!$B$149:$B$157)))</f>
        <v/>
      </c>
      <c r="AS23">
        <f>((SUMIF('Cost Breakdowns'!$D$149:$D$157,"ISIC 68",'Cost Breakdowns'!$B$149:$B$157)))</f>
        <v/>
      </c>
      <c r="AT23">
        <f>((SUMIF('Cost Breakdowns'!$D$149:$D$157,"ISIC 69T82",'Cost Breakdowns'!$B$149:$B$157)))*'Factors applied'!$E$335</f>
        <v/>
      </c>
      <c r="AU23">
        <f>((SUMIF('Cost Breakdowns'!$D$149:$D$157,"ISIC 69T82",'Cost Breakdowns'!$B$149:$B$157)))*'Factors applied'!$E$336</f>
        <v/>
      </c>
      <c r="AV23">
        <f>((SUMIF('Cost Breakdowns'!$D$149:$D$157,"ISIC 84",'Cost Breakdowns'!$B$149:$B$157)))</f>
        <v/>
      </c>
      <c r="AW23">
        <f>((SUMIF('Cost Breakdowns'!$D$149:$D$157,"ISIC 85",'Cost Breakdowns'!$B$149:$B$157)))</f>
        <v/>
      </c>
      <c r="AX23">
        <f>((SUMIF('Cost Breakdowns'!$D$149:$D$157,"ISIC 86T88",'Cost Breakdowns'!$B$149:$B$157)))</f>
        <v/>
      </c>
      <c r="AY23">
        <f>((SUMIF('Cost Breakdowns'!$D$149:$D$157,"ISIC 90T96",'Cost Breakdowns'!$B$149:$B$157)))*'Factors applied'!$E$337</f>
        <v/>
      </c>
      <c r="AZ23">
        <f>((SUMIF('Cost Breakdowns'!$D$149:$D$157,"ISIC 90T96",'Cost Breakdowns'!$B$149:$B$157)))*'Factors applied'!$E$338</f>
        <v/>
      </c>
      <c r="BA23">
        <f>((SUMIF('Cost Breakdowns'!$D$149:$D$157,"ISIC 97T98",'Cost Breakdowns'!$B$149:$B$157)))</f>
        <v/>
      </c>
    </row>
    <row r="24">
      <c r="A24" t="inlineStr">
        <is>
          <t>hydrogen combustion turbine</t>
        </is>
      </c>
      <c r="B24">
        <f>(((SUMIF('Cost Breakdowns'!$D$114:$D$131,"ISIC 01T03",'Cost Breakdowns'!$B$114:$B$131))))*'Factors applied'!$E$147</f>
        <v/>
      </c>
      <c r="C24">
        <f>(((SUMIF('Cost Breakdowns'!$D$114:$D$131,"ISIC 01T03",'Cost Breakdowns'!$B$114:$B$131))))*'Factors applied'!$E$148</f>
        <v/>
      </c>
      <c r="D24">
        <f>(((SUMIF('Cost Breakdowns'!$D$114:$D$131,"ISIC 01T03",'Cost Breakdowns'!$B$114:$B$131))))*'Factors applied'!$E$149</f>
        <v/>
      </c>
      <c r="E24">
        <f>(((SUMIF('Cost Breakdowns'!$D$114:$D$131,"ISIC 05",'Cost Breakdowns'!$B$114:$B$131))))</f>
        <v/>
      </c>
      <c r="F24">
        <f>(((SUMIF('Cost Breakdowns'!$D$114:$D$131,"ISIC 06",'Cost Breakdowns'!$B$114:$B$131))))</f>
        <v/>
      </c>
      <c r="G24">
        <f>(((SUMIF('Cost Breakdowns'!$D$114:$D$131,"ISIC 07T08",'Cost Breakdowns'!$B$114:$B$131))))*'Factors applied'!$E$150</f>
        <v/>
      </c>
      <c r="H24">
        <f>(((SUMIF('Cost Breakdowns'!$D$114:$D$131,"ISIC 07T08",'Cost Breakdowns'!$B$114:$B$131))))*'Factors applied'!$E$151</f>
        <v/>
      </c>
      <c r="I24">
        <f>(((SUMIF('Cost Breakdowns'!$D$114:$D$131,"ISIC 09",'Cost Breakdowns'!$B$114:$B$131))))</f>
        <v/>
      </c>
      <c r="J24">
        <f>(((SUMIF('Cost Breakdowns'!$D$114:$D$131,"ISIC 10T12",'Cost Breakdowns'!$B$114:$B$131))))</f>
        <v/>
      </c>
      <c r="K24">
        <f>(((SUMIF('Cost Breakdowns'!$D$114:$D$131,"ISIC 13T15",'Cost Breakdowns'!$B$114:$B$131))))</f>
        <v/>
      </c>
      <c r="L24">
        <f>(((SUMIF('Cost Breakdowns'!$D$114:$D$131,"ISIC 16",'Cost Breakdowns'!$B$114:$B$131))))</f>
        <v/>
      </c>
      <c r="M24">
        <f>(((SUMIF('Cost Breakdowns'!$D$114:$D$131,"ISIC 17T18",'Cost Breakdowns'!$B$114:$B$131))))</f>
        <v/>
      </c>
      <c r="N24">
        <f>(((SUMIF('Cost Breakdowns'!$D$114:$D$131,"ISIC 19",'Cost Breakdowns'!$B$114:$B$131))))</f>
        <v/>
      </c>
      <c r="O24">
        <f>(((SUMIF('Cost Breakdowns'!$D$114:$D$131,"ISIC 20",'Cost Breakdowns'!$B$114:$B$131))))</f>
        <v/>
      </c>
      <c r="P24">
        <f>(((SUMIF('Cost Breakdowns'!$D$114:$D$131,"ISIC 21",'Cost Breakdowns'!$B$114:$B$131))))</f>
        <v/>
      </c>
      <c r="Q24">
        <f>(((SUMIF('Cost Breakdowns'!$D$114:$D$131,"ISIC 22",'Cost Breakdowns'!$B$114:$B$131))))</f>
        <v/>
      </c>
      <c r="R24">
        <f>(((SUMIF('Cost Breakdowns'!$D$114:$D$131,"ISIC 231",'Cost Breakdowns'!$B$114:$B$131))))</f>
        <v/>
      </c>
      <c r="S24">
        <f>(((SUMIF('Cost Breakdowns'!$D$114:$D$131,"ISIC 239",'Cost Breakdowns'!$B$114:$B$131))))</f>
        <v/>
      </c>
      <c r="T24">
        <f>(((SUMIF('Cost Breakdowns'!$D$114:$D$131,"ISIC 241",'Cost Breakdowns'!$B$114:$B$131))))</f>
        <v/>
      </c>
      <c r="U24">
        <f>(((SUMIF('Cost Breakdowns'!$D$114:$D$131,"ISIC 242",'Cost Breakdowns'!$B$114:$B$131))))</f>
        <v/>
      </c>
      <c r="V24">
        <f>(((SUMIF('Cost Breakdowns'!$D$114:$D$131,"ISIC 25",'Cost Breakdowns'!$B$114:$B$131))))</f>
        <v/>
      </c>
      <c r="W24">
        <f>(((SUMIF('Cost Breakdowns'!$D$114:$D$131,"ISIC 26",'Cost Breakdowns'!$B$114:$B$131))))</f>
        <v/>
      </c>
      <c r="X24">
        <f>(((SUMIF('Cost Breakdowns'!$D$114:$D$131,"ISIC 27",'Cost Breakdowns'!$B$114:$B$131))))</f>
        <v/>
      </c>
      <c r="Y24">
        <f>(((SUMIF('Cost Breakdowns'!$D$114:$D$131,"ISIC 28",'Cost Breakdowns'!$B$114:$B$131))))</f>
        <v/>
      </c>
      <c r="Z24">
        <f>(((SUMIF('Cost Breakdowns'!$D$114:$D$131,"ISIC 29",'Cost Breakdowns'!$B$114:$B$131))))</f>
        <v/>
      </c>
      <c r="AA24">
        <f>(((SUMIF('Cost Breakdowns'!$D$114:$D$131,"ISIC 30",'Cost Breakdowns'!$B$114:$B$131))))*'Factors applied'!$E$152</f>
        <v/>
      </c>
      <c r="AB24">
        <f>(((SUMIF('Cost Breakdowns'!$D$114:$D$131,"ISIC 30",'Cost Breakdowns'!$B$114:$B$131))))*'Factors applied'!$E$153</f>
        <v/>
      </c>
      <c r="AC24">
        <f>(((SUMIF('Cost Breakdowns'!$D$114:$D$131,"ISIC 31T33",'Cost Breakdowns'!$B$114:$B$131))))</f>
        <v/>
      </c>
      <c r="AD24">
        <f>(((SUMIF('Cost Breakdowns'!$D$114:$D$131,"ISIC 351",'Cost Breakdowns'!$B$114:$B$131))))</f>
        <v/>
      </c>
      <c r="AE24">
        <f>(((SUMIF('Cost Breakdowns'!$D$114:$D$131,"ISIC 352T353",'Cost Breakdowns'!$B$114:$B$131))))</f>
        <v/>
      </c>
      <c r="AF24">
        <f>(((SUMIF('Cost Breakdowns'!$D$114:$D$131,"ISIC 36T39",'Cost Breakdowns'!$B$114:$B$131))))</f>
        <v/>
      </c>
      <c r="AG24">
        <f>(((SUMIF('Cost Breakdowns'!$D$114:$D$131,"ISIC 41T43",'Cost Breakdowns'!$B$114:$B$131))))</f>
        <v/>
      </c>
      <c r="AH24">
        <f>(((SUMIF('Cost Breakdowns'!$D$114:$D$131,"ISIC 45T47",'Cost Breakdowns'!$B$114:$B$131))))</f>
        <v/>
      </c>
      <c r="AI24">
        <f>(((SUMIF('Cost Breakdowns'!$D$114:$D$131,"ISIC 49T53",'Cost Breakdowns'!$B$114:$B$131))))*'Factors applied'!$E$154</f>
        <v/>
      </c>
      <c r="AJ24">
        <f>(((SUMIF('Cost Breakdowns'!$D$114:$D$131,"ISIC 49T53",'Cost Breakdowns'!$B$114:$B$131))))*'Factors applied'!$E$155</f>
        <v/>
      </c>
      <c r="AK24">
        <f>(((SUMIF('Cost Breakdowns'!$D$114:$D$131,"ISIC 49T53",'Cost Breakdowns'!$B$114:$B$131))))*'Factors applied'!$E$156</f>
        <v/>
      </c>
      <c r="AL24">
        <f>(((SUMIF('Cost Breakdowns'!$D$114:$D$131,"ISIC 49T53",'Cost Breakdowns'!$B$114:$B$131))))*'Factors applied'!$E$157</f>
        <v/>
      </c>
      <c r="AM24">
        <f>(((SUMIF('Cost Breakdowns'!$D$114:$D$131,"ISIC 49T53",'Cost Breakdowns'!$B$114:$B$131))))*'Factors applied'!$E$158</f>
        <v/>
      </c>
      <c r="AN24">
        <f>(((SUMIF('Cost Breakdowns'!$D$114:$D$131,"ISIC 55T56",'Cost Breakdowns'!$B$114:$B$131))))</f>
        <v/>
      </c>
      <c r="AO24">
        <f>(((SUMIF('Cost Breakdowns'!$D$114:$D$131,"ISIC 58T60",'Cost Breakdowns'!$B$114:$B$131))))</f>
        <v/>
      </c>
      <c r="AP24">
        <f>(((SUMIF('Cost Breakdowns'!$D$114:$D$131,"ISIC 61",'Cost Breakdowns'!$B$114:$B$131))))</f>
        <v/>
      </c>
      <c r="AQ24">
        <f>(((SUMIF('Cost Breakdowns'!$D$114:$D$131,"ISIC 62T63",'Cost Breakdowns'!$B$114:$B$131))))</f>
        <v/>
      </c>
      <c r="AR24">
        <f>(((SUMIF('Cost Breakdowns'!$D$114:$D$131,"ISIC 64T66",'Cost Breakdowns'!$B$114:$B$131))))</f>
        <v/>
      </c>
      <c r="AS24">
        <f>(((SUMIF('Cost Breakdowns'!$D$114:$D$131,"ISIC 68",'Cost Breakdowns'!$B$114:$B$131))))</f>
        <v/>
      </c>
      <c r="AT24">
        <f>(((SUMIF('Cost Breakdowns'!$D$114:$D$131,"ISIC 69T82",'Cost Breakdowns'!$B$114:$B$131))))*'Factors applied'!$E$159</f>
        <v/>
      </c>
      <c r="AU24">
        <f>(((SUMIF('Cost Breakdowns'!$D$114:$D$131,"ISIC 69T82",'Cost Breakdowns'!$B$114:$B$131))))*'Factors applied'!$E$160</f>
        <v/>
      </c>
      <c r="AV24">
        <f>(((SUMIF('Cost Breakdowns'!$D$114:$D$131,"ISIC 84",'Cost Breakdowns'!$B$114:$B$131))))</f>
        <v/>
      </c>
      <c r="AW24">
        <f>(((SUMIF('Cost Breakdowns'!$D$114:$D$131,"ISIC 85",'Cost Breakdowns'!$B$114:$B$131))))</f>
        <v/>
      </c>
      <c r="AX24">
        <f>(((SUMIF('Cost Breakdowns'!$D$114:$D$131,"ISIC 86T88",'Cost Breakdowns'!$B$114:$B$131))))</f>
        <v/>
      </c>
      <c r="AY24">
        <f>(((SUMIF('Cost Breakdowns'!$D$114:$D$131,"ISIC 90T96",'Cost Breakdowns'!$B$114:$B$131))))*'Factors applied'!$E$161</f>
        <v/>
      </c>
      <c r="AZ24">
        <f>(((SUMIF('Cost Breakdowns'!$D$114:$D$131,"ISIC 90T96",'Cost Breakdowns'!$B$114:$B$131))))*'Factors applied'!$E$162</f>
        <v/>
      </c>
      <c r="BA24">
        <f>(((SUMIF('Cost Breakdowns'!$D$114:$D$131,"ISIC 97T98",'Cost Breakdowns'!$B$114:$B$131))))</f>
        <v/>
      </c>
    </row>
    <row r="25">
      <c r="A25" t="inlineStr">
        <is>
          <t>hydrogen combined cycle</t>
        </is>
      </c>
      <c r="B25">
        <f>(((SUMIF('Cost Breakdowns'!$D$114:$D$131,"ISIC 01T03",'Cost Breakdowns'!$B$114:$B$131))))*'Factors applied'!$E$131</f>
        <v/>
      </c>
      <c r="C25">
        <f>(((SUMIF('Cost Breakdowns'!$D$114:$D$131,"ISIC 01T03",'Cost Breakdowns'!$B$114:$B$131))))*'Factors applied'!$E$132</f>
        <v/>
      </c>
      <c r="D25">
        <f>(((SUMIF('Cost Breakdowns'!$D$114:$D$131,"ISIC 01T03",'Cost Breakdowns'!$B$114:$B$131))))*'Factors applied'!$E$133</f>
        <v/>
      </c>
      <c r="E25">
        <f>(((SUMIF('Cost Breakdowns'!$D$114:$D$131,"ISIC 05",'Cost Breakdowns'!$B$114:$B$131))))</f>
        <v/>
      </c>
      <c r="F25">
        <f>(((SUMIF('Cost Breakdowns'!$D$114:$D$131,"ISIC 06",'Cost Breakdowns'!$B$114:$B$131))))</f>
        <v/>
      </c>
      <c r="G25">
        <f>(((SUMIF('Cost Breakdowns'!$D$114:$D$131,"ISIC 07T08",'Cost Breakdowns'!$B$114:$B$131))))*'Factors applied'!$E$134</f>
        <v/>
      </c>
      <c r="H25">
        <f>(((SUMIF('Cost Breakdowns'!$D$114:$D$131,"ISIC 07T08",'Cost Breakdowns'!$B$114:$B$131))))*'Factors applied'!$E$135</f>
        <v/>
      </c>
      <c r="I25">
        <f>(((SUMIF('Cost Breakdowns'!$D$114:$D$131,"ISIC 09",'Cost Breakdowns'!$B$114:$B$131))))</f>
        <v/>
      </c>
      <c r="J25">
        <f>(((SUMIF('Cost Breakdowns'!$D$114:$D$131,"ISIC 10T12",'Cost Breakdowns'!$B$114:$B$131))))</f>
        <v/>
      </c>
      <c r="K25">
        <f>(((SUMIF('Cost Breakdowns'!$D$114:$D$131,"ISIC 13T15",'Cost Breakdowns'!$B$114:$B$131))))</f>
        <v/>
      </c>
      <c r="L25">
        <f>(((SUMIF('Cost Breakdowns'!$D$114:$D$131,"ISIC 16",'Cost Breakdowns'!$B$114:$B$131))))</f>
        <v/>
      </c>
      <c r="M25">
        <f>(((SUMIF('Cost Breakdowns'!$D$114:$D$131,"ISIC 17T18",'Cost Breakdowns'!$B$114:$B$131))))</f>
        <v/>
      </c>
      <c r="N25">
        <f>(((SUMIF('Cost Breakdowns'!$D$114:$D$131,"ISIC 19",'Cost Breakdowns'!$B$114:$B$131))))</f>
        <v/>
      </c>
      <c r="O25">
        <f>(((SUMIF('Cost Breakdowns'!$D$114:$D$131,"ISIC 20",'Cost Breakdowns'!$B$114:$B$131))))</f>
        <v/>
      </c>
      <c r="P25">
        <f>(((SUMIF('Cost Breakdowns'!$D$114:$D$131,"ISIC 21",'Cost Breakdowns'!$B$114:$B$131))))</f>
        <v/>
      </c>
      <c r="Q25">
        <f>(((SUMIF('Cost Breakdowns'!$D$114:$D$131,"ISIC 22",'Cost Breakdowns'!$B$114:$B$131))))</f>
        <v/>
      </c>
      <c r="R25">
        <f>(((SUMIF('Cost Breakdowns'!$D$114:$D$131,"ISIC 231",'Cost Breakdowns'!$B$114:$B$131))))</f>
        <v/>
      </c>
      <c r="S25">
        <f>(((SUMIF('Cost Breakdowns'!$D$114:$D$131,"ISIC 239",'Cost Breakdowns'!$B$114:$B$131))))</f>
        <v/>
      </c>
      <c r="T25">
        <f>(((SUMIF('Cost Breakdowns'!$D$114:$D$131,"ISIC 241",'Cost Breakdowns'!$B$114:$B$131))))</f>
        <v/>
      </c>
      <c r="U25">
        <f>(((SUMIF('Cost Breakdowns'!$D$114:$D$131,"ISIC 242",'Cost Breakdowns'!$B$114:$B$131))))</f>
        <v/>
      </c>
      <c r="V25">
        <f>(((SUMIF('Cost Breakdowns'!$D$114:$D$131,"ISIC 25",'Cost Breakdowns'!$B$114:$B$131))))</f>
        <v/>
      </c>
      <c r="W25">
        <f>(((SUMIF('Cost Breakdowns'!$D$114:$D$131,"ISIC 26",'Cost Breakdowns'!$B$114:$B$131))))</f>
        <v/>
      </c>
      <c r="X25">
        <f>(((SUMIF('Cost Breakdowns'!$D$114:$D$131,"ISIC 27",'Cost Breakdowns'!$B$114:$B$131))))</f>
        <v/>
      </c>
      <c r="Y25">
        <f>(((SUMIF('Cost Breakdowns'!$D$114:$D$131,"ISIC 28",'Cost Breakdowns'!$B$114:$B$131))))</f>
        <v/>
      </c>
      <c r="Z25">
        <f>(((SUMIF('Cost Breakdowns'!$D$114:$D$131,"ISIC 29",'Cost Breakdowns'!$B$114:$B$131))))</f>
        <v/>
      </c>
      <c r="AA25">
        <f>(((SUMIF('Cost Breakdowns'!$D$114:$D$131,"ISIC 30",'Cost Breakdowns'!$B$114:$B$131))))*'Factors applied'!$E$136</f>
        <v/>
      </c>
      <c r="AB25">
        <f>(((SUMIF('Cost Breakdowns'!$D$114:$D$131,"ISIC 30",'Cost Breakdowns'!$B$114:$B$131))))*'Factors applied'!$E$137</f>
        <v/>
      </c>
      <c r="AC25">
        <f>(((SUMIF('Cost Breakdowns'!$D$114:$D$131,"ISIC 31T33",'Cost Breakdowns'!$B$114:$B$131))))</f>
        <v/>
      </c>
      <c r="AD25">
        <f>(((SUMIF('Cost Breakdowns'!$D$114:$D$131,"ISIC 351",'Cost Breakdowns'!$B$114:$B$131))))</f>
        <v/>
      </c>
      <c r="AE25">
        <f>(((SUMIF('Cost Breakdowns'!$D$114:$D$131,"ISIC 352T353",'Cost Breakdowns'!$B$114:$B$131))))</f>
        <v/>
      </c>
      <c r="AF25">
        <f>(((SUMIF('Cost Breakdowns'!$D$114:$D$131,"ISIC 36T39",'Cost Breakdowns'!$B$114:$B$131))))</f>
        <v/>
      </c>
      <c r="AG25">
        <f>(((SUMIF('Cost Breakdowns'!$D$114:$D$131,"ISIC 41T43",'Cost Breakdowns'!$B$114:$B$131))))</f>
        <v/>
      </c>
      <c r="AH25">
        <f>(((SUMIF('Cost Breakdowns'!$D$114:$D$131,"ISIC 45T47",'Cost Breakdowns'!$B$114:$B$131))))</f>
        <v/>
      </c>
      <c r="AI25">
        <f>(((SUMIF('Cost Breakdowns'!$D$114:$D$131,"ISIC 49T53",'Cost Breakdowns'!$B$114:$B$131))))*'Factors applied'!$E$138</f>
        <v/>
      </c>
      <c r="AJ25">
        <f>(((SUMIF('Cost Breakdowns'!$D$114:$D$131,"ISIC 49T53",'Cost Breakdowns'!$B$114:$B$131))))*'Factors applied'!$E$139</f>
        <v/>
      </c>
      <c r="AK25">
        <f>(((SUMIF('Cost Breakdowns'!$D$114:$D$131,"ISIC 49T53",'Cost Breakdowns'!$B$114:$B$131))))*'Factors applied'!$E$140</f>
        <v/>
      </c>
      <c r="AL25">
        <f>(((SUMIF('Cost Breakdowns'!$D$114:$D$131,"ISIC 49T53",'Cost Breakdowns'!$B$114:$B$131))))*'Factors applied'!$E$141</f>
        <v/>
      </c>
      <c r="AM25">
        <f>(((SUMIF('Cost Breakdowns'!$D$114:$D$131,"ISIC 49T53",'Cost Breakdowns'!$B$114:$B$131))))*'Factors applied'!$E$142</f>
        <v/>
      </c>
      <c r="AN25">
        <f>(((SUMIF('Cost Breakdowns'!$D$114:$D$131,"ISIC 55T56",'Cost Breakdowns'!$B$114:$B$131))))</f>
        <v/>
      </c>
      <c r="AO25">
        <f>(((SUMIF('Cost Breakdowns'!$D$114:$D$131,"ISIC 58T60",'Cost Breakdowns'!$B$114:$B$131))))</f>
        <v/>
      </c>
      <c r="AP25">
        <f>(((SUMIF('Cost Breakdowns'!$D$114:$D$131,"ISIC 61",'Cost Breakdowns'!$B$114:$B$131))))</f>
        <v/>
      </c>
      <c r="AQ25">
        <f>(((SUMIF('Cost Breakdowns'!$D$114:$D$131,"ISIC 62T63",'Cost Breakdowns'!$B$114:$B$131))))</f>
        <v/>
      </c>
      <c r="AR25">
        <f>(((SUMIF('Cost Breakdowns'!$D$114:$D$131,"ISIC 64T66",'Cost Breakdowns'!$B$114:$B$131))))</f>
        <v/>
      </c>
      <c r="AS25">
        <f>(((SUMIF('Cost Breakdowns'!$D$114:$D$131,"ISIC 68",'Cost Breakdowns'!$B$114:$B$131))))</f>
        <v/>
      </c>
      <c r="AT25">
        <f>(((SUMIF('Cost Breakdowns'!$D$114:$D$131,"ISIC 69T82",'Cost Breakdowns'!$B$114:$B$131))))*'Factors applied'!$E$143</f>
        <v/>
      </c>
      <c r="AU25">
        <f>(((SUMIF('Cost Breakdowns'!$D$114:$D$131,"ISIC 69T82",'Cost Breakdowns'!$B$114:$B$131))))*'Factors applied'!$E$144</f>
        <v/>
      </c>
      <c r="AV25">
        <f>(((SUMIF('Cost Breakdowns'!$D$114:$D$131,"ISIC 84",'Cost Breakdowns'!$B$114:$B$131))))</f>
        <v/>
      </c>
      <c r="AW25">
        <f>(((SUMIF('Cost Breakdowns'!$D$114:$D$131,"ISIC 85",'Cost Breakdowns'!$B$114:$B$131))))</f>
        <v/>
      </c>
      <c r="AX25">
        <f>(((SUMIF('Cost Breakdowns'!$D$114:$D$131,"ISIC 86T88",'Cost Breakdowns'!$B$114:$B$131))))</f>
        <v/>
      </c>
      <c r="AY25">
        <f>(((SUMIF('Cost Breakdowns'!$D$114:$D$131,"ISIC 90T96",'Cost Breakdowns'!$B$114:$B$131))))*'Factors applied'!$E$145</f>
        <v/>
      </c>
      <c r="AZ25">
        <f>(((SUMIF('Cost Breakdowns'!$D$114:$D$131,"ISIC 90T96",'Cost Breakdowns'!$B$114:$B$131))))*'Factors applied'!$E$146</f>
        <v/>
      </c>
      <c r="BA25">
        <f>(((SUMIF('Cost Breakdowns'!$D$114:$D$131,"ISIC 97T98",'Cost Breakdowns'!$B$114:$B$131))))</f>
        <v/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BA25"/>
  <sheetViews>
    <sheetView topLeftCell="N1" workbookViewId="0">
      <selection activeCell="B25" sqref="B25:AQ25"/>
    </sheetView>
  </sheetViews>
  <sheetFormatPr baseColWidth="8" defaultRowHeight="14.5"/>
  <cols>
    <col width="27.453125" customWidth="1" min="1" max="1"/>
    <col width="10.54296875" bestFit="1" customWidth="1" min="2" max="2"/>
    <col width="9.7265625" bestFit="1" customWidth="1" min="3" max="3"/>
    <col width="9.7265625" customWidth="1" min="4" max="4"/>
    <col width="9.7265625" bestFit="1" customWidth="1" min="5" max="5"/>
    <col width="6.7265625" bestFit="1" customWidth="1" min="6" max="6"/>
    <col width="9.7265625" bestFit="1" customWidth="1" min="7" max="8"/>
    <col width="6.7265625" bestFit="1" customWidth="1" min="9" max="9"/>
    <col width="9.7265625" bestFit="1" customWidth="1" min="10" max="10"/>
    <col width="7.1796875" customWidth="1" min="11" max="11"/>
    <col width="9.7265625" bestFit="1" customWidth="1" min="12" max="12"/>
    <col width="8" customWidth="1" min="13" max="24"/>
    <col width="9.7265625" bestFit="1" customWidth="1" min="25" max="26"/>
    <col width="9.7265625" customWidth="1" min="27" max="28"/>
    <col width="9.7265625" bestFit="1" customWidth="1" min="29" max="33"/>
    <col width="6.7265625" bestFit="1" customWidth="1" min="34" max="34"/>
    <col width="9.7265625" bestFit="1" customWidth="1" min="35" max="36"/>
    <col width="6.7265625" bestFit="1" customWidth="1" min="37" max="37"/>
    <col width="9.7265625" bestFit="1" customWidth="1" min="38" max="38"/>
    <col width="7.1796875" customWidth="1" min="39" max="40"/>
    <col width="9.7265625" bestFit="1" customWidth="1" min="41" max="43"/>
  </cols>
  <sheetData>
    <row r="1">
      <c r="A1" s="145" t="inlineStr">
        <is>
          <t>Unit: dimensionless (share of costs)</t>
        </is>
      </c>
      <c r="B1" s="139" t="inlineStr">
        <is>
          <t>ISIC 01</t>
        </is>
      </c>
      <c r="C1" s="139" t="inlineStr">
        <is>
          <t>ISIC 02</t>
        </is>
      </c>
      <c r="D1" s="139" t="inlineStr">
        <is>
          <t>ISIC 03</t>
        </is>
      </c>
      <c r="E1" s="139" t="inlineStr">
        <is>
          <t>ISIC 05</t>
        </is>
      </c>
      <c r="F1" s="139" t="inlineStr">
        <is>
          <t>ISIC 06</t>
        </is>
      </c>
      <c r="G1" s="139" t="inlineStr">
        <is>
          <t>ISIC 07</t>
        </is>
      </c>
      <c r="H1" s="139" t="inlineStr">
        <is>
          <t>ISIC 08</t>
        </is>
      </c>
      <c r="I1" s="139" t="inlineStr">
        <is>
          <t>ISIC 09</t>
        </is>
      </c>
      <c r="J1" s="139" t="inlineStr">
        <is>
          <t>ISIC 10T12</t>
        </is>
      </c>
      <c r="K1" s="139" t="inlineStr">
        <is>
          <t>ISIC 13T15</t>
        </is>
      </c>
      <c r="L1" s="139" t="inlineStr">
        <is>
          <t>ISIC 16</t>
        </is>
      </c>
      <c r="M1" s="139" t="inlineStr">
        <is>
          <t>ISIC 17T18</t>
        </is>
      </c>
      <c r="N1" s="139" t="inlineStr">
        <is>
          <t>ISIC 19</t>
        </is>
      </c>
      <c r="O1" s="139" t="inlineStr">
        <is>
          <t>ISIC 20</t>
        </is>
      </c>
      <c r="P1" s="139" t="inlineStr">
        <is>
          <t>ISIC 21</t>
        </is>
      </c>
      <c r="Q1" s="139" t="inlineStr">
        <is>
          <t>ISIC 22</t>
        </is>
      </c>
      <c r="R1" s="139" t="inlineStr">
        <is>
          <t>ISIC 231</t>
        </is>
      </c>
      <c r="S1" s="139" t="inlineStr">
        <is>
          <t>ISIC 239</t>
        </is>
      </c>
      <c r="T1" s="139" t="inlineStr">
        <is>
          <t>ISIC 241</t>
        </is>
      </c>
      <c r="U1" s="139" t="inlineStr">
        <is>
          <t>ISIC 242</t>
        </is>
      </c>
      <c r="V1" s="139" t="inlineStr">
        <is>
          <t>ISIC 25</t>
        </is>
      </c>
      <c r="W1" s="139" t="inlineStr">
        <is>
          <t>ISIC 26</t>
        </is>
      </c>
      <c r="X1" s="139" t="inlineStr">
        <is>
          <t>ISIC 27</t>
        </is>
      </c>
      <c r="Y1" s="139" t="inlineStr">
        <is>
          <t>ISIC 28</t>
        </is>
      </c>
      <c r="Z1" s="139" t="inlineStr">
        <is>
          <t>ISIC 29</t>
        </is>
      </c>
      <c r="AA1" s="139" t="inlineStr">
        <is>
          <t>ISIC 301</t>
        </is>
      </c>
      <c r="AB1" s="139" t="inlineStr">
        <is>
          <t>ISIC 302T309</t>
        </is>
      </c>
      <c r="AC1" s="139" t="inlineStr">
        <is>
          <t>ISIC 31T33</t>
        </is>
      </c>
      <c r="AD1" s="139" t="inlineStr">
        <is>
          <t>ISIC 351</t>
        </is>
      </c>
      <c r="AE1" s="139" t="inlineStr">
        <is>
          <t>ISIC 352T353</t>
        </is>
      </c>
      <c r="AF1" s="139" t="inlineStr">
        <is>
          <t>ISIC 36T39</t>
        </is>
      </c>
      <c r="AG1" s="139" t="inlineStr">
        <is>
          <t>ISIC 41T43</t>
        </is>
      </c>
      <c r="AH1" s="139" t="inlineStr">
        <is>
          <t>ISIC 45T47</t>
        </is>
      </c>
      <c r="AI1" s="139" t="inlineStr">
        <is>
          <t>ISIC 49</t>
        </is>
      </c>
      <c r="AJ1" s="139" t="inlineStr">
        <is>
          <t>ISIC 50</t>
        </is>
      </c>
      <c r="AK1" s="139" t="inlineStr">
        <is>
          <t>ISIC 51</t>
        </is>
      </c>
      <c r="AL1" s="139" t="inlineStr">
        <is>
          <t>ISIC 52</t>
        </is>
      </c>
      <c r="AM1" s="139" t="inlineStr">
        <is>
          <t>ISIC 53</t>
        </is>
      </c>
      <c r="AN1" s="139" t="inlineStr">
        <is>
          <t>ISIC 55T56</t>
        </is>
      </c>
      <c r="AO1" s="139" t="inlineStr">
        <is>
          <t>ISIC 58T60</t>
        </is>
      </c>
      <c r="AP1" s="139" t="inlineStr">
        <is>
          <t>ISIC 61</t>
        </is>
      </c>
      <c r="AQ1" s="139" t="inlineStr">
        <is>
          <t>ISIC 62T63</t>
        </is>
      </c>
      <c r="AR1" s="139" t="inlineStr">
        <is>
          <t>ISIC 64T66</t>
        </is>
      </c>
      <c r="AS1" s="139" t="inlineStr">
        <is>
          <t>ISIC 68</t>
        </is>
      </c>
      <c r="AT1" s="139" t="inlineStr">
        <is>
          <t>ISIC 69T75</t>
        </is>
      </c>
      <c r="AU1" s="139" t="inlineStr">
        <is>
          <t>ISIC 77T82</t>
        </is>
      </c>
      <c r="AV1" s="139" t="inlineStr">
        <is>
          <t>ISIC 84</t>
        </is>
      </c>
      <c r="AW1" s="139" t="inlineStr">
        <is>
          <t>ISIC 85</t>
        </is>
      </c>
      <c r="AX1" s="139" t="inlineStr">
        <is>
          <t>ISIC 86T88</t>
        </is>
      </c>
      <c r="AY1" s="139" t="inlineStr">
        <is>
          <t>ISIC 90T93</t>
        </is>
      </c>
      <c r="AZ1" s="139" t="inlineStr">
        <is>
          <t>ISIC 94T96</t>
        </is>
      </c>
      <c r="BA1" s="139" t="inlineStr">
        <is>
          <t>ISIC 97T98</t>
        </is>
      </c>
    </row>
    <row r="2">
      <c r="A2" t="inlineStr">
        <is>
          <t>hard coal</t>
        </is>
      </c>
      <c r="B2">
        <f>(SUMIF('Cost Breakdowns'!$D$100:$D$102,"ISIC 01T03",'Cost Breakdowns'!$B$100:$B$102))*'Factors applied'!$E$451</f>
        <v/>
      </c>
      <c r="C2">
        <f>(SUMIF('Cost Breakdowns'!$D$100:$D$102,"ISIC 01T03",'Cost Breakdowns'!$B$100:$B$102))*'Factors applied'!$E$452</f>
        <v/>
      </c>
      <c r="D2">
        <f>(SUMIF('Cost Breakdowns'!$D$100:$D$102,"ISIC 01T03",'Cost Breakdowns'!$B$100:$B$102))*'Factors applied'!$E$453</f>
        <v/>
      </c>
      <c r="E2">
        <f>(SUMIF('Cost Breakdowns'!$D$100:$D$102,"ISIC 05",'Cost Breakdowns'!$B$100:$B$102))</f>
        <v/>
      </c>
      <c r="F2">
        <f>(SUMIF('Cost Breakdowns'!$D$100:$D$102,"ISIC 06",'Cost Breakdowns'!$B$100:$B$102))</f>
        <v/>
      </c>
      <c r="G2">
        <f>(SUMIF('Cost Breakdowns'!$D$100:$D$102,"ISIC 07T08",'Cost Breakdowns'!$B$100:$B$102))*'Factors applied'!$E$454</f>
        <v/>
      </c>
      <c r="H2">
        <f>(SUMIF('Cost Breakdowns'!$D$100:$D$102,"ISIC 07T08",'Cost Breakdowns'!$B$100:$B$102))*'Factors applied'!$E$455</f>
        <v/>
      </c>
      <c r="I2">
        <f>(SUMIF('Cost Breakdowns'!$D$100:$D$102,"ISIC 09",'Cost Breakdowns'!$B$100:$B$102))</f>
        <v/>
      </c>
      <c r="J2">
        <f>(SUMIF('Cost Breakdowns'!$D$100:$D$102,"ISIC 10T12",'Cost Breakdowns'!$B$100:$B$102))</f>
        <v/>
      </c>
      <c r="K2">
        <f>(SUMIF('Cost Breakdowns'!$D$100:$D$102,"ISIC 13T15",'Cost Breakdowns'!$B$100:$B$102))</f>
        <v/>
      </c>
      <c r="L2">
        <f>(SUMIF('Cost Breakdowns'!$D$100:$D$102,"ISIC 16",'Cost Breakdowns'!$B$100:$B$102))</f>
        <v/>
      </c>
      <c r="M2">
        <f>(SUMIF('Cost Breakdowns'!$D$100:$D$102,"ISIC 17T18",'Cost Breakdowns'!$B$100:$B$102))</f>
        <v/>
      </c>
      <c r="N2">
        <f>(SUMIF('Cost Breakdowns'!$D$100:$D$102,"ISIC 19",'Cost Breakdowns'!$B$100:$B$102))</f>
        <v/>
      </c>
      <c r="O2">
        <f>(SUMIF('Cost Breakdowns'!$D$100:$D$102,"ISIC 20",'Cost Breakdowns'!$B$100:$B$102))</f>
        <v/>
      </c>
      <c r="P2">
        <f>(SUMIF('Cost Breakdowns'!$D$100:$D$102,"ISIC 21",'Cost Breakdowns'!$B$100:$B$102))</f>
        <v/>
      </c>
      <c r="Q2">
        <f>(SUMIF('Cost Breakdowns'!$D$100:$D$102,"ISIC 22",'Cost Breakdowns'!$B$100:$B$102))</f>
        <v/>
      </c>
      <c r="R2">
        <f>(SUMIF('Cost Breakdowns'!$D$100:$D$102,"ISIC 231",'Cost Breakdowns'!$B$100:$B$102))</f>
        <v/>
      </c>
      <c r="S2">
        <f>(SUMIF('Cost Breakdowns'!$D$100:$D$102,"ISIC 239",'Cost Breakdowns'!$B$100:$B$102))</f>
        <v/>
      </c>
      <c r="T2">
        <f>(SUMIF('Cost Breakdowns'!$D$100:$D$102,"ISIC 241",'Cost Breakdowns'!$B$100:$B$102))</f>
        <v/>
      </c>
      <c r="U2">
        <f>(SUMIF('Cost Breakdowns'!$D$100:$D$102,"ISIC 242",'Cost Breakdowns'!$B$100:$B$102))</f>
        <v/>
      </c>
      <c r="V2">
        <f>(SUMIF('Cost Breakdowns'!$D$100:$D$102,"ISIC 25",'Cost Breakdowns'!$B$100:$B$102))</f>
        <v/>
      </c>
      <c r="W2">
        <f>(SUMIF('Cost Breakdowns'!$D$100:$D$102,"ISIC 26",'Cost Breakdowns'!$B$100:$B$102))</f>
        <v/>
      </c>
      <c r="X2">
        <f>(SUMIF('Cost Breakdowns'!$D$100:$D$102,"ISIC 27",'Cost Breakdowns'!$B$100:$B$102))</f>
        <v/>
      </c>
      <c r="Y2">
        <f>(SUMIF('Cost Breakdowns'!$D$100:$D$102,"ISIC 28",'Cost Breakdowns'!$B$100:$B$102))</f>
        <v/>
      </c>
      <c r="Z2">
        <f>(SUMIF('Cost Breakdowns'!$D$100:$D$102,"ISIC 29",'Cost Breakdowns'!$B$100:$B$102))</f>
        <v/>
      </c>
      <c r="AA2">
        <f>(SUMIF('Cost Breakdowns'!$D$100:$D$102,"ISIC 30",'Cost Breakdowns'!$B$100:$B$102))*'Factors applied'!$E$456</f>
        <v/>
      </c>
      <c r="AB2">
        <f>(SUMIF('Cost Breakdowns'!$D$100:$D$102,"ISIC 30",'Cost Breakdowns'!$B$100:$B$102))*'Factors applied'!$E$457</f>
        <v/>
      </c>
      <c r="AC2">
        <f>(SUMIF('Cost Breakdowns'!$D$100:$D$102,"ISIC 31T33",'Cost Breakdowns'!$B$100:$B$102))</f>
        <v/>
      </c>
      <c r="AD2">
        <f>(SUMIF('Cost Breakdowns'!$D$100:$D$102,"ISIC 351",'Cost Breakdowns'!$B$100:$B$102))</f>
        <v/>
      </c>
      <c r="AE2">
        <f>(SUMIF('Cost Breakdowns'!$D$100:$D$102,"ISIC 352T353",'Cost Breakdowns'!$B$100:$B$102))</f>
        <v/>
      </c>
      <c r="AF2">
        <f>(SUMIF('Cost Breakdowns'!$D$100:$D$102,"ISIC 36T39",'Cost Breakdowns'!$B$100:$B$102))</f>
        <v/>
      </c>
      <c r="AG2">
        <f>(SUMIF('Cost Breakdowns'!$D$100:$D$102,"ISIC 41T43",'Cost Breakdowns'!$B$100:$B$102))</f>
        <v/>
      </c>
      <c r="AH2">
        <f>(SUMIF('Cost Breakdowns'!$D$100:$D$102,"ISIC 45T47",'Cost Breakdowns'!$B$100:$B$102))</f>
        <v/>
      </c>
      <c r="AI2">
        <f>(SUMIF('Cost Breakdowns'!$D$100:$D$102,"ISIC 49T53",'Cost Breakdowns'!$B$100:$B$102))*'Factors applied'!$E$458</f>
        <v/>
      </c>
      <c r="AJ2">
        <f>(SUMIF('Cost Breakdowns'!$D$100:$D$102,"ISIC 49T53",'Cost Breakdowns'!$B$100:$B$102))*'Factors applied'!$E$459</f>
        <v/>
      </c>
      <c r="AK2">
        <f>(SUMIF('Cost Breakdowns'!$D$100:$D$102,"ISIC 49T53",'Cost Breakdowns'!$B$100:$B$102))*'Factors applied'!$E$460</f>
        <v/>
      </c>
      <c r="AL2">
        <f>(SUMIF('Cost Breakdowns'!$D$100:$D$102,"ISIC 49T53",'Cost Breakdowns'!$B$100:$B$102))*'Factors applied'!$E$461</f>
        <v/>
      </c>
      <c r="AM2">
        <f>(SUMIF('Cost Breakdowns'!$D$100:$D$102,"ISIC 49T53",'Cost Breakdowns'!$B$100:$B$102))*'Factors applied'!$E$462</f>
        <v/>
      </c>
      <c r="AN2">
        <f>(SUMIF('Cost Breakdowns'!$D$100:$D$102,"ISIC 55T56",'Cost Breakdowns'!$B$100:$B$102))</f>
        <v/>
      </c>
      <c r="AO2">
        <f>(SUMIF('Cost Breakdowns'!$D$100:$D$102,"ISIC 58T60",'Cost Breakdowns'!$B$100:$B$102))</f>
        <v/>
      </c>
      <c r="AP2">
        <f>(SUMIF('Cost Breakdowns'!$D$100:$D$102,"ISIC 61",'Cost Breakdowns'!$B$100:$B$102))</f>
        <v/>
      </c>
      <c r="AQ2">
        <f>(SUMIF('Cost Breakdowns'!$D$100:$D$102,"ISIC 62T63",'Cost Breakdowns'!$B$100:$B$102))</f>
        <v/>
      </c>
      <c r="AR2">
        <f>(SUMIF('Cost Breakdowns'!$D$100:$D$102,"ISIC 64T66",'Cost Breakdowns'!$B$100:$B$102))</f>
        <v/>
      </c>
      <c r="AS2">
        <f>(SUMIF('Cost Breakdowns'!$D$100:$D$102,"ISIC 68",'Cost Breakdowns'!$B$100:$B$102))</f>
        <v/>
      </c>
      <c r="AT2">
        <f>(SUMIF('Cost Breakdowns'!$D$100:$D$102,"ISIC 69T82",'Cost Breakdowns'!$B$100:$B$102))*'Factors applied'!$E$463</f>
        <v/>
      </c>
      <c r="AU2">
        <f>(SUMIF('Cost Breakdowns'!$D$100:$D$102,"ISIC 69T82",'Cost Breakdowns'!$B$100:$B$102))*'Factors applied'!$E$464</f>
        <v/>
      </c>
      <c r="AV2">
        <f>(SUMIF('Cost Breakdowns'!$D$100:$D$102,"ISIC 84",'Cost Breakdowns'!$B$100:$B$102))</f>
        <v/>
      </c>
      <c r="AW2">
        <f>(SUMIF('Cost Breakdowns'!$D$100:$D$102,"ISIC 85",'Cost Breakdowns'!$B$100:$B$102))</f>
        <v/>
      </c>
      <c r="AX2">
        <f>(SUMIF('Cost Breakdowns'!$D$100:$D$102,"ISIC 86T88",'Cost Breakdowns'!$B$100:$B$102))</f>
        <v/>
      </c>
      <c r="AY2">
        <f>(SUMIF('Cost Breakdowns'!$D$100:$D$102,"ISIC 90T96",'Cost Breakdowns'!$B$100:$B$102))*'Factors applied'!$E$465</f>
        <v/>
      </c>
      <c r="AZ2">
        <f>(SUMIF('Cost Breakdowns'!$D$100:$D$102,"ISIC 90T96",'Cost Breakdowns'!$B$100:$B$102))*'Factors applied'!$E$466</f>
        <v/>
      </c>
      <c r="BA2">
        <f>(SUMIF('Cost Breakdowns'!$D$100:$D$102,"ISIC 97T98",'Cost Breakdowns'!$B$100:$B$102))</f>
        <v/>
      </c>
    </row>
    <row r="3">
      <c r="A3" t="inlineStr">
        <is>
          <t>natural gas steam turbine</t>
        </is>
      </c>
      <c r="B3">
        <f>(SUMIF('Cost Breakdowns'!$D$135:$D$137,"ISIC 01T03",'Cost Breakdowns'!$B$135:$B$137))*'Factors applied'!$E$643</f>
        <v/>
      </c>
      <c r="C3">
        <f>(SUMIF('Cost Breakdowns'!$D$135:$D$137,"ISIC 01T03",'Cost Breakdowns'!$B$135:$B$137))*'Factors applied'!$E$644</f>
        <v/>
      </c>
      <c r="D3">
        <f>(SUMIF('Cost Breakdowns'!$D$135:$D$137,"ISIC 01T03",'Cost Breakdowns'!$B$135:$B$137))*'Factors applied'!$E$645</f>
        <v/>
      </c>
      <c r="E3">
        <f>(SUMIF('Cost Breakdowns'!$D$135:$D$137,"ISIC 05",'Cost Breakdowns'!$B$135:$B$137))</f>
        <v/>
      </c>
      <c r="F3">
        <f>(SUMIF('Cost Breakdowns'!$D$135:$D$137,"ISIC 06",'Cost Breakdowns'!$B$135:$B$137))</f>
        <v/>
      </c>
      <c r="G3">
        <f>(SUMIF('Cost Breakdowns'!$D$135:$D$137,"ISIC 07T08",'Cost Breakdowns'!$B$135:$B$137))*'Factors applied'!$E$646</f>
        <v/>
      </c>
      <c r="H3">
        <f>(SUMIF('Cost Breakdowns'!$D$135:$D$137,"ISIC 07T08",'Cost Breakdowns'!$B$135:$B$137))*'Factors applied'!$E$647</f>
        <v/>
      </c>
      <c r="I3">
        <f>(SUMIF('Cost Breakdowns'!$D$135:$D$137,"ISIC 09",'Cost Breakdowns'!$B$135:$B$137))</f>
        <v/>
      </c>
      <c r="J3">
        <f>(SUMIF('Cost Breakdowns'!$D$135:$D$137,"ISIC 10T12",'Cost Breakdowns'!$B$135:$B$137))</f>
        <v/>
      </c>
      <c r="K3">
        <f>(SUMIF('Cost Breakdowns'!$D$135:$D$137,"ISIC 13T15",'Cost Breakdowns'!$B$135:$B$137))</f>
        <v/>
      </c>
      <c r="L3">
        <f>(SUMIF('Cost Breakdowns'!$D$135:$D$137,"ISIC 16",'Cost Breakdowns'!$B$135:$B$137))</f>
        <v/>
      </c>
      <c r="M3">
        <f>(SUMIF('Cost Breakdowns'!$D$135:$D$137,"ISIC 17T18",'Cost Breakdowns'!$B$135:$B$137))</f>
        <v/>
      </c>
      <c r="N3">
        <f>(SUMIF('Cost Breakdowns'!$D$135:$D$137,"ISIC 19",'Cost Breakdowns'!$B$135:$B$137))</f>
        <v/>
      </c>
      <c r="O3">
        <f>(SUMIF('Cost Breakdowns'!$D$135:$D$137,"ISIC 20",'Cost Breakdowns'!$B$135:$B$137))</f>
        <v/>
      </c>
      <c r="P3">
        <f>(SUMIF('Cost Breakdowns'!$D$135:$D$137,"ISIC 21",'Cost Breakdowns'!$B$135:$B$137))</f>
        <v/>
      </c>
      <c r="Q3">
        <f>(SUMIF('Cost Breakdowns'!$D$135:$D$137,"ISIC 22",'Cost Breakdowns'!$B$135:$B$137))</f>
        <v/>
      </c>
      <c r="R3">
        <f>(SUMIF('Cost Breakdowns'!$D$135:$D$137,"ISIC 231",'Cost Breakdowns'!$B$135:$B$137))</f>
        <v/>
      </c>
      <c r="S3">
        <f>(SUMIF('Cost Breakdowns'!$D$135:$D$137,"ISIC 239",'Cost Breakdowns'!$B$135:$B$137))</f>
        <v/>
      </c>
      <c r="T3">
        <f>(SUMIF('Cost Breakdowns'!$D$135:$D$137,"ISIC 241",'Cost Breakdowns'!$B$135:$B$137))</f>
        <v/>
      </c>
      <c r="U3">
        <f>(SUMIF('Cost Breakdowns'!$D$135:$D$137,"ISIC 242",'Cost Breakdowns'!$B$135:$B$137))</f>
        <v/>
      </c>
      <c r="V3">
        <f>(SUMIF('Cost Breakdowns'!$D$135:$D$137,"ISIC 25",'Cost Breakdowns'!$B$135:$B$137))</f>
        <v/>
      </c>
      <c r="W3">
        <f>(SUMIF('Cost Breakdowns'!$D$135:$D$137,"ISIC 26",'Cost Breakdowns'!$B$135:$B$137))</f>
        <v/>
      </c>
      <c r="X3">
        <f>(SUMIF('Cost Breakdowns'!$D$135:$D$137,"ISIC 27",'Cost Breakdowns'!$B$135:$B$137))</f>
        <v/>
      </c>
      <c r="Y3">
        <f>(SUMIF('Cost Breakdowns'!$D$135:$D$137,"ISIC 28",'Cost Breakdowns'!$B$135:$B$137))</f>
        <v/>
      </c>
      <c r="Z3">
        <f>(SUMIF('Cost Breakdowns'!$D$135:$D$137,"ISIC 29",'Cost Breakdowns'!$B$135:$B$137))</f>
        <v/>
      </c>
      <c r="AA3">
        <f>(SUMIF('Cost Breakdowns'!$D$135:$D$137,"ISIC 30",'Cost Breakdowns'!$B$135:$B$137))*'Factors applied'!$E$648</f>
        <v/>
      </c>
      <c r="AB3">
        <f>(SUMIF('Cost Breakdowns'!$D$135:$D$137,"ISIC 30",'Cost Breakdowns'!$B$135:$B$137))*'Factors applied'!$E$649</f>
        <v/>
      </c>
      <c r="AC3">
        <f>(SUMIF('Cost Breakdowns'!$D$135:$D$137,"ISIC 31T33",'Cost Breakdowns'!$B$135:$B$137))</f>
        <v/>
      </c>
      <c r="AD3">
        <f>(SUMIF('Cost Breakdowns'!$D$135:$D$137,"ISIC 351",'Cost Breakdowns'!$B$135:$B$137))</f>
        <v/>
      </c>
      <c r="AE3">
        <f>(SUMIF('Cost Breakdowns'!$D$135:$D$137,"ISIC 352T353",'Cost Breakdowns'!$B$135:$B$137))</f>
        <v/>
      </c>
      <c r="AF3">
        <f>(SUMIF('Cost Breakdowns'!$D$135:$D$137,"ISIC 36T39",'Cost Breakdowns'!$B$135:$B$137))</f>
        <v/>
      </c>
      <c r="AG3">
        <f>(SUMIF('Cost Breakdowns'!$D$135:$D$137,"ISIC 41T43",'Cost Breakdowns'!$B$135:$B$137))</f>
        <v/>
      </c>
      <c r="AH3">
        <f>(SUMIF('Cost Breakdowns'!$D$135:$D$137,"ISIC 45T47",'Cost Breakdowns'!$B$135:$B$137))</f>
        <v/>
      </c>
      <c r="AI3">
        <f>(SUMIF('Cost Breakdowns'!$D$135:$D$137,"ISIC 49T53",'Cost Breakdowns'!$B$135:$B$137))*'Factors applied'!$E$650</f>
        <v/>
      </c>
      <c r="AJ3">
        <f>(SUMIF('Cost Breakdowns'!$D$135:$D$137,"ISIC 49T53",'Cost Breakdowns'!$B$135:$B$137))*'Factors applied'!$E$651</f>
        <v/>
      </c>
      <c r="AK3">
        <f>(SUMIF('Cost Breakdowns'!$D$135:$D$137,"ISIC 49T53",'Cost Breakdowns'!$B$135:$B$137))*'Factors applied'!$E$652</f>
        <v/>
      </c>
      <c r="AL3">
        <f>(SUMIF('Cost Breakdowns'!$D$135:$D$137,"ISIC 49T53",'Cost Breakdowns'!$B$135:$B$137))*'Factors applied'!$E$653</f>
        <v/>
      </c>
      <c r="AM3">
        <f>(SUMIF('Cost Breakdowns'!$D$135:$D$137,"ISIC 49T53",'Cost Breakdowns'!$B$135:$B$137))*'Factors applied'!$E$654</f>
        <v/>
      </c>
      <c r="AN3">
        <f>(SUMIF('Cost Breakdowns'!$D$135:$D$137,"ISIC 55T56",'Cost Breakdowns'!$B$135:$B$137))</f>
        <v/>
      </c>
      <c r="AO3">
        <f>(SUMIF('Cost Breakdowns'!$D$135:$D$137,"ISIC 58T60",'Cost Breakdowns'!$B$135:$B$137))</f>
        <v/>
      </c>
      <c r="AP3">
        <f>(SUMIF('Cost Breakdowns'!$D$135:$D$137,"ISIC 61",'Cost Breakdowns'!$B$135:$B$137))</f>
        <v/>
      </c>
      <c r="AQ3">
        <f>(SUMIF('Cost Breakdowns'!$D$135:$D$137,"ISIC 62T63",'Cost Breakdowns'!$B$135:$B$137))</f>
        <v/>
      </c>
      <c r="AR3">
        <f>(SUMIF('Cost Breakdowns'!$D$135:$D$137,"ISIC 64T66",'Cost Breakdowns'!$B$135:$B$137))</f>
        <v/>
      </c>
      <c r="AS3">
        <f>(SUMIF('Cost Breakdowns'!$D$135:$D$137,"ISIC 68",'Cost Breakdowns'!$B$135:$B$137))</f>
        <v/>
      </c>
      <c r="AT3">
        <f>(SUMIF('Cost Breakdowns'!$D$135:$D$137,"ISIC 69T82",'Cost Breakdowns'!$B$135:$B$137))*'Factors applied'!$E$655</f>
        <v/>
      </c>
      <c r="AU3">
        <f>(SUMIF('Cost Breakdowns'!$D$135:$D$137,"ISIC 69T82",'Cost Breakdowns'!$B$135:$B$137))*'Factors applied'!$E$656</f>
        <v/>
      </c>
      <c r="AV3">
        <f>(SUMIF('Cost Breakdowns'!$D$135:$D$137,"ISIC 84",'Cost Breakdowns'!$B$135:$B$137))</f>
        <v/>
      </c>
      <c r="AW3">
        <f>(SUMIF('Cost Breakdowns'!$D$135:$D$137,"ISIC 85",'Cost Breakdowns'!$B$135:$B$137))</f>
        <v/>
      </c>
      <c r="AX3">
        <f>(SUMIF('Cost Breakdowns'!$D$135:$D$137,"ISIC 86T88",'Cost Breakdowns'!$B$135:$B$137))</f>
        <v/>
      </c>
      <c r="AY3">
        <f>(SUMIF('Cost Breakdowns'!$D$135:$D$137,"ISIC 90T96",'Cost Breakdowns'!$B$135:$B$137))*'Factors applied'!$E$657</f>
        <v/>
      </c>
      <c r="AZ3">
        <f>(SUMIF('Cost Breakdowns'!$D$135:$D$137,"ISIC 90T96",'Cost Breakdowns'!$B$135:$B$137))*'Factors applied'!$E$658</f>
        <v/>
      </c>
      <c r="BA3">
        <f>(SUMIF('Cost Breakdowns'!$D$135:$D$137,"ISIC 97T98",'Cost Breakdowns'!$B$135:$B$137))</f>
        <v/>
      </c>
    </row>
    <row r="4">
      <c r="A4" t="inlineStr">
        <is>
          <t>natural gas combined cycle</t>
        </is>
      </c>
      <c r="B4">
        <f>((SUMIF('Cost Breakdowns'!$D$135:$D$137,"ISIC 01T03",'Cost Breakdowns'!$B$135:$B$137)))*'Factors applied'!$E$595</f>
        <v/>
      </c>
      <c r="C4">
        <f>((SUMIF('Cost Breakdowns'!$D$135:$D$137,"ISIC 01T03",'Cost Breakdowns'!$B$135:$B$137)))*'Factors applied'!$E$596</f>
        <v/>
      </c>
      <c r="D4">
        <f>((SUMIF('Cost Breakdowns'!$D$135:$D$137,"ISIC 01T03",'Cost Breakdowns'!$B$135:$B$137)))*'Factors applied'!$E$597</f>
        <v/>
      </c>
      <c r="E4">
        <f>((SUMIF('Cost Breakdowns'!$D$135:$D$137,"ISIC 05",'Cost Breakdowns'!$B$135:$B$137)))</f>
        <v/>
      </c>
      <c r="F4">
        <f>((SUMIF('Cost Breakdowns'!$D$135:$D$137,"ISIC 06",'Cost Breakdowns'!$B$135:$B$137)))</f>
        <v/>
      </c>
      <c r="G4">
        <f>((SUMIF('Cost Breakdowns'!$D$135:$D$137,"ISIC 07T08",'Cost Breakdowns'!$B$135:$B$137)))*'Factors applied'!$E$598</f>
        <v/>
      </c>
      <c r="H4">
        <f>((SUMIF('Cost Breakdowns'!$D$135:$D$137,"ISIC 07T08",'Cost Breakdowns'!$B$135:$B$137)))*'Factors applied'!$E$599</f>
        <v/>
      </c>
      <c r="I4">
        <f>((SUMIF('Cost Breakdowns'!$D$135:$D$137,"ISIC 09",'Cost Breakdowns'!$B$135:$B$137)))</f>
        <v/>
      </c>
      <c r="J4">
        <f>((SUMIF('Cost Breakdowns'!$D$135:$D$137,"ISIC 10T12",'Cost Breakdowns'!$B$135:$B$137)))</f>
        <v/>
      </c>
      <c r="K4">
        <f>((SUMIF('Cost Breakdowns'!$D$135:$D$137,"ISIC 13T15",'Cost Breakdowns'!$B$135:$B$137)))</f>
        <v/>
      </c>
      <c r="L4">
        <f>((SUMIF('Cost Breakdowns'!$D$135:$D$137,"ISIC 16",'Cost Breakdowns'!$B$135:$B$137)))</f>
        <v/>
      </c>
      <c r="M4">
        <f>((SUMIF('Cost Breakdowns'!$D$135:$D$137,"ISIC 17T18",'Cost Breakdowns'!$B$135:$B$137)))</f>
        <v/>
      </c>
      <c r="N4">
        <f>((SUMIF('Cost Breakdowns'!$D$135:$D$137,"ISIC 19",'Cost Breakdowns'!$B$135:$B$137)))</f>
        <v/>
      </c>
      <c r="O4">
        <f>((SUMIF('Cost Breakdowns'!$D$135:$D$137,"ISIC 20",'Cost Breakdowns'!$B$135:$B$137)))</f>
        <v/>
      </c>
      <c r="P4">
        <f>((SUMIF('Cost Breakdowns'!$D$135:$D$137,"ISIC 21",'Cost Breakdowns'!$B$135:$B$137)))</f>
        <v/>
      </c>
      <c r="Q4">
        <f>((SUMIF('Cost Breakdowns'!$D$135:$D$137,"ISIC 22",'Cost Breakdowns'!$B$135:$B$137)))</f>
        <v/>
      </c>
      <c r="R4">
        <f>((SUMIF('Cost Breakdowns'!$D$135:$D$137,"ISIC 231",'Cost Breakdowns'!$B$135:$B$137)))</f>
        <v/>
      </c>
      <c r="S4">
        <f>((SUMIF('Cost Breakdowns'!$D$135:$D$137,"ISIC 239",'Cost Breakdowns'!$B$135:$B$137)))</f>
        <v/>
      </c>
      <c r="T4">
        <f>((SUMIF('Cost Breakdowns'!$D$135:$D$137,"ISIC 241",'Cost Breakdowns'!$B$135:$B$137)))</f>
        <v/>
      </c>
      <c r="U4">
        <f>((SUMIF('Cost Breakdowns'!$D$135:$D$137,"ISIC 242",'Cost Breakdowns'!$B$135:$B$137)))</f>
        <v/>
      </c>
      <c r="V4">
        <f>((SUMIF('Cost Breakdowns'!$D$135:$D$137,"ISIC 25",'Cost Breakdowns'!$B$135:$B$137)))</f>
        <v/>
      </c>
      <c r="W4">
        <f>((SUMIF('Cost Breakdowns'!$D$135:$D$137,"ISIC 26",'Cost Breakdowns'!$B$135:$B$137)))</f>
        <v/>
      </c>
      <c r="X4">
        <f>((SUMIF('Cost Breakdowns'!$D$135:$D$137,"ISIC 27",'Cost Breakdowns'!$B$135:$B$137)))</f>
        <v/>
      </c>
      <c r="Y4">
        <f>((SUMIF('Cost Breakdowns'!$D$135:$D$137,"ISIC 28",'Cost Breakdowns'!$B$135:$B$137)))</f>
        <v/>
      </c>
      <c r="Z4">
        <f>((SUMIF('Cost Breakdowns'!$D$135:$D$137,"ISIC 29",'Cost Breakdowns'!$B$135:$B$137)))</f>
        <v/>
      </c>
      <c r="AA4">
        <f>((SUMIF('Cost Breakdowns'!$D$135:$D$137,"ISIC 30",'Cost Breakdowns'!$B$135:$B$137)))*'Factors applied'!$E$600</f>
        <v/>
      </c>
      <c r="AB4">
        <f>((SUMIF('Cost Breakdowns'!$D$135:$D$137,"ISIC 30",'Cost Breakdowns'!$B$135:$B$137)))*'Factors applied'!$E$601</f>
        <v/>
      </c>
      <c r="AC4">
        <f>((SUMIF('Cost Breakdowns'!$D$135:$D$137,"ISIC 31T33",'Cost Breakdowns'!$B$135:$B$137)))</f>
        <v/>
      </c>
      <c r="AD4">
        <f>((SUMIF('Cost Breakdowns'!$D$135:$D$137,"ISIC 351",'Cost Breakdowns'!$B$135:$B$137)))</f>
        <v/>
      </c>
      <c r="AE4">
        <f>((SUMIF('Cost Breakdowns'!$D$135:$D$137,"ISIC 352T353",'Cost Breakdowns'!$B$135:$B$137)))</f>
        <v/>
      </c>
      <c r="AF4">
        <f>((SUMIF('Cost Breakdowns'!$D$135:$D$137,"ISIC 36T39",'Cost Breakdowns'!$B$135:$B$137)))</f>
        <v/>
      </c>
      <c r="AG4">
        <f>((SUMIF('Cost Breakdowns'!$D$135:$D$137,"ISIC 41T43",'Cost Breakdowns'!$B$135:$B$137)))</f>
        <v/>
      </c>
      <c r="AH4">
        <f>((SUMIF('Cost Breakdowns'!$D$135:$D$137,"ISIC 45T47",'Cost Breakdowns'!$B$135:$B$137)))</f>
        <v/>
      </c>
      <c r="AI4">
        <f>((SUMIF('Cost Breakdowns'!$D$135:$D$137,"ISIC 49T53",'Cost Breakdowns'!$B$135:$B$137)))*'Factors applied'!$E$602</f>
        <v/>
      </c>
      <c r="AJ4">
        <f>((SUMIF('Cost Breakdowns'!$D$135:$D$137,"ISIC 49T53",'Cost Breakdowns'!$B$135:$B$137)))*'Factors applied'!$E$603</f>
        <v/>
      </c>
      <c r="AK4">
        <f>((SUMIF('Cost Breakdowns'!$D$135:$D$137,"ISIC 49T53",'Cost Breakdowns'!$B$135:$B$137)))*'Factors applied'!$E$604</f>
        <v/>
      </c>
      <c r="AL4">
        <f>((SUMIF('Cost Breakdowns'!$D$135:$D$137,"ISIC 49T53",'Cost Breakdowns'!$B$135:$B$137)))*'Factors applied'!$E$605</f>
        <v/>
      </c>
      <c r="AM4">
        <f>((SUMIF('Cost Breakdowns'!$D$135:$D$137,"ISIC 49T53",'Cost Breakdowns'!$B$135:$B$137)))*'Factors applied'!$E$606</f>
        <v/>
      </c>
      <c r="AN4">
        <f>((SUMIF('Cost Breakdowns'!$D$135:$D$137,"ISIC 55T56",'Cost Breakdowns'!$B$135:$B$137)))</f>
        <v/>
      </c>
      <c r="AO4">
        <f>((SUMIF('Cost Breakdowns'!$D$135:$D$137,"ISIC 58T60",'Cost Breakdowns'!$B$135:$B$137)))</f>
        <v/>
      </c>
      <c r="AP4">
        <f>((SUMIF('Cost Breakdowns'!$D$135:$D$137,"ISIC 61",'Cost Breakdowns'!$B$135:$B$137)))</f>
        <v/>
      </c>
      <c r="AQ4">
        <f>((SUMIF('Cost Breakdowns'!$D$135:$D$137,"ISIC 62T63",'Cost Breakdowns'!$B$135:$B$137)))</f>
        <v/>
      </c>
      <c r="AR4">
        <f>((SUMIF('Cost Breakdowns'!$D$135:$D$137,"ISIC 64T66",'Cost Breakdowns'!$B$135:$B$137)))</f>
        <v/>
      </c>
      <c r="AS4">
        <f>((SUMIF('Cost Breakdowns'!$D$135:$D$137,"ISIC 68",'Cost Breakdowns'!$B$135:$B$137)))</f>
        <v/>
      </c>
      <c r="AT4">
        <f>((SUMIF('Cost Breakdowns'!$D$135:$D$137,"ISIC 69T82",'Cost Breakdowns'!$B$135:$B$137)))*'Factors applied'!$E$607</f>
        <v/>
      </c>
      <c r="AU4">
        <f>((SUMIF('Cost Breakdowns'!$D$135:$D$137,"ISIC 69T82",'Cost Breakdowns'!$B$135:$B$137)))*'Factors applied'!$E$608</f>
        <v/>
      </c>
      <c r="AV4">
        <f>((SUMIF('Cost Breakdowns'!$D$135:$D$137,"ISIC 84",'Cost Breakdowns'!$B$135:$B$137)))</f>
        <v/>
      </c>
      <c r="AW4">
        <f>((SUMIF('Cost Breakdowns'!$D$135:$D$137,"ISIC 85",'Cost Breakdowns'!$B$135:$B$137)))</f>
        <v/>
      </c>
      <c r="AX4">
        <f>((SUMIF('Cost Breakdowns'!$D$135:$D$137,"ISIC 86T88",'Cost Breakdowns'!$B$135:$B$137)))</f>
        <v/>
      </c>
      <c r="AY4">
        <f>((SUMIF('Cost Breakdowns'!$D$135:$D$137,"ISIC 90T96",'Cost Breakdowns'!$B$135:$B$137)))*'Factors applied'!$E$609</f>
        <v/>
      </c>
      <c r="AZ4">
        <f>((SUMIF('Cost Breakdowns'!$D$135:$D$137,"ISIC 90T96",'Cost Breakdowns'!$B$135:$B$137)))*'Factors applied'!$E$610</f>
        <v/>
      </c>
      <c r="BA4">
        <f>((SUMIF('Cost Breakdowns'!$D$135:$D$137,"ISIC 97T98",'Cost Breakdowns'!$B$135:$B$137)))</f>
        <v/>
      </c>
    </row>
    <row r="5">
      <c r="A5" t="inlineStr">
        <is>
          <t>nuclear</t>
        </is>
      </c>
      <c r="B5">
        <f>(SUMIF('Cost Breakdowns'!$D$160:$D$160,"ISIC 01T03",'Cost Breakdowns'!$B$160:$B$160))*'Factors applied'!$E$659</f>
        <v/>
      </c>
      <c r="C5">
        <f>(SUMIF('Cost Breakdowns'!$D$160:$D$160,"ISIC 01T03",'Cost Breakdowns'!$B$160:$B$160))*'Factors applied'!$E$660</f>
        <v/>
      </c>
      <c r="D5">
        <f>(SUMIF('Cost Breakdowns'!$D$160:$D$160,"ISIC 01T03",'Cost Breakdowns'!$B$160:$B$160))*'Factors applied'!$E$661</f>
        <v/>
      </c>
      <c r="E5">
        <f>(SUMIF('Cost Breakdowns'!$D$160:$D$160,"ISIC 05",'Cost Breakdowns'!$B$160:$B$160))</f>
        <v/>
      </c>
      <c r="F5">
        <f>(SUMIF('Cost Breakdowns'!$D$160:$D$160,"ISIC 06",'Cost Breakdowns'!$B$160:$B$160))</f>
        <v/>
      </c>
      <c r="G5">
        <f>(SUMIF('Cost Breakdowns'!$D$160:$D$160,"ISIC 07T08",'Cost Breakdowns'!$B$160:$B$160))*'Factors applied'!$E$662</f>
        <v/>
      </c>
      <c r="H5">
        <f>(SUMIF('Cost Breakdowns'!$D$160:$D$160,"ISIC 07T08",'Cost Breakdowns'!$B$160:$B$160))*'Factors applied'!$E$663</f>
        <v/>
      </c>
      <c r="I5">
        <f>(SUMIF('Cost Breakdowns'!$D$160:$D$160,"ISIC 09",'Cost Breakdowns'!$B$160:$B$160))</f>
        <v/>
      </c>
      <c r="J5">
        <f>(SUMIF('Cost Breakdowns'!$D$160:$D$160,"ISIC 10T12",'Cost Breakdowns'!$B$160:$B$160))</f>
        <v/>
      </c>
      <c r="K5">
        <f>(SUMIF('Cost Breakdowns'!$D$160:$D$160,"ISIC 13T15",'Cost Breakdowns'!$B$160:$B$160))</f>
        <v/>
      </c>
      <c r="L5">
        <f>(SUMIF('Cost Breakdowns'!$D$160:$D$160,"ISIC 16",'Cost Breakdowns'!$B$160:$B$160))</f>
        <v/>
      </c>
      <c r="M5">
        <f>(SUMIF('Cost Breakdowns'!$D$160:$D$160,"ISIC 17T18",'Cost Breakdowns'!$B$160:$B$160))</f>
        <v/>
      </c>
      <c r="N5">
        <f>(SUMIF('Cost Breakdowns'!$D$160:$D$160,"ISIC 19",'Cost Breakdowns'!$B$160:$B$160))</f>
        <v/>
      </c>
      <c r="O5">
        <f>(SUMIF('Cost Breakdowns'!$D$160:$D$160,"ISIC 20",'Cost Breakdowns'!$B$160:$B$160))</f>
        <v/>
      </c>
      <c r="P5">
        <f>(SUMIF('Cost Breakdowns'!$D$160:$D$160,"ISIC 21",'Cost Breakdowns'!$B$160:$B$160))</f>
        <v/>
      </c>
      <c r="Q5">
        <f>(SUMIF('Cost Breakdowns'!$D$160:$D$160,"ISIC 22",'Cost Breakdowns'!$B$160:$B$160))</f>
        <v/>
      </c>
      <c r="R5">
        <f>(SUMIF('Cost Breakdowns'!$D$160:$D$160,"ISIC 231",'Cost Breakdowns'!$B$160:$B$160))</f>
        <v/>
      </c>
      <c r="S5">
        <f>(SUMIF('Cost Breakdowns'!$D$160:$D$160,"ISIC 239",'Cost Breakdowns'!$B$160:$B$160))</f>
        <v/>
      </c>
      <c r="T5">
        <f>(SUMIF('Cost Breakdowns'!$D$160:$D$160,"ISIC 241",'Cost Breakdowns'!$B$160:$B$160))</f>
        <v/>
      </c>
      <c r="U5">
        <f>(SUMIF('Cost Breakdowns'!$D$160:$D$160,"ISIC 242",'Cost Breakdowns'!$B$160:$B$160))</f>
        <v/>
      </c>
      <c r="V5">
        <f>(SUMIF('Cost Breakdowns'!$D$160:$D$160,"ISIC 25",'Cost Breakdowns'!$B$160:$B$160))</f>
        <v/>
      </c>
      <c r="W5">
        <f>(SUMIF('Cost Breakdowns'!$D$160:$D$160,"ISIC 26",'Cost Breakdowns'!$B$160:$B$160))</f>
        <v/>
      </c>
      <c r="X5">
        <f>(SUMIF('Cost Breakdowns'!$D$160:$D$160,"ISIC 27",'Cost Breakdowns'!$B$160:$B$160))</f>
        <v/>
      </c>
      <c r="Y5">
        <f>(SUMIF('Cost Breakdowns'!$D$160:$D$160,"ISIC 28",'Cost Breakdowns'!$B$160:$B$160))</f>
        <v/>
      </c>
      <c r="Z5">
        <f>(SUMIF('Cost Breakdowns'!$D$160:$D$160,"ISIC 29",'Cost Breakdowns'!$B$160:$B$160))</f>
        <v/>
      </c>
      <c r="AA5">
        <f>(SUMIF('Cost Breakdowns'!$D$160:$D$160,"ISIC 30",'Cost Breakdowns'!$B$160:$B$160))*'Factors applied'!$E$664</f>
        <v/>
      </c>
      <c r="AB5">
        <f>(SUMIF('Cost Breakdowns'!$D$160:$D$160,"ISIC 30",'Cost Breakdowns'!$B$160:$B$160))*'Factors applied'!$E$665</f>
        <v/>
      </c>
      <c r="AC5">
        <f>(SUMIF('Cost Breakdowns'!$D$160:$D$160,"ISIC 31T33",'Cost Breakdowns'!$B$160:$B$160))</f>
        <v/>
      </c>
      <c r="AD5">
        <f>(SUMIF('Cost Breakdowns'!$D$160:$D$160,"ISIC 351",'Cost Breakdowns'!$B$160:$B$160))</f>
        <v/>
      </c>
      <c r="AE5">
        <f>(SUMIF('Cost Breakdowns'!$D$160:$D$160,"ISIC 352T353",'Cost Breakdowns'!$B$160:$B$160))</f>
        <v/>
      </c>
      <c r="AF5">
        <f>(SUMIF('Cost Breakdowns'!$D$160:$D$160,"ISIC 36T39",'Cost Breakdowns'!$B$160:$B$160))</f>
        <v/>
      </c>
      <c r="AG5">
        <f>(SUMIF('Cost Breakdowns'!$D$160:$D$160,"ISIC 41T43",'Cost Breakdowns'!$B$160:$B$160))</f>
        <v/>
      </c>
      <c r="AH5">
        <f>(SUMIF('Cost Breakdowns'!$D$160:$D$160,"ISIC 45T47",'Cost Breakdowns'!$B$160:$B$160))</f>
        <v/>
      </c>
      <c r="AI5">
        <f>(SUMIF('Cost Breakdowns'!$D$160:$D$160,"ISIC 49T53",'Cost Breakdowns'!$B$160:$B$160))*'Factors applied'!$E$666</f>
        <v/>
      </c>
      <c r="AJ5">
        <f>(SUMIF('Cost Breakdowns'!$D$160:$D$160,"ISIC 49T53",'Cost Breakdowns'!$B$160:$B$160))*'Factors applied'!$E$667</f>
        <v/>
      </c>
      <c r="AK5">
        <f>(SUMIF('Cost Breakdowns'!$D$160:$D$160,"ISIC 49T53",'Cost Breakdowns'!$B$160:$B$160))*'Factors applied'!$E$668</f>
        <v/>
      </c>
      <c r="AL5">
        <f>(SUMIF('Cost Breakdowns'!$D$160:$D$160,"ISIC 49T53",'Cost Breakdowns'!$B$160:$B$160))*'Factors applied'!$E$669</f>
        <v/>
      </c>
      <c r="AM5">
        <f>(SUMIF('Cost Breakdowns'!$D$160:$D$160,"ISIC 49T53",'Cost Breakdowns'!$B$160:$B$160))*'Factors applied'!$E$670</f>
        <v/>
      </c>
      <c r="AN5">
        <f>(SUMIF('Cost Breakdowns'!$D$160:$D$160,"ISIC 55T56",'Cost Breakdowns'!$B$160:$B$160))</f>
        <v/>
      </c>
      <c r="AO5">
        <f>(SUMIF('Cost Breakdowns'!$D$160:$D$160,"ISIC 58T60",'Cost Breakdowns'!$B$160:$B$160))</f>
        <v/>
      </c>
      <c r="AP5">
        <f>(SUMIF('Cost Breakdowns'!$D$160:$D$160,"ISIC 61",'Cost Breakdowns'!$B$160:$B$160))</f>
        <v/>
      </c>
      <c r="AQ5">
        <f>(SUMIF('Cost Breakdowns'!$D$160:$D$160,"ISIC 62T63",'Cost Breakdowns'!$B$160:$B$160))</f>
        <v/>
      </c>
      <c r="AR5">
        <f>(SUMIF('Cost Breakdowns'!$D$160:$D$160,"ISIC 64T66",'Cost Breakdowns'!$B$160:$B$160))</f>
        <v/>
      </c>
      <c r="AS5">
        <f>(SUMIF('Cost Breakdowns'!$D$160:$D$160,"ISIC 68",'Cost Breakdowns'!$B$160:$B$160))</f>
        <v/>
      </c>
      <c r="AT5">
        <f>(SUMIF('Cost Breakdowns'!$D$160:$D$160,"ISIC 69T82",'Cost Breakdowns'!$B$160:$B$160))*'Factors applied'!$E$671</f>
        <v/>
      </c>
      <c r="AU5">
        <f>(SUMIF('Cost Breakdowns'!$D$160:$D$160,"ISIC 69T82",'Cost Breakdowns'!$B$160:$B$160))*'Factors applied'!$E$672</f>
        <v/>
      </c>
      <c r="AV5">
        <f>(SUMIF('Cost Breakdowns'!$D$160:$D$160,"ISIC 84",'Cost Breakdowns'!$B$160:$B$160))</f>
        <v/>
      </c>
      <c r="AW5">
        <f>(SUMIF('Cost Breakdowns'!$D$160:$D$160,"ISIC 85",'Cost Breakdowns'!$B$160:$B$160))</f>
        <v/>
      </c>
      <c r="AX5">
        <f>(SUMIF('Cost Breakdowns'!$D$160:$D$160,"ISIC 86T88",'Cost Breakdowns'!$B$160:$B$160))</f>
        <v/>
      </c>
      <c r="AY5">
        <f>(SUMIF('Cost Breakdowns'!$D$160:$D$160,"ISIC 90T96",'Cost Breakdowns'!$B$160:$B$160))*'Factors applied'!$E$673</f>
        <v/>
      </c>
      <c r="AZ5">
        <f>(SUMIF('Cost Breakdowns'!$D$160:$D$160,"ISIC 90T96",'Cost Breakdowns'!$B$160:$B$160))*'Factors applied'!$E$674</f>
        <v/>
      </c>
      <c r="BA5">
        <f>(SUMIF('Cost Breakdowns'!$D$160:$D$160,"ISIC 97T98",'Cost Breakdowns'!$B$160:$B$160))</f>
        <v/>
      </c>
    </row>
    <row r="6">
      <c r="A6" t="inlineStr">
        <is>
          <t>hydro</t>
        </is>
      </c>
      <c r="B6">
        <f>(SUMIF('Cost Breakdowns'!$D$204:$D$211,"ISIC 01T03",'Cost Breakdowns'!$B$204:$B$211))*'Factors applied'!$E$499</f>
        <v/>
      </c>
      <c r="C6">
        <f>(SUMIF('Cost Breakdowns'!$D$204:$D$211,"ISIC 01T03",'Cost Breakdowns'!$B$204:$B$211))*'Factors applied'!$E$500</f>
        <v/>
      </c>
      <c r="D6">
        <f>(SUMIF('Cost Breakdowns'!$D$204:$D$211,"ISIC 01T03",'Cost Breakdowns'!$B$204:$B$211))*'Factors applied'!$E$501</f>
        <v/>
      </c>
      <c r="E6">
        <f>(SUMIF('Cost Breakdowns'!$D$204:$D$211,"ISIC 05",'Cost Breakdowns'!$B$204:$B$211))</f>
        <v/>
      </c>
      <c r="F6">
        <f>(SUMIF('Cost Breakdowns'!$D$204:$D$211,"ISIC 06",'Cost Breakdowns'!$B$204:$B$211))</f>
        <v/>
      </c>
      <c r="G6">
        <f>(SUMIF('Cost Breakdowns'!$D$204:$D$211,"ISIC 07T08",'Cost Breakdowns'!$B$204:$B$211))*'Factors applied'!$E$502</f>
        <v/>
      </c>
      <c r="H6">
        <f>(SUMIF('Cost Breakdowns'!$D$204:$D$211,"ISIC 07T08",'Cost Breakdowns'!$B$204:$B$211))*'Factors applied'!$E$503</f>
        <v/>
      </c>
      <c r="I6">
        <f>(SUMIF('Cost Breakdowns'!$D$204:$D$211,"ISIC 09",'Cost Breakdowns'!$B$204:$B$211))</f>
        <v/>
      </c>
      <c r="J6">
        <f>(SUMIF('Cost Breakdowns'!$D$204:$D$211,"ISIC 10T12",'Cost Breakdowns'!$B$204:$B$211))</f>
        <v/>
      </c>
      <c r="K6">
        <f>(SUMIF('Cost Breakdowns'!$D$204:$D$211,"ISIC 13T15",'Cost Breakdowns'!$B$204:$B$211))</f>
        <v/>
      </c>
      <c r="L6">
        <f>(SUMIF('Cost Breakdowns'!$D$204:$D$211,"ISIC 16",'Cost Breakdowns'!$B$204:$B$211))</f>
        <v/>
      </c>
      <c r="M6">
        <f>(SUMIF('Cost Breakdowns'!$D$204:$D$211,"ISIC 17T18",'Cost Breakdowns'!$B$204:$B$211))</f>
        <v/>
      </c>
      <c r="N6">
        <f>(SUMIF('Cost Breakdowns'!$D$204:$D$211,"ISIC 19",'Cost Breakdowns'!$B$204:$B$211))</f>
        <v/>
      </c>
      <c r="O6">
        <f>(SUMIF('Cost Breakdowns'!$D$204:$D$211,"ISIC 20",'Cost Breakdowns'!$B$204:$B$211))</f>
        <v/>
      </c>
      <c r="P6">
        <f>(SUMIF('Cost Breakdowns'!$D$204:$D$211,"ISIC 21",'Cost Breakdowns'!$B$204:$B$211))</f>
        <v/>
      </c>
      <c r="Q6">
        <f>(SUMIF('Cost Breakdowns'!$D$204:$D$211,"ISIC 22",'Cost Breakdowns'!$B$204:$B$211))</f>
        <v/>
      </c>
      <c r="R6">
        <f>(SUMIF('Cost Breakdowns'!$D$204:$D$211,"ISIC 231",'Cost Breakdowns'!$B$204:$B$211))</f>
        <v/>
      </c>
      <c r="S6">
        <f>(SUMIF('Cost Breakdowns'!$D$204:$D$211,"ISIC 239",'Cost Breakdowns'!$B$204:$B$211))</f>
        <v/>
      </c>
      <c r="T6">
        <f>(SUMIF('Cost Breakdowns'!$D$204:$D$211,"ISIC 241",'Cost Breakdowns'!$B$204:$B$211))</f>
        <v/>
      </c>
      <c r="U6">
        <f>(SUMIF('Cost Breakdowns'!$D$204:$D$211,"ISIC 242",'Cost Breakdowns'!$B$204:$B$211))</f>
        <v/>
      </c>
      <c r="V6">
        <f>(SUMIF('Cost Breakdowns'!$D$204:$D$211,"ISIC 25",'Cost Breakdowns'!$B$204:$B$211))</f>
        <v/>
      </c>
      <c r="W6">
        <f>(SUMIF('Cost Breakdowns'!$D$204:$D$211,"ISIC 26",'Cost Breakdowns'!$B$204:$B$211))</f>
        <v/>
      </c>
      <c r="X6">
        <f>(SUMIF('Cost Breakdowns'!$D$204:$D$211,"ISIC 27",'Cost Breakdowns'!$B$204:$B$211))</f>
        <v/>
      </c>
      <c r="Y6">
        <f>(SUMIF('Cost Breakdowns'!$D$204:$D$211,"ISIC 28",'Cost Breakdowns'!$B$204:$B$211))</f>
        <v/>
      </c>
      <c r="Z6">
        <f>(SUMIF('Cost Breakdowns'!$D$204:$D$211,"ISIC 29",'Cost Breakdowns'!$B$204:$B$211))</f>
        <v/>
      </c>
      <c r="AA6">
        <f>(SUMIF('Cost Breakdowns'!$D$204:$D$211,"ISIC 30",'Cost Breakdowns'!$B$204:$B$211))*'Factors applied'!$E$504</f>
        <v/>
      </c>
      <c r="AB6">
        <f>(SUMIF('Cost Breakdowns'!$D$204:$D$211,"ISIC 30",'Cost Breakdowns'!$B$204:$B$211))*'Factors applied'!$E$505</f>
        <v/>
      </c>
      <c r="AC6">
        <f>(SUMIF('Cost Breakdowns'!$D$204:$D$211,"ISIC 31T33",'Cost Breakdowns'!$B$204:$B$211))</f>
        <v/>
      </c>
      <c r="AD6">
        <f>(SUMIF('Cost Breakdowns'!$D$204:$D$211,"ISIC 351",'Cost Breakdowns'!$B$204:$B$211))</f>
        <v/>
      </c>
      <c r="AE6">
        <f>(SUMIF('Cost Breakdowns'!$D$204:$D$211,"ISIC 352T353",'Cost Breakdowns'!$B$204:$B$211))</f>
        <v/>
      </c>
      <c r="AF6">
        <f>(SUMIF('Cost Breakdowns'!$D$204:$D$211,"ISIC 36T39",'Cost Breakdowns'!$B$204:$B$211))</f>
        <v/>
      </c>
      <c r="AG6">
        <f>(SUMIF('Cost Breakdowns'!$D$204:$D$211,"ISIC 41T43",'Cost Breakdowns'!$B$204:$B$211))</f>
        <v/>
      </c>
      <c r="AH6">
        <f>(SUMIF('Cost Breakdowns'!$D$204:$D$211,"ISIC 45T47",'Cost Breakdowns'!$B$204:$B$211))</f>
        <v/>
      </c>
      <c r="AI6">
        <f>(SUMIF('Cost Breakdowns'!$D$204:$D$211,"ISIC 49T53",'Cost Breakdowns'!$B$204:$B$211))*'Factors applied'!$E$506</f>
        <v/>
      </c>
      <c r="AJ6">
        <f>(SUMIF('Cost Breakdowns'!$D$204:$D$211,"ISIC 49T53",'Cost Breakdowns'!$B$204:$B$211))*'Factors applied'!$E$507</f>
        <v/>
      </c>
      <c r="AK6">
        <f>(SUMIF('Cost Breakdowns'!$D$204:$D$211,"ISIC 49T53",'Cost Breakdowns'!$B$204:$B$211))*'Factors applied'!$E$508</f>
        <v/>
      </c>
      <c r="AL6">
        <f>(SUMIF('Cost Breakdowns'!$D$204:$D$211,"ISIC 49T53",'Cost Breakdowns'!$B$204:$B$211))*'Factors applied'!$E$509</f>
        <v/>
      </c>
      <c r="AM6">
        <f>(SUMIF('Cost Breakdowns'!$D$204:$D$211,"ISIC 49T53",'Cost Breakdowns'!$B$204:$B$211))*'Factors applied'!$E$510</f>
        <v/>
      </c>
      <c r="AN6">
        <f>(SUMIF('Cost Breakdowns'!$D$204:$D$211,"ISIC 55T56",'Cost Breakdowns'!$B$204:$B$211))</f>
        <v/>
      </c>
      <c r="AO6">
        <f>(SUMIF('Cost Breakdowns'!$D$204:$D$211,"ISIC 58T60",'Cost Breakdowns'!$B$204:$B$211))</f>
        <v/>
      </c>
      <c r="AP6">
        <f>(SUMIF('Cost Breakdowns'!$D$204:$D$211,"ISIC 61",'Cost Breakdowns'!$B$204:$B$211))</f>
        <v/>
      </c>
      <c r="AQ6">
        <f>(SUMIF('Cost Breakdowns'!$D$204:$D$211,"ISIC 62T63",'Cost Breakdowns'!$B$204:$B$211))</f>
        <v/>
      </c>
      <c r="AR6">
        <f>(SUMIF('Cost Breakdowns'!$D$204:$D$211,"ISIC 64T66",'Cost Breakdowns'!$B$204:$B$211))</f>
        <v/>
      </c>
      <c r="AS6">
        <f>(SUMIF('Cost Breakdowns'!$D$204:$D$211,"ISIC 68",'Cost Breakdowns'!$B$204:$B$211))</f>
        <v/>
      </c>
      <c r="AT6">
        <f>(SUMIF('Cost Breakdowns'!$D$204:$D$211,"ISIC 69T82",'Cost Breakdowns'!$B$204:$B$211))*'Factors applied'!$E$511</f>
        <v/>
      </c>
      <c r="AU6">
        <f>(SUMIF('Cost Breakdowns'!$D$204:$D$211,"ISIC 69T82",'Cost Breakdowns'!$B$204:$B$211))*'Factors applied'!$E$512</f>
        <v/>
      </c>
      <c r="AV6">
        <f>(SUMIF('Cost Breakdowns'!$D$204:$D$211,"ISIC 84",'Cost Breakdowns'!$B$204:$B$211))</f>
        <v/>
      </c>
      <c r="AW6">
        <f>(SUMIF('Cost Breakdowns'!$D$204:$D$211,"ISIC 85",'Cost Breakdowns'!$B$204:$B$211))</f>
        <v/>
      </c>
      <c r="AX6">
        <f>(SUMIF('Cost Breakdowns'!$D$204:$D$211,"ISIC 86T88",'Cost Breakdowns'!$B$204:$B$211))</f>
        <v/>
      </c>
      <c r="AY6">
        <f>(SUMIF('Cost Breakdowns'!$D$204:$D$211,"ISIC 90T96",'Cost Breakdowns'!$B$204:$B$211))*'Factors applied'!$E$513</f>
        <v/>
      </c>
      <c r="AZ6">
        <f>(SUMIF('Cost Breakdowns'!$D$204:$D$211,"ISIC 90T96",'Cost Breakdowns'!$B$204:$B$211))*'Factors applied'!$E$514</f>
        <v/>
      </c>
      <c r="BA6">
        <f>(SUMIF('Cost Breakdowns'!$D$204:$D$211,"ISIC 97T98",'Cost Breakdowns'!$B$204:$B$211))</f>
        <v/>
      </c>
    </row>
    <row r="7">
      <c r="A7" t="inlineStr">
        <is>
          <t>wind</t>
        </is>
      </c>
      <c r="B7">
        <f>(SUMIF('Cost Breakdowns'!$D$57:$D$71,"ISIC 01T03",'Cost Breakdowns'!$B$57:$B$71))*'Factors applied'!$E$755</f>
        <v/>
      </c>
      <c r="C7">
        <f>(SUMIF('Cost Breakdowns'!$D$57:$D$71,"ISIC 01T03",'Cost Breakdowns'!$B$57:$B$71))*'Factors applied'!$E$756</f>
        <v/>
      </c>
      <c r="D7">
        <f>(SUMIF('Cost Breakdowns'!$D$57:$D$71,"ISIC 01T03",'Cost Breakdowns'!$B$57:$B$71))*'Factors applied'!$E$757</f>
        <v/>
      </c>
      <c r="E7">
        <f>(SUMIF('Cost Breakdowns'!$D$57:$D$71,"ISIC 05",'Cost Breakdowns'!$B$57:$B$71))</f>
        <v/>
      </c>
      <c r="F7">
        <f>(SUMIF('Cost Breakdowns'!$D$57:$D$71,"ISIC 06",'Cost Breakdowns'!$B$57:$B$71))</f>
        <v/>
      </c>
      <c r="G7">
        <f>(SUMIF('Cost Breakdowns'!$D$57:$D$71,"ISIC 07T08",'Cost Breakdowns'!$B$57:$B$71))*'Factors applied'!$E$758</f>
        <v/>
      </c>
      <c r="H7">
        <f>(SUMIF('Cost Breakdowns'!$D$57:$D$71,"ISIC 07T08",'Cost Breakdowns'!$B$57:$B$71))*'Factors applied'!$E$759</f>
        <v/>
      </c>
      <c r="I7">
        <f>(SUMIF('Cost Breakdowns'!$D$57:$D$71,"ISIC 09",'Cost Breakdowns'!$B$57:$B$71))</f>
        <v/>
      </c>
      <c r="J7">
        <f>(SUMIF('Cost Breakdowns'!$D$57:$D$71,"ISIC 10T12",'Cost Breakdowns'!$B$57:$B$71))</f>
        <v/>
      </c>
      <c r="K7">
        <f>(SUMIF('Cost Breakdowns'!$D$57:$D$71,"ISIC 13T15",'Cost Breakdowns'!$B$57:$B$71))</f>
        <v/>
      </c>
      <c r="L7">
        <f>(SUMIF('Cost Breakdowns'!$D$57:$D$71,"ISIC 16",'Cost Breakdowns'!$B$57:$B$71))</f>
        <v/>
      </c>
      <c r="M7">
        <f>(SUMIF('Cost Breakdowns'!$D$57:$D$71,"ISIC 17T18",'Cost Breakdowns'!$B$57:$B$71))</f>
        <v/>
      </c>
      <c r="N7">
        <f>(SUMIF('Cost Breakdowns'!$D$57:$D$71,"ISIC 19",'Cost Breakdowns'!$B$57:$B$71))</f>
        <v/>
      </c>
      <c r="O7">
        <f>(SUMIF('Cost Breakdowns'!$D$57:$D$71,"ISIC 20",'Cost Breakdowns'!$B$57:$B$71))</f>
        <v/>
      </c>
      <c r="P7">
        <f>(SUMIF('Cost Breakdowns'!$D$57:$D$71,"ISIC 21",'Cost Breakdowns'!$B$57:$B$71))</f>
        <v/>
      </c>
      <c r="Q7">
        <f>(SUMIF('Cost Breakdowns'!$D$57:$D$71,"ISIC 22",'Cost Breakdowns'!$B$57:$B$71))</f>
        <v/>
      </c>
      <c r="R7">
        <f>(SUMIF('Cost Breakdowns'!$D$57:$D$71,"ISIC 231",'Cost Breakdowns'!$B$57:$B$71))</f>
        <v/>
      </c>
      <c r="S7">
        <f>(SUMIF('Cost Breakdowns'!$D$57:$D$71,"ISIC 239",'Cost Breakdowns'!$B$57:$B$71))</f>
        <v/>
      </c>
      <c r="T7">
        <f>(SUMIF('Cost Breakdowns'!$D$57:$D$71,"ISIC 241",'Cost Breakdowns'!$B$57:$B$71))</f>
        <v/>
      </c>
      <c r="U7">
        <f>(SUMIF('Cost Breakdowns'!$D$57:$D$71,"ISIC 242",'Cost Breakdowns'!$B$57:$B$71))</f>
        <v/>
      </c>
      <c r="V7">
        <f>(SUMIF('Cost Breakdowns'!$D$57:$D$71,"ISIC 25",'Cost Breakdowns'!$B$57:$B$71))</f>
        <v/>
      </c>
      <c r="W7">
        <f>(SUMIF('Cost Breakdowns'!$D$57:$D$71,"ISIC 26",'Cost Breakdowns'!$B$57:$B$71))</f>
        <v/>
      </c>
      <c r="X7">
        <f>(SUMIF('Cost Breakdowns'!$D$57:$D$71,"ISIC 27",'Cost Breakdowns'!$B$57:$B$71))</f>
        <v/>
      </c>
      <c r="Y7">
        <f>(SUMIF('Cost Breakdowns'!$D$57:$D$71,"ISIC 28",'Cost Breakdowns'!$B$57:$B$71))</f>
        <v/>
      </c>
      <c r="Z7">
        <f>(SUMIF('Cost Breakdowns'!$D$57:$D$71,"ISIC 29",'Cost Breakdowns'!$B$57:$B$71))</f>
        <v/>
      </c>
      <c r="AA7">
        <f>(SUMIF('Cost Breakdowns'!$D$57:$D$71,"ISIC 30",'Cost Breakdowns'!$B$57:$B$71))*'Factors applied'!$E$760</f>
        <v/>
      </c>
      <c r="AB7">
        <f>(SUMIF('Cost Breakdowns'!$D$57:$D$71,"ISIC 30",'Cost Breakdowns'!$B$57:$B$71))*'Factors applied'!$E$761</f>
        <v/>
      </c>
      <c r="AC7">
        <f>(SUMIF('Cost Breakdowns'!$D$57:$D$71,"ISIC 31T33",'Cost Breakdowns'!$B$57:$B$71))</f>
        <v/>
      </c>
      <c r="AD7">
        <f>(SUMIF('Cost Breakdowns'!$D$57:$D$71,"ISIC 351",'Cost Breakdowns'!$B$57:$B$71))</f>
        <v/>
      </c>
      <c r="AE7">
        <f>(SUMIF('Cost Breakdowns'!$D$57:$D$71,"ISIC 352T353",'Cost Breakdowns'!$B$57:$B$71))</f>
        <v/>
      </c>
      <c r="AF7">
        <f>(SUMIF('Cost Breakdowns'!$D$57:$D$71,"ISIC 36T39",'Cost Breakdowns'!$B$57:$B$71))</f>
        <v/>
      </c>
      <c r="AG7">
        <f>(SUMIF('Cost Breakdowns'!$D$57:$D$71,"ISIC 41T43",'Cost Breakdowns'!$B$57:$B$71))</f>
        <v/>
      </c>
      <c r="AH7">
        <f>(SUMIF('Cost Breakdowns'!$D$57:$D$71,"ISIC 45T47",'Cost Breakdowns'!$B$57:$B$71))</f>
        <v/>
      </c>
      <c r="AI7">
        <f>(SUMIF('Cost Breakdowns'!$D$57:$D$71,"ISIC 49T53",'Cost Breakdowns'!$B$57:$B$71))*'Factors applied'!$E$762</f>
        <v/>
      </c>
      <c r="AJ7">
        <f>(SUMIF('Cost Breakdowns'!$D$57:$D$71,"ISIC 49T53",'Cost Breakdowns'!$B$57:$B$71))*'Factors applied'!$E$763</f>
        <v/>
      </c>
      <c r="AK7">
        <f>(SUMIF('Cost Breakdowns'!$D$57:$D$71,"ISIC 49T53",'Cost Breakdowns'!$B$57:$B$71))*'Factors applied'!$E$764</f>
        <v/>
      </c>
      <c r="AL7">
        <f>(SUMIF('Cost Breakdowns'!$D$57:$D$71,"ISIC 49T53",'Cost Breakdowns'!$B$57:$B$71))*'Factors applied'!$E$765</f>
        <v/>
      </c>
      <c r="AM7">
        <f>(SUMIF('Cost Breakdowns'!$D$57:$D$71,"ISIC 49T53",'Cost Breakdowns'!$B$57:$B$71))*'Factors applied'!$E$766</f>
        <v/>
      </c>
      <c r="AN7">
        <f>(SUMIF('Cost Breakdowns'!$D$57:$D$71,"ISIC 55T56",'Cost Breakdowns'!$B$57:$B$71))</f>
        <v/>
      </c>
      <c r="AO7">
        <f>(SUMIF('Cost Breakdowns'!$D$57:$D$71,"ISIC 58T60",'Cost Breakdowns'!$B$57:$B$71))</f>
        <v/>
      </c>
      <c r="AP7">
        <f>(SUMIF('Cost Breakdowns'!$D$57:$D$71,"ISIC 61",'Cost Breakdowns'!$B$57:$B$71))</f>
        <v/>
      </c>
      <c r="AQ7">
        <f>(SUMIF('Cost Breakdowns'!$D$57:$D$71,"ISIC 62T63",'Cost Breakdowns'!$B$57:$B$71))</f>
        <v/>
      </c>
      <c r="AR7">
        <f>(SUMIF('Cost Breakdowns'!$D$57:$D$71,"ISIC 64T66",'Cost Breakdowns'!$B$57:$B$71))</f>
        <v/>
      </c>
      <c r="AS7">
        <f>(SUMIF('Cost Breakdowns'!$D$57:$D$71,"ISIC 68",'Cost Breakdowns'!$B$57:$B$71))</f>
        <v/>
      </c>
      <c r="AT7">
        <f>(SUMIF('Cost Breakdowns'!$D$57:$D$71,"ISIC 69T82",'Cost Breakdowns'!$B$57:$B$71))*'Factors applied'!$E$767</f>
        <v/>
      </c>
      <c r="AU7">
        <f>(SUMIF('Cost Breakdowns'!$D$57:$D$71,"ISIC 69T82",'Cost Breakdowns'!$B$57:$B$71))*'Factors applied'!$E$768</f>
        <v/>
      </c>
      <c r="AV7">
        <f>(SUMIF('Cost Breakdowns'!$D$57:$D$71,"ISIC 84",'Cost Breakdowns'!$B$57:$B$71))</f>
        <v/>
      </c>
      <c r="AW7">
        <f>(SUMIF('Cost Breakdowns'!$D$57:$D$71,"ISIC 85",'Cost Breakdowns'!$B$57:$B$71))</f>
        <v/>
      </c>
      <c r="AX7">
        <f>(SUMIF('Cost Breakdowns'!$D$57:$D$71,"ISIC 86T88",'Cost Breakdowns'!$B$57:$B$71))</f>
        <v/>
      </c>
      <c r="AY7">
        <f>(SUMIF('Cost Breakdowns'!$D$57:$D$71,"ISIC 90T96",'Cost Breakdowns'!$B$57:$B$71))*'Factors applied'!$E$769</f>
        <v/>
      </c>
      <c r="AZ7">
        <f>(SUMIF('Cost Breakdowns'!$D$57:$D$71,"ISIC 90T96",'Cost Breakdowns'!$B$57:$B$71))*'Factors applied'!$E$770</f>
        <v/>
      </c>
      <c r="BA7">
        <f>(SUMIF('Cost Breakdowns'!$D$57:$D$71,"ISIC 97T98",'Cost Breakdowns'!$B$57:$B$71))</f>
        <v/>
      </c>
    </row>
    <row r="8">
      <c r="A8" t="inlineStr">
        <is>
          <t>solar PV</t>
        </is>
      </c>
      <c r="B8">
        <f>(SUMIF('Cost Breakdowns'!$D$15:$D$16,"ISIC 01T03",'Cost Breakdowns'!$B$15:$B$16))*'Factors applied'!$E$723</f>
        <v/>
      </c>
      <c r="C8">
        <f>(SUMIF('Cost Breakdowns'!$D$15:$D$16,"ISIC 01T03",'Cost Breakdowns'!$B$15:$B$16))*'Factors applied'!$E$724</f>
        <v/>
      </c>
      <c r="D8">
        <f>(SUMIF('Cost Breakdowns'!$D$15:$D$16,"ISIC 01T03",'Cost Breakdowns'!$B$15:$B$16))*'Factors applied'!$E$725</f>
        <v/>
      </c>
      <c r="E8">
        <f>(SUMIF('Cost Breakdowns'!$D$15:$D$16,"ISIC 05",'Cost Breakdowns'!$B$15:$B$16))</f>
        <v/>
      </c>
      <c r="F8">
        <f>(SUMIF('Cost Breakdowns'!$D$15:$D$16,"ISIC 06",'Cost Breakdowns'!$B$15:$B$16))</f>
        <v/>
      </c>
      <c r="G8">
        <f>(SUMIF('Cost Breakdowns'!$D$15:$D$16,"ISIC 07T08",'Cost Breakdowns'!$B$15:$B$16))*'Factors applied'!$E$726</f>
        <v/>
      </c>
      <c r="H8">
        <f>(SUMIF('Cost Breakdowns'!$D$15:$D$16,"ISIC 07T08",'Cost Breakdowns'!$B$15:$B$16))*'Factors applied'!$E$727</f>
        <v/>
      </c>
      <c r="I8">
        <f>(SUMIF('Cost Breakdowns'!$D$15:$D$16,"ISIC 09",'Cost Breakdowns'!$B$15:$B$16))</f>
        <v/>
      </c>
      <c r="J8">
        <f>(SUMIF('Cost Breakdowns'!$D$15:$D$16,"ISIC 10T12",'Cost Breakdowns'!$B$15:$B$16))</f>
        <v/>
      </c>
      <c r="K8">
        <f>(SUMIF('Cost Breakdowns'!$D$15:$D$16,"ISIC 13T15",'Cost Breakdowns'!$B$15:$B$16))</f>
        <v/>
      </c>
      <c r="L8">
        <f>(SUMIF('Cost Breakdowns'!$D$15:$D$16,"ISIC 16",'Cost Breakdowns'!$B$15:$B$16))</f>
        <v/>
      </c>
      <c r="M8">
        <f>(SUMIF('Cost Breakdowns'!$D$15:$D$16,"ISIC 17T18",'Cost Breakdowns'!$B$15:$B$16))</f>
        <v/>
      </c>
      <c r="N8">
        <f>(SUMIF('Cost Breakdowns'!$D$15:$D$16,"ISIC 19",'Cost Breakdowns'!$B$15:$B$16))</f>
        <v/>
      </c>
      <c r="O8">
        <f>(SUMIF('Cost Breakdowns'!$D$15:$D$16,"ISIC 20",'Cost Breakdowns'!$B$15:$B$16))</f>
        <v/>
      </c>
      <c r="P8">
        <f>(SUMIF('Cost Breakdowns'!$D$15:$D$16,"ISIC 21",'Cost Breakdowns'!$B$15:$B$16))</f>
        <v/>
      </c>
      <c r="Q8">
        <f>(SUMIF('Cost Breakdowns'!$D$15:$D$16,"ISIC 22",'Cost Breakdowns'!$B$15:$B$16))</f>
        <v/>
      </c>
      <c r="R8">
        <f>(SUMIF('Cost Breakdowns'!$D$15:$D$16,"ISIC 231",'Cost Breakdowns'!$B$15:$B$16))</f>
        <v/>
      </c>
      <c r="S8">
        <f>(SUMIF('Cost Breakdowns'!$D$15:$D$16,"ISIC 239",'Cost Breakdowns'!$B$15:$B$16))</f>
        <v/>
      </c>
      <c r="T8">
        <f>(SUMIF('Cost Breakdowns'!$D$15:$D$16,"ISIC 241",'Cost Breakdowns'!$B$15:$B$16))</f>
        <v/>
      </c>
      <c r="U8">
        <f>(SUMIF('Cost Breakdowns'!$D$15:$D$16,"ISIC 242",'Cost Breakdowns'!$B$15:$B$16))</f>
        <v/>
      </c>
      <c r="V8">
        <f>(SUMIF('Cost Breakdowns'!$D$15:$D$16,"ISIC 25",'Cost Breakdowns'!$B$15:$B$16))</f>
        <v/>
      </c>
      <c r="W8">
        <f>(SUMIF('Cost Breakdowns'!$D$15:$D$16,"ISIC 26",'Cost Breakdowns'!$B$15:$B$16))</f>
        <v/>
      </c>
      <c r="X8">
        <f>(SUMIF('Cost Breakdowns'!$D$15:$D$16,"ISIC 27",'Cost Breakdowns'!$B$15:$B$16))</f>
        <v/>
      </c>
      <c r="Y8">
        <f>(SUMIF('Cost Breakdowns'!$D$15:$D$16,"ISIC 28",'Cost Breakdowns'!$B$15:$B$16))</f>
        <v/>
      </c>
      <c r="Z8">
        <f>(SUMIF('Cost Breakdowns'!$D$15:$D$16,"ISIC 29",'Cost Breakdowns'!$B$15:$B$16))</f>
        <v/>
      </c>
      <c r="AA8">
        <f>(SUMIF('Cost Breakdowns'!$D$15:$D$16,"ISIC 30",'Cost Breakdowns'!$B$15:$B$16))*'Factors applied'!$E$728</f>
        <v/>
      </c>
      <c r="AB8">
        <f>(SUMIF('Cost Breakdowns'!$D$15:$D$16,"ISIC 30",'Cost Breakdowns'!$B$15:$B$16))*'Factors applied'!$E$729</f>
        <v/>
      </c>
      <c r="AC8">
        <f>(SUMIF('Cost Breakdowns'!$D$15:$D$16,"ISIC 31T33",'Cost Breakdowns'!$B$15:$B$16))</f>
        <v/>
      </c>
      <c r="AD8">
        <f>(SUMIF('Cost Breakdowns'!$D$15:$D$16,"ISIC 351",'Cost Breakdowns'!$B$15:$B$16))</f>
        <v/>
      </c>
      <c r="AE8">
        <f>(SUMIF('Cost Breakdowns'!$D$15:$D$16,"ISIC 352T353",'Cost Breakdowns'!$B$15:$B$16))</f>
        <v/>
      </c>
      <c r="AF8">
        <f>(SUMIF('Cost Breakdowns'!$D$15:$D$16,"ISIC 36T39",'Cost Breakdowns'!$B$15:$B$16))</f>
        <v/>
      </c>
      <c r="AG8">
        <f>(SUMIF('Cost Breakdowns'!$D$15:$D$16,"ISIC 41T43",'Cost Breakdowns'!$B$15:$B$16))</f>
        <v/>
      </c>
      <c r="AH8">
        <f>(SUMIF('Cost Breakdowns'!$D$15:$D$16,"ISIC 45T47",'Cost Breakdowns'!$B$15:$B$16))</f>
        <v/>
      </c>
      <c r="AI8">
        <f>(SUMIF('Cost Breakdowns'!$D$15:$D$16,"ISIC 49T53",'Cost Breakdowns'!$B$15:$B$16))*'Factors applied'!$E$730</f>
        <v/>
      </c>
      <c r="AJ8">
        <f>(SUMIF('Cost Breakdowns'!$D$15:$D$16,"ISIC 49T53",'Cost Breakdowns'!$B$15:$B$16))*'Factors applied'!$E$731</f>
        <v/>
      </c>
      <c r="AK8">
        <f>(SUMIF('Cost Breakdowns'!$D$15:$D$16,"ISIC 49T53",'Cost Breakdowns'!$B$15:$B$16))*'Factors applied'!$E$732</f>
        <v/>
      </c>
      <c r="AL8">
        <f>(SUMIF('Cost Breakdowns'!$D$15:$D$16,"ISIC 49T53",'Cost Breakdowns'!$B$15:$B$16))*'Factors applied'!$E$733</f>
        <v/>
      </c>
      <c r="AM8">
        <f>(SUMIF('Cost Breakdowns'!$D$15:$D$16,"ISIC 49T53",'Cost Breakdowns'!$B$15:$B$16))*'Factors applied'!$E$734</f>
        <v/>
      </c>
      <c r="AN8">
        <f>(SUMIF('Cost Breakdowns'!$D$15:$D$16,"ISIC 55T56",'Cost Breakdowns'!$B$15:$B$16))</f>
        <v/>
      </c>
      <c r="AO8">
        <f>(SUMIF('Cost Breakdowns'!$D$15:$D$16,"ISIC 58T60",'Cost Breakdowns'!$B$15:$B$16))</f>
        <v/>
      </c>
      <c r="AP8">
        <f>(SUMIF('Cost Breakdowns'!$D$15:$D$16,"ISIC 61",'Cost Breakdowns'!$B$15:$B$16))</f>
        <v/>
      </c>
      <c r="AQ8">
        <f>(SUMIF('Cost Breakdowns'!$D$15:$D$16,"ISIC 62T63",'Cost Breakdowns'!$B$15:$B$16))</f>
        <v/>
      </c>
      <c r="AR8">
        <f>(SUMIF('Cost Breakdowns'!$D$15:$D$16,"ISIC 64T66",'Cost Breakdowns'!$B$15:$B$16))</f>
        <v/>
      </c>
      <c r="AS8">
        <f>(SUMIF('Cost Breakdowns'!$D$15:$D$16,"ISIC 68",'Cost Breakdowns'!$B$15:$B$16))</f>
        <v/>
      </c>
      <c r="AT8">
        <f>(SUMIF('Cost Breakdowns'!$D$15:$D$16,"ISIC 69T82",'Cost Breakdowns'!$B$15:$B$16))*'Factors applied'!$E$735</f>
        <v/>
      </c>
      <c r="AU8">
        <f>(SUMIF('Cost Breakdowns'!$D$15:$D$16,"ISIC 69T82",'Cost Breakdowns'!$B$15:$B$16))*'Factors applied'!$E$736</f>
        <v/>
      </c>
      <c r="AV8">
        <f>(SUMIF('Cost Breakdowns'!$D$15:$D$16,"ISIC 84",'Cost Breakdowns'!$B$15:$B$16))</f>
        <v/>
      </c>
      <c r="AW8">
        <f>(SUMIF('Cost Breakdowns'!$D$15:$D$16,"ISIC 85",'Cost Breakdowns'!$B$15:$B$16))</f>
        <v/>
      </c>
      <c r="AX8">
        <f>(SUMIF('Cost Breakdowns'!$D$15:$D$16,"ISIC 86T88",'Cost Breakdowns'!$B$15:$B$16))</f>
        <v/>
      </c>
      <c r="AY8">
        <f>(SUMIF('Cost Breakdowns'!$D$15:$D$16,"ISIC 90T96",'Cost Breakdowns'!$B$15:$B$16))*'Factors applied'!$E$737</f>
        <v/>
      </c>
      <c r="AZ8">
        <f>(SUMIF('Cost Breakdowns'!$D$15:$D$16,"ISIC 90T96",'Cost Breakdowns'!$B$15:$B$16))*'Factors applied'!$E$738</f>
        <v/>
      </c>
      <c r="BA8">
        <f>(SUMIF('Cost Breakdowns'!$D$15:$D$16,"ISIC 97T98",'Cost Breakdowns'!$B$15:$B$16))</f>
        <v/>
      </c>
    </row>
    <row r="9">
      <c r="A9" t="inlineStr">
        <is>
          <t>solar thermal</t>
        </is>
      </c>
      <c r="B9">
        <f>(SUMIF('Cost Breakdowns'!$D$274:$D$287,"ISIC 01T03",'Cost Breakdowns'!$B$274:$B$287))*'Factors applied'!$E$739</f>
        <v/>
      </c>
      <c r="C9">
        <f>(SUMIF('Cost Breakdowns'!$D$274:$D$287,"ISIC 01T03",'Cost Breakdowns'!$B$274:$B$287))*'Factors applied'!$E$740</f>
        <v/>
      </c>
      <c r="D9">
        <f>(SUMIF('Cost Breakdowns'!$D$274:$D$287,"ISIC 01T03",'Cost Breakdowns'!$B$274:$B$287))*'Factors applied'!$E$741</f>
        <v/>
      </c>
      <c r="E9">
        <f>(SUMIF('Cost Breakdowns'!$D$274:$D$287,"ISIC 05",'Cost Breakdowns'!$B$274:$B$287))</f>
        <v/>
      </c>
      <c r="F9">
        <f>(SUMIF('Cost Breakdowns'!$D$274:$D$287,"ISIC 06",'Cost Breakdowns'!$B$274:$B$287))</f>
        <v/>
      </c>
      <c r="G9">
        <f>(SUMIF('Cost Breakdowns'!$D$274:$D$287,"ISIC 07T08",'Cost Breakdowns'!$B$274:$B$287))*'Factors applied'!$E$742</f>
        <v/>
      </c>
      <c r="H9">
        <f>(SUMIF('Cost Breakdowns'!$D$274:$D$287,"ISIC 07T08",'Cost Breakdowns'!$B$274:$B$287))*'Factors applied'!$E$743</f>
        <v/>
      </c>
      <c r="I9">
        <f>(SUMIF('Cost Breakdowns'!$D$274:$D$287,"ISIC 09",'Cost Breakdowns'!$B$274:$B$287))</f>
        <v/>
      </c>
      <c r="J9">
        <f>(SUMIF('Cost Breakdowns'!$D$274:$D$287,"ISIC 10T12",'Cost Breakdowns'!$B$274:$B$287))</f>
        <v/>
      </c>
      <c r="K9">
        <f>(SUMIF('Cost Breakdowns'!$D$274:$D$287,"ISIC 13T15",'Cost Breakdowns'!$B$274:$B$287))</f>
        <v/>
      </c>
      <c r="L9">
        <f>(SUMIF('Cost Breakdowns'!$D$274:$D$287,"ISIC 16",'Cost Breakdowns'!$B$274:$B$287))</f>
        <v/>
      </c>
      <c r="M9">
        <f>(SUMIF('Cost Breakdowns'!$D$274:$D$287,"ISIC 17T18",'Cost Breakdowns'!$B$274:$B$287))</f>
        <v/>
      </c>
      <c r="N9">
        <f>(SUMIF('Cost Breakdowns'!$D$274:$D$287,"ISIC 19",'Cost Breakdowns'!$B$274:$B$287))</f>
        <v/>
      </c>
      <c r="O9">
        <f>(SUMIF('Cost Breakdowns'!$D$274:$D$287,"ISIC 20",'Cost Breakdowns'!$B$274:$B$287))</f>
        <v/>
      </c>
      <c r="P9">
        <f>(SUMIF('Cost Breakdowns'!$D$274:$D$287,"ISIC 21",'Cost Breakdowns'!$B$274:$B$287))</f>
        <v/>
      </c>
      <c r="Q9">
        <f>(SUMIF('Cost Breakdowns'!$D$274:$D$287,"ISIC 22",'Cost Breakdowns'!$B$274:$B$287))</f>
        <v/>
      </c>
      <c r="R9">
        <f>(SUMIF('Cost Breakdowns'!$D$274:$D$287,"ISIC 231",'Cost Breakdowns'!$B$274:$B$287))</f>
        <v/>
      </c>
      <c r="S9">
        <f>(SUMIF('Cost Breakdowns'!$D$274:$D$287,"ISIC 239",'Cost Breakdowns'!$B$274:$B$287))</f>
        <v/>
      </c>
      <c r="T9">
        <f>(SUMIF('Cost Breakdowns'!$D$274:$D$287,"ISIC 241",'Cost Breakdowns'!$B$274:$B$287))</f>
        <v/>
      </c>
      <c r="U9">
        <f>(SUMIF('Cost Breakdowns'!$D$274:$D$287,"ISIC 242",'Cost Breakdowns'!$B$274:$B$287))</f>
        <v/>
      </c>
      <c r="V9">
        <f>(SUMIF('Cost Breakdowns'!$D$274:$D$287,"ISIC 25",'Cost Breakdowns'!$B$274:$B$287))</f>
        <v/>
      </c>
      <c r="W9">
        <f>(SUMIF('Cost Breakdowns'!$D$274:$D$287,"ISIC 26",'Cost Breakdowns'!$B$274:$B$287))</f>
        <v/>
      </c>
      <c r="X9">
        <f>(SUMIF('Cost Breakdowns'!$D$274:$D$287,"ISIC 27",'Cost Breakdowns'!$B$274:$B$287))</f>
        <v/>
      </c>
      <c r="Y9">
        <f>(SUMIF('Cost Breakdowns'!$D$274:$D$287,"ISIC 28",'Cost Breakdowns'!$B$274:$B$287))</f>
        <v/>
      </c>
      <c r="Z9">
        <f>(SUMIF('Cost Breakdowns'!$D$274:$D$287,"ISIC 29",'Cost Breakdowns'!$B$274:$B$287))</f>
        <v/>
      </c>
      <c r="AA9">
        <f>(SUMIF('Cost Breakdowns'!$D$274:$D$287,"ISIC 30",'Cost Breakdowns'!$B$274:$B$287))*'Factors applied'!$E$744</f>
        <v/>
      </c>
      <c r="AB9">
        <f>(SUMIF('Cost Breakdowns'!$D$274:$D$287,"ISIC 30",'Cost Breakdowns'!$B$274:$B$287))*'Factors applied'!$E$745</f>
        <v/>
      </c>
      <c r="AC9">
        <f>(SUMIF('Cost Breakdowns'!$D$274:$D$287,"ISIC 31T33",'Cost Breakdowns'!$B$274:$B$287))</f>
        <v/>
      </c>
      <c r="AD9">
        <f>(SUMIF('Cost Breakdowns'!$D$274:$D$287,"ISIC 351",'Cost Breakdowns'!$B$274:$B$287))</f>
        <v/>
      </c>
      <c r="AE9">
        <f>(SUMIF('Cost Breakdowns'!$D$274:$D$287,"ISIC 352T353",'Cost Breakdowns'!$B$274:$B$287))</f>
        <v/>
      </c>
      <c r="AF9">
        <f>(SUMIF('Cost Breakdowns'!$D$274:$D$287,"ISIC 36T39",'Cost Breakdowns'!$B$274:$B$287))</f>
        <v/>
      </c>
      <c r="AG9">
        <f>(SUMIF('Cost Breakdowns'!$D$274:$D$287,"ISIC 41T43",'Cost Breakdowns'!$B$274:$B$287))</f>
        <v/>
      </c>
      <c r="AH9">
        <f>(SUMIF('Cost Breakdowns'!$D$274:$D$287,"ISIC 45T47",'Cost Breakdowns'!$B$274:$B$287))</f>
        <v/>
      </c>
      <c r="AI9">
        <f>(SUMIF('Cost Breakdowns'!$D$274:$D$287,"ISIC 49T53",'Cost Breakdowns'!$B$274:$B$287))*'Factors applied'!$E$746</f>
        <v/>
      </c>
      <c r="AJ9">
        <f>(SUMIF('Cost Breakdowns'!$D$274:$D$287,"ISIC 49T53",'Cost Breakdowns'!$B$274:$B$287))*'Factors applied'!$E$747</f>
        <v/>
      </c>
      <c r="AK9">
        <f>(SUMIF('Cost Breakdowns'!$D$274:$D$287,"ISIC 49T53",'Cost Breakdowns'!$B$274:$B$287))*'Factors applied'!$E$748</f>
        <v/>
      </c>
      <c r="AL9">
        <f>(SUMIF('Cost Breakdowns'!$D$274:$D$287,"ISIC 49T53",'Cost Breakdowns'!$B$274:$B$287))*'Factors applied'!$E$749</f>
        <v/>
      </c>
      <c r="AM9">
        <f>(SUMIF('Cost Breakdowns'!$D$274:$D$287,"ISIC 49T53",'Cost Breakdowns'!$B$274:$B$287))*'Factors applied'!$E$750</f>
        <v/>
      </c>
      <c r="AN9">
        <f>(SUMIF('Cost Breakdowns'!$D$274:$D$287,"ISIC 55T56",'Cost Breakdowns'!$B$274:$B$287))</f>
        <v/>
      </c>
      <c r="AO9">
        <f>(SUMIF('Cost Breakdowns'!$D$274:$D$287,"ISIC 58T60",'Cost Breakdowns'!$B$274:$B$287))</f>
        <v/>
      </c>
      <c r="AP9">
        <f>(SUMIF('Cost Breakdowns'!$D$274:$D$287,"ISIC 61",'Cost Breakdowns'!$B$274:$B$287))</f>
        <v/>
      </c>
      <c r="AQ9">
        <f>(SUMIF('Cost Breakdowns'!$D$274:$D$287,"ISIC 62T63",'Cost Breakdowns'!$B$274:$B$287))</f>
        <v/>
      </c>
      <c r="AR9">
        <f>(SUMIF('Cost Breakdowns'!$D$274:$D$287,"ISIC 64T66",'Cost Breakdowns'!$B$274:$B$287))</f>
        <v/>
      </c>
      <c r="AS9">
        <f>(SUMIF('Cost Breakdowns'!$D$274:$D$287,"ISIC 68",'Cost Breakdowns'!$B$274:$B$287))</f>
        <v/>
      </c>
      <c r="AT9">
        <f>(SUMIF('Cost Breakdowns'!$D$274:$D$287,"ISIC 69T82",'Cost Breakdowns'!$B$274:$B$287))*'Factors applied'!$E$751</f>
        <v/>
      </c>
      <c r="AU9">
        <f>(SUMIF('Cost Breakdowns'!$D$274:$D$287,"ISIC 69T82",'Cost Breakdowns'!$B$274:$B$287))*'Factors applied'!$E$752</f>
        <v/>
      </c>
      <c r="AV9">
        <f>(SUMIF('Cost Breakdowns'!$D$274:$D$287,"ISIC 84",'Cost Breakdowns'!$B$274:$B$287))</f>
        <v/>
      </c>
      <c r="AW9">
        <f>(SUMIF('Cost Breakdowns'!$D$274:$D$287,"ISIC 85",'Cost Breakdowns'!$B$274:$B$287))</f>
        <v/>
      </c>
      <c r="AX9">
        <f>(SUMIF('Cost Breakdowns'!$D$274:$D$287,"ISIC 86T88",'Cost Breakdowns'!$B$274:$B$287))</f>
        <v/>
      </c>
      <c r="AY9">
        <f>(SUMIF('Cost Breakdowns'!$D$274:$D$287,"ISIC 90T96",'Cost Breakdowns'!$B$274:$B$287))*'Factors applied'!$E$753</f>
        <v/>
      </c>
      <c r="AZ9">
        <f>(SUMIF('Cost Breakdowns'!$D$274:$D$287,"ISIC 90T96",'Cost Breakdowns'!$B$274:$B$287))*'Factors applied'!$E$754</f>
        <v/>
      </c>
      <c r="BA9">
        <f>(SUMIF('Cost Breakdowns'!$D$274:$D$287,"ISIC 97T98",'Cost Breakdowns'!$B$274:$B$287))</f>
        <v/>
      </c>
    </row>
    <row r="10">
      <c r="A10" t="inlineStr">
        <is>
          <t>biomass</t>
        </is>
      </c>
      <c r="B10">
        <f>(SUMIF('Cost Breakdowns'!$D$229:$D$229,"ISIC 01T03",'Cost Breakdowns'!$B$229:$B$229))*'Factors applied'!$E$387</f>
        <v/>
      </c>
      <c r="C10">
        <f>(SUMIF('Cost Breakdowns'!$D$229:$D$229,"ISIC 01T03",'Cost Breakdowns'!$B$229:$B$229))*'Factors applied'!$E$388</f>
        <v/>
      </c>
      <c r="D10">
        <f>(SUMIF('Cost Breakdowns'!$D$229:$D$229,"ISIC 01T03",'Cost Breakdowns'!$B$229:$B$229))*'Factors applied'!$E$389</f>
        <v/>
      </c>
      <c r="E10">
        <f>(SUMIF('Cost Breakdowns'!$D$229:$D$229,"ISIC 05",'Cost Breakdowns'!$B$229:$B$229))</f>
        <v/>
      </c>
      <c r="F10">
        <f>(SUMIF('Cost Breakdowns'!$D$229:$D$229,"ISIC 06",'Cost Breakdowns'!$B$229:$B$229))</f>
        <v/>
      </c>
      <c r="G10">
        <f>(SUMIF('Cost Breakdowns'!$D$229:$D$229,"ISIC 07T08",'Cost Breakdowns'!$B$229:$B$229))*'Factors applied'!$E$390</f>
        <v/>
      </c>
      <c r="H10">
        <f>(SUMIF('Cost Breakdowns'!$D$229:$D$229,"ISIC 07T08",'Cost Breakdowns'!$B$229:$B$229))*'Factors applied'!$E$391</f>
        <v/>
      </c>
      <c r="I10">
        <f>(SUMIF('Cost Breakdowns'!$D$229:$D$229,"ISIC 09",'Cost Breakdowns'!$B$229:$B$229))</f>
        <v/>
      </c>
      <c r="J10">
        <f>(SUMIF('Cost Breakdowns'!$D$229:$D$229,"ISIC 10T12",'Cost Breakdowns'!$B$229:$B$229))</f>
        <v/>
      </c>
      <c r="K10">
        <f>(SUMIF('Cost Breakdowns'!$D$229:$D$229,"ISIC 13T15",'Cost Breakdowns'!$B$229:$B$229))</f>
        <v/>
      </c>
      <c r="L10">
        <f>(SUMIF('Cost Breakdowns'!$D$229:$D$229,"ISIC 16",'Cost Breakdowns'!$B$229:$B$229))</f>
        <v/>
      </c>
      <c r="M10">
        <f>(SUMIF('Cost Breakdowns'!$D$229:$D$229,"ISIC 17T18",'Cost Breakdowns'!$B$229:$B$229))</f>
        <v/>
      </c>
      <c r="N10">
        <f>(SUMIF('Cost Breakdowns'!$D$229:$D$229,"ISIC 19",'Cost Breakdowns'!$B$229:$B$229))</f>
        <v/>
      </c>
      <c r="O10">
        <f>(SUMIF('Cost Breakdowns'!$D$229:$D$229,"ISIC 20",'Cost Breakdowns'!$B$229:$B$229))</f>
        <v/>
      </c>
      <c r="P10">
        <f>(SUMIF('Cost Breakdowns'!$D$229:$D$229,"ISIC 21",'Cost Breakdowns'!$B$229:$B$229))</f>
        <v/>
      </c>
      <c r="Q10">
        <f>(SUMIF('Cost Breakdowns'!$D$229:$D$229,"ISIC 22",'Cost Breakdowns'!$B$229:$B$229))</f>
        <v/>
      </c>
      <c r="R10">
        <f>(SUMIF('Cost Breakdowns'!$D$229:$D$229,"ISIC 231",'Cost Breakdowns'!$B$229:$B$229))</f>
        <v/>
      </c>
      <c r="S10">
        <f>(SUMIF('Cost Breakdowns'!$D$229:$D$229,"ISIC 239",'Cost Breakdowns'!$B$229:$B$229))</f>
        <v/>
      </c>
      <c r="T10">
        <f>(SUMIF('Cost Breakdowns'!$D$229:$D$229,"ISIC 241",'Cost Breakdowns'!$B$229:$B$229))</f>
        <v/>
      </c>
      <c r="U10">
        <f>(SUMIF('Cost Breakdowns'!$D$229:$D$229,"ISIC 242",'Cost Breakdowns'!$B$229:$B$229))</f>
        <v/>
      </c>
      <c r="V10">
        <f>(SUMIF('Cost Breakdowns'!$D$229:$D$229,"ISIC 25",'Cost Breakdowns'!$B$229:$B$229))</f>
        <v/>
      </c>
      <c r="W10">
        <f>(SUMIF('Cost Breakdowns'!$D$229:$D$229,"ISIC 26",'Cost Breakdowns'!$B$229:$B$229))</f>
        <v/>
      </c>
      <c r="X10">
        <f>(SUMIF('Cost Breakdowns'!$D$229:$D$229,"ISIC 27",'Cost Breakdowns'!$B$229:$B$229))</f>
        <v/>
      </c>
      <c r="Y10">
        <f>(SUMIF('Cost Breakdowns'!$D$229:$D$229,"ISIC 28",'Cost Breakdowns'!$B$229:$B$229))</f>
        <v/>
      </c>
      <c r="Z10">
        <f>(SUMIF('Cost Breakdowns'!$D$229:$D$229,"ISIC 29",'Cost Breakdowns'!$B$229:$B$229))</f>
        <v/>
      </c>
      <c r="AA10">
        <f>(SUMIF('Cost Breakdowns'!$D$229:$D$229,"ISIC 30",'Cost Breakdowns'!$B$229:$B$229))*'Factors applied'!$E$392</f>
        <v/>
      </c>
      <c r="AB10">
        <f>(SUMIF('Cost Breakdowns'!$D$229:$D$229,"ISIC 30",'Cost Breakdowns'!$B$229:$B$229))*'Factors applied'!$E$393</f>
        <v/>
      </c>
      <c r="AC10">
        <f>(SUMIF('Cost Breakdowns'!$D$229:$D$229,"ISIC 31T33",'Cost Breakdowns'!$B$229:$B$229))</f>
        <v/>
      </c>
      <c r="AD10">
        <f>(SUMIF('Cost Breakdowns'!$D$229:$D$229,"ISIC 351",'Cost Breakdowns'!$B$229:$B$229))</f>
        <v/>
      </c>
      <c r="AE10">
        <f>(SUMIF('Cost Breakdowns'!$D$229:$D$229,"ISIC 352T353",'Cost Breakdowns'!$B$229:$B$229))</f>
        <v/>
      </c>
      <c r="AF10">
        <f>(SUMIF('Cost Breakdowns'!$D$229:$D$229,"ISIC 36T39",'Cost Breakdowns'!$B$229:$B$229))</f>
        <v/>
      </c>
      <c r="AG10">
        <f>(SUMIF('Cost Breakdowns'!$D$229:$D$229,"ISIC 41T43",'Cost Breakdowns'!$B$229:$B$229))</f>
        <v/>
      </c>
      <c r="AH10">
        <f>(SUMIF('Cost Breakdowns'!$D$229:$D$229,"ISIC 45T47",'Cost Breakdowns'!$B$229:$B$229))</f>
        <v/>
      </c>
      <c r="AI10">
        <f>(SUMIF('Cost Breakdowns'!$D$229:$D$229,"ISIC 49T53",'Cost Breakdowns'!$B$229:$B$229))*'Factors applied'!$E$394</f>
        <v/>
      </c>
      <c r="AJ10">
        <f>(SUMIF('Cost Breakdowns'!$D$229:$D$229,"ISIC 49T53",'Cost Breakdowns'!$B$229:$B$229))*'Factors applied'!$E$395</f>
        <v/>
      </c>
      <c r="AK10">
        <f>(SUMIF('Cost Breakdowns'!$D$229:$D$229,"ISIC 49T53",'Cost Breakdowns'!$B$229:$B$229))*'Factors applied'!$E$396</f>
        <v/>
      </c>
      <c r="AL10">
        <f>(SUMIF('Cost Breakdowns'!$D$229:$D$229,"ISIC 49T53",'Cost Breakdowns'!$B$229:$B$229))*'Factors applied'!$E$397</f>
        <v/>
      </c>
      <c r="AM10">
        <f>(SUMIF('Cost Breakdowns'!$D$229:$D$229,"ISIC 49T53",'Cost Breakdowns'!$B$229:$B$229))*'Factors applied'!$E$398</f>
        <v/>
      </c>
      <c r="AN10">
        <f>(SUMIF('Cost Breakdowns'!$D$229:$D$229,"ISIC 55T56",'Cost Breakdowns'!$B$229:$B$229))</f>
        <v/>
      </c>
      <c r="AO10">
        <f>(SUMIF('Cost Breakdowns'!$D$229:$D$229,"ISIC 58T60",'Cost Breakdowns'!$B$229:$B$229))</f>
        <v/>
      </c>
      <c r="AP10">
        <f>(SUMIF('Cost Breakdowns'!$D$229:$D$229,"ISIC 61",'Cost Breakdowns'!$B$229:$B$229))</f>
        <v/>
      </c>
      <c r="AQ10">
        <f>(SUMIF('Cost Breakdowns'!$D$229:$D$229,"ISIC 62T63",'Cost Breakdowns'!$B$229:$B$229))</f>
        <v/>
      </c>
      <c r="AR10">
        <f>(SUMIF('Cost Breakdowns'!$D$229:$D$229,"ISIC 64T66",'Cost Breakdowns'!$B$229:$B$229))</f>
        <v/>
      </c>
      <c r="AS10">
        <f>(SUMIF('Cost Breakdowns'!$D$229:$D$229,"ISIC 68",'Cost Breakdowns'!$B$229:$B$229))</f>
        <v/>
      </c>
      <c r="AT10">
        <f>(SUMIF('Cost Breakdowns'!$D$229:$D$229,"ISIC 69T82",'Cost Breakdowns'!$B$229:$B$229))*'Factors applied'!$E$399</f>
        <v/>
      </c>
      <c r="AU10">
        <f>(SUMIF('Cost Breakdowns'!$D$229:$D$229,"ISIC 69T82",'Cost Breakdowns'!$B$229:$B$229))*'Factors applied'!$E$400</f>
        <v/>
      </c>
      <c r="AV10">
        <f>(SUMIF('Cost Breakdowns'!$D$229:$D$229,"ISIC 84",'Cost Breakdowns'!$B$229:$B$229))</f>
        <v/>
      </c>
      <c r="AW10">
        <f>(SUMIF('Cost Breakdowns'!$D$229:$D$229,"ISIC 85",'Cost Breakdowns'!$B$229:$B$229))</f>
        <v/>
      </c>
      <c r="AX10">
        <f>(SUMIF('Cost Breakdowns'!$D$229:$D$229,"ISIC 86T88",'Cost Breakdowns'!$B$229:$B$229))</f>
        <v/>
      </c>
      <c r="AY10">
        <f>(SUMIF('Cost Breakdowns'!$D$229:$D$229,"ISIC 90T96",'Cost Breakdowns'!$B$229:$B$229))*'Factors applied'!$E$401</f>
        <v/>
      </c>
      <c r="AZ10">
        <f>(SUMIF('Cost Breakdowns'!$D$229:$D$229,"ISIC 90T96",'Cost Breakdowns'!$B$229:$B$229))*'Factors applied'!$E$402</f>
        <v/>
      </c>
      <c r="BA10">
        <f>(SUMIF('Cost Breakdowns'!$D$229:$D$229,"ISIC 97T98",'Cost Breakdowns'!$B$229:$B$229))</f>
        <v/>
      </c>
    </row>
    <row r="11">
      <c r="A11" t="inlineStr">
        <is>
          <t>geothermal</t>
        </is>
      </c>
      <c r="B11">
        <f>(SUMIF('Cost Breakdowns'!$D$308:$D$311,"ISIC 01T03",'Cost Breakdowns'!$B$308:$B$311))*'Factors applied'!$E$435</f>
        <v/>
      </c>
      <c r="C11">
        <f>(SUMIF('Cost Breakdowns'!$D$308:$D$311,"ISIC 01T03",'Cost Breakdowns'!$B$308:$B$311))*'Factors applied'!$E$436</f>
        <v/>
      </c>
      <c r="D11">
        <f>(SUMIF('Cost Breakdowns'!$D$308:$D$311,"ISIC 01T03",'Cost Breakdowns'!$B$308:$B$311))*'Factors applied'!$E$437</f>
        <v/>
      </c>
      <c r="E11">
        <f>(SUMIF('Cost Breakdowns'!$D$308:$D$311,"ISIC 05",'Cost Breakdowns'!$B$308:$B$311))</f>
        <v/>
      </c>
      <c r="F11">
        <f>(SUMIF('Cost Breakdowns'!$D$308:$D$311,"ISIC 06",'Cost Breakdowns'!$B$308:$B$311))</f>
        <v/>
      </c>
      <c r="G11">
        <f>(SUMIF('Cost Breakdowns'!$D$308:$D$311,"ISIC 07T08",'Cost Breakdowns'!$B$308:$B$311))*'Factors applied'!$E$438</f>
        <v/>
      </c>
      <c r="H11">
        <f>(SUMIF('Cost Breakdowns'!$D$308:$D$311,"ISIC 07T08",'Cost Breakdowns'!$B$308:$B$311))*'Factors applied'!$E$439</f>
        <v/>
      </c>
      <c r="I11">
        <f>(SUMIF('Cost Breakdowns'!$D$308:$D$311,"ISIC 09",'Cost Breakdowns'!$B$308:$B$311))</f>
        <v/>
      </c>
      <c r="J11">
        <f>(SUMIF('Cost Breakdowns'!$D$308:$D$311,"ISIC 10T12",'Cost Breakdowns'!$B$308:$B$311))</f>
        <v/>
      </c>
      <c r="K11">
        <f>(SUMIF('Cost Breakdowns'!$D$308:$D$311,"ISIC 13T15",'Cost Breakdowns'!$B$308:$B$311))</f>
        <v/>
      </c>
      <c r="L11">
        <f>(SUMIF('Cost Breakdowns'!$D$308:$D$311,"ISIC 16",'Cost Breakdowns'!$B$308:$B$311))</f>
        <v/>
      </c>
      <c r="M11">
        <f>(SUMIF('Cost Breakdowns'!$D$308:$D$311,"ISIC 17T18",'Cost Breakdowns'!$B$308:$B$311))</f>
        <v/>
      </c>
      <c r="N11">
        <f>(SUMIF('Cost Breakdowns'!$D$308:$D$311,"ISIC 19",'Cost Breakdowns'!$B$308:$B$311))</f>
        <v/>
      </c>
      <c r="O11">
        <f>(SUMIF('Cost Breakdowns'!$D$308:$D$311,"ISIC 20",'Cost Breakdowns'!$B$308:$B$311))</f>
        <v/>
      </c>
      <c r="P11">
        <f>(SUMIF('Cost Breakdowns'!$D$308:$D$311,"ISIC 21",'Cost Breakdowns'!$B$308:$B$311))</f>
        <v/>
      </c>
      <c r="Q11">
        <f>(SUMIF('Cost Breakdowns'!$D$308:$D$311,"ISIC 22",'Cost Breakdowns'!$B$308:$B$311))</f>
        <v/>
      </c>
      <c r="R11">
        <f>(SUMIF('Cost Breakdowns'!$D$308:$D$311,"ISIC 231",'Cost Breakdowns'!$B$308:$B$311))</f>
        <v/>
      </c>
      <c r="S11">
        <f>(SUMIF('Cost Breakdowns'!$D$308:$D$311,"ISIC 239",'Cost Breakdowns'!$B$308:$B$311))</f>
        <v/>
      </c>
      <c r="T11">
        <f>(SUMIF('Cost Breakdowns'!$D$308:$D$311,"ISIC 241",'Cost Breakdowns'!$B$308:$B$311))</f>
        <v/>
      </c>
      <c r="U11">
        <f>(SUMIF('Cost Breakdowns'!$D$308:$D$311,"ISIC 242",'Cost Breakdowns'!$B$308:$B$311))</f>
        <v/>
      </c>
      <c r="V11">
        <f>(SUMIF('Cost Breakdowns'!$D$308:$D$311,"ISIC 25",'Cost Breakdowns'!$B$308:$B$311))</f>
        <v/>
      </c>
      <c r="W11">
        <f>(SUMIF('Cost Breakdowns'!$D$308:$D$311,"ISIC 26",'Cost Breakdowns'!$B$308:$B$311))</f>
        <v/>
      </c>
      <c r="X11">
        <f>(SUMIF('Cost Breakdowns'!$D$308:$D$311,"ISIC 27",'Cost Breakdowns'!$B$308:$B$311))</f>
        <v/>
      </c>
      <c r="Y11">
        <f>(SUMIF('Cost Breakdowns'!$D$308:$D$311,"ISIC 28",'Cost Breakdowns'!$B$308:$B$311))</f>
        <v/>
      </c>
      <c r="Z11">
        <f>(SUMIF('Cost Breakdowns'!$D$308:$D$311,"ISIC 29",'Cost Breakdowns'!$B$308:$B$311))</f>
        <v/>
      </c>
      <c r="AA11">
        <f>(SUMIF('Cost Breakdowns'!$D$308:$D$311,"ISIC 30",'Cost Breakdowns'!$B$308:$B$311))*'Factors applied'!$E$440</f>
        <v/>
      </c>
      <c r="AB11">
        <f>(SUMIF('Cost Breakdowns'!$D$308:$D$311,"ISIC 30",'Cost Breakdowns'!$B$308:$B$311))*'Factors applied'!$E$441</f>
        <v/>
      </c>
      <c r="AC11">
        <f>(SUMIF('Cost Breakdowns'!$D$308:$D$311,"ISIC 31T33",'Cost Breakdowns'!$B$308:$B$311))</f>
        <v/>
      </c>
      <c r="AD11">
        <f>(SUMIF('Cost Breakdowns'!$D$308:$D$311,"ISIC 351",'Cost Breakdowns'!$B$308:$B$311))</f>
        <v/>
      </c>
      <c r="AE11">
        <f>(SUMIF('Cost Breakdowns'!$D$308:$D$311,"ISIC 352T353",'Cost Breakdowns'!$B$308:$B$311))</f>
        <v/>
      </c>
      <c r="AF11">
        <f>(SUMIF('Cost Breakdowns'!$D$308:$D$311,"ISIC 36T39",'Cost Breakdowns'!$B$308:$B$311))</f>
        <v/>
      </c>
      <c r="AG11">
        <f>(SUMIF('Cost Breakdowns'!$D$308:$D$311,"ISIC 41T43",'Cost Breakdowns'!$B$308:$B$311))</f>
        <v/>
      </c>
      <c r="AH11">
        <f>(SUMIF('Cost Breakdowns'!$D$308:$D$311,"ISIC 45T47",'Cost Breakdowns'!$B$308:$B$311))</f>
        <v/>
      </c>
      <c r="AI11">
        <f>(SUMIF('Cost Breakdowns'!$D$308:$D$311,"ISIC 49T53",'Cost Breakdowns'!$B$308:$B$311))*'Factors applied'!$E$442</f>
        <v/>
      </c>
      <c r="AJ11">
        <f>(SUMIF('Cost Breakdowns'!$D$308:$D$311,"ISIC 49T53",'Cost Breakdowns'!$B$308:$B$311))*'Factors applied'!$E$443</f>
        <v/>
      </c>
      <c r="AK11">
        <f>(SUMIF('Cost Breakdowns'!$D$308:$D$311,"ISIC 49T53",'Cost Breakdowns'!$B$308:$B$311))*'Factors applied'!$E$444</f>
        <v/>
      </c>
      <c r="AL11">
        <f>(SUMIF('Cost Breakdowns'!$D$308:$D$311,"ISIC 49T53",'Cost Breakdowns'!$B$308:$B$311))*'Factors applied'!$E$445</f>
        <v/>
      </c>
      <c r="AM11">
        <f>(SUMIF('Cost Breakdowns'!$D$308:$D$311,"ISIC 49T53",'Cost Breakdowns'!$B$308:$B$311))*'Factors applied'!$E$446</f>
        <v/>
      </c>
      <c r="AN11">
        <f>(SUMIF('Cost Breakdowns'!$D$308:$D$311,"ISIC 55T56",'Cost Breakdowns'!$B$308:$B$311))</f>
        <v/>
      </c>
      <c r="AO11">
        <f>(SUMIF('Cost Breakdowns'!$D$308:$D$311,"ISIC 58T60",'Cost Breakdowns'!$B$308:$B$311))</f>
        <v/>
      </c>
      <c r="AP11">
        <f>(SUMIF('Cost Breakdowns'!$D$308:$D$311,"ISIC 61",'Cost Breakdowns'!$B$308:$B$311))</f>
        <v/>
      </c>
      <c r="AQ11">
        <f>(SUMIF('Cost Breakdowns'!$D$308:$D$311,"ISIC 62T63",'Cost Breakdowns'!$B$308:$B$311))</f>
        <v/>
      </c>
      <c r="AR11">
        <f>(SUMIF('Cost Breakdowns'!$D$308:$D$311,"ISIC 64T66",'Cost Breakdowns'!$B$308:$B$311))</f>
        <v/>
      </c>
      <c r="AS11">
        <f>(SUMIF('Cost Breakdowns'!$D$308:$D$311,"ISIC 68",'Cost Breakdowns'!$B$308:$B$311))</f>
        <v/>
      </c>
      <c r="AT11">
        <f>(SUMIF('Cost Breakdowns'!$D$308:$D$311,"ISIC 69T82",'Cost Breakdowns'!$B$308:$B$311))*'Factors applied'!$E$447</f>
        <v/>
      </c>
      <c r="AU11">
        <f>(SUMIF('Cost Breakdowns'!$D$308:$D$311,"ISIC 69T82",'Cost Breakdowns'!$B$308:$B$311))*'Factors applied'!$E$448</f>
        <v/>
      </c>
      <c r="AV11">
        <f>(SUMIF('Cost Breakdowns'!$D$308:$D$311,"ISIC 84",'Cost Breakdowns'!$B$308:$B$311))</f>
        <v/>
      </c>
      <c r="AW11">
        <f>(SUMIF('Cost Breakdowns'!$D$308:$D$311,"ISIC 85",'Cost Breakdowns'!$B$308:$B$311))</f>
        <v/>
      </c>
      <c r="AX11">
        <f>(SUMIF('Cost Breakdowns'!$D$308:$D$311,"ISIC 86T88",'Cost Breakdowns'!$B$308:$B$311))</f>
        <v/>
      </c>
      <c r="AY11">
        <f>(SUMIF('Cost Breakdowns'!$D$308:$D$311,"ISIC 90T96",'Cost Breakdowns'!$B$308:$B$311))*'Factors applied'!$E$449</f>
        <v/>
      </c>
      <c r="AZ11">
        <f>(SUMIF('Cost Breakdowns'!$D$308:$D$311,"ISIC 90T96",'Cost Breakdowns'!$B$308:$B$311))*'Factors applied'!$E$450</f>
        <v/>
      </c>
      <c r="BA11">
        <f>(SUMIF('Cost Breakdowns'!$D$308:$D$311,"ISIC 97T98",'Cost Breakdowns'!$B$308:$B$311))</f>
        <v/>
      </c>
    </row>
    <row r="12">
      <c r="A12" t="inlineStr">
        <is>
          <t>petroleum</t>
        </is>
      </c>
      <c r="B12">
        <f>((SUMIF('Cost Breakdowns'!$D$135:$D$137,"ISIC 01T03",'Cost Breakdowns'!$B$135:$B$137)))*'Factors applied'!$E$691</f>
        <v/>
      </c>
      <c r="C12">
        <f>((SUMIF('Cost Breakdowns'!$D$135:$D$137,"ISIC 01T03",'Cost Breakdowns'!$B$135:$B$137)))*'Factors applied'!$E$692</f>
        <v/>
      </c>
      <c r="D12">
        <f>((SUMIF('Cost Breakdowns'!$D$135:$D$137,"ISIC 01T03",'Cost Breakdowns'!$B$135:$B$137)))*'Factors applied'!$E$693</f>
        <v/>
      </c>
      <c r="E12">
        <f>((SUMIF('Cost Breakdowns'!$D$135:$D$137,"ISIC 05",'Cost Breakdowns'!$B$135:$B$137)))</f>
        <v/>
      </c>
      <c r="F12">
        <f>((SUMIF('Cost Breakdowns'!$D$135:$D$137,"ISIC 06",'Cost Breakdowns'!$B$135:$B$137)))</f>
        <v/>
      </c>
      <c r="G12">
        <f>((SUMIF('Cost Breakdowns'!$D$135:$D$137,"ISIC 07T08",'Cost Breakdowns'!$B$135:$B$137)))*'Factors applied'!$E$694</f>
        <v/>
      </c>
      <c r="H12">
        <f>((SUMIF('Cost Breakdowns'!$D$135:$D$137,"ISIC 07T08",'Cost Breakdowns'!$B$135:$B$137)))*'Factors applied'!$E$695</f>
        <v/>
      </c>
      <c r="I12">
        <f>((SUMIF('Cost Breakdowns'!$D$135:$D$137,"ISIC 09",'Cost Breakdowns'!$B$135:$B$137)))</f>
        <v/>
      </c>
      <c r="J12">
        <f>((SUMIF('Cost Breakdowns'!$D$135:$D$137,"ISIC 10T12",'Cost Breakdowns'!$B$135:$B$137)))</f>
        <v/>
      </c>
      <c r="K12">
        <f>((SUMIF('Cost Breakdowns'!$D$135:$D$137,"ISIC 13T15",'Cost Breakdowns'!$B$135:$B$137)))</f>
        <v/>
      </c>
      <c r="L12">
        <f>((SUMIF('Cost Breakdowns'!$D$135:$D$137,"ISIC 16",'Cost Breakdowns'!$B$135:$B$137)))</f>
        <v/>
      </c>
      <c r="M12">
        <f>((SUMIF('Cost Breakdowns'!$D$135:$D$137,"ISIC 17T18",'Cost Breakdowns'!$B$135:$B$137)))</f>
        <v/>
      </c>
      <c r="N12">
        <f>((SUMIF('Cost Breakdowns'!$D$135:$D$137,"ISIC 19",'Cost Breakdowns'!$B$135:$B$137)))</f>
        <v/>
      </c>
      <c r="O12">
        <f>((SUMIF('Cost Breakdowns'!$D$135:$D$137,"ISIC 20",'Cost Breakdowns'!$B$135:$B$137)))</f>
        <v/>
      </c>
      <c r="P12">
        <f>((SUMIF('Cost Breakdowns'!$D$135:$D$137,"ISIC 21",'Cost Breakdowns'!$B$135:$B$137)))</f>
        <v/>
      </c>
      <c r="Q12">
        <f>((SUMIF('Cost Breakdowns'!$D$135:$D$137,"ISIC 22",'Cost Breakdowns'!$B$135:$B$137)))</f>
        <v/>
      </c>
      <c r="R12">
        <f>((SUMIF('Cost Breakdowns'!$D$135:$D$137,"ISIC 231",'Cost Breakdowns'!$B$135:$B$137)))</f>
        <v/>
      </c>
      <c r="S12">
        <f>((SUMIF('Cost Breakdowns'!$D$135:$D$137,"ISIC 239",'Cost Breakdowns'!$B$135:$B$137)))</f>
        <v/>
      </c>
      <c r="T12">
        <f>((SUMIF('Cost Breakdowns'!$D$135:$D$137,"ISIC 241",'Cost Breakdowns'!$B$135:$B$137)))</f>
        <v/>
      </c>
      <c r="U12">
        <f>((SUMIF('Cost Breakdowns'!$D$135:$D$137,"ISIC 242",'Cost Breakdowns'!$B$135:$B$137)))</f>
        <v/>
      </c>
      <c r="V12">
        <f>((SUMIF('Cost Breakdowns'!$D$135:$D$137,"ISIC 25",'Cost Breakdowns'!$B$135:$B$137)))</f>
        <v/>
      </c>
      <c r="W12">
        <f>((SUMIF('Cost Breakdowns'!$D$135:$D$137,"ISIC 26",'Cost Breakdowns'!$B$135:$B$137)))</f>
        <v/>
      </c>
      <c r="X12">
        <f>((SUMIF('Cost Breakdowns'!$D$135:$D$137,"ISIC 27",'Cost Breakdowns'!$B$135:$B$137)))</f>
        <v/>
      </c>
      <c r="Y12">
        <f>((SUMIF('Cost Breakdowns'!$D$135:$D$137,"ISIC 28",'Cost Breakdowns'!$B$135:$B$137)))</f>
        <v/>
      </c>
      <c r="Z12">
        <f>((SUMIF('Cost Breakdowns'!$D$135:$D$137,"ISIC 29",'Cost Breakdowns'!$B$135:$B$137)))</f>
        <v/>
      </c>
      <c r="AA12">
        <f>((SUMIF('Cost Breakdowns'!$D$135:$D$137,"ISIC 30",'Cost Breakdowns'!$B$135:$B$137)))*'Factors applied'!$E$696</f>
        <v/>
      </c>
      <c r="AB12">
        <f>((SUMIF('Cost Breakdowns'!$D$135:$D$137,"ISIC 30",'Cost Breakdowns'!$B$135:$B$137)))*'Factors applied'!$E$697</f>
        <v/>
      </c>
      <c r="AC12">
        <f>((SUMIF('Cost Breakdowns'!$D$135:$D$137,"ISIC 31T33",'Cost Breakdowns'!$B$135:$B$137)))</f>
        <v/>
      </c>
      <c r="AD12">
        <f>((SUMIF('Cost Breakdowns'!$D$135:$D$137,"ISIC 351",'Cost Breakdowns'!$B$135:$B$137)))</f>
        <v/>
      </c>
      <c r="AE12">
        <f>((SUMIF('Cost Breakdowns'!$D$135:$D$137,"ISIC 352T353",'Cost Breakdowns'!$B$135:$B$137)))</f>
        <v/>
      </c>
      <c r="AF12">
        <f>((SUMIF('Cost Breakdowns'!$D$135:$D$137,"ISIC 36T39",'Cost Breakdowns'!$B$135:$B$137)))</f>
        <v/>
      </c>
      <c r="AG12">
        <f>((SUMIF('Cost Breakdowns'!$D$135:$D$137,"ISIC 41T43",'Cost Breakdowns'!$B$135:$B$137)))</f>
        <v/>
      </c>
      <c r="AH12">
        <f>((SUMIF('Cost Breakdowns'!$D$135:$D$137,"ISIC 45T47",'Cost Breakdowns'!$B$135:$B$137)))</f>
        <v/>
      </c>
      <c r="AI12">
        <f>((SUMIF('Cost Breakdowns'!$D$135:$D$137,"ISIC 49T53",'Cost Breakdowns'!$B$135:$B$137)))*'Factors applied'!$E$698</f>
        <v/>
      </c>
      <c r="AJ12">
        <f>((SUMIF('Cost Breakdowns'!$D$135:$D$137,"ISIC 49T53",'Cost Breakdowns'!$B$135:$B$137)))*'Factors applied'!$E$699</f>
        <v/>
      </c>
      <c r="AK12">
        <f>((SUMIF('Cost Breakdowns'!$D$135:$D$137,"ISIC 49T53",'Cost Breakdowns'!$B$135:$B$137)))*'Factors applied'!$E$700</f>
        <v/>
      </c>
      <c r="AL12">
        <f>((SUMIF('Cost Breakdowns'!$D$135:$D$137,"ISIC 49T53",'Cost Breakdowns'!$B$135:$B$137)))*'Factors applied'!$E$701</f>
        <v/>
      </c>
      <c r="AM12">
        <f>((SUMIF('Cost Breakdowns'!$D$135:$D$137,"ISIC 49T53",'Cost Breakdowns'!$B$135:$B$137)))*'Factors applied'!$E$702</f>
        <v/>
      </c>
      <c r="AN12">
        <f>((SUMIF('Cost Breakdowns'!$D$135:$D$137,"ISIC 55T56",'Cost Breakdowns'!$B$135:$B$137)))</f>
        <v/>
      </c>
      <c r="AO12">
        <f>((SUMIF('Cost Breakdowns'!$D$135:$D$137,"ISIC 58T60",'Cost Breakdowns'!$B$135:$B$137)))</f>
        <v/>
      </c>
      <c r="AP12">
        <f>((SUMIF('Cost Breakdowns'!$D$135:$D$137,"ISIC 61",'Cost Breakdowns'!$B$135:$B$137)))</f>
        <v/>
      </c>
      <c r="AQ12">
        <f>((SUMIF('Cost Breakdowns'!$D$135:$D$137,"ISIC 62T63",'Cost Breakdowns'!$B$135:$B$137)))</f>
        <v/>
      </c>
      <c r="AR12">
        <f>((SUMIF('Cost Breakdowns'!$D$135:$D$137,"ISIC 64T66",'Cost Breakdowns'!$B$135:$B$137)))</f>
        <v/>
      </c>
      <c r="AS12">
        <f>((SUMIF('Cost Breakdowns'!$D$135:$D$137,"ISIC 68",'Cost Breakdowns'!$B$135:$B$137)))</f>
        <v/>
      </c>
      <c r="AT12">
        <f>((SUMIF('Cost Breakdowns'!$D$135:$D$137,"ISIC 69T82",'Cost Breakdowns'!$B$135:$B$137)))*'Factors applied'!$E$703</f>
        <v/>
      </c>
      <c r="AU12">
        <f>((SUMIF('Cost Breakdowns'!$D$135:$D$137,"ISIC 69T82",'Cost Breakdowns'!$B$135:$B$137)))*'Factors applied'!$E$704</f>
        <v/>
      </c>
      <c r="AV12">
        <f>((SUMIF('Cost Breakdowns'!$D$135:$D$137,"ISIC 84",'Cost Breakdowns'!$B$135:$B$137)))</f>
        <v/>
      </c>
      <c r="AW12">
        <f>((SUMIF('Cost Breakdowns'!$D$135:$D$137,"ISIC 85",'Cost Breakdowns'!$B$135:$B$137)))</f>
        <v/>
      </c>
      <c r="AX12">
        <f>((SUMIF('Cost Breakdowns'!$D$135:$D$137,"ISIC 86T88",'Cost Breakdowns'!$B$135:$B$137)))</f>
        <v/>
      </c>
      <c r="AY12">
        <f>((SUMIF('Cost Breakdowns'!$D$135:$D$137,"ISIC 90T96",'Cost Breakdowns'!$B$135:$B$137)))*'Factors applied'!$E$705</f>
        <v/>
      </c>
      <c r="AZ12">
        <f>((SUMIF('Cost Breakdowns'!$D$135:$D$137,"ISIC 90T96",'Cost Breakdowns'!$B$135:$B$137)))*'Factors applied'!$E$706</f>
        <v/>
      </c>
      <c r="BA12">
        <f>((SUMIF('Cost Breakdowns'!$D$135:$D$137,"ISIC 97T98",'Cost Breakdowns'!$B$135:$B$137)))</f>
        <v/>
      </c>
    </row>
    <row r="13">
      <c r="A13" t="inlineStr">
        <is>
          <t>natural gas peaker</t>
        </is>
      </c>
      <c r="B13">
        <f>((SUMIF('Cost Breakdowns'!$D$135:$D$137,"ISIC 01T03",'Cost Breakdowns'!$B$135:$B$137)))*'Factors applied'!$E$627</f>
        <v/>
      </c>
      <c r="C13">
        <f>((SUMIF('Cost Breakdowns'!$D$135:$D$137,"ISIC 01T03",'Cost Breakdowns'!$B$135:$B$137)))*'Factors applied'!$E$628</f>
        <v/>
      </c>
      <c r="D13">
        <f>((SUMIF('Cost Breakdowns'!$D$135:$D$137,"ISIC 01T03",'Cost Breakdowns'!$B$135:$B$137)))*'Factors applied'!$E$629</f>
        <v/>
      </c>
      <c r="E13">
        <f>((SUMIF('Cost Breakdowns'!$D$135:$D$137,"ISIC 05",'Cost Breakdowns'!$B$135:$B$137)))</f>
        <v/>
      </c>
      <c r="F13">
        <f>((SUMIF('Cost Breakdowns'!$D$135:$D$137,"ISIC 06",'Cost Breakdowns'!$B$135:$B$137)))</f>
        <v/>
      </c>
      <c r="G13">
        <f>((SUMIF('Cost Breakdowns'!$D$135:$D$137,"ISIC 07T08",'Cost Breakdowns'!$B$135:$B$137)))*'Factors applied'!$E$630</f>
        <v/>
      </c>
      <c r="H13">
        <f>((SUMIF('Cost Breakdowns'!$D$135:$D$137,"ISIC 07T08",'Cost Breakdowns'!$B$135:$B$137)))*'Factors applied'!$E$631</f>
        <v/>
      </c>
      <c r="I13">
        <f>((SUMIF('Cost Breakdowns'!$D$135:$D$137,"ISIC 09",'Cost Breakdowns'!$B$135:$B$137)))</f>
        <v/>
      </c>
      <c r="J13">
        <f>((SUMIF('Cost Breakdowns'!$D$135:$D$137,"ISIC 10T12",'Cost Breakdowns'!$B$135:$B$137)))</f>
        <v/>
      </c>
      <c r="K13">
        <f>((SUMIF('Cost Breakdowns'!$D$135:$D$137,"ISIC 13T15",'Cost Breakdowns'!$B$135:$B$137)))</f>
        <v/>
      </c>
      <c r="L13">
        <f>((SUMIF('Cost Breakdowns'!$D$135:$D$137,"ISIC 16",'Cost Breakdowns'!$B$135:$B$137)))</f>
        <v/>
      </c>
      <c r="M13">
        <f>((SUMIF('Cost Breakdowns'!$D$135:$D$137,"ISIC 17T18",'Cost Breakdowns'!$B$135:$B$137)))</f>
        <v/>
      </c>
      <c r="N13">
        <f>((SUMIF('Cost Breakdowns'!$D$135:$D$137,"ISIC 19",'Cost Breakdowns'!$B$135:$B$137)))</f>
        <v/>
      </c>
      <c r="O13">
        <f>((SUMIF('Cost Breakdowns'!$D$135:$D$137,"ISIC 20",'Cost Breakdowns'!$B$135:$B$137)))</f>
        <v/>
      </c>
      <c r="P13">
        <f>((SUMIF('Cost Breakdowns'!$D$135:$D$137,"ISIC 21",'Cost Breakdowns'!$B$135:$B$137)))</f>
        <v/>
      </c>
      <c r="Q13">
        <f>((SUMIF('Cost Breakdowns'!$D$135:$D$137,"ISIC 22",'Cost Breakdowns'!$B$135:$B$137)))</f>
        <v/>
      </c>
      <c r="R13">
        <f>((SUMIF('Cost Breakdowns'!$D$135:$D$137,"ISIC 231",'Cost Breakdowns'!$B$135:$B$137)))</f>
        <v/>
      </c>
      <c r="S13">
        <f>((SUMIF('Cost Breakdowns'!$D$135:$D$137,"ISIC 239",'Cost Breakdowns'!$B$135:$B$137)))</f>
        <v/>
      </c>
      <c r="T13">
        <f>((SUMIF('Cost Breakdowns'!$D$135:$D$137,"ISIC 241",'Cost Breakdowns'!$B$135:$B$137)))</f>
        <v/>
      </c>
      <c r="U13">
        <f>((SUMIF('Cost Breakdowns'!$D$135:$D$137,"ISIC 242",'Cost Breakdowns'!$B$135:$B$137)))</f>
        <v/>
      </c>
      <c r="V13">
        <f>((SUMIF('Cost Breakdowns'!$D$135:$D$137,"ISIC 25",'Cost Breakdowns'!$B$135:$B$137)))</f>
        <v/>
      </c>
      <c r="W13">
        <f>((SUMIF('Cost Breakdowns'!$D$135:$D$137,"ISIC 26",'Cost Breakdowns'!$B$135:$B$137)))</f>
        <v/>
      </c>
      <c r="X13">
        <f>((SUMIF('Cost Breakdowns'!$D$135:$D$137,"ISIC 27",'Cost Breakdowns'!$B$135:$B$137)))</f>
        <v/>
      </c>
      <c r="Y13">
        <f>((SUMIF('Cost Breakdowns'!$D$135:$D$137,"ISIC 28",'Cost Breakdowns'!$B$135:$B$137)))</f>
        <v/>
      </c>
      <c r="Z13">
        <f>((SUMIF('Cost Breakdowns'!$D$135:$D$137,"ISIC 29",'Cost Breakdowns'!$B$135:$B$137)))</f>
        <v/>
      </c>
      <c r="AA13">
        <f>((SUMIF('Cost Breakdowns'!$D$135:$D$137,"ISIC 30",'Cost Breakdowns'!$B$135:$B$137)))*'Factors applied'!$E$632</f>
        <v/>
      </c>
      <c r="AB13">
        <f>((SUMIF('Cost Breakdowns'!$D$135:$D$137,"ISIC 30",'Cost Breakdowns'!$B$135:$B$137)))*'Factors applied'!$E$633</f>
        <v/>
      </c>
      <c r="AC13">
        <f>((SUMIF('Cost Breakdowns'!$D$135:$D$137,"ISIC 31T33",'Cost Breakdowns'!$B$135:$B$137)))</f>
        <v/>
      </c>
      <c r="AD13">
        <f>((SUMIF('Cost Breakdowns'!$D$135:$D$137,"ISIC 351",'Cost Breakdowns'!$B$135:$B$137)))</f>
        <v/>
      </c>
      <c r="AE13">
        <f>((SUMIF('Cost Breakdowns'!$D$135:$D$137,"ISIC 352T353",'Cost Breakdowns'!$B$135:$B$137)))</f>
        <v/>
      </c>
      <c r="AF13">
        <f>((SUMIF('Cost Breakdowns'!$D$135:$D$137,"ISIC 36T39",'Cost Breakdowns'!$B$135:$B$137)))</f>
        <v/>
      </c>
      <c r="AG13">
        <f>((SUMIF('Cost Breakdowns'!$D$135:$D$137,"ISIC 41T43",'Cost Breakdowns'!$B$135:$B$137)))</f>
        <v/>
      </c>
      <c r="AH13">
        <f>((SUMIF('Cost Breakdowns'!$D$135:$D$137,"ISIC 45T47",'Cost Breakdowns'!$B$135:$B$137)))</f>
        <v/>
      </c>
      <c r="AI13">
        <f>((SUMIF('Cost Breakdowns'!$D$135:$D$137,"ISIC 49T53",'Cost Breakdowns'!$B$135:$B$137)))*'Factors applied'!$E$634</f>
        <v/>
      </c>
      <c r="AJ13">
        <f>((SUMIF('Cost Breakdowns'!$D$135:$D$137,"ISIC 49T53",'Cost Breakdowns'!$B$135:$B$137)))*'Factors applied'!$E$635</f>
        <v/>
      </c>
      <c r="AK13">
        <f>((SUMIF('Cost Breakdowns'!$D$135:$D$137,"ISIC 49T53",'Cost Breakdowns'!$B$135:$B$137)))*'Factors applied'!$E$636</f>
        <v/>
      </c>
      <c r="AL13">
        <f>((SUMIF('Cost Breakdowns'!$D$135:$D$137,"ISIC 49T53",'Cost Breakdowns'!$B$135:$B$137)))*'Factors applied'!$E$637</f>
        <v/>
      </c>
      <c r="AM13">
        <f>((SUMIF('Cost Breakdowns'!$D$135:$D$137,"ISIC 49T53",'Cost Breakdowns'!$B$135:$B$137)))*'Factors applied'!$E$638</f>
        <v/>
      </c>
      <c r="AN13">
        <f>((SUMIF('Cost Breakdowns'!$D$135:$D$137,"ISIC 55T56",'Cost Breakdowns'!$B$135:$B$137)))</f>
        <v/>
      </c>
      <c r="AO13">
        <f>((SUMIF('Cost Breakdowns'!$D$135:$D$137,"ISIC 58T60",'Cost Breakdowns'!$B$135:$B$137)))</f>
        <v/>
      </c>
      <c r="AP13">
        <f>((SUMIF('Cost Breakdowns'!$D$135:$D$137,"ISIC 61",'Cost Breakdowns'!$B$135:$B$137)))</f>
        <v/>
      </c>
      <c r="AQ13">
        <f>((SUMIF('Cost Breakdowns'!$D$135:$D$137,"ISIC 62T63",'Cost Breakdowns'!$B$135:$B$137)))</f>
        <v/>
      </c>
      <c r="AR13">
        <f>((SUMIF('Cost Breakdowns'!$D$135:$D$137,"ISIC 64T66",'Cost Breakdowns'!$B$135:$B$137)))</f>
        <v/>
      </c>
      <c r="AS13">
        <f>((SUMIF('Cost Breakdowns'!$D$135:$D$137,"ISIC 68",'Cost Breakdowns'!$B$135:$B$137)))</f>
        <v/>
      </c>
      <c r="AT13">
        <f>((SUMIF('Cost Breakdowns'!$D$135:$D$137,"ISIC 69T82",'Cost Breakdowns'!$B$135:$B$137)))*'Factors applied'!$E$639</f>
        <v/>
      </c>
      <c r="AU13">
        <f>((SUMIF('Cost Breakdowns'!$D$135:$D$137,"ISIC 69T82",'Cost Breakdowns'!$B$135:$B$137)))*'Factors applied'!$E$640</f>
        <v/>
      </c>
      <c r="AV13">
        <f>((SUMIF('Cost Breakdowns'!$D$135:$D$137,"ISIC 84",'Cost Breakdowns'!$B$135:$B$137)))</f>
        <v/>
      </c>
      <c r="AW13">
        <f>((SUMIF('Cost Breakdowns'!$D$135:$D$137,"ISIC 85",'Cost Breakdowns'!$B$135:$B$137)))</f>
        <v/>
      </c>
      <c r="AX13">
        <f>((SUMIF('Cost Breakdowns'!$D$135:$D$137,"ISIC 86T88",'Cost Breakdowns'!$B$135:$B$137)))</f>
        <v/>
      </c>
      <c r="AY13">
        <f>((SUMIF('Cost Breakdowns'!$D$135:$D$137,"ISIC 90T96",'Cost Breakdowns'!$B$135:$B$137)))*'Factors applied'!$E$641</f>
        <v/>
      </c>
      <c r="AZ13">
        <f>((SUMIF('Cost Breakdowns'!$D$135:$D$137,"ISIC 90T96",'Cost Breakdowns'!$B$135:$B$137)))*'Factors applied'!$E$642</f>
        <v/>
      </c>
      <c r="BA13">
        <f>((SUMIF('Cost Breakdowns'!$D$135:$D$137,"ISIC 97T98",'Cost Breakdowns'!$B$135:$B$137)))</f>
        <v/>
      </c>
    </row>
    <row r="14">
      <c r="A14" t="inlineStr">
        <is>
          <t>lignite</t>
        </is>
      </c>
      <c r="B14">
        <f>(SUMIF('Cost Breakdowns'!$D$100:$D$102,"ISIC 01T03",'Cost Breakdowns'!$B$100:$B$102))*'Factors applied'!$E$547</f>
        <v/>
      </c>
      <c r="C14">
        <f>(SUMIF('Cost Breakdowns'!$D$100:$D$102,"ISIC 01T03",'Cost Breakdowns'!$B$100:$B$102))*'Factors applied'!$E$548</f>
        <v/>
      </c>
      <c r="D14">
        <f>(SUMIF('Cost Breakdowns'!$D$100:$D$102,"ISIC 01T03",'Cost Breakdowns'!$B$100:$B$102))*'Factors applied'!$E$549</f>
        <v/>
      </c>
      <c r="E14">
        <f>(SUMIF('Cost Breakdowns'!$D$100:$D$102,"ISIC 05",'Cost Breakdowns'!$B$100:$B$102))</f>
        <v/>
      </c>
      <c r="F14">
        <f>(SUMIF('Cost Breakdowns'!$D$100:$D$102,"ISIC 06",'Cost Breakdowns'!$B$100:$B$102))</f>
        <v/>
      </c>
      <c r="G14">
        <f>(SUMIF('Cost Breakdowns'!$D$100:$D$102,"ISIC 07T08",'Cost Breakdowns'!$B$100:$B$102))*'Factors applied'!$E$550</f>
        <v/>
      </c>
      <c r="H14">
        <f>(SUMIF('Cost Breakdowns'!$D$100:$D$102,"ISIC 07T08",'Cost Breakdowns'!$B$100:$B$102))*'Factors applied'!$E$551</f>
        <v/>
      </c>
      <c r="I14">
        <f>(SUMIF('Cost Breakdowns'!$D$100:$D$102,"ISIC 09",'Cost Breakdowns'!$B$100:$B$102))</f>
        <v/>
      </c>
      <c r="J14">
        <f>(SUMIF('Cost Breakdowns'!$D$100:$D$102,"ISIC 10T12",'Cost Breakdowns'!$B$100:$B$102))</f>
        <v/>
      </c>
      <c r="K14">
        <f>(SUMIF('Cost Breakdowns'!$D$100:$D$102,"ISIC 13T15",'Cost Breakdowns'!$B$100:$B$102))</f>
        <v/>
      </c>
      <c r="L14">
        <f>(SUMIF('Cost Breakdowns'!$D$100:$D$102,"ISIC 16",'Cost Breakdowns'!$B$100:$B$102))</f>
        <v/>
      </c>
      <c r="M14">
        <f>(SUMIF('Cost Breakdowns'!$D$100:$D$102,"ISIC 17T18",'Cost Breakdowns'!$B$100:$B$102))</f>
        <v/>
      </c>
      <c r="N14">
        <f>(SUMIF('Cost Breakdowns'!$D$100:$D$102,"ISIC 19",'Cost Breakdowns'!$B$100:$B$102))</f>
        <v/>
      </c>
      <c r="O14">
        <f>(SUMIF('Cost Breakdowns'!$D$100:$D$102,"ISIC 20",'Cost Breakdowns'!$B$100:$B$102))</f>
        <v/>
      </c>
      <c r="P14">
        <f>(SUMIF('Cost Breakdowns'!$D$100:$D$102,"ISIC 21",'Cost Breakdowns'!$B$100:$B$102))</f>
        <v/>
      </c>
      <c r="Q14">
        <f>(SUMIF('Cost Breakdowns'!$D$100:$D$102,"ISIC 22",'Cost Breakdowns'!$B$100:$B$102))</f>
        <v/>
      </c>
      <c r="R14">
        <f>(SUMIF('Cost Breakdowns'!$D$100:$D$102,"ISIC 231",'Cost Breakdowns'!$B$100:$B$102))</f>
        <v/>
      </c>
      <c r="S14">
        <f>(SUMIF('Cost Breakdowns'!$D$100:$D$102,"ISIC 239",'Cost Breakdowns'!$B$100:$B$102))</f>
        <v/>
      </c>
      <c r="T14">
        <f>(SUMIF('Cost Breakdowns'!$D$100:$D$102,"ISIC 241",'Cost Breakdowns'!$B$100:$B$102))</f>
        <v/>
      </c>
      <c r="U14">
        <f>(SUMIF('Cost Breakdowns'!$D$100:$D$102,"ISIC 242",'Cost Breakdowns'!$B$100:$B$102))</f>
        <v/>
      </c>
      <c r="V14">
        <f>(SUMIF('Cost Breakdowns'!$D$100:$D$102,"ISIC 25",'Cost Breakdowns'!$B$100:$B$102))</f>
        <v/>
      </c>
      <c r="W14">
        <f>(SUMIF('Cost Breakdowns'!$D$100:$D$102,"ISIC 26",'Cost Breakdowns'!$B$100:$B$102))</f>
        <v/>
      </c>
      <c r="X14">
        <f>(SUMIF('Cost Breakdowns'!$D$100:$D$102,"ISIC 27",'Cost Breakdowns'!$B$100:$B$102))</f>
        <v/>
      </c>
      <c r="Y14">
        <f>(SUMIF('Cost Breakdowns'!$D$100:$D$102,"ISIC 28",'Cost Breakdowns'!$B$100:$B$102))</f>
        <v/>
      </c>
      <c r="Z14">
        <f>(SUMIF('Cost Breakdowns'!$D$100:$D$102,"ISIC 29",'Cost Breakdowns'!$B$100:$B$102))</f>
        <v/>
      </c>
      <c r="AA14">
        <f>(SUMIF('Cost Breakdowns'!$D$100:$D$102,"ISIC 30",'Cost Breakdowns'!$B$100:$B$102))*'Factors applied'!$E$552</f>
        <v/>
      </c>
      <c r="AB14">
        <f>(SUMIF('Cost Breakdowns'!$D$100:$D$102,"ISIC 30",'Cost Breakdowns'!$B$100:$B$102))*'Factors applied'!$E$553</f>
        <v/>
      </c>
      <c r="AC14">
        <f>(SUMIF('Cost Breakdowns'!$D$100:$D$102,"ISIC 31T33",'Cost Breakdowns'!$B$100:$B$102))</f>
        <v/>
      </c>
      <c r="AD14">
        <f>(SUMIF('Cost Breakdowns'!$D$100:$D$102,"ISIC 351",'Cost Breakdowns'!$B$100:$B$102))</f>
        <v/>
      </c>
      <c r="AE14">
        <f>(SUMIF('Cost Breakdowns'!$D$100:$D$102,"ISIC 352T353",'Cost Breakdowns'!$B$100:$B$102))</f>
        <v/>
      </c>
      <c r="AF14">
        <f>(SUMIF('Cost Breakdowns'!$D$100:$D$102,"ISIC 36T39",'Cost Breakdowns'!$B$100:$B$102))</f>
        <v/>
      </c>
      <c r="AG14">
        <f>(SUMIF('Cost Breakdowns'!$D$100:$D$102,"ISIC 41T43",'Cost Breakdowns'!$B$100:$B$102))</f>
        <v/>
      </c>
      <c r="AH14">
        <f>(SUMIF('Cost Breakdowns'!$D$100:$D$102,"ISIC 45T47",'Cost Breakdowns'!$B$100:$B$102))</f>
        <v/>
      </c>
      <c r="AI14">
        <f>(SUMIF('Cost Breakdowns'!$D$100:$D$102,"ISIC 49T53",'Cost Breakdowns'!$B$100:$B$102))*'Factors applied'!$E$554</f>
        <v/>
      </c>
      <c r="AJ14">
        <f>(SUMIF('Cost Breakdowns'!$D$100:$D$102,"ISIC 49T53",'Cost Breakdowns'!$B$100:$B$102))*'Factors applied'!$E$555</f>
        <v/>
      </c>
      <c r="AK14">
        <f>(SUMIF('Cost Breakdowns'!$D$100:$D$102,"ISIC 49T53",'Cost Breakdowns'!$B$100:$B$102))*'Factors applied'!$E$556</f>
        <v/>
      </c>
      <c r="AL14">
        <f>(SUMIF('Cost Breakdowns'!$D$100:$D$102,"ISIC 49T53",'Cost Breakdowns'!$B$100:$B$102))*'Factors applied'!$E$557</f>
        <v/>
      </c>
      <c r="AM14">
        <f>(SUMIF('Cost Breakdowns'!$D$100:$D$102,"ISIC 49T53",'Cost Breakdowns'!$B$100:$B$102))*'Factors applied'!$E$558</f>
        <v/>
      </c>
      <c r="AN14">
        <f>(SUMIF('Cost Breakdowns'!$D$100:$D$102,"ISIC 55T56",'Cost Breakdowns'!$B$100:$B$102))</f>
        <v/>
      </c>
      <c r="AO14">
        <f>(SUMIF('Cost Breakdowns'!$D$100:$D$102,"ISIC 58T60",'Cost Breakdowns'!$B$100:$B$102))</f>
        <v/>
      </c>
      <c r="AP14">
        <f>(SUMIF('Cost Breakdowns'!$D$100:$D$102,"ISIC 61",'Cost Breakdowns'!$B$100:$B$102))</f>
        <v/>
      </c>
      <c r="AQ14">
        <f>(SUMIF('Cost Breakdowns'!$D$100:$D$102,"ISIC 62T63",'Cost Breakdowns'!$B$100:$B$102))</f>
        <v/>
      </c>
      <c r="AR14">
        <f>(SUMIF('Cost Breakdowns'!$D$100:$D$102,"ISIC 64T66",'Cost Breakdowns'!$B$100:$B$102))</f>
        <v/>
      </c>
      <c r="AS14">
        <f>(SUMIF('Cost Breakdowns'!$D$100:$D$102,"ISIC 68",'Cost Breakdowns'!$B$100:$B$102))</f>
        <v/>
      </c>
      <c r="AT14">
        <f>(SUMIF('Cost Breakdowns'!$D$100:$D$102,"ISIC 69T82",'Cost Breakdowns'!$B$100:$B$102))*'Factors applied'!$E$559</f>
        <v/>
      </c>
      <c r="AU14">
        <f>(SUMIF('Cost Breakdowns'!$D$100:$D$102,"ISIC 69T82",'Cost Breakdowns'!$B$100:$B$102))*'Factors applied'!$E$560</f>
        <v/>
      </c>
      <c r="AV14">
        <f>(SUMIF('Cost Breakdowns'!$D$100:$D$102,"ISIC 84",'Cost Breakdowns'!$B$100:$B$102))</f>
        <v/>
      </c>
      <c r="AW14">
        <f>(SUMIF('Cost Breakdowns'!$D$100:$D$102,"ISIC 85",'Cost Breakdowns'!$B$100:$B$102))</f>
        <v/>
      </c>
      <c r="AX14">
        <f>(SUMIF('Cost Breakdowns'!$D$100:$D$102,"ISIC 86T88",'Cost Breakdowns'!$B$100:$B$102))</f>
        <v/>
      </c>
      <c r="AY14">
        <f>(SUMIF('Cost Breakdowns'!$D$100:$D$102,"ISIC 90T96",'Cost Breakdowns'!$B$100:$B$102))*'Factors applied'!$E$561</f>
        <v/>
      </c>
      <c r="AZ14">
        <f>(SUMIF('Cost Breakdowns'!$D$100:$D$102,"ISIC 90T96",'Cost Breakdowns'!$B$100:$B$102))*'Factors applied'!$E$562</f>
        <v/>
      </c>
      <c r="BA14">
        <f>(SUMIF('Cost Breakdowns'!$D$100:$D$102,"ISIC 97T98",'Cost Breakdowns'!$B$100:$B$102))</f>
        <v/>
      </c>
    </row>
    <row r="15">
      <c r="A15" t="inlineStr">
        <is>
          <t>offshore wind</t>
        </is>
      </c>
      <c r="B15">
        <f>(SUMIF('Cost Breakdowns'!$D$367:$D$380,"ISIC 01T03",'Cost Breakdowns'!$B$367:$B$380))*'Factors applied'!$E$675</f>
        <v/>
      </c>
      <c r="C15">
        <f>(SUMIF('Cost Breakdowns'!$D$367:$D$380,"ISIC 01T03",'Cost Breakdowns'!$B$367:$B$380))*'Factors applied'!$E$676</f>
        <v/>
      </c>
      <c r="D15">
        <f>(SUMIF('Cost Breakdowns'!$D$367:$D$380,"ISIC 01T03",'Cost Breakdowns'!$B$367:$B$380))*'Factors applied'!$E$677</f>
        <v/>
      </c>
      <c r="E15">
        <f>(SUMIF('Cost Breakdowns'!$D$367:$D$380,"ISIC 05",'Cost Breakdowns'!$B$367:$B$380))</f>
        <v/>
      </c>
      <c r="F15">
        <f>(SUMIF('Cost Breakdowns'!$D$367:$D$380,"ISIC 06",'Cost Breakdowns'!$B$367:$B$380))</f>
        <v/>
      </c>
      <c r="G15">
        <f>(SUMIF('Cost Breakdowns'!$D$367:$D$380,"ISIC 07T08",'Cost Breakdowns'!$B$367:$B$380))*'Factors applied'!$E$678</f>
        <v/>
      </c>
      <c r="H15">
        <f>(SUMIF('Cost Breakdowns'!$D$367:$D$380,"ISIC 07T08",'Cost Breakdowns'!$B$367:$B$380))*'Factors applied'!$E$679</f>
        <v/>
      </c>
      <c r="I15">
        <f>(SUMIF('Cost Breakdowns'!$D$367:$D$380,"ISIC 09",'Cost Breakdowns'!$B$367:$B$380))</f>
        <v/>
      </c>
      <c r="J15">
        <f>(SUMIF('Cost Breakdowns'!$D$367:$D$380,"ISIC 10T12",'Cost Breakdowns'!$B$367:$B$380))</f>
        <v/>
      </c>
      <c r="K15">
        <f>(SUMIF('Cost Breakdowns'!$D$367:$D$380,"ISIC 13T15",'Cost Breakdowns'!$B$367:$B$380))</f>
        <v/>
      </c>
      <c r="L15">
        <f>(SUMIF('Cost Breakdowns'!$D$367:$D$380,"ISIC 16",'Cost Breakdowns'!$B$367:$B$380))</f>
        <v/>
      </c>
      <c r="M15">
        <f>(SUMIF('Cost Breakdowns'!$D$367:$D$380,"ISIC 17T18",'Cost Breakdowns'!$B$367:$B$380))</f>
        <v/>
      </c>
      <c r="N15">
        <f>(SUMIF('Cost Breakdowns'!$D$367:$D$380,"ISIC 19",'Cost Breakdowns'!$B$367:$B$380))</f>
        <v/>
      </c>
      <c r="O15">
        <f>(SUMIF('Cost Breakdowns'!$D$367:$D$380,"ISIC 20",'Cost Breakdowns'!$B$367:$B$380))</f>
        <v/>
      </c>
      <c r="P15">
        <f>(SUMIF('Cost Breakdowns'!$D$367:$D$380,"ISIC 21",'Cost Breakdowns'!$B$367:$B$380))</f>
        <v/>
      </c>
      <c r="Q15">
        <f>(SUMIF('Cost Breakdowns'!$D$367:$D$380,"ISIC 22",'Cost Breakdowns'!$B$367:$B$380))</f>
        <v/>
      </c>
      <c r="R15">
        <f>(SUMIF('Cost Breakdowns'!$D$367:$D$380,"ISIC 231",'Cost Breakdowns'!$B$367:$B$380))</f>
        <v/>
      </c>
      <c r="S15">
        <f>(SUMIF('Cost Breakdowns'!$D$367:$D$380,"ISIC 239",'Cost Breakdowns'!$B$367:$B$380))</f>
        <v/>
      </c>
      <c r="T15">
        <f>(SUMIF('Cost Breakdowns'!$D$367:$D$380,"ISIC 241",'Cost Breakdowns'!$B$367:$B$380))</f>
        <v/>
      </c>
      <c r="U15">
        <f>(SUMIF('Cost Breakdowns'!$D$367:$D$380,"ISIC 242",'Cost Breakdowns'!$B$367:$B$380))</f>
        <v/>
      </c>
      <c r="V15">
        <f>(SUMIF('Cost Breakdowns'!$D$367:$D$380,"ISIC 25",'Cost Breakdowns'!$B$367:$B$380))</f>
        <v/>
      </c>
      <c r="W15">
        <f>(SUMIF('Cost Breakdowns'!$D$367:$D$380,"ISIC 26",'Cost Breakdowns'!$B$367:$B$380))</f>
        <v/>
      </c>
      <c r="X15">
        <f>(SUMIF('Cost Breakdowns'!$D$367:$D$380,"ISIC 27",'Cost Breakdowns'!$B$367:$B$380))</f>
        <v/>
      </c>
      <c r="Y15">
        <f>(SUMIF('Cost Breakdowns'!$D$367:$D$380,"ISIC 28",'Cost Breakdowns'!$B$367:$B$380))</f>
        <v/>
      </c>
      <c r="Z15">
        <f>(SUMIF('Cost Breakdowns'!$D$367:$D$380,"ISIC 29",'Cost Breakdowns'!$B$367:$B$380))</f>
        <v/>
      </c>
      <c r="AA15">
        <f>(SUMIF('Cost Breakdowns'!$D$367:$D$380,"ISIC 30",'Cost Breakdowns'!$B$367:$B$380))*'Factors applied'!$E$680</f>
        <v/>
      </c>
      <c r="AB15">
        <f>(SUMIF('Cost Breakdowns'!$D$367:$D$380,"ISIC 30",'Cost Breakdowns'!$B$367:$B$380))*'Factors applied'!$E$681</f>
        <v/>
      </c>
      <c r="AC15">
        <f>(SUMIF('Cost Breakdowns'!$D$367:$D$380,"ISIC 31T33",'Cost Breakdowns'!$B$367:$B$380))</f>
        <v/>
      </c>
      <c r="AD15">
        <f>(SUMIF('Cost Breakdowns'!$D$367:$D$380,"ISIC 351",'Cost Breakdowns'!$B$367:$B$380))</f>
        <v/>
      </c>
      <c r="AE15">
        <f>(SUMIF('Cost Breakdowns'!$D$367:$D$380,"ISIC 352T353",'Cost Breakdowns'!$B$367:$B$380))</f>
        <v/>
      </c>
      <c r="AF15">
        <f>(SUMIF('Cost Breakdowns'!$D$367:$D$380,"ISIC 36T39",'Cost Breakdowns'!$B$367:$B$380))</f>
        <v/>
      </c>
      <c r="AG15">
        <f>(SUMIF('Cost Breakdowns'!$D$367:$D$380,"ISIC 41T43",'Cost Breakdowns'!$B$367:$B$380))</f>
        <v/>
      </c>
      <c r="AH15">
        <f>(SUMIF('Cost Breakdowns'!$D$367:$D$380,"ISIC 45T47",'Cost Breakdowns'!$B$367:$B$380))</f>
        <v/>
      </c>
      <c r="AI15">
        <f>(SUMIF('Cost Breakdowns'!$D$367:$D$380,"ISIC 49T53",'Cost Breakdowns'!$B$367:$B$380))*'Factors applied'!$E$682</f>
        <v/>
      </c>
      <c r="AJ15">
        <f>(SUMIF('Cost Breakdowns'!$D$367:$D$380,"ISIC 49T53",'Cost Breakdowns'!$B$367:$B$380))*'Factors applied'!$E$683</f>
        <v/>
      </c>
      <c r="AK15">
        <f>(SUMIF('Cost Breakdowns'!$D$367:$D$380,"ISIC 49T53",'Cost Breakdowns'!$B$367:$B$380))*'Factors applied'!$E$684</f>
        <v/>
      </c>
      <c r="AL15">
        <f>(SUMIF('Cost Breakdowns'!$D$367:$D$380,"ISIC 49T53",'Cost Breakdowns'!$B$367:$B$380))*'Factors applied'!$E$685</f>
        <v/>
      </c>
      <c r="AM15">
        <f>(SUMIF('Cost Breakdowns'!$D$367:$D$380,"ISIC 49T53",'Cost Breakdowns'!$B$367:$B$380))*'Factors applied'!$E$686</f>
        <v/>
      </c>
      <c r="AN15">
        <f>(SUMIF('Cost Breakdowns'!$D$367:$D$380,"ISIC 55T56",'Cost Breakdowns'!$B$367:$B$380))</f>
        <v/>
      </c>
      <c r="AO15">
        <f>(SUMIF('Cost Breakdowns'!$D$367:$D$380,"ISIC 58T60",'Cost Breakdowns'!$B$367:$B$380))</f>
        <v/>
      </c>
      <c r="AP15">
        <f>(SUMIF('Cost Breakdowns'!$D$367:$D$380,"ISIC 61",'Cost Breakdowns'!$B$367:$B$380))</f>
        <v/>
      </c>
      <c r="AQ15">
        <f>(SUMIF('Cost Breakdowns'!$D$367:$D$380,"ISIC 62T63",'Cost Breakdowns'!$B$367:$B$380))</f>
        <v/>
      </c>
      <c r="AR15">
        <f>(SUMIF('Cost Breakdowns'!$D$367:$D$380,"ISIC 64T66",'Cost Breakdowns'!$B$367:$B$380))</f>
        <v/>
      </c>
      <c r="AS15">
        <f>(SUMIF('Cost Breakdowns'!$D$367:$D$380,"ISIC 68",'Cost Breakdowns'!$B$367:$B$380))</f>
        <v/>
      </c>
      <c r="AT15">
        <f>(SUMIF('Cost Breakdowns'!$D$367:$D$380,"ISIC 69T82",'Cost Breakdowns'!$B$367:$B$380))*'Factors applied'!$E$687</f>
        <v/>
      </c>
      <c r="AU15">
        <f>(SUMIF('Cost Breakdowns'!$D$367:$D$380,"ISIC 69T82",'Cost Breakdowns'!$B$367:$B$380))*'Factors applied'!$E$688</f>
        <v/>
      </c>
      <c r="AV15">
        <f>(SUMIF('Cost Breakdowns'!$D$367:$D$380,"ISIC 84",'Cost Breakdowns'!$B$367:$B$380))</f>
        <v/>
      </c>
      <c r="AW15">
        <f>(SUMIF('Cost Breakdowns'!$D$367:$D$380,"ISIC 85",'Cost Breakdowns'!$B$367:$B$380))</f>
        <v/>
      </c>
      <c r="AX15">
        <f>(SUMIF('Cost Breakdowns'!$D$367:$D$380,"ISIC 86T88",'Cost Breakdowns'!$B$367:$B$380))</f>
        <v/>
      </c>
      <c r="AY15">
        <f>(SUMIF('Cost Breakdowns'!$D$367:$D$380,"ISIC 90T96",'Cost Breakdowns'!$B$367:$B$380))*'Factors applied'!$E$689</f>
        <v/>
      </c>
      <c r="AZ15">
        <f>(SUMIF('Cost Breakdowns'!$D$367:$D$380,"ISIC 90T96",'Cost Breakdowns'!$B$367:$B$380))*'Factors applied'!$E$690</f>
        <v/>
      </c>
      <c r="BA15">
        <f>(SUMIF('Cost Breakdowns'!$D$367:$D$380,"ISIC 97T98",'Cost Breakdowns'!$B$367:$B$380))</f>
        <v/>
      </c>
    </row>
    <row r="16">
      <c r="A16" t="inlineStr">
        <is>
          <t>crude oil</t>
        </is>
      </c>
      <c r="B16">
        <f>((SUMIF('Cost Breakdowns'!$D$135:$D$137,"ISIC 01T03",'Cost Breakdowns'!$B$135:$B$137)))*'Factors applied'!$E$419</f>
        <v/>
      </c>
      <c r="C16">
        <f>((SUMIF('Cost Breakdowns'!$D$135:$D$137,"ISIC 01T03",'Cost Breakdowns'!$B$135:$B$137)))*'Factors applied'!$E$420</f>
        <v/>
      </c>
      <c r="D16">
        <f>((SUMIF('Cost Breakdowns'!$D$135:$D$137,"ISIC 01T03",'Cost Breakdowns'!$B$135:$B$137)))*'Factors applied'!$E$421</f>
        <v/>
      </c>
      <c r="E16">
        <f>((SUMIF('Cost Breakdowns'!$D$135:$D$137,"ISIC 05",'Cost Breakdowns'!$B$135:$B$137)))</f>
        <v/>
      </c>
      <c r="F16">
        <f>((SUMIF('Cost Breakdowns'!$D$135:$D$137,"ISIC 06",'Cost Breakdowns'!$B$135:$B$137)))</f>
        <v/>
      </c>
      <c r="G16">
        <f>((SUMIF('Cost Breakdowns'!$D$135:$D$137,"ISIC 07T08",'Cost Breakdowns'!$B$135:$B$137)))*'Factors applied'!$E$422</f>
        <v/>
      </c>
      <c r="H16">
        <f>((SUMIF('Cost Breakdowns'!$D$135:$D$137,"ISIC 07T08",'Cost Breakdowns'!$B$135:$B$137)))*'Factors applied'!$E$423</f>
        <v/>
      </c>
      <c r="I16">
        <f>((SUMIF('Cost Breakdowns'!$D$135:$D$137,"ISIC 09",'Cost Breakdowns'!$B$135:$B$137)))</f>
        <v/>
      </c>
      <c r="J16">
        <f>((SUMIF('Cost Breakdowns'!$D$135:$D$137,"ISIC 10T12",'Cost Breakdowns'!$B$135:$B$137)))</f>
        <v/>
      </c>
      <c r="K16">
        <f>((SUMIF('Cost Breakdowns'!$D$135:$D$137,"ISIC 13T15",'Cost Breakdowns'!$B$135:$B$137)))</f>
        <v/>
      </c>
      <c r="L16">
        <f>((SUMIF('Cost Breakdowns'!$D$135:$D$137,"ISIC 16",'Cost Breakdowns'!$B$135:$B$137)))</f>
        <v/>
      </c>
      <c r="M16">
        <f>((SUMIF('Cost Breakdowns'!$D$135:$D$137,"ISIC 17T18",'Cost Breakdowns'!$B$135:$B$137)))</f>
        <v/>
      </c>
      <c r="N16">
        <f>((SUMIF('Cost Breakdowns'!$D$135:$D$137,"ISIC 19",'Cost Breakdowns'!$B$135:$B$137)))</f>
        <v/>
      </c>
      <c r="O16">
        <f>((SUMIF('Cost Breakdowns'!$D$135:$D$137,"ISIC 20",'Cost Breakdowns'!$B$135:$B$137)))</f>
        <v/>
      </c>
      <c r="P16">
        <f>((SUMIF('Cost Breakdowns'!$D$135:$D$137,"ISIC 21",'Cost Breakdowns'!$B$135:$B$137)))</f>
        <v/>
      </c>
      <c r="Q16">
        <f>((SUMIF('Cost Breakdowns'!$D$135:$D$137,"ISIC 22",'Cost Breakdowns'!$B$135:$B$137)))</f>
        <v/>
      </c>
      <c r="R16">
        <f>((SUMIF('Cost Breakdowns'!$D$135:$D$137,"ISIC 231",'Cost Breakdowns'!$B$135:$B$137)))</f>
        <v/>
      </c>
      <c r="S16">
        <f>((SUMIF('Cost Breakdowns'!$D$135:$D$137,"ISIC 239",'Cost Breakdowns'!$B$135:$B$137)))</f>
        <v/>
      </c>
      <c r="T16">
        <f>((SUMIF('Cost Breakdowns'!$D$135:$D$137,"ISIC 241",'Cost Breakdowns'!$B$135:$B$137)))</f>
        <v/>
      </c>
      <c r="U16">
        <f>((SUMIF('Cost Breakdowns'!$D$135:$D$137,"ISIC 242",'Cost Breakdowns'!$B$135:$B$137)))</f>
        <v/>
      </c>
      <c r="V16">
        <f>((SUMIF('Cost Breakdowns'!$D$135:$D$137,"ISIC 25",'Cost Breakdowns'!$B$135:$B$137)))</f>
        <v/>
      </c>
      <c r="W16">
        <f>((SUMIF('Cost Breakdowns'!$D$135:$D$137,"ISIC 26",'Cost Breakdowns'!$B$135:$B$137)))</f>
        <v/>
      </c>
      <c r="X16">
        <f>((SUMIF('Cost Breakdowns'!$D$135:$D$137,"ISIC 27",'Cost Breakdowns'!$B$135:$B$137)))</f>
        <v/>
      </c>
      <c r="Y16">
        <f>((SUMIF('Cost Breakdowns'!$D$135:$D$137,"ISIC 28",'Cost Breakdowns'!$B$135:$B$137)))</f>
        <v/>
      </c>
      <c r="Z16">
        <f>((SUMIF('Cost Breakdowns'!$D$135:$D$137,"ISIC 29",'Cost Breakdowns'!$B$135:$B$137)))</f>
        <v/>
      </c>
      <c r="AA16">
        <f>((SUMIF('Cost Breakdowns'!$D$135:$D$137,"ISIC 30",'Cost Breakdowns'!$B$135:$B$137)))*'Factors applied'!$E$424</f>
        <v/>
      </c>
      <c r="AB16">
        <f>((SUMIF('Cost Breakdowns'!$D$135:$D$137,"ISIC 30",'Cost Breakdowns'!$B$135:$B$137)))*'Factors applied'!$E$425</f>
        <v/>
      </c>
      <c r="AC16">
        <f>((SUMIF('Cost Breakdowns'!$D$135:$D$137,"ISIC 31T33",'Cost Breakdowns'!$B$135:$B$137)))</f>
        <v/>
      </c>
      <c r="AD16">
        <f>((SUMIF('Cost Breakdowns'!$D$135:$D$137,"ISIC 351",'Cost Breakdowns'!$B$135:$B$137)))</f>
        <v/>
      </c>
      <c r="AE16">
        <f>((SUMIF('Cost Breakdowns'!$D$135:$D$137,"ISIC 352T353",'Cost Breakdowns'!$B$135:$B$137)))</f>
        <v/>
      </c>
      <c r="AF16">
        <f>((SUMIF('Cost Breakdowns'!$D$135:$D$137,"ISIC 36T39",'Cost Breakdowns'!$B$135:$B$137)))</f>
        <v/>
      </c>
      <c r="AG16">
        <f>((SUMIF('Cost Breakdowns'!$D$135:$D$137,"ISIC 41T43",'Cost Breakdowns'!$B$135:$B$137)))</f>
        <v/>
      </c>
      <c r="AH16">
        <f>((SUMIF('Cost Breakdowns'!$D$135:$D$137,"ISIC 45T47",'Cost Breakdowns'!$B$135:$B$137)))</f>
        <v/>
      </c>
      <c r="AI16">
        <f>((SUMIF('Cost Breakdowns'!$D$135:$D$137,"ISIC 49T53",'Cost Breakdowns'!$B$135:$B$137)))*'Factors applied'!$E$426</f>
        <v/>
      </c>
      <c r="AJ16">
        <f>((SUMIF('Cost Breakdowns'!$D$135:$D$137,"ISIC 49T53",'Cost Breakdowns'!$B$135:$B$137)))*'Factors applied'!$E$427</f>
        <v/>
      </c>
      <c r="AK16">
        <f>((SUMIF('Cost Breakdowns'!$D$135:$D$137,"ISIC 49T53",'Cost Breakdowns'!$B$135:$B$137)))*'Factors applied'!$E$428</f>
        <v/>
      </c>
      <c r="AL16">
        <f>((SUMIF('Cost Breakdowns'!$D$135:$D$137,"ISIC 49T53",'Cost Breakdowns'!$B$135:$B$137)))*'Factors applied'!$E$429</f>
        <v/>
      </c>
      <c r="AM16">
        <f>((SUMIF('Cost Breakdowns'!$D$135:$D$137,"ISIC 49T53",'Cost Breakdowns'!$B$135:$B$137)))*'Factors applied'!$E$430</f>
        <v/>
      </c>
      <c r="AN16">
        <f>((SUMIF('Cost Breakdowns'!$D$135:$D$137,"ISIC 55T56",'Cost Breakdowns'!$B$135:$B$137)))</f>
        <v/>
      </c>
      <c r="AO16">
        <f>((SUMIF('Cost Breakdowns'!$D$135:$D$137,"ISIC 58T60",'Cost Breakdowns'!$B$135:$B$137)))</f>
        <v/>
      </c>
      <c r="AP16">
        <f>((SUMIF('Cost Breakdowns'!$D$135:$D$137,"ISIC 61",'Cost Breakdowns'!$B$135:$B$137)))</f>
        <v/>
      </c>
      <c r="AQ16">
        <f>((SUMIF('Cost Breakdowns'!$D$135:$D$137,"ISIC 62T63",'Cost Breakdowns'!$B$135:$B$137)))</f>
        <v/>
      </c>
      <c r="AR16">
        <f>((SUMIF('Cost Breakdowns'!$D$135:$D$137,"ISIC 64T66",'Cost Breakdowns'!$B$135:$B$137)))</f>
        <v/>
      </c>
      <c r="AS16">
        <f>((SUMIF('Cost Breakdowns'!$D$135:$D$137,"ISIC 68",'Cost Breakdowns'!$B$135:$B$137)))</f>
        <v/>
      </c>
      <c r="AT16">
        <f>((SUMIF('Cost Breakdowns'!$D$135:$D$137,"ISIC 69T82",'Cost Breakdowns'!$B$135:$B$137)))*'Factors applied'!$E$431</f>
        <v/>
      </c>
      <c r="AU16">
        <f>((SUMIF('Cost Breakdowns'!$D$135:$D$137,"ISIC 69T82",'Cost Breakdowns'!$B$135:$B$137)))*'Factors applied'!$E$432</f>
        <v/>
      </c>
      <c r="AV16">
        <f>((SUMIF('Cost Breakdowns'!$D$135:$D$137,"ISIC 84",'Cost Breakdowns'!$B$135:$B$137)))</f>
        <v/>
      </c>
      <c r="AW16">
        <f>((SUMIF('Cost Breakdowns'!$D$135:$D$137,"ISIC 85",'Cost Breakdowns'!$B$135:$B$137)))</f>
        <v/>
      </c>
      <c r="AX16">
        <f>((SUMIF('Cost Breakdowns'!$D$135:$D$137,"ISIC 86T88",'Cost Breakdowns'!$B$135:$B$137)))</f>
        <v/>
      </c>
      <c r="AY16">
        <f>((SUMIF('Cost Breakdowns'!$D$135:$D$137,"ISIC 90T96",'Cost Breakdowns'!$B$135:$B$137)))*'Factors applied'!$E$433</f>
        <v/>
      </c>
      <c r="AZ16">
        <f>((SUMIF('Cost Breakdowns'!$D$135:$D$137,"ISIC 90T96",'Cost Breakdowns'!$B$135:$B$137)))*'Factors applied'!$E$434</f>
        <v/>
      </c>
      <c r="BA16">
        <f>((SUMIF('Cost Breakdowns'!$D$135:$D$137,"ISIC 97T98",'Cost Breakdowns'!$B$135:$B$137)))</f>
        <v/>
      </c>
    </row>
    <row r="17">
      <c r="A17" t="inlineStr">
        <is>
          <t>heavy or residual fuel oil</t>
        </is>
      </c>
      <c r="B17">
        <f>((SUMIF('Cost Breakdowns'!$D$135:$D$137,"ISIC 01T03",'Cost Breakdowns'!$B$135:$B$137)))*'Factors applied'!$E$483</f>
        <v/>
      </c>
      <c r="C17">
        <f>((SUMIF('Cost Breakdowns'!$D$135:$D$137,"ISIC 01T03",'Cost Breakdowns'!$B$135:$B$137)))*'Factors applied'!$E$484</f>
        <v/>
      </c>
      <c r="D17">
        <f>((SUMIF('Cost Breakdowns'!$D$135:$D$137,"ISIC 01T03",'Cost Breakdowns'!$B$135:$B$137)))*'Factors applied'!$E$485</f>
        <v/>
      </c>
      <c r="E17">
        <f>((SUMIF('Cost Breakdowns'!$D$135:$D$137,"ISIC 05",'Cost Breakdowns'!$B$135:$B$137)))</f>
        <v/>
      </c>
      <c r="F17">
        <f>((SUMIF('Cost Breakdowns'!$D$135:$D$137,"ISIC 06",'Cost Breakdowns'!$B$135:$B$137)))</f>
        <v/>
      </c>
      <c r="G17">
        <f>((SUMIF('Cost Breakdowns'!$D$135:$D$137,"ISIC 07T08",'Cost Breakdowns'!$B$135:$B$137)))*'Factors applied'!$E$486</f>
        <v/>
      </c>
      <c r="H17">
        <f>((SUMIF('Cost Breakdowns'!$D$135:$D$137,"ISIC 07T08",'Cost Breakdowns'!$B$135:$B$137)))*'Factors applied'!$E$487</f>
        <v/>
      </c>
      <c r="I17">
        <f>((SUMIF('Cost Breakdowns'!$D$135:$D$137,"ISIC 09",'Cost Breakdowns'!$B$135:$B$137)))</f>
        <v/>
      </c>
      <c r="J17">
        <f>((SUMIF('Cost Breakdowns'!$D$135:$D$137,"ISIC 10T12",'Cost Breakdowns'!$B$135:$B$137)))</f>
        <v/>
      </c>
      <c r="K17">
        <f>((SUMIF('Cost Breakdowns'!$D$135:$D$137,"ISIC 13T15",'Cost Breakdowns'!$B$135:$B$137)))</f>
        <v/>
      </c>
      <c r="L17">
        <f>((SUMIF('Cost Breakdowns'!$D$135:$D$137,"ISIC 16",'Cost Breakdowns'!$B$135:$B$137)))</f>
        <v/>
      </c>
      <c r="M17">
        <f>((SUMIF('Cost Breakdowns'!$D$135:$D$137,"ISIC 17T18",'Cost Breakdowns'!$B$135:$B$137)))</f>
        <v/>
      </c>
      <c r="N17">
        <f>((SUMIF('Cost Breakdowns'!$D$135:$D$137,"ISIC 19",'Cost Breakdowns'!$B$135:$B$137)))</f>
        <v/>
      </c>
      <c r="O17">
        <f>((SUMIF('Cost Breakdowns'!$D$135:$D$137,"ISIC 20",'Cost Breakdowns'!$B$135:$B$137)))</f>
        <v/>
      </c>
      <c r="P17">
        <f>((SUMIF('Cost Breakdowns'!$D$135:$D$137,"ISIC 21",'Cost Breakdowns'!$B$135:$B$137)))</f>
        <v/>
      </c>
      <c r="Q17">
        <f>((SUMIF('Cost Breakdowns'!$D$135:$D$137,"ISIC 22",'Cost Breakdowns'!$B$135:$B$137)))</f>
        <v/>
      </c>
      <c r="R17">
        <f>((SUMIF('Cost Breakdowns'!$D$135:$D$137,"ISIC 231",'Cost Breakdowns'!$B$135:$B$137)))</f>
        <v/>
      </c>
      <c r="S17">
        <f>((SUMIF('Cost Breakdowns'!$D$135:$D$137,"ISIC 239",'Cost Breakdowns'!$B$135:$B$137)))</f>
        <v/>
      </c>
      <c r="T17">
        <f>((SUMIF('Cost Breakdowns'!$D$135:$D$137,"ISIC 241",'Cost Breakdowns'!$B$135:$B$137)))</f>
        <v/>
      </c>
      <c r="U17">
        <f>((SUMIF('Cost Breakdowns'!$D$135:$D$137,"ISIC 242",'Cost Breakdowns'!$B$135:$B$137)))</f>
        <v/>
      </c>
      <c r="V17">
        <f>((SUMIF('Cost Breakdowns'!$D$135:$D$137,"ISIC 25",'Cost Breakdowns'!$B$135:$B$137)))</f>
        <v/>
      </c>
      <c r="W17">
        <f>((SUMIF('Cost Breakdowns'!$D$135:$D$137,"ISIC 26",'Cost Breakdowns'!$B$135:$B$137)))</f>
        <v/>
      </c>
      <c r="X17">
        <f>((SUMIF('Cost Breakdowns'!$D$135:$D$137,"ISIC 27",'Cost Breakdowns'!$B$135:$B$137)))</f>
        <v/>
      </c>
      <c r="Y17">
        <f>((SUMIF('Cost Breakdowns'!$D$135:$D$137,"ISIC 28",'Cost Breakdowns'!$B$135:$B$137)))</f>
        <v/>
      </c>
      <c r="Z17">
        <f>((SUMIF('Cost Breakdowns'!$D$135:$D$137,"ISIC 29",'Cost Breakdowns'!$B$135:$B$137)))</f>
        <v/>
      </c>
      <c r="AA17">
        <f>((SUMIF('Cost Breakdowns'!$D$135:$D$137,"ISIC 30",'Cost Breakdowns'!$B$135:$B$137)))*'Factors applied'!$E$488</f>
        <v/>
      </c>
      <c r="AB17">
        <f>((SUMIF('Cost Breakdowns'!$D$135:$D$137,"ISIC 30",'Cost Breakdowns'!$B$135:$B$137)))*'Factors applied'!$E$489</f>
        <v/>
      </c>
      <c r="AC17">
        <f>((SUMIF('Cost Breakdowns'!$D$135:$D$137,"ISIC 31T33",'Cost Breakdowns'!$B$135:$B$137)))</f>
        <v/>
      </c>
      <c r="AD17">
        <f>((SUMIF('Cost Breakdowns'!$D$135:$D$137,"ISIC 351",'Cost Breakdowns'!$B$135:$B$137)))</f>
        <v/>
      </c>
      <c r="AE17">
        <f>((SUMIF('Cost Breakdowns'!$D$135:$D$137,"ISIC 352T353",'Cost Breakdowns'!$B$135:$B$137)))</f>
        <v/>
      </c>
      <c r="AF17">
        <f>((SUMIF('Cost Breakdowns'!$D$135:$D$137,"ISIC 36T39",'Cost Breakdowns'!$B$135:$B$137)))</f>
        <v/>
      </c>
      <c r="AG17">
        <f>((SUMIF('Cost Breakdowns'!$D$135:$D$137,"ISIC 41T43",'Cost Breakdowns'!$B$135:$B$137)))</f>
        <v/>
      </c>
      <c r="AH17">
        <f>((SUMIF('Cost Breakdowns'!$D$135:$D$137,"ISIC 45T47",'Cost Breakdowns'!$B$135:$B$137)))</f>
        <v/>
      </c>
      <c r="AI17">
        <f>((SUMIF('Cost Breakdowns'!$D$135:$D$137,"ISIC 49T53",'Cost Breakdowns'!$B$135:$B$137)))*'Factors applied'!$E$490</f>
        <v/>
      </c>
      <c r="AJ17">
        <f>((SUMIF('Cost Breakdowns'!$D$135:$D$137,"ISIC 49T53",'Cost Breakdowns'!$B$135:$B$137)))*'Factors applied'!$E$491</f>
        <v/>
      </c>
      <c r="AK17">
        <f>((SUMIF('Cost Breakdowns'!$D$135:$D$137,"ISIC 49T53",'Cost Breakdowns'!$B$135:$B$137)))*'Factors applied'!$E$492</f>
        <v/>
      </c>
      <c r="AL17">
        <f>((SUMIF('Cost Breakdowns'!$D$135:$D$137,"ISIC 49T53",'Cost Breakdowns'!$B$135:$B$137)))*'Factors applied'!$E$493</f>
        <v/>
      </c>
      <c r="AM17">
        <f>((SUMIF('Cost Breakdowns'!$D$135:$D$137,"ISIC 49T53",'Cost Breakdowns'!$B$135:$B$137)))*'Factors applied'!$E$494</f>
        <v/>
      </c>
      <c r="AN17">
        <f>((SUMIF('Cost Breakdowns'!$D$135:$D$137,"ISIC 55T56",'Cost Breakdowns'!$B$135:$B$137)))</f>
        <v/>
      </c>
      <c r="AO17">
        <f>((SUMIF('Cost Breakdowns'!$D$135:$D$137,"ISIC 58T60",'Cost Breakdowns'!$B$135:$B$137)))</f>
        <v/>
      </c>
      <c r="AP17">
        <f>((SUMIF('Cost Breakdowns'!$D$135:$D$137,"ISIC 61",'Cost Breakdowns'!$B$135:$B$137)))</f>
        <v/>
      </c>
      <c r="AQ17">
        <f>((SUMIF('Cost Breakdowns'!$D$135:$D$137,"ISIC 62T63",'Cost Breakdowns'!$B$135:$B$137)))</f>
        <v/>
      </c>
      <c r="AR17">
        <f>((SUMIF('Cost Breakdowns'!$D$135:$D$137,"ISIC 64T66",'Cost Breakdowns'!$B$135:$B$137)))</f>
        <v/>
      </c>
      <c r="AS17">
        <f>((SUMIF('Cost Breakdowns'!$D$135:$D$137,"ISIC 68",'Cost Breakdowns'!$B$135:$B$137)))</f>
        <v/>
      </c>
      <c r="AT17">
        <f>((SUMIF('Cost Breakdowns'!$D$135:$D$137,"ISIC 69T82",'Cost Breakdowns'!$B$135:$B$137)))*'Factors applied'!$E$495</f>
        <v/>
      </c>
      <c r="AU17">
        <f>((SUMIF('Cost Breakdowns'!$D$135:$D$137,"ISIC 69T82",'Cost Breakdowns'!$B$135:$B$137)))*'Factors applied'!$E$496</f>
        <v/>
      </c>
      <c r="AV17">
        <f>((SUMIF('Cost Breakdowns'!$D$135:$D$137,"ISIC 84",'Cost Breakdowns'!$B$135:$B$137)))</f>
        <v/>
      </c>
      <c r="AW17">
        <f>((SUMIF('Cost Breakdowns'!$D$135:$D$137,"ISIC 85",'Cost Breakdowns'!$B$135:$B$137)))</f>
        <v/>
      </c>
      <c r="AX17">
        <f>((SUMIF('Cost Breakdowns'!$D$135:$D$137,"ISIC 86T88",'Cost Breakdowns'!$B$135:$B$137)))</f>
        <v/>
      </c>
      <c r="AY17">
        <f>((SUMIF('Cost Breakdowns'!$D$135:$D$137,"ISIC 90T96",'Cost Breakdowns'!$B$135:$B$137)))*'Factors applied'!$E$497</f>
        <v/>
      </c>
      <c r="AZ17">
        <f>((SUMIF('Cost Breakdowns'!$D$135:$D$137,"ISIC 90T96",'Cost Breakdowns'!$B$135:$B$137)))*'Factors applied'!$E$498</f>
        <v/>
      </c>
      <c r="BA17">
        <f>((SUMIF('Cost Breakdowns'!$D$135:$D$137,"ISIC 97T98",'Cost Breakdowns'!$B$135:$B$137)))</f>
        <v/>
      </c>
    </row>
    <row r="18">
      <c r="A18" t="inlineStr">
        <is>
          <t>municipal solid waste</t>
        </is>
      </c>
      <c r="B18">
        <f>((SUMIF('Cost Breakdowns'!$D$229:$D$229,"ISIC 01T03",'Cost Breakdowns'!$B$229:$B$229)))*'Factors applied'!$E$579</f>
        <v/>
      </c>
      <c r="C18">
        <f>((SUMIF('Cost Breakdowns'!$D$229:$D$229,"ISIC 01T03",'Cost Breakdowns'!$B$229:$B$229)))*'Factors applied'!$E$580</f>
        <v/>
      </c>
      <c r="D18">
        <f>((SUMIF('Cost Breakdowns'!$D$229:$D$229,"ISIC 01T03",'Cost Breakdowns'!$B$229:$B$229)))*'Factors applied'!$E$581</f>
        <v/>
      </c>
      <c r="E18">
        <f>((SUMIF('Cost Breakdowns'!$D$229:$D$229,"ISIC 05",'Cost Breakdowns'!$B$229:$B$229)))</f>
        <v/>
      </c>
      <c r="F18">
        <f>((SUMIF('Cost Breakdowns'!$D$229:$D$229,"ISIC 06",'Cost Breakdowns'!$B$229:$B$229)))</f>
        <v/>
      </c>
      <c r="G18">
        <f>((SUMIF('Cost Breakdowns'!$D$229:$D$229,"ISIC 07T08",'Cost Breakdowns'!$B$229:$B$229)))*'Factors applied'!$E$582</f>
        <v/>
      </c>
      <c r="H18">
        <f>((SUMIF('Cost Breakdowns'!$D$229:$D$229,"ISIC 07T08",'Cost Breakdowns'!$B$229:$B$229)))*'Factors applied'!$E$583</f>
        <v/>
      </c>
      <c r="I18">
        <f>((SUMIF('Cost Breakdowns'!$D$229:$D$229,"ISIC 09",'Cost Breakdowns'!$B$229:$B$229)))</f>
        <v/>
      </c>
      <c r="J18">
        <f>((SUMIF('Cost Breakdowns'!$D$229:$D$229,"ISIC 10T12",'Cost Breakdowns'!$B$229:$B$229)))</f>
        <v/>
      </c>
      <c r="K18">
        <f>((SUMIF('Cost Breakdowns'!$D$229:$D$229,"ISIC 13T15",'Cost Breakdowns'!$B$229:$B$229)))</f>
        <v/>
      </c>
      <c r="L18">
        <f>((SUMIF('Cost Breakdowns'!$D$229:$D$229,"ISIC 16",'Cost Breakdowns'!$B$229:$B$229)))</f>
        <v/>
      </c>
      <c r="M18">
        <f>((SUMIF('Cost Breakdowns'!$D$229:$D$229,"ISIC 17T18",'Cost Breakdowns'!$B$229:$B$229)))</f>
        <v/>
      </c>
      <c r="N18">
        <f>((SUMIF('Cost Breakdowns'!$D$229:$D$229,"ISIC 19",'Cost Breakdowns'!$B$229:$B$229)))</f>
        <v/>
      </c>
      <c r="O18">
        <f>((SUMIF('Cost Breakdowns'!$D$229:$D$229,"ISIC 20",'Cost Breakdowns'!$B$229:$B$229)))</f>
        <v/>
      </c>
      <c r="P18">
        <f>((SUMIF('Cost Breakdowns'!$D$229:$D$229,"ISIC 21",'Cost Breakdowns'!$B$229:$B$229)))</f>
        <v/>
      </c>
      <c r="Q18">
        <f>((SUMIF('Cost Breakdowns'!$D$229:$D$229,"ISIC 22",'Cost Breakdowns'!$B$229:$B$229)))</f>
        <v/>
      </c>
      <c r="R18">
        <f>((SUMIF('Cost Breakdowns'!$D$229:$D$229,"ISIC 231",'Cost Breakdowns'!$B$229:$B$229)))</f>
        <v/>
      </c>
      <c r="S18">
        <f>((SUMIF('Cost Breakdowns'!$D$229:$D$229,"ISIC 239",'Cost Breakdowns'!$B$229:$B$229)))</f>
        <v/>
      </c>
      <c r="T18">
        <f>((SUMIF('Cost Breakdowns'!$D$229:$D$229,"ISIC 241",'Cost Breakdowns'!$B$229:$B$229)))</f>
        <v/>
      </c>
      <c r="U18">
        <f>((SUMIF('Cost Breakdowns'!$D$229:$D$229,"ISIC 242",'Cost Breakdowns'!$B$229:$B$229)))</f>
        <v/>
      </c>
      <c r="V18">
        <f>((SUMIF('Cost Breakdowns'!$D$229:$D$229,"ISIC 25",'Cost Breakdowns'!$B$229:$B$229)))</f>
        <v/>
      </c>
      <c r="W18">
        <f>((SUMIF('Cost Breakdowns'!$D$229:$D$229,"ISIC 26",'Cost Breakdowns'!$B$229:$B$229)))</f>
        <v/>
      </c>
      <c r="X18">
        <f>((SUMIF('Cost Breakdowns'!$D$229:$D$229,"ISIC 27",'Cost Breakdowns'!$B$229:$B$229)))</f>
        <v/>
      </c>
      <c r="Y18">
        <f>((SUMIF('Cost Breakdowns'!$D$229:$D$229,"ISIC 28",'Cost Breakdowns'!$B$229:$B$229)))</f>
        <v/>
      </c>
      <c r="Z18">
        <f>((SUMIF('Cost Breakdowns'!$D$229:$D$229,"ISIC 29",'Cost Breakdowns'!$B$229:$B$229)))</f>
        <v/>
      </c>
      <c r="AA18">
        <f>((SUMIF('Cost Breakdowns'!$D$229:$D$229,"ISIC 30",'Cost Breakdowns'!$B$229:$B$229)))*'Factors applied'!$E$584</f>
        <v/>
      </c>
      <c r="AB18">
        <f>((SUMIF('Cost Breakdowns'!$D$229:$D$229,"ISIC 30",'Cost Breakdowns'!$B$229:$B$229)))*'Factors applied'!$E$585</f>
        <v/>
      </c>
      <c r="AC18">
        <f>((SUMIF('Cost Breakdowns'!$D$229:$D$229,"ISIC 31T33",'Cost Breakdowns'!$B$229:$B$229)))</f>
        <v/>
      </c>
      <c r="AD18">
        <f>((SUMIF('Cost Breakdowns'!$D$229:$D$229,"ISIC 351",'Cost Breakdowns'!$B$229:$B$229)))</f>
        <v/>
      </c>
      <c r="AE18">
        <f>((SUMIF('Cost Breakdowns'!$D$229:$D$229,"ISIC 352T353",'Cost Breakdowns'!$B$229:$B$229)))</f>
        <v/>
      </c>
      <c r="AF18">
        <f>((SUMIF('Cost Breakdowns'!$D$229:$D$229,"ISIC 36T39",'Cost Breakdowns'!$B$229:$B$229)))</f>
        <v/>
      </c>
      <c r="AG18">
        <f>((SUMIF('Cost Breakdowns'!$D$229:$D$229,"ISIC 41T43",'Cost Breakdowns'!$B$229:$B$229)))</f>
        <v/>
      </c>
      <c r="AH18">
        <f>((SUMIF('Cost Breakdowns'!$D$229:$D$229,"ISIC 45T47",'Cost Breakdowns'!$B$229:$B$229)))</f>
        <v/>
      </c>
      <c r="AI18">
        <f>((SUMIF('Cost Breakdowns'!$D$229:$D$229,"ISIC 49T53",'Cost Breakdowns'!$B$229:$B$229)))*'Factors applied'!$E$586</f>
        <v/>
      </c>
      <c r="AJ18">
        <f>((SUMIF('Cost Breakdowns'!$D$229:$D$229,"ISIC 49T53",'Cost Breakdowns'!$B$229:$B$229)))*'Factors applied'!$E$587</f>
        <v/>
      </c>
      <c r="AK18">
        <f>((SUMIF('Cost Breakdowns'!$D$229:$D$229,"ISIC 49T53",'Cost Breakdowns'!$B$229:$B$229)))*'Factors applied'!$E$588</f>
        <v/>
      </c>
      <c r="AL18">
        <f>((SUMIF('Cost Breakdowns'!$D$229:$D$229,"ISIC 49T53",'Cost Breakdowns'!$B$229:$B$229)))*'Factors applied'!$E$589</f>
        <v/>
      </c>
      <c r="AM18">
        <f>((SUMIF('Cost Breakdowns'!$D$229:$D$229,"ISIC 49T53",'Cost Breakdowns'!$B$229:$B$229)))*'Factors applied'!$E$590</f>
        <v/>
      </c>
      <c r="AN18">
        <f>((SUMIF('Cost Breakdowns'!$D$229:$D$229,"ISIC 55T56",'Cost Breakdowns'!$B$229:$B$229)))</f>
        <v/>
      </c>
      <c r="AO18">
        <f>((SUMIF('Cost Breakdowns'!$D$229:$D$229,"ISIC 58T60",'Cost Breakdowns'!$B$229:$B$229)))</f>
        <v/>
      </c>
      <c r="AP18">
        <f>((SUMIF('Cost Breakdowns'!$D$229:$D$229,"ISIC 61",'Cost Breakdowns'!$B$229:$B$229)))</f>
        <v/>
      </c>
      <c r="AQ18">
        <f>((SUMIF('Cost Breakdowns'!$D$229:$D$229,"ISIC 62T63",'Cost Breakdowns'!$B$229:$B$229)))</f>
        <v/>
      </c>
      <c r="AR18">
        <f>((SUMIF('Cost Breakdowns'!$D$229:$D$229,"ISIC 64T66",'Cost Breakdowns'!$B$229:$B$229)))</f>
        <v/>
      </c>
      <c r="AS18">
        <f>((SUMIF('Cost Breakdowns'!$D$229:$D$229,"ISIC 68",'Cost Breakdowns'!$B$229:$B$229)))</f>
        <v/>
      </c>
      <c r="AT18">
        <f>((SUMIF('Cost Breakdowns'!$D$229:$D$229,"ISIC 69T82",'Cost Breakdowns'!$B$229:$B$229)))*'Factors applied'!$E$591</f>
        <v/>
      </c>
      <c r="AU18">
        <f>((SUMIF('Cost Breakdowns'!$D$229:$D$229,"ISIC 69T82",'Cost Breakdowns'!$B$229:$B$229)))*'Factors applied'!$E$592</f>
        <v/>
      </c>
      <c r="AV18">
        <f>((SUMIF('Cost Breakdowns'!$D$229:$D$229,"ISIC 84",'Cost Breakdowns'!$B$229:$B$229)))</f>
        <v/>
      </c>
      <c r="AW18">
        <f>((SUMIF('Cost Breakdowns'!$D$229:$D$229,"ISIC 85",'Cost Breakdowns'!$B$229:$B$229)))</f>
        <v/>
      </c>
      <c r="AX18">
        <f>((SUMIF('Cost Breakdowns'!$D$229:$D$229,"ISIC 86T88",'Cost Breakdowns'!$B$229:$B$229)))</f>
        <v/>
      </c>
      <c r="AY18">
        <f>((SUMIF('Cost Breakdowns'!$D$229:$D$229,"ISIC 90T96",'Cost Breakdowns'!$B$229:$B$229)))*'Factors applied'!$E$593</f>
        <v/>
      </c>
      <c r="AZ18">
        <f>((SUMIF('Cost Breakdowns'!$D$229:$D$229,"ISIC 90T96",'Cost Breakdowns'!$B$229:$B$229)))*'Factors applied'!$E$594</f>
        <v/>
      </c>
      <c r="BA18">
        <f>((SUMIF('Cost Breakdowns'!$D$229:$D$229,"ISIC 97T98",'Cost Breakdowns'!$B$229:$B$229)))</f>
        <v/>
      </c>
    </row>
    <row r="19">
      <c r="A19" t="inlineStr">
        <is>
          <t>hard coal w CCS</t>
        </is>
      </c>
      <c r="B19">
        <f>('CCS Costs'!B75+'CCS Costs'!B83)*'Factors applied'!$E$467</f>
        <v/>
      </c>
      <c r="C19">
        <f>('CCS Costs'!B75+'CCS Costs'!B83)*'Factors applied'!$E$468</f>
        <v/>
      </c>
      <c r="D19">
        <f>('CCS Costs'!B75+'CCS Costs'!B83)*'Factors applied'!$E$469</f>
        <v/>
      </c>
      <c r="E19">
        <f>('CCS Costs'!C75+'CCS Costs'!C83)</f>
        <v/>
      </c>
      <c r="F19">
        <f>('CCS Costs'!D75+'CCS Costs'!D83)</f>
        <v/>
      </c>
      <c r="G19">
        <f>('CCS Costs'!E75+'CCS Costs'!E83)*'Factors applied'!$E$470</f>
        <v/>
      </c>
      <c r="H19">
        <f>('CCS Costs'!E75+'CCS Costs'!E83)*'Factors applied'!$E$471</f>
        <v/>
      </c>
      <c r="I19">
        <f>('CCS Costs'!F75+'CCS Costs'!F83)</f>
        <v/>
      </c>
      <c r="J19">
        <f>('CCS Costs'!G75+'CCS Costs'!G83)</f>
        <v/>
      </c>
      <c r="K19">
        <f>('CCS Costs'!H75+'CCS Costs'!H83)</f>
        <v/>
      </c>
      <c r="L19">
        <f>('CCS Costs'!I75+'CCS Costs'!I83)</f>
        <v/>
      </c>
      <c r="M19">
        <f>('CCS Costs'!J75+'CCS Costs'!J83)</f>
        <v/>
      </c>
      <c r="N19">
        <f>('CCS Costs'!K75+'CCS Costs'!K83)</f>
        <v/>
      </c>
      <c r="O19">
        <f>('CCS Costs'!L75+'CCS Costs'!L83)</f>
        <v/>
      </c>
      <c r="P19">
        <f>('CCS Costs'!M75+'CCS Costs'!M83)</f>
        <v/>
      </c>
      <c r="Q19">
        <f>('CCS Costs'!N75+'CCS Costs'!N83)</f>
        <v/>
      </c>
      <c r="R19">
        <f>('CCS Costs'!O75+'CCS Costs'!O83)</f>
        <v/>
      </c>
      <c r="S19">
        <f>('CCS Costs'!P75+'CCS Costs'!P83)</f>
        <v/>
      </c>
      <c r="T19">
        <f>('CCS Costs'!Q75+'CCS Costs'!Q83)</f>
        <v/>
      </c>
      <c r="U19">
        <f>('CCS Costs'!R75+'CCS Costs'!R83)</f>
        <v/>
      </c>
      <c r="V19">
        <f>('CCS Costs'!S75+'CCS Costs'!S83)</f>
        <v/>
      </c>
      <c r="W19">
        <f>('CCS Costs'!T75+'CCS Costs'!T83)</f>
        <v/>
      </c>
      <c r="X19">
        <f>('CCS Costs'!U75+'CCS Costs'!U83)</f>
        <v/>
      </c>
      <c r="Y19">
        <f>('CCS Costs'!V75+'CCS Costs'!V83)</f>
        <v/>
      </c>
      <c r="Z19">
        <f>('CCS Costs'!W75+'CCS Costs'!W83)</f>
        <v/>
      </c>
      <c r="AA19">
        <f>('CCS Costs'!X75+'CCS Costs'!X83)*'Factors applied'!$E$472</f>
        <v/>
      </c>
      <c r="AB19">
        <f>('CCS Costs'!X75+'CCS Costs'!X83)*'Factors applied'!$E$473</f>
        <v/>
      </c>
      <c r="AC19">
        <f>('CCS Costs'!Y75+'CCS Costs'!Y83)</f>
        <v/>
      </c>
      <c r="AD19">
        <f>('CCS Costs'!Z75+'CCS Costs'!Z83)</f>
        <v/>
      </c>
      <c r="AE19">
        <f>('CCS Costs'!AA75+'CCS Costs'!AA83)</f>
        <v/>
      </c>
      <c r="AF19">
        <f>('CCS Costs'!AB75+'CCS Costs'!AB83)</f>
        <v/>
      </c>
      <c r="AG19">
        <f>('CCS Costs'!AC75+'CCS Costs'!AC83)</f>
        <v/>
      </c>
      <c r="AH19">
        <f>('CCS Costs'!AD75+'CCS Costs'!AD83)</f>
        <v/>
      </c>
      <c r="AI19">
        <f>('CCS Costs'!AE75+'CCS Costs'!AE83)*'Factors applied'!$E$474</f>
        <v/>
      </c>
      <c r="AJ19">
        <f>('CCS Costs'!AE75+'CCS Costs'!AE83)*'Factors applied'!$E$475</f>
        <v/>
      </c>
      <c r="AK19">
        <f>('CCS Costs'!AE75+'CCS Costs'!AE83)*'Factors applied'!$E$476</f>
        <v/>
      </c>
      <c r="AL19">
        <f>('CCS Costs'!AE75+'CCS Costs'!AE83)*'Factors applied'!$E$477</f>
        <v/>
      </c>
      <c r="AM19">
        <f>('CCS Costs'!AE75+'CCS Costs'!AE83)*'Factors applied'!$E$478</f>
        <v/>
      </c>
      <c r="AN19">
        <f>('CCS Costs'!AF75+'CCS Costs'!AF83)</f>
        <v/>
      </c>
      <c r="AO19">
        <f>('CCS Costs'!AG75+'CCS Costs'!AG83)</f>
        <v/>
      </c>
      <c r="AP19">
        <f>('CCS Costs'!AH75+'CCS Costs'!AH83)</f>
        <v/>
      </c>
      <c r="AQ19">
        <f>('CCS Costs'!AI75+'CCS Costs'!AI83)</f>
        <v/>
      </c>
      <c r="AR19">
        <f>('CCS Costs'!AJ75+'CCS Costs'!AJ83)</f>
        <v/>
      </c>
      <c r="AS19">
        <f>('CCS Costs'!AK75+'CCS Costs'!AK83)</f>
        <v/>
      </c>
      <c r="AT19">
        <f>('CCS Costs'!AL75+'CCS Costs'!AL83)*'Factors applied'!$E$479</f>
        <v/>
      </c>
      <c r="AU19">
        <f>('CCS Costs'!AL75+'CCS Costs'!AL83)*'Factors applied'!$E$480</f>
        <v/>
      </c>
      <c r="AV19">
        <f>('CCS Costs'!AM75+'CCS Costs'!AM83)</f>
        <v/>
      </c>
      <c r="AW19">
        <f>('CCS Costs'!AN75+'CCS Costs'!AN83)</f>
        <v/>
      </c>
      <c r="AX19">
        <f>('CCS Costs'!AO75+'CCS Costs'!AO83)</f>
        <v/>
      </c>
      <c r="AY19">
        <f>('CCS Costs'!AP75+'CCS Costs'!AP83)*'Factors applied'!$E$481</f>
        <v/>
      </c>
      <c r="AZ19">
        <f>('CCS Costs'!AP75+'CCS Costs'!AP83)*'Factors applied'!$E$482</f>
        <v/>
      </c>
      <c r="BA19">
        <f>('CCS Costs'!AQ75+'CCS Costs'!AQ83)</f>
        <v/>
      </c>
    </row>
    <row r="20">
      <c r="A20" t="inlineStr">
        <is>
          <t>natural gas combined cycle w CCS</t>
        </is>
      </c>
      <c r="B20">
        <f>('CCS Costs'!B76+'CCS Costs'!B84)*'Factors applied'!$E$611</f>
        <v/>
      </c>
      <c r="C20">
        <f>('CCS Costs'!B76+'CCS Costs'!B84)*'Factors applied'!$E$612</f>
        <v/>
      </c>
      <c r="D20">
        <f>('CCS Costs'!B76+'CCS Costs'!B84)*'Factors applied'!$E$613</f>
        <v/>
      </c>
      <c r="E20">
        <f>('CCS Costs'!C76+'CCS Costs'!C84)</f>
        <v/>
      </c>
      <c r="F20">
        <f>('CCS Costs'!D76+'CCS Costs'!D84)</f>
        <v/>
      </c>
      <c r="G20">
        <f>('CCS Costs'!E76+'CCS Costs'!E84)*'Factors applied'!$E$614</f>
        <v/>
      </c>
      <c r="H20">
        <f>('CCS Costs'!E76+'CCS Costs'!E84)*'Factors applied'!$E$615</f>
        <v/>
      </c>
      <c r="I20">
        <f>('CCS Costs'!F76+'CCS Costs'!F84)</f>
        <v/>
      </c>
      <c r="J20">
        <f>('CCS Costs'!G76+'CCS Costs'!G84)</f>
        <v/>
      </c>
      <c r="K20">
        <f>('CCS Costs'!H76+'CCS Costs'!H84)</f>
        <v/>
      </c>
      <c r="L20">
        <f>('CCS Costs'!I76+'CCS Costs'!I84)</f>
        <v/>
      </c>
      <c r="M20">
        <f>('CCS Costs'!J76+'CCS Costs'!J84)</f>
        <v/>
      </c>
      <c r="N20">
        <f>('CCS Costs'!K76+'CCS Costs'!K84)</f>
        <v/>
      </c>
      <c r="O20">
        <f>('CCS Costs'!L76+'CCS Costs'!L84)</f>
        <v/>
      </c>
      <c r="P20">
        <f>('CCS Costs'!M76+'CCS Costs'!M84)</f>
        <v/>
      </c>
      <c r="Q20">
        <f>('CCS Costs'!N76+'CCS Costs'!N84)</f>
        <v/>
      </c>
      <c r="R20">
        <f>('CCS Costs'!O76+'CCS Costs'!O84)</f>
        <v/>
      </c>
      <c r="S20">
        <f>('CCS Costs'!P76+'CCS Costs'!P84)</f>
        <v/>
      </c>
      <c r="T20">
        <f>('CCS Costs'!Q76+'CCS Costs'!Q84)</f>
        <v/>
      </c>
      <c r="U20">
        <f>('CCS Costs'!R76+'CCS Costs'!R84)</f>
        <v/>
      </c>
      <c r="V20">
        <f>('CCS Costs'!S76+'CCS Costs'!S84)</f>
        <v/>
      </c>
      <c r="W20">
        <f>('CCS Costs'!T76+'CCS Costs'!T84)</f>
        <v/>
      </c>
      <c r="X20">
        <f>('CCS Costs'!U76+'CCS Costs'!U84)</f>
        <v/>
      </c>
      <c r="Y20">
        <f>('CCS Costs'!V76+'CCS Costs'!V84)</f>
        <v/>
      </c>
      <c r="Z20">
        <f>('CCS Costs'!W76+'CCS Costs'!W84)</f>
        <v/>
      </c>
      <c r="AA20">
        <f>('CCS Costs'!X76+'CCS Costs'!X84)*'Factors applied'!$E$616</f>
        <v/>
      </c>
      <c r="AB20">
        <f>('CCS Costs'!X76+'CCS Costs'!X84)*'Factors applied'!$E$617</f>
        <v/>
      </c>
      <c r="AC20">
        <f>('CCS Costs'!Y76+'CCS Costs'!Y84)</f>
        <v/>
      </c>
      <c r="AD20">
        <f>('CCS Costs'!Z76+'CCS Costs'!Z84)</f>
        <v/>
      </c>
      <c r="AE20">
        <f>('CCS Costs'!AA76+'CCS Costs'!AA84)</f>
        <v/>
      </c>
      <c r="AF20">
        <f>('CCS Costs'!AB76+'CCS Costs'!AB84)</f>
        <v/>
      </c>
      <c r="AG20">
        <f>('CCS Costs'!AC76+'CCS Costs'!AC84)</f>
        <v/>
      </c>
      <c r="AH20">
        <f>('CCS Costs'!AD76+'CCS Costs'!AD84)</f>
        <v/>
      </c>
      <c r="AI20">
        <f>('CCS Costs'!AE76+'CCS Costs'!AE84)*'Factors applied'!$E$618</f>
        <v/>
      </c>
      <c r="AJ20">
        <f>('CCS Costs'!AE76+'CCS Costs'!AE84)*'Factors applied'!$E$619</f>
        <v/>
      </c>
      <c r="AK20">
        <f>('CCS Costs'!AE76+'CCS Costs'!AE84)*'Factors applied'!$E$620</f>
        <v/>
      </c>
      <c r="AL20">
        <f>('CCS Costs'!AE76+'CCS Costs'!AE84)*'Factors applied'!$E$621</f>
        <v/>
      </c>
      <c r="AM20">
        <f>('CCS Costs'!AE76+'CCS Costs'!AE84)*'Factors applied'!$E$622</f>
        <v/>
      </c>
      <c r="AN20">
        <f>('CCS Costs'!AF76+'CCS Costs'!AF84)</f>
        <v/>
      </c>
      <c r="AO20">
        <f>('CCS Costs'!AG76+'CCS Costs'!AG84)</f>
        <v/>
      </c>
      <c r="AP20">
        <f>('CCS Costs'!AH76+'CCS Costs'!AH84)</f>
        <v/>
      </c>
      <c r="AQ20">
        <f>('CCS Costs'!AI76+'CCS Costs'!AI84)</f>
        <v/>
      </c>
      <c r="AR20">
        <f>('CCS Costs'!AJ76+'CCS Costs'!AJ84)</f>
        <v/>
      </c>
      <c r="AS20">
        <f>('CCS Costs'!AK76+'CCS Costs'!AK84)</f>
        <v/>
      </c>
      <c r="AT20">
        <f>('CCS Costs'!AL76+'CCS Costs'!AL84)*'Factors applied'!$E$623</f>
        <v/>
      </c>
      <c r="AU20">
        <f>('CCS Costs'!AL76+'CCS Costs'!AL84)*'Factors applied'!$E$624</f>
        <v/>
      </c>
      <c r="AV20">
        <f>('CCS Costs'!AM76+'CCS Costs'!AM84)</f>
        <v/>
      </c>
      <c r="AW20">
        <f>('CCS Costs'!AN76+'CCS Costs'!AN84)</f>
        <v/>
      </c>
      <c r="AX20">
        <f>('CCS Costs'!AO76+'CCS Costs'!AO84)</f>
        <v/>
      </c>
      <c r="AY20">
        <f>('CCS Costs'!AP76+'CCS Costs'!AP84)*'Factors applied'!$E$625</f>
        <v/>
      </c>
      <c r="AZ20">
        <f>('CCS Costs'!AP76+'CCS Costs'!AP84)*'Factors applied'!$E$626</f>
        <v/>
      </c>
      <c r="BA20">
        <f>('CCS Costs'!AQ76+'CCS Costs'!AQ84)</f>
        <v/>
      </c>
    </row>
    <row r="21">
      <c r="A21" t="inlineStr">
        <is>
          <t>biomass w CCS</t>
        </is>
      </c>
      <c r="B21">
        <f>('CCS Costs'!B77+'CCS Costs'!B85)*'Factors applied'!$E$403</f>
        <v/>
      </c>
      <c r="C21">
        <f>('CCS Costs'!B77+'CCS Costs'!B85)*'Factors applied'!$E$404</f>
        <v/>
      </c>
      <c r="D21">
        <f>('CCS Costs'!B77+'CCS Costs'!B85)*'Factors applied'!$E$405</f>
        <v/>
      </c>
      <c r="E21">
        <f>('CCS Costs'!C77+'CCS Costs'!C85)</f>
        <v/>
      </c>
      <c r="F21">
        <f>('CCS Costs'!D77+'CCS Costs'!D85)</f>
        <v/>
      </c>
      <c r="G21">
        <f>('CCS Costs'!E77+'CCS Costs'!E85)*'Factors applied'!$E$406</f>
        <v/>
      </c>
      <c r="H21">
        <f>('CCS Costs'!E77+'CCS Costs'!E85)*'Factors applied'!$E$407</f>
        <v/>
      </c>
      <c r="I21">
        <f>('CCS Costs'!F77+'CCS Costs'!F85)</f>
        <v/>
      </c>
      <c r="J21">
        <f>('CCS Costs'!G77+'CCS Costs'!G85)</f>
        <v/>
      </c>
      <c r="K21">
        <f>('CCS Costs'!H77+'CCS Costs'!H85)</f>
        <v/>
      </c>
      <c r="L21">
        <f>('CCS Costs'!I77+'CCS Costs'!I85)</f>
        <v/>
      </c>
      <c r="M21">
        <f>('CCS Costs'!J77+'CCS Costs'!J85)</f>
        <v/>
      </c>
      <c r="N21">
        <f>('CCS Costs'!K77+'CCS Costs'!K85)</f>
        <v/>
      </c>
      <c r="O21">
        <f>('CCS Costs'!L77+'CCS Costs'!L85)</f>
        <v/>
      </c>
      <c r="P21">
        <f>('CCS Costs'!M77+'CCS Costs'!M85)</f>
        <v/>
      </c>
      <c r="Q21">
        <f>('CCS Costs'!N77+'CCS Costs'!N85)</f>
        <v/>
      </c>
      <c r="R21">
        <f>('CCS Costs'!O77+'CCS Costs'!O85)</f>
        <v/>
      </c>
      <c r="S21">
        <f>('CCS Costs'!P77+'CCS Costs'!P85)</f>
        <v/>
      </c>
      <c r="T21">
        <f>('CCS Costs'!Q77+'CCS Costs'!Q85)</f>
        <v/>
      </c>
      <c r="U21">
        <f>('CCS Costs'!R77+'CCS Costs'!R85)</f>
        <v/>
      </c>
      <c r="V21">
        <f>('CCS Costs'!S77+'CCS Costs'!S85)</f>
        <v/>
      </c>
      <c r="W21">
        <f>('CCS Costs'!T77+'CCS Costs'!T85)</f>
        <v/>
      </c>
      <c r="X21">
        <f>('CCS Costs'!U77+'CCS Costs'!U85)</f>
        <v/>
      </c>
      <c r="Y21">
        <f>('CCS Costs'!V77+'CCS Costs'!V85)</f>
        <v/>
      </c>
      <c r="Z21">
        <f>('CCS Costs'!W77+'CCS Costs'!W85)</f>
        <v/>
      </c>
      <c r="AA21">
        <f>('CCS Costs'!X77+'CCS Costs'!X85)*'Factors applied'!$E$408</f>
        <v/>
      </c>
      <c r="AB21">
        <f>('CCS Costs'!X77+'CCS Costs'!X85)*'Factors applied'!$E$409</f>
        <v/>
      </c>
      <c r="AC21">
        <f>('CCS Costs'!Y77+'CCS Costs'!Y85)</f>
        <v/>
      </c>
      <c r="AD21">
        <f>('CCS Costs'!Z77+'CCS Costs'!Z85)</f>
        <v/>
      </c>
      <c r="AE21">
        <f>('CCS Costs'!AA77+'CCS Costs'!AA85)</f>
        <v/>
      </c>
      <c r="AF21">
        <f>('CCS Costs'!AB77+'CCS Costs'!AB85)</f>
        <v/>
      </c>
      <c r="AG21">
        <f>('CCS Costs'!AC77+'CCS Costs'!AC85)</f>
        <v/>
      </c>
      <c r="AH21">
        <f>('CCS Costs'!AD77+'CCS Costs'!AD85)</f>
        <v/>
      </c>
      <c r="AI21">
        <f>('CCS Costs'!AE77+'CCS Costs'!AE85)*'Factors applied'!$E$410</f>
        <v/>
      </c>
      <c r="AJ21">
        <f>('CCS Costs'!AE77+'CCS Costs'!AE85)*'Factors applied'!$E$411</f>
        <v/>
      </c>
      <c r="AK21">
        <f>('CCS Costs'!AE77+'CCS Costs'!AE85)*'Factors applied'!$E$412</f>
        <v/>
      </c>
      <c r="AL21">
        <f>('CCS Costs'!AE77+'CCS Costs'!AE85)*'Factors applied'!$E$413</f>
        <v/>
      </c>
      <c r="AM21">
        <f>('CCS Costs'!AE77+'CCS Costs'!AE85)*'Factors applied'!$E$414</f>
        <v/>
      </c>
      <c r="AN21">
        <f>('CCS Costs'!AF77+'CCS Costs'!AF85)</f>
        <v/>
      </c>
      <c r="AO21">
        <f>('CCS Costs'!AG77+'CCS Costs'!AG85)</f>
        <v/>
      </c>
      <c r="AP21">
        <f>('CCS Costs'!AH77+'CCS Costs'!AH85)</f>
        <v/>
      </c>
      <c r="AQ21">
        <f>('CCS Costs'!AI77+'CCS Costs'!AI85)</f>
        <v/>
      </c>
      <c r="AR21">
        <f>('CCS Costs'!AJ77+'CCS Costs'!AJ85)</f>
        <v/>
      </c>
      <c r="AS21">
        <f>('CCS Costs'!AK77+'CCS Costs'!AK85)</f>
        <v/>
      </c>
      <c r="AT21">
        <f>('CCS Costs'!AL77+'CCS Costs'!AL85)*'Factors applied'!$E$415</f>
        <v/>
      </c>
      <c r="AU21">
        <f>('CCS Costs'!AL77+'CCS Costs'!AL85)*'Factors applied'!$E$416</f>
        <v/>
      </c>
      <c r="AV21">
        <f>('CCS Costs'!AM77+'CCS Costs'!AM85)</f>
        <v/>
      </c>
      <c r="AW21">
        <f>('CCS Costs'!AN77+'CCS Costs'!AN85)</f>
        <v/>
      </c>
      <c r="AX21">
        <f>('CCS Costs'!AO77+'CCS Costs'!AO85)</f>
        <v/>
      </c>
      <c r="AY21">
        <f>('CCS Costs'!AP77+'CCS Costs'!AP85)*'Factors applied'!$E$417</f>
        <v/>
      </c>
      <c r="AZ21">
        <f>('CCS Costs'!AP77+'CCS Costs'!AP85)*'Factors applied'!$E$418</f>
        <v/>
      </c>
      <c r="BA21">
        <f>('CCS Costs'!AQ77+'CCS Costs'!AQ85)</f>
        <v/>
      </c>
    </row>
    <row r="22">
      <c r="A22" t="inlineStr">
        <is>
          <t>lignite w CCS</t>
        </is>
      </c>
      <c r="B22">
        <f>('CCS Costs'!B78+'CCS Costs'!B86)*'Factors applied'!$E$563</f>
        <v/>
      </c>
      <c r="C22">
        <f>('CCS Costs'!B78+'CCS Costs'!B86)*'Factors applied'!$E$564</f>
        <v/>
      </c>
      <c r="D22">
        <f>('CCS Costs'!B78+'CCS Costs'!B86)*'Factors applied'!$E$565</f>
        <v/>
      </c>
      <c r="E22">
        <f>('CCS Costs'!C78+'CCS Costs'!C86)</f>
        <v/>
      </c>
      <c r="F22">
        <f>('CCS Costs'!D78+'CCS Costs'!D86)</f>
        <v/>
      </c>
      <c r="G22">
        <f>('CCS Costs'!E78+'CCS Costs'!E86)*'Factors applied'!$E$566</f>
        <v/>
      </c>
      <c r="H22">
        <f>('CCS Costs'!E78+'CCS Costs'!E86)*'Factors applied'!$E$567</f>
        <v/>
      </c>
      <c r="I22">
        <f>('CCS Costs'!F78+'CCS Costs'!F86)</f>
        <v/>
      </c>
      <c r="J22">
        <f>('CCS Costs'!G78+'CCS Costs'!G86)</f>
        <v/>
      </c>
      <c r="K22">
        <f>('CCS Costs'!H78+'CCS Costs'!H86)</f>
        <v/>
      </c>
      <c r="L22">
        <f>('CCS Costs'!I78+'CCS Costs'!I86)</f>
        <v/>
      </c>
      <c r="M22">
        <f>('CCS Costs'!J78+'CCS Costs'!J86)</f>
        <v/>
      </c>
      <c r="N22">
        <f>('CCS Costs'!K78+'CCS Costs'!K86)</f>
        <v/>
      </c>
      <c r="O22">
        <f>('CCS Costs'!L78+'CCS Costs'!L86)</f>
        <v/>
      </c>
      <c r="P22">
        <f>('CCS Costs'!M78+'CCS Costs'!M86)</f>
        <v/>
      </c>
      <c r="Q22">
        <f>('CCS Costs'!N78+'CCS Costs'!N86)</f>
        <v/>
      </c>
      <c r="R22">
        <f>('CCS Costs'!O78+'CCS Costs'!O86)</f>
        <v/>
      </c>
      <c r="S22">
        <f>('CCS Costs'!P78+'CCS Costs'!P86)</f>
        <v/>
      </c>
      <c r="T22">
        <f>('CCS Costs'!Q78+'CCS Costs'!Q86)</f>
        <v/>
      </c>
      <c r="U22">
        <f>('CCS Costs'!R78+'CCS Costs'!R86)</f>
        <v/>
      </c>
      <c r="V22">
        <f>('CCS Costs'!S78+'CCS Costs'!S86)</f>
        <v/>
      </c>
      <c r="W22">
        <f>('CCS Costs'!T78+'CCS Costs'!T86)</f>
        <v/>
      </c>
      <c r="X22">
        <f>('CCS Costs'!U78+'CCS Costs'!U86)</f>
        <v/>
      </c>
      <c r="Y22">
        <f>('CCS Costs'!V78+'CCS Costs'!V86)</f>
        <v/>
      </c>
      <c r="Z22">
        <f>('CCS Costs'!W78+'CCS Costs'!W86)</f>
        <v/>
      </c>
      <c r="AA22">
        <f>('CCS Costs'!X78+'CCS Costs'!X86)*'Factors applied'!$E$568</f>
        <v/>
      </c>
      <c r="AB22">
        <f>('CCS Costs'!X78+'CCS Costs'!X86)*'Factors applied'!$E$569</f>
        <v/>
      </c>
      <c r="AC22">
        <f>('CCS Costs'!Y78+'CCS Costs'!Y86)</f>
        <v/>
      </c>
      <c r="AD22">
        <f>('CCS Costs'!Z78+'CCS Costs'!Z86)</f>
        <v/>
      </c>
      <c r="AE22">
        <f>('CCS Costs'!AA78+'CCS Costs'!AA86)</f>
        <v/>
      </c>
      <c r="AF22">
        <f>('CCS Costs'!AB78+'CCS Costs'!AB86)</f>
        <v/>
      </c>
      <c r="AG22">
        <f>('CCS Costs'!AC78+'CCS Costs'!AC86)</f>
        <v/>
      </c>
      <c r="AH22">
        <f>('CCS Costs'!AD78+'CCS Costs'!AD86)</f>
        <v/>
      </c>
      <c r="AI22">
        <f>('CCS Costs'!AE78+'CCS Costs'!AE86)*'Factors applied'!$E$570</f>
        <v/>
      </c>
      <c r="AJ22">
        <f>('CCS Costs'!AE78+'CCS Costs'!AE86)*'Factors applied'!$E$571</f>
        <v/>
      </c>
      <c r="AK22">
        <f>('CCS Costs'!AE78+'CCS Costs'!AE86)*'Factors applied'!$E$572</f>
        <v/>
      </c>
      <c r="AL22">
        <f>('CCS Costs'!AE78+'CCS Costs'!AE86)*'Factors applied'!$E$573</f>
        <v/>
      </c>
      <c r="AM22">
        <f>('CCS Costs'!AE78+'CCS Costs'!AE86)*'Factors applied'!$E$574</f>
        <v/>
      </c>
      <c r="AN22">
        <f>('CCS Costs'!AF78+'CCS Costs'!AF86)</f>
        <v/>
      </c>
      <c r="AO22">
        <f>('CCS Costs'!AG78+'CCS Costs'!AG86)</f>
        <v/>
      </c>
      <c r="AP22">
        <f>('CCS Costs'!AH78+'CCS Costs'!AH86)</f>
        <v/>
      </c>
      <c r="AQ22">
        <f>('CCS Costs'!AI78+'CCS Costs'!AI86)</f>
        <v/>
      </c>
      <c r="AR22">
        <f>('CCS Costs'!AJ78+'CCS Costs'!AJ86)</f>
        <v/>
      </c>
      <c r="AS22">
        <f>('CCS Costs'!AK78+'CCS Costs'!AK86)</f>
        <v/>
      </c>
      <c r="AT22">
        <f>('CCS Costs'!AL78+'CCS Costs'!AL86)*'Factors applied'!$E$575</f>
        <v/>
      </c>
      <c r="AU22">
        <f>('CCS Costs'!AL78+'CCS Costs'!AL86)*'Factors applied'!$E$576</f>
        <v/>
      </c>
      <c r="AV22">
        <f>('CCS Costs'!AM78+'CCS Costs'!AM86)</f>
        <v/>
      </c>
      <c r="AW22">
        <f>('CCS Costs'!AN78+'CCS Costs'!AN86)</f>
        <v/>
      </c>
      <c r="AX22">
        <f>('CCS Costs'!AO78+'CCS Costs'!AO86)</f>
        <v/>
      </c>
      <c r="AY22">
        <f>('CCS Costs'!AP78+'CCS Costs'!AP86)*'Factors applied'!$E$577</f>
        <v/>
      </c>
      <c r="AZ22">
        <f>('CCS Costs'!AP78+'CCS Costs'!AP86)*'Factors applied'!$E$578</f>
        <v/>
      </c>
      <c r="BA22">
        <f>('CCS Costs'!AQ78+'CCS Costs'!AQ86)</f>
        <v/>
      </c>
    </row>
    <row r="23">
      <c r="A23" t="inlineStr">
        <is>
          <t>small modular reactor</t>
        </is>
      </c>
      <c r="B23">
        <f>((SUMIF('Cost Breakdowns'!$D$160:$D$160,"ISIC 01T03",'Cost Breakdowns'!$B$160:$B$160)))*'Factors applied'!$E$707</f>
        <v/>
      </c>
      <c r="C23">
        <f>((SUMIF('Cost Breakdowns'!$D$160:$D$160,"ISIC 01T03",'Cost Breakdowns'!$B$160:$B$160)))*'Factors applied'!$E$708</f>
        <v/>
      </c>
      <c r="D23">
        <f>((SUMIF('Cost Breakdowns'!$D$160:$D$160,"ISIC 01T03",'Cost Breakdowns'!$B$160:$B$160)))*'Factors applied'!$E$709</f>
        <v/>
      </c>
      <c r="E23">
        <f>((SUMIF('Cost Breakdowns'!$D$160:$D$160,"ISIC 05",'Cost Breakdowns'!$B$160:$B$160)))</f>
        <v/>
      </c>
      <c r="F23">
        <f>((SUMIF('Cost Breakdowns'!$D$160:$D$160,"ISIC 06",'Cost Breakdowns'!$B$160:$B$160)))</f>
        <v/>
      </c>
      <c r="G23">
        <f>((SUMIF('Cost Breakdowns'!$D$160:$D$160,"ISIC 07T08",'Cost Breakdowns'!$B$160:$B$160)))*'Factors applied'!$E$710</f>
        <v/>
      </c>
      <c r="H23">
        <f>((SUMIF('Cost Breakdowns'!$D$160:$D$160,"ISIC 07T08",'Cost Breakdowns'!$B$160:$B$160)))*'Factors applied'!$E$711</f>
        <v/>
      </c>
      <c r="I23">
        <f>((SUMIF('Cost Breakdowns'!$D$160:$D$160,"ISIC 09",'Cost Breakdowns'!$B$160:$B$160)))</f>
        <v/>
      </c>
      <c r="J23">
        <f>((SUMIF('Cost Breakdowns'!$D$160:$D$160,"ISIC 10T12",'Cost Breakdowns'!$B$160:$B$160)))</f>
        <v/>
      </c>
      <c r="K23">
        <f>((SUMIF('Cost Breakdowns'!$D$160:$D$160,"ISIC 13T15",'Cost Breakdowns'!$B$160:$B$160)))</f>
        <v/>
      </c>
      <c r="L23">
        <f>((SUMIF('Cost Breakdowns'!$D$160:$D$160,"ISIC 16",'Cost Breakdowns'!$B$160:$B$160)))</f>
        <v/>
      </c>
      <c r="M23">
        <f>((SUMIF('Cost Breakdowns'!$D$160:$D$160,"ISIC 17T18",'Cost Breakdowns'!$B$160:$B$160)))</f>
        <v/>
      </c>
      <c r="N23">
        <f>((SUMIF('Cost Breakdowns'!$D$160:$D$160,"ISIC 19",'Cost Breakdowns'!$B$160:$B$160)))</f>
        <v/>
      </c>
      <c r="O23">
        <f>((SUMIF('Cost Breakdowns'!$D$160:$D$160,"ISIC 20",'Cost Breakdowns'!$B$160:$B$160)))</f>
        <v/>
      </c>
      <c r="P23">
        <f>((SUMIF('Cost Breakdowns'!$D$160:$D$160,"ISIC 21",'Cost Breakdowns'!$B$160:$B$160)))</f>
        <v/>
      </c>
      <c r="Q23">
        <f>((SUMIF('Cost Breakdowns'!$D$160:$D$160,"ISIC 22",'Cost Breakdowns'!$B$160:$B$160)))</f>
        <v/>
      </c>
      <c r="R23">
        <f>((SUMIF('Cost Breakdowns'!$D$160:$D$160,"ISIC 231",'Cost Breakdowns'!$B$160:$B$160)))</f>
        <v/>
      </c>
      <c r="S23">
        <f>((SUMIF('Cost Breakdowns'!$D$160:$D$160,"ISIC 239",'Cost Breakdowns'!$B$160:$B$160)))</f>
        <v/>
      </c>
      <c r="T23">
        <f>((SUMIF('Cost Breakdowns'!$D$160:$D$160,"ISIC 241",'Cost Breakdowns'!$B$160:$B$160)))</f>
        <v/>
      </c>
      <c r="U23">
        <f>((SUMIF('Cost Breakdowns'!$D$160:$D$160,"ISIC 242",'Cost Breakdowns'!$B$160:$B$160)))</f>
        <v/>
      </c>
      <c r="V23">
        <f>((SUMIF('Cost Breakdowns'!$D$160:$D$160,"ISIC 25",'Cost Breakdowns'!$B$160:$B$160)))</f>
        <v/>
      </c>
      <c r="W23">
        <f>((SUMIF('Cost Breakdowns'!$D$160:$D$160,"ISIC 26",'Cost Breakdowns'!$B$160:$B$160)))</f>
        <v/>
      </c>
      <c r="X23">
        <f>((SUMIF('Cost Breakdowns'!$D$160:$D$160,"ISIC 27",'Cost Breakdowns'!$B$160:$B$160)))</f>
        <v/>
      </c>
      <c r="Y23">
        <f>((SUMIF('Cost Breakdowns'!$D$160:$D$160,"ISIC 28",'Cost Breakdowns'!$B$160:$B$160)))</f>
        <v/>
      </c>
      <c r="Z23">
        <f>((SUMIF('Cost Breakdowns'!$D$160:$D$160,"ISIC 29",'Cost Breakdowns'!$B$160:$B$160)))</f>
        <v/>
      </c>
      <c r="AA23">
        <f>((SUMIF('Cost Breakdowns'!$D$160:$D$160,"ISIC 30",'Cost Breakdowns'!$B$160:$B$160)))*'Factors applied'!$E$712</f>
        <v/>
      </c>
      <c r="AB23">
        <f>((SUMIF('Cost Breakdowns'!$D$160:$D$160,"ISIC 30",'Cost Breakdowns'!$B$160:$B$160)))*'Factors applied'!$E$713</f>
        <v/>
      </c>
      <c r="AC23">
        <f>((SUMIF('Cost Breakdowns'!$D$160:$D$160,"ISIC 31T33",'Cost Breakdowns'!$B$160:$B$160)))</f>
        <v/>
      </c>
      <c r="AD23">
        <f>((SUMIF('Cost Breakdowns'!$D$160:$D$160,"ISIC 351",'Cost Breakdowns'!$B$160:$B$160)))</f>
        <v/>
      </c>
      <c r="AE23">
        <f>((SUMIF('Cost Breakdowns'!$D$160:$D$160,"ISIC 352T353",'Cost Breakdowns'!$B$160:$B$160)))</f>
        <v/>
      </c>
      <c r="AF23">
        <f>((SUMIF('Cost Breakdowns'!$D$160:$D$160,"ISIC 36T39",'Cost Breakdowns'!$B$160:$B$160)))</f>
        <v/>
      </c>
      <c r="AG23">
        <f>((SUMIF('Cost Breakdowns'!$D$160:$D$160,"ISIC 41T43",'Cost Breakdowns'!$B$160:$B$160)))</f>
        <v/>
      </c>
      <c r="AH23">
        <f>((SUMIF('Cost Breakdowns'!$D$160:$D$160,"ISIC 45T47",'Cost Breakdowns'!$B$160:$B$160)))</f>
        <v/>
      </c>
      <c r="AI23">
        <f>((SUMIF('Cost Breakdowns'!$D$160:$D$160,"ISIC 49T53",'Cost Breakdowns'!$B$160:$B$160)))*'Factors applied'!$E$714</f>
        <v/>
      </c>
      <c r="AJ23">
        <f>((SUMIF('Cost Breakdowns'!$D$160:$D$160,"ISIC 49T53",'Cost Breakdowns'!$B$160:$B$160)))*'Factors applied'!$E$715</f>
        <v/>
      </c>
      <c r="AK23">
        <f>((SUMIF('Cost Breakdowns'!$D$160:$D$160,"ISIC 49T53",'Cost Breakdowns'!$B$160:$B$160)))*'Factors applied'!$E$716</f>
        <v/>
      </c>
      <c r="AL23">
        <f>((SUMIF('Cost Breakdowns'!$D$160:$D$160,"ISIC 49T53",'Cost Breakdowns'!$B$160:$B$160)))*'Factors applied'!$E$717</f>
        <v/>
      </c>
      <c r="AM23">
        <f>((SUMIF('Cost Breakdowns'!$D$160:$D$160,"ISIC 49T53",'Cost Breakdowns'!$B$160:$B$160)))*'Factors applied'!$E$718</f>
        <v/>
      </c>
      <c r="AN23">
        <f>((SUMIF('Cost Breakdowns'!$D$160:$D$160,"ISIC 55T56",'Cost Breakdowns'!$B$160:$B$160)))</f>
        <v/>
      </c>
      <c r="AO23">
        <f>((SUMIF('Cost Breakdowns'!$D$160:$D$160,"ISIC 58T60",'Cost Breakdowns'!$B$160:$B$160)))</f>
        <v/>
      </c>
      <c r="AP23">
        <f>((SUMIF('Cost Breakdowns'!$D$160:$D$160,"ISIC 61",'Cost Breakdowns'!$B$160:$B$160)))</f>
        <v/>
      </c>
      <c r="AQ23">
        <f>((SUMIF('Cost Breakdowns'!$D$160:$D$160,"ISIC 62T63",'Cost Breakdowns'!$B$160:$B$160)))</f>
        <v/>
      </c>
      <c r="AR23">
        <f>((SUMIF('Cost Breakdowns'!$D$160:$D$160,"ISIC 64T66",'Cost Breakdowns'!$B$160:$B$160)))</f>
        <v/>
      </c>
      <c r="AS23">
        <f>((SUMIF('Cost Breakdowns'!$D$160:$D$160,"ISIC 68",'Cost Breakdowns'!$B$160:$B$160)))</f>
        <v/>
      </c>
      <c r="AT23">
        <f>((SUMIF('Cost Breakdowns'!$D$160:$D$160,"ISIC 69T82",'Cost Breakdowns'!$B$160:$B$160)))*'Factors applied'!$E$719</f>
        <v/>
      </c>
      <c r="AU23">
        <f>((SUMIF('Cost Breakdowns'!$D$160:$D$160,"ISIC 69T82",'Cost Breakdowns'!$B$160:$B$160)))*'Factors applied'!$E$720</f>
        <v/>
      </c>
      <c r="AV23">
        <f>((SUMIF('Cost Breakdowns'!$D$160:$D$160,"ISIC 84",'Cost Breakdowns'!$B$160:$B$160)))</f>
        <v/>
      </c>
      <c r="AW23">
        <f>((SUMIF('Cost Breakdowns'!$D$160:$D$160,"ISIC 85",'Cost Breakdowns'!$B$160:$B$160)))</f>
        <v/>
      </c>
      <c r="AX23">
        <f>((SUMIF('Cost Breakdowns'!$D$160:$D$160,"ISIC 86T88",'Cost Breakdowns'!$B$160:$B$160)))</f>
        <v/>
      </c>
      <c r="AY23">
        <f>((SUMIF('Cost Breakdowns'!$D$160:$D$160,"ISIC 90T96",'Cost Breakdowns'!$B$160:$B$160)))*'Factors applied'!$E$721</f>
        <v/>
      </c>
      <c r="AZ23">
        <f>((SUMIF('Cost Breakdowns'!$D$160:$D$160,"ISIC 90T96",'Cost Breakdowns'!$B$160:$B$160)))*'Factors applied'!$E$722</f>
        <v/>
      </c>
      <c r="BA23">
        <f>((SUMIF('Cost Breakdowns'!$D$160:$D$160,"ISIC 97T98",'Cost Breakdowns'!$B$160:$B$160)))</f>
        <v/>
      </c>
    </row>
    <row r="24">
      <c r="A24" t="inlineStr">
        <is>
          <t>hydrogen combustion turbine</t>
        </is>
      </c>
      <c r="B24">
        <f>(((SUMIF('Cost Breakdowns'!$D$135:$D$137,"ISIC 01T03",'Cost Breakdowns'!$B$135:$B$137))))*'Factors applied'!$E$531</f>
        <v/>
      </c>
      <c r="C24">
        <f>(((SUMIF('Cost Breakdowns'!$D$135:$D$137,"ISIC 01T03",'Cost Breakdowns'!$B$135:$B$137))))*'Factors applied'!$E$532</f>
        <v/>
      </c>
      <c r="D24">
        <f>(((SUMIF('Cost Breakdowns'!$D$135:$D$137,"ISIC 01T03",'Cost Breakdowns'!$B$135:$B$137))))*'Factors applied'!$E$533</f>
        <v/>
      </c>
      <c r="E24">
        <f>(((SUMIF('Cost Breakdowns'!$D$135:$D$137,"ISIC 05",'Cost Breakdowns'!$B$135:$B$137))))</f>
        <v/>
      </c>
      <c r="F24">
        <f>(((SUMIF('Cost Breakdowns'!$D$135:$D$137,"ISIC 06",'Cost Breakdowns'!$B$135:$B$137))))</f>
        <v/>
      </c>
      <c r="G24">
        <f>(((SUMIF('Cost Breakdowns'!$D$135:$D$137,"ISIC 07T08",'Cost Breakdowns'!$B$135:$B$137))))*'Factors applied'!$E$534</f>
        <v/>
      </c>
      <c r="H24">
        <f>(((SUMIF('Cost Breakdowns'!$D$135:$D$137,"ISIC 07T08",'Cost Breakdowns'!$B$135:$B$137))))*'Factors applied'!$E$535</f>
        <v/>
      </c>
      <c r="I24">
        <f>(((SUMIF('Cost Breakdowns'!$D$135:$D$137,"ISIC 09",'Cost Breakdowns'!$B$135:$B$137))))</f>
        <v/>
      </c>
      <c r="J24">
        <f>(((SUMIF('Cost Breakdowns'!$D$135:$D$137,"ISIC 10T12",'Cost Breakdowns'!$B$135:$B$137))))</f>
        <v/>
      </c>
      <c r="K24">
        <f>(((SUMIF('Cost Breakdowns'!$D$135:$D$137,"ISIC 13T15",'Cost Breakdowns'!$B$135:$B$137))))</f>
        <v/>
      </c>
      <c r="L24">
        <f>(((SUMIF('Cost Breakdowns'!$D$135:$D$137,"ISIC 16",'Cost Breakdowns'!$B$135:$B$137))))</f>
        <v/>
      </c>
      <c r="M24">
        <f>(((SUMIF('Cost Breakdowns'!$D$135:$D$137,"ISIC 17T18",'Cost Breakdowns'!$B$135:$B$137))))</f>
        <v/>
      </c>
      <c r="N24">
        <f>(((SUMIF('Cost Breakdowns'!$D$135:$D$137,"ISIC 19",'Cost Breakdowns'!$B$135:$B$137))))</f>
        <v/>
      </c>
      <c r="O24">
        <f>(((SUMIF('Cost Breakdowns'!$D$135:$D$137,"ISIC 20",'Cost Breakdowns'!$B$135:$B$137))))</f>
        <v/>
      </c>
      <c r="P24">
        <f>(((SUMIF('Cost Breakdowns'!$D$135:$D$137,"ISIC 21",'Cost Breakdowns'!$B$135:$B$137))))</f>
        <v/>
      </c>
      <c r="Q24">
        <f>(((SUMIF('Cost Breakdowns'!$D$135:$D$137,"ISIC 22",'Cost Breakdowns'!$B$135:$B$137))))</f>
        <v/>
      </c>
      <c r="R24">
        <f>(((SUMIF('Cost Breakdowns'!$D$135:$D$137,"ISIC 231",'Cost Breakdowns'!$B$135:$B$137))))</f>
        <v/>
      </c>
      <c r="S24">
        <f>(((SUMIF('Cost Breakdowns'!$D$135:$D$137,"ISIC 239",'Cost Breakdowns'!$B$135:$B$137))))</f>
        <v/>
      </c>
      <c r="T24">
        <f>(((SUMIF('Cost Breakdowns'!$D$135:$D$137,"ISIC 241",'Cost Breakdowns'!$B$135:$B$137))))</f>
        <v/>
      </c>
      <c r="U24">
        <f>(((SUMIF('Cost Breakdowns'!$D$135:$D$137,"ISIC 242",'Cost Breakdowns'!$B$135:$B$137))))</f>
        <v/>
      </c>
      <c r="V24">
        <f>(((SUMIF('Cost Breakdowns'!$D$135:$D$137,"ISIC 25",'Cost Breakdowns'!$B$135:$B$137))))</f>
        <v/>
      </c>
      <c r="W24">
        <f>(((SUMIF('Cost Breakdowns'!$D$135:$D$137,"ISIC 26",'Cost Breakdowns'!$B$135:$B$137))))</f>
        <v/>
      </c>
      <c r="X24">
        <f>(((SUMIF('Cost Breakdowns'!$D$135:$D$137,"ISIC 27",'Cost Breakdowns'!$B$135:$B$137))))</f>
        <v/>
      </c>
      <c r="Y24">
        <f>(((SUMIF('Cost Breakdowns'!$D$135:$D$137,"ISIC 28",'Cost Breakdowns'!$B$135:$B$137))))</f>
        <v/>
      </c>
      <c r="Z24">
        <f>(((SUMIF('Cost Breakdowns'!$D$135:$D$137,"ISIC 29",'Cost Breakdowns'!$B$135:$B$137))))</f>
        <v/>
      </c>
      <c r="AA24">
        <f>(((SUMIF('Cost Breakdowns'!$D$135:$D$137,"ISIC 30",'Cost Breakdowns'!$B$135:$B$137))))*'Factors applied'!$E$536</f>
        <v/>
      </c>
      <c r="AB24">
        <f>(((SUMIF('Cost Breakdowns'!$D$135:$D$137,"ISIC 30",'Cost Breakdowns'!$B$135:$B$137))))*'Factors applied'!$E$537</f>
        <v/>
      </c>
      <c r="AC24">
        <f>(((SUMIF('Cost Breakdowns'!$D$135:$D$137,"ISIC 31T33",'Cost Breakdowns'!$B$135:$B$137))))</f>
        <v/>
      </c>
      <c r="AD24">
        <f>(((SUMIF('Cost Breakdowns'!$D$135:$D$137,"ISIC 351",'Cost Breakdowns'!$B$135:$B$137))))</f>
        <v/>
      </c>
      <c r="AE24">
        <f>(((SUMIF('Cost Breakdowns'!$D$135:$D$137,"ISIC 352T353",'Cost Breakdowns'!$B$135:$B$137))))</f>
        <v/>
      </c>
      <c r="AF24">
        <f>(((SUMIF('Cost Breakdowns'!$D$135:$D$137,"ISIC 36T39",'Cost Breakdowns'!$B$135:$B$137))))</f>
        <v/>
      </c>
      <c r="AG24">
        <f>(((SUMIF('Cost Breakdowns'!$D$135:$D$137,"ISIC 41T43",'Cost Breakdowns'!$B$135:$B$137))))</f>
        <v/>
      </c>
      <c r="AH24">
        <f>(((SUMIF('Cost Breakdowns'!$D$135:$D$137,"ISIC 45T47",'Cost Breakdowns'!$B$135:$B$137))))</f>
        <v/>
      </c>
      <c r="AI24">
        <f>(((SUMIF('Cost Breakdowns'!$D$135:$D$137,"ISIC 49T53",'Cost Breakdowns'!$B$135:$B$137))))*'Factors applied'!$E$538</f>
        <v/>
      </c>
      <c r="AJ24">
        <f>(((SUMIF('Cost Breakdowns'!$D$135:$D$137,"ISIC 49T53",'Cost Breakdowns'!$B$135:$B$137))))*'Factors applied'!$E$539</f>
        <v/>
      </c>
      <c r="AK24">
        <f>(((SUMIF('Cost Breakdowns'!$D$135:$D$137,"ISIC 49T53",'Cost Breakdowns'!$B$135:$B$137))))*'Factors applied'!$E$540</f>
        <v/>
      </c>
      <c r="AL24">
        <f>(((SUMIF('Cost Breakdowns'!$D$135:$D$137,"ISIC 49T53",'Cost Breakdowns'!$B$135:$B$137))))*'Factors applied'!$E$541</f>
        <v/>
      </c>
      <c r="AM24">
        <f>(((SUMIF('Cost Breakdowns'!$D$135:$D$137,"ISIC 49T53",'Cost Breakdowns'!$B$135:$B$137))))*'Factors applied'!$E$542</f>
        <v/>
      </c>
      <c r="AN24">
        <f>(((SUMIF('Cost Breakdowns'!$D$135:$D$137,"ISIC 55T56",'Cost Breakdowns'!$B$135:$B$137))))</f>
        <v/>
      </c>
      <c r="AO24">
        <f>(((SUMIF('Cost Breakdowns'!$D$135:$D$137,"ISIC 58T60",'Cost Breakdowns'!$B$135:$B$137))))</f>
        <v/>
      </c>
      <c r="AP24">
        <f>(((SUMIF('Cost Breakdowns'!$D$135:$D$137,"ISIC 61",'Cost Breakdowns'!$B$135:$B$137))))</f>
        <v/>
      </c>
      <c r="AQ24">
        <f>(((SUMIF('Cost Breakdowns'!$D$135:$D$137,"ISIC 62T63",'Cost Breakdowns'!$B$135:$B$137))))</f>
        <v/>
      </c>
      <c r="AR24">
        <f>(((SUMIF('Cost Breakdowns'!$D$135:$D$137,"ISIC 64T66",'Cost Breakdowns'!$B$135:$B$137))))</f>
        <v/>
      </c>
      <c r="AS24">
        <f>(((SUMIF('Cost Breakdowns'!$D$135:$D$137,"ISIC 68",'Cost Breakdowns'!$B$135:$B$137))))</f>
        <v/>
      </c>
      <c r="AT24">
        <f>(((SUMIF('Cost Breakdowns'!$D$135:$D$137,"ISIC 69T82",'Cost Breakdowns'!$B$135:$B$137))))*'Factors applied'!$E$543</f>
        <v/>
      </c>
      <c r="AU24">
        <f>(((SUMIF('Cost Breakdowns'!$D$135:$D$137,"ISIC 69T82",'Cost Breakdowns'!$B$135:$B$137))))*'Factors applied'!$E$544</f>
        <v/>
      </c>
      <c r="AV24">
        <f>(((SUMIF('Cost Breakdowns'!$D$135:$D$137,"ISIC 84",'Cost Breakdowns'!$B$135:$B$137))))</f>
        <v/>
      </c>
      <c r="AW24">
        <f>(((SUMIF('Cost Breakdowns'!$D$135:$D$137,"ISIC 85",'Cost Breakdowns'!$B$135:$B$137))))</f>
        <v/>
      </c>
      <c r="AX24">
        <f>(((SUMIF('Cost Breakdowns'!$D$135:$D$137,"ISIC 86T88",'Cost Breakdowns'!$B$135:$B$137))))</f>
        <v/>
      </c>
      <c r="AY24">
        <f>(((SUMIF('Cost Breakdowns'!$D$135:$D$137,"ISIC 90T96",'Cost Breakdowns'!$B$135:$B$137))))*'Factors applied'!$E$545</f>
        <v/>
      </c>
      <c r="AZ24">
        <f>(((SUMIF('Cost Breakdowns'!$D$135:$D$137,"ISIC 90T96",'Cost Breakdowns'!$B$135:$B$137))))*'Factors applied'!$E$546</f>
        <v/>
      </c>
      <c r="BA24">
        <f>(((SUMIF('Cost Breakdowns'!$D$135:$D$137,"ISIC 97T98",'Cost Breakdowns'!$B$135:$B$137))))</f>
        <v/>
      </c>
    </row>
    <row r="25">
      <c r="A25" t="inlineStr">
        <is>
          <t>hydrogen combined cycle</t>
        </is>
      </c>
      <c r="B25">
        <f>(((SUMIF('Cost Breakdowns'!$D$135:$D$137,"ISIC 01T03",'Cost Breakdowns'!$B$135:$B$137))))*'Factors applied'!$E$515</f>
        <v/>
      </c>
      <c r="C25">
        <f>(((SUMIF('Cost Breakdowns'!$D$135:$D$137,"ISIC 01T03",'Cost Breakdowns'!$B$135:$B$137))))*'Factors applied'!$E$516</f>
        <v/>
      </c>
      <c r="D25">
        <f>(((SUMIF('Cost Breakdowns'!$D$135:$D$137,"ISIC 01T03",'Cost Breakdowns'!$B$135:$B$137))))*'Factors applied'!$E$517</f>
        <v/>
      </c>
      <c r="E25">
        <f>(((SUMIF('Cost Breakdowns'!$D$135:$D$137,"ISIC 05",'Cost Breakdowns'!$B$135:$B$137))))</f>
        <v/>
      </c>
      <c r="F25">
        <f>(((SUMIF('Cost Breakdowns'!$D$135:$D$137,"ISIC 06",'Cost Breakdowns'!$B$135:$B$137))))</f>
        <v/>
      </c>
      <c r="G25">
        <f>(((SUMIF('Cost Breakdowns'!$D$135:$D$137,"ISIC 07T08",'Cost Breakdowns'!$B$135:$B$137))))*'Factors applied'!$E$518</f>
        <v/>
      </c>
      <c r="H25">
        <f>(((SUMIF('Cost Breakdowns'!$D$135:$D$137,"ISIC 07T08",'Cost Breakdowns'!$B$135:$B$137))))*'Factors applied'!$E$519</f>
        <v/>
      </c>
      <c r="I25">
        <f>(((SUMIF('Cost Breakdowns'!$D$135:$D$137,"ISIC 09",'Cost Breakdowns'!$B$135:$B$137))))</f>
        <v/>
      </c>
      <c r="J25">
        <f>(((SUMIF('Cost Breakdowns'!$D$135:$D$137,"ISIC 10T12",'Cost Breakdowns'!$B$135:$B$137))))</f>
        <v/>
      </c>
      <c r="K25">
        <f>(((SUMIF('Cost Breakdowns'!$D$135:$D$137,"ISIC 13T15",'Cost Breakdowns'!$B$135:$B$137))))</f>
        <v/>
      </c>
      <c r="L25">
        <f>(((SUMIF('Cost Breakdowns'!$D$135:$D$137,"ISIC 16",'Cost Breakdowns'!$B$135:$B$137))))</f>
        <v/>
      </c>
      <c r="M25">
        <f>(((SUMIF('Cost Breakdowns'!$D$135:$D$137,"ISIC 17T18",'Cost Breakdowns'!$B$135:$B$137))))</f>
        <v/>
      </c>
      <c r="N25">
        <f>(((SUMIF('Cost Breakdowns'!$D$135:$D$137,"ISIC 19",'Cost Breakdowns'!$B$135:$B$137))))</f>
        <v/>
      </c>
      <c r="O25">
        <f>(((SUMIF('Cost Breakdowns'!$D$135:$D$137,"ISIC 20",'Cost Breakdowns'!$B$135:$B$137))))</f>
        <v/>
      </c>
      <c r="P25">
        <f>(((SUMIF('Cost Breakdowns'!$D$135:$D$137,"ISIC 21",'Cost Breakdowns'!$B$135:$B$137))))</f>
        <v/>
      </c>
      <c r="Q25">
        <f>(((SUMIF('Cost Breakdowns'!$D$135:$D$137,"ISIC 22",'Cost Breakdowns'!$B$135:$B$137))))</f>
        <v/>
      </c>
      <c r="R25">
        <f>(((SUMIF('Cost Breakdowns'!$D$135:$D$137,"ISIC 231",'Cost Breakdowns'!$B$135:$B$137))))</f>
        <v/>
      </c>
      <c r="S25">
        <f>(((SUMIF('Cost Breakdowns'!$D$135:$D$137,"ISIC 239",'Cost Breakdowns'!$B$135:$B$137))))</f>
        <v/>
      </c>
      <c r="T25">
        <f>(((SUMIF('Cost Breakdowns'!$D$135:$D$137,"ISIC 241",'Cost Breakdowns'!$B$135:$B$137))))</f>
        <v/>
      </c>
      <c r="U25">
        <f>(((SUMIF('Cost Breakdowns'!$D$135:$D$137,"ISIC 242",'Cost Breakdowns'!$B$135:$B$137))))</f>
        <v/>
      </c>
      <c r="V25">
        <f>(((SUMIF('Cost Breakdowns'!$D$135:$D$137,"ISIC 25",'Cost Breakdowns'!$B$135:$B$137))))</f>
        <v/>
      </c>
      <c r="W25">
        <f>(((SUMIF('Cost Breakdowns'!$D$135:$D$137,"ISIC 26",'Cost Breakdowns'!$B$135:$B$137))))</f>
        <v/>
      </c>
      <c r="X25">
        <f>(((SUMIF('Cost Breakdowns'!$D$135:$D$137,"ISIC 27",'Cost Breakdowns'!$B$135:$B$137))))</f>
        <v/>
      </c>
      <c r="Y25">
        <f>(((SUMIF('Cost Breakdowns'!$D$135:$D$137,"ISIC 28",'Cost Breakdowns'!$B$135:$B$137))))</f>
        <v/>
      </c>
      <c r="Z25">
        <f>(((SUMIF('Cost Breakdowns'!$D$135:$D$137,"ISIC 29",'Cost Breakdowns'!$B$135:$B$137))))</f>
        <v/>
      </c>
      <c r="AA25">
        <f>(((SUMIF('Cost Breakdowns'!$D$135:$D$137,"ISIC 30",'Cost Breakdowns'!$B$135:$B$137))))*'Factors applied'!$E$520</f>
        <v/>
      </c>
      <c r="AB25">
        <f>(((SUMIF('Cost Breakdowns'!$D$135:$D$137,"ISIC 30",'Cost Breakdowns'!$B$135:$B$137))))*'Factors applied'!$E$521</f>
        <v/>
      </c>
      <c r="AC25">
        <f>(((SUMIF('Cost Breakdowns'!$D$135:$D$137,"ISIC 31T33",'Cost Breakdowns'!$B$135:$B$137))))</f>
        <v/>
      </c>
      <c r="AD25">
        <f>(((SUMIF('Cost Breakdowns'!$D$135:$D$137,"ISIC 351",'Cost Breakdowns'!$B$135:$B$137))))</f>
        <v/>
      </c>
      <c r="AE25">
        <f>(((SUMIF('Cost Breakdowns'!$D$135:$D$137,"ISIC 352T353",'Cost Breakdowns'!$B$135:$B$137))))</f>
        <v/>
      </c>
      <c r="AF25">
        <f>(((SUMIF('Cost Breakdowns'!$D$135:$D$137,"ISIC 36T39",'Cost Breakdowns'!$B$135:$B$137))))</f>
        <v/>
      </c>
      <c r="AG25">
        <f>(((SUMIF('Cost Breakdowns'!$D$135:$D$137,"ISIC 41T43",'Cost Breakdowns'!$B$135:$B$137))))</f>
        <v/>
      </c>
      <c r="AH25">
        <f>(((SUMIF('Cost Breakdowns'!$D$135:$D$137,"ISIC 45T47",'Cost Breakdowns'!$B$135:$B$137))))</f>
        <v/>
      </c>
      <c r="AI25">
        <f>(((SUMIF('Cost Breakdowns'!$D$135:$D$137,"ISIC 49T53",'Cost Breakdowns'!$B$135:$B$137))))*'Factors applied'!$E$522</f>
        <v/>
      </c>
      <c r="AJ25">
        <f>(((SUMIF('Cost Breakdowns'!$D$135:$D$137,"ISIC 49T53",'Cost Breakdowns'!$B$135:$B$137))))*'Factors applied'!$E$523</f>
        <v/>
      </c>
      <c r="AK25">
        <f>(((SUMIF('Cost Breakdowns'!$D$135:$D$137,"ISIC 49T53",'Cost Breakdowns'!$B$135:$B$137))))*'Factors applied'!$E$524</f>
        <v/>
      </c>
      <c r="AL25">
        <f>(((SUMIF('Cost Breakdowns'!$D$135:$D$137,"ISIC 49T53",'Cost Breakdowns'!$B$135:$B$137))))*'Factors applied'!$E$525</f>
        <v/>
      </c>
      <c r="AM25">
        <f>(((SUMIF('Cost Breakdowns'!$D$135:$D$137,"ISIC 49T53",'Cost Breakdowns'!$B$135:$B$137))))*'Factors applied'!$E$526</f>
        <v/>
      </c>
      <c r="AN25">
        <f>(((SUMIF('Cost Breakdowns'!$D$135:$D$137,"ISIC 55T56",'Cost Breakdowns'!$B$135:$B$137))))</f>
        <v/>
      </c>
      <c r="AO25">
        <f>(((SUMIF('Cost Breakdowns'!$D$135:$D$137,"ISIC 58T60",'Cost Breakdowns'!$B$135:$B$137))))</f>
        <v/>
      </c>
      <c r="AP25">
        <f>(((SUMIF('Cost Breakdowns'!$D$135:$D$137,"ISIC 61",'Cost Breakdowns'!$B$135:$B$137))))</f>
        <v/>
      </c>
      <c r="AQ25">
        <f>(((SUMIF('Cost Breakdowns'!$D$135:$D$137,"ISIC 62T63",'Cost Breakdowns'!$B$135:$B$137))))</f>
        <v/>
      </c>
      <c r="AR25">
        <f>(((SUMIF('Cost Breakdowns'!$D$135:$D$137,"ISIC 64T66",'Cost Breakdowns'!$B$135:$B$137))))</f>
        <v/>
      </c>
      <c r="AS25">
        <f>(((SUMIF('Cost Breakdowns'!$D$135:$D$137,"ISIC 68",'Cost Breakdowns'!$B$135:$B$137))))</f>
        <v/>
      </c>
      <c r="AT25">
        <f>(((SUMIF('Cost Breakdowns'!$D$135:$D$137,"ISIC 69T82",'Cost Breakdowns'!$B$135:$B$137))))*'Factors applied'!$E$527</f>
        <v/>
      </c>
      <c r="AU25">
        <f>(((SUMIF('Cost Breakdowns'!$D$135:$D$137,"ISIC 69T82",'Cost Breakdowns'!$B$135:$B$137))))*'Factors applied'!$E$528</f>
        <v/>
      </c>
      <c r="AV25">
        <f>(((SUMIF('Cost Breakdowns'!$D$135:$D$137,"ISIC 84",'Cost Breakdowns'!$B$135:$B$137))))</f>
        <v/>
      </c>
      <c r="AW25">
        <f>(((SUMIF('Cost Breakdowns'!$D$135:$D$137,"ISIC 85",'Cost Breakdowns'!$B$135:$B$137))))</f>
        <v/>
      </c>
      <c r="AX25">
        <f>(((SUMIF('Cost Breakdowns'!$D$135:$D$137,"ISIC 86T88",'Cost Breakdowns'!$B$135:$B$137))))</f>
        <v/>
      </c>
      <c r="AY25">
        <f>(((SUMIF('Cost Breakdowns'!$D$135:$D$137,"ISIC 90T96",'Cost Breakdowns'!$B$135:$B$137))))*'Factors applied'!$E$529</f>
        <v/>
      </c>
      <c r="AZ25">
        <f>(((SUMIF('Cost Breakdowns'!$D$135:$D$137,"ISIC 90T96",'Cost Breakdowns'!$B$135:$B$137))))*'Factors applied'!$E$530</f>
        <v/>
      </c>
      <c r="BA25">
        <f>(((SUMIF('Cost Breakdowns'!$D$135:$D$137,"ISIC 97T98",'Cost Breakdowns'!$B$135:$B$137))))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BA25"/>
  <sheetViews>
    <sheetView tabSelected="1" workbookViewId="0">
      <selection activeCell="G23" sqref="G23"/>
    </sheetView>
  </sheetViews>
  <sheetFormatPr baseColWidth="8" defaultRowHeight="14.5"/>
  <cols>
    <col width="27.453125" customWidth="1" min="1" max="1"/>
    <col width="10.54296875" bestFit="1" customWidth="1" min="2" max="2"/>
    <col width="9.7265625" bestFit="1" customWidth="1" min="3" max="3"/>
    <col width="9.7265625" customWidth="1" min="4" max="4"/>
    <col width="9.7265625" bestFit="1" customWidth="1" min="5" max="5"/>
    <col width="6.7265625" bestFit="1" customWidth="1" min="6" max="6"/>
    <col width="9.7265625" bestFit="1" customWidth="1" min="7" max="8"/>
    <col width="6.7265625" bestFit="1" customWidth="1" min="9" max="9"/>
    <col width="9.7265625" bestFit="1" customWidth="1" min="10" max="10"/>
    <col width="6.7265625" bestFit="1" customWidth="1" min="11" max="11"/>
    <col width="9.7265625" bestFit="1" customWidth="1" min="12" max="12"/>
    <col width="8.26953125" customWidth="1" min="13" max="24"/>
    <col width="9.7265625" bestFit="1" customWidth="1" min="25" max="26"/>
    <col width="9.7265625" customWidth="1" min="27" max="28"/>
    <col width="9.7265625" bestFit="1" customWidth="1" min="29" max="33"/>
    <col width="6.7265625" bestFit="1" customWidth="1" min="34" max="34"/>
    <col width="9.7265625" bestFit="1" customWidth="1" min="35" max="36"/>
    <col width="6.7265625" bestFit="1" customWidth="1" min="37" max="37"/>
    <col width="9.7265625" bestFit="1" customWidth="1" min="38" max="38"/>
    <col width="6.7265625" bestFit="1" customWidth="1" min="39" max="40"/>
    <col width="9.7265625" bestFit="1" customWidth="1" min="41" max="43"/>
  </cols>
  <sheetData>
    <row r="1">
      <c r="A1" s="145" t="inlineStr">
        <is>
          <t>Unit: dimensionless (share of costs)</t>
        </is>
      </c>
      <c r="B1" s="139" t="inlineStr">
        <is>
          <t>ISIC 01</t>
        </is>
      </c>
      <c r="C1" s="139" t="inlineStr">
        <is>
          <t>ISIC 02</t>
        </is>
      </c>
      <c r="D1" s="139" t="inlineStr">
        <is>
          <t>ISIC 03</t>
        </is>
      </c>
      <c r="E1" s="139" t="inlineStr">
        <is>
          <t>ISIC 05</t>
        </is>
      </c>
      <c r="F1" s="139" t="inlineStr">
        <is>
          <t>ISIC 06</t>
        </is>
      </c>
      <c r="G1" s="139" t="inlineStr">
        <is>
          <t>ISIC 07</t>
        </is>
      </c>
      <c r="H1" s="139" t="inlineStr">
        <is>
          <t>ISIC 08</t>
        </is>
      </c>
      <c r="I1" s="139" t="inlineStr">
        <is>
          <t>ISIC 09</t>
        </is>
      </c>
      <c r="J1" s="139" t="inlineStr">
        <is>
          <t>ISIC 10T12</t>
        </is>
      </c>
      <c r="K1" s="139" t="inlineStr">
        <is>
          <t>ISIC 13T15</t>
        </is>
      </c>
      <c r="L1" s="139" t="inlineStr">
        <is>
          <t>ISIC 16</t>
        </is>
      </c>
      <c r="M1" s="139" t="inlineStr">
        <is>
          <t>ISIC 17T18</t>
        </is>
      </c>
      <c r="N1" s="139" t="inlineStr">
        <is>
          <t>ISIC 19</t>
        </is>
      </c>
      <c r="O1" s="139" t="inlineStr">
        <is>
          <t>ISIC 20</t>
        </is>
      </c>
      <c r="P1" s="139" t="inlineStr">
        <is>
          <t>ISIC 21</t>
        </is>
      </c>
      <c r="Q1" s="139" t="inlineStr">
        <is>
          <t>ISIC 22</t>
        </is>
      </c>
      <c r="R1" s="139" t="inlineStr">
        <is>
          <t>ISIC 231</t>
        </is>
      </c>
      <c r="S1" s="139" t="inlineStr">
        <is>
          <t>ISIC 239</t>
        </is>
      </c>
      <c r="T1" s="139" t="inlineStr">
        <is>
          <t>ISIC 241</t>
        </is>
      </c>
      <c r="U1" s="139" t="inlineStr">
        <is>
          <t>ISIC 242</t>
        </is>
      </c>
      <c r="V1" s="139" t="inlineStr">
        <is>
          <t>ISIC 25</t>
        </is>
      </c>
      <c r="W1" s="139" t="inlineStr">
        <is>
          <t>ISIC 26</t>
        </is>
      </c>
      <c r="X1" s="139" t="inlineStr">
        <is>
          <t>ISIC 27</t>
        </is>
      </c>
      <c r="Y1" s="139" t="inlineStr">
        <is>
          <t>ISIC 28</t>
        </is>
      </c>
      <c r="Z1" s="139" t="inlineStr">
        <is>
          <t>ISIC 29</t>
        </is>
      </c>
      <c r="AA1" s="139" t="inlineStr">
        <is>
          <t>ISIC 301</t>
        </is>
      </c>
      <c r="AB1" s="139" t="inlineStr">
        <is>
          <t>ISIC 302T309</t>
        </is>
      </c>
      <c r="AC1" s="139" t="inlineStr">
        <is>
          <t>ISIC 31T33</t>
        </is>
      </c>
      <c r="AD1" s="139" t="inlineStr">
        <is>
          <t>ISIC 351</t>
        </is>
      </c>
      <c r="AE1" s="139" t="inlineStr">
        <is>
          <t>ISIC 352T353</t>
        </is>
      </c>
      <c r="AF1" s="139" t="inlineStr">
        <is>
          <t>ISIC 36T39</t>
        </is>
      </c>
      <c r="AG1" s="139" t="inlineStr">
        <is>
          <t>ISIC 41T43</t>
        </is>
      </c>
      <c r="AH1" s="139" t="inlineStr">
        <is>
          <t>ISIC 45T47</t>
        </is>
      </c>
      <c r="AI1" s="139" t="inlineStr">
        <is>
          <t>ISIC 49</t>
        </is>
      </c>
      <c r="AJ1" s="139" t="inlineStr">
        <is>
          <t>ISIC 50</t>
        </is>
      </c>
      <c r="AK1" s="139" t="inlineStr">
        <is>
          <t>ISIC 51</t>
        </is>
      </c>
      <c r="AL1" s="139" t="inlineStr">
        <is>
          <t>ISIC 52</t>
        </is>
      </c>
      <c r="AM1" s="139" t="inlineStr">
        <is>
          <t>ISIC 53</t>
        </is>
      </c>
      <c r="AN1" s="139" t="inlineStr">
        <is>
          <t>ISIC 55T56</t>
        </is>
      </c>
      <c r="AO1" s="139" t="inlineStr">
        <is>
          <t>ISIC 58T60</t>
        </is>
      </c>
      <c r="AP1" s="139" t="inlineStr">
        <is>
          <t>ISIC 61</t>
        </is>
      </c>
      <c r="AQ1" s="139" t="inlineStr">
        <is>
          <t>ISIC 62T63</t>
        </is>
      </c>
      <c r="AR1" s="139" t="inlineStr">
        <is>
          <t>ISIC 64T66</t>
        </is>
      </c>
      <c r="AS1" s="139" t="inlineStr">
        <is>
          <t>ISIC 68</t>
        </is>
      </c>
      <c r="AT1" s="139" t="inlineStr">
        <is>
          <t>ISIC 69T75</t>
        </is>
      </c>
      <c r="AU1" s="139" t="inlineStr">
        <is>
          <t>ISIC 77T82</t>
        </is>
      </c>
      <c r="AV1" s="139" t="inlineStr">
        <is>
          <t>ISIC 84</t>
        </is>
      </c>
      <c r="AW1" s="139" t="inlineStr">
        <is>
          <t>ISIC 85</t>
        </is>
      </c>
      <c r="AX1" s="139" t="inlineStr">
        <is>
          <t>ISIC 86T88</t>
        </is>
      </c>
      <c r="AY1" s="139" t="inlineStr">
        <is>
          <t>ISIC 90T93</t>
        </is>
      </c>
      <c r="AZ1" s="139" t="inlineStr">
        <is>
          <t>ISIC 94T96</t>
        </is>
      </c>
      <c r="BA1" s="139" t="inlineStr">
        <is>
          <t>ISIC 97T98</t>
        </is>
      </c>
    </row>
    <row r="2">
      <c r="A2" t="inlineStr">
        <is>
          <t>hard coal</t>
        </is>
      </c>
      <c r="B2">
        <f>(SUMIF('Cost Breakdowns'!$D$105:$D$107,"ISIC 01T03",'Cost Breakdowns'!$B$105:$B$107))*'Factors applied'!$E$835</f>
        <v/>
      </c>
      <c r="C2">
        <f>(SUMIF('Cost Breakdowns'!$D$105:$D$107,"ISIC 01T03",'Cost Breakdowns'!$B$105:$B$107))*'Factors applied'!$E$836</f>
        <v/>
      </c>
      <c r="D2">
        <f>(SUMIF('Cost Breakdowns'!$D$105:$D$107,"ISIC 01T03",'Cost Breakdowns'!$B$105:$B$107))*'Factors applied'!$E$837</f>
        <v/>
      </c>
      <c r="E2">
        <f>(SUMIF('Cost Breakdowns'!$D$105:$D$107,"ISIC 05",'Cost Breakdowns'!$B$105:$B$107))</f>
        <v/>
      </c>
      <c r="F2">
        <f>(SUMIF('Cost Breakdowns'!$D$105:$D$107,"ISIC 06",'Cost Breakdowns'!$B$105:$B$107))</f>
        <v/>
      </c>
      <c r="G2">
        <f>(SUMIF('Cost Breakdowns'!$D$105:$D$107,"ISIC 07T08",'Cost Breakdowns'!$B$105:$B$107))*'Factors applied'!$E$838</f>
        <v/>
      </c>
      <c r="H2">
        <f>(SUMIF('Cost Breakdowns'!$D$105:$D$107,"ISIC 07T08",'Cost Breakdowns'!$B$105:$B$107))*'Factors applied'!$E$839</f>
        <v/>
      </c>
      <c r="I2">
        <f>(SUMIF('Cost Breakdowns'!$D$105:$D$107,"ISIC 09",'Cost Breakdowns'!$B$105:$B$107))</f>
        <v/>
      </c>
      <c r="J2">
        <f>(SUMIF('Cost Breakdowns'!$D$105:$D$107,"ISIC 10T12",'Cost Breakdowns'!$B$105:$B$107))</f>
        <v/>
      </c>
      <c r="K2">
        <f>(SUMIF('Cost Breakdowns'!$D$105:$D$107,"ISIC 13T15",'Cost Breakdowns'!$B$105:$B$107))</f>
        <v/>
      </c>
      <c r="L2">
        <f>(SUMIF('Cost Breakdowns'!$D$105:$D$107,"ISIC 16",'Cost Breakdowns'!$B$105:$B$107))</f>
        <v/>
      </c>
      <c r="M2">
        <f>(SUMIF('Cost Breakdowns'!$D$105:$D$107,"ISIC 17T18",'Cost Breakdowns'!$B$105:$B$107))</f>
        <v/>
      </c>
      <c r="N2">
        <f>(SUMIF('Cost Breakdowns'!$D$105:$D$107,"ISIC 19",'Cost Breakdowns'!$B$105:$B$107))</f>
        <v/>
      </c>
      <c r="O2">
        <f>(SUMIF('Cost Breakdowns'!$D$105:$D$107,"ISIC 20",'Cost Breakdowns'!$B$105:$B$107))</f>
        <v/>
      </c>
      <c r="P2">
        <f>(SUMIF('Cost Breakdowns'!$D$105:$D$107,"ISIC 21",'Cost Breakdowns'!$B$105:$B$107))</f>
        <v/>
      </c>
      <c r="Q2">
        <f>(SUMIF('Cost Breakdowns'!$D$105:$D$107,"ISIC 22",'Cost Breakdowns'!$B$105:$B$107))</f>
        <v/>
      </c>
      <c r="R2">
        <f>(SUMIF('Cost Breakdowns'!$D$105:$D$107,"ISIC 231",'Cost Breakdowns'!$B$105:$B$107))</f>
        <v/>
      </c>
      <c r="S2">
        <f>(SUMIF('Cost Breakdowns'!$D$105:$D$107,"ISIC 239",'Cost Breakdowns'!$B$105:$B$107))</f>
        <v/>
      </c>
      <c r="T2">
        <f>(SUMIF('Cost Breakdowns'!$D$105:$D$107,"ISIC 241",'Cost Breakdowns'!$B$105:$B$107))</f>
        <v/>
      </c>
      <c r="U2">
        <f>(SUMIF('Cost Breakdowns'!$D$105:$D$107,"ISIC 242",'Cost Breakdowns'!$B$105:$B$107))</f>
        <v/>
      </c>
      <c r="V2">
        <f>(SUMIF('Cost Breakdowns'!$D$105:$D$107,"ISIC 25",'Cost Breakdowns'!$B$105:$B$107))</f>
        <v/>
      </c>
      <c r="W2">
        <f>(SUMIF('Cost Breakdowns'!$D$105:$D$107,"ISIC 26",'Cost Breakdowns'!$B$105:$B$107))</f>
        <v/>
      </c>
      <c r="X2">
        <f>(SUMIF('Cost Breakdowns'!$D$105:$D$107,"ISIC 27",'Cost Breakdowns'!$B$105:$B$107))</f>
        <v/>
      </c>
      <c r="Y2">
        <f>(SUMIF('Cost Breakdowns'!$D$105:$D$107,"ISIC 28",'Cost Breakdowns'!$B$105:$B$107))</f>
        <v/>
      </c>
      <c r="Z2">
        <f>(SUMIF('Cost Breakdowns'!$D$105:$D$107,"ISIC 29",'Cost Breakdowns'!$B$105:$B$107))</f>
        <v/>
      </c>
      <c r="AA2">
        <f>(SUMIF('Cost Breakdowns'!$D$105:$D$107,"ISIC 30",'Cost Breakdowns'!$B$105:$B$107))*'Factors applied'!$E$840</f>
        <v/>
      </c>
      <c r="AB2">
        <f>(SUMIF('Cost Breakdowns'!$D$105:$D$107,"ISIC 30",'Cost Breakdowns'!$B$105:$B$107))*'Factors applied'!$E$841</f>
        <v/>
      </c>
      <c r="AC2">
        <f>(SUMIF('Cost Breakdowns'!$D$105:$D$107,"ISIC 31T33",'Cost Breakdowns'!$B$105:$B$107))</f>
        <v/>
      </c>
      <c r="AD2">
        <f>(SUMIF('Cost Breakdowns'!$D$105:$D$107,"ISIC 351",'Cost Breakdowns'!$B$105:$B$107))</f>
        <v/>
      </c>
      <c r="AE2">
        <f>(SUMIF('Cost Breakdowns'!$D$105:$D$107,"ISIC 352T353",'Cost Breakdowns'!$B$105:$B$107))</f>
        <v/>
      </c>
      <c r="AF2">
        <f>(SUMIF('Cost Breakdowns'!$D$105:$D$107,"ISIC 36T39",'Cost Breakdowns'!$B$105:$B$107))</f>
        <v/>
      </c>
      <c r="AG2">
        <f>(SUMIF('Cost Breakdowns'!$D$105:$D$107,"ISIC 41T43",'Cost Breakdowns'!$B$105:$B$107))</f>
        <v/>
      </c>
      <c r="AH2">
        <f>(SUMIF('Cost Breakdowns'!$D$105:$D$107,"ISIC 45T47",'Cost Breakdowns'!$B$105:$B$107))</f>
        <v/>
      </c>
      <c r="AI2">
        <f>(SUMIF('Cost Breakdowns'!$D$105:$D$107,"ISIC 49T53",'Cost Breakdowns'!$B$105:$B$107))*'Factors applied'!$E$842</f>
        <v/>
      </c>
      <c r="AJ2">
        <f>(SUMIF('Cost Breakdowns'!$D$105:$D$107,"ISIC 49T53",'Cost Breakdowns'!$B$105:$B$107))*'Factors applied'!$E$843</f>
        <v/>
      </c>
      <c r="AK2">
        <f>(SUMIF('Cost Breakdowns'!$D$105:$D$107,"ISIC 49T53",'Cost Breakdowns'!$B$105:$B$107))*'Factors applied'!$E$844</f>
        <v/>
      </c>
      <c r="AL2">
        <f>(SUMIF('Cost Breakdowns'!$D$105:$D$107,"ISIC 49T53",'Cost Breakdowns'!$B$105:$B$107))*'Factors applied'!$E$845</f>
        <v/>
      </c>
      <c r="AM2">
        <f>(SUMIF('Cost Breakdowns'!$D$105:$D$107,"ISIC 49T53",'Cost Breakdowns'!$B$105:$B$107))*'Factors applied'!$E$846</f>
        <v/>
      </c>
      <c r="AN2">
        <f>(SUMIF('Cost Breakdowns'!$D$105:$D$107,"ISIC 55T56",'Cost Breakdowns'!$B$105:$B$107))</f>
        <v/>
      </c>
      <c r="AO2">
        <f>(SUMIF('Cost Breakdowns'!$D$105:$D$107,"ISIC 58T60",'Cost Breakdowns'!$B$105:$B$107))</f>
        <v/>
      </c>
      <c r="AP2">
        <f>(SUMIF('Cost Breakdowns'!$D$105:$D$107,"ISIC 61",'Cost Breakdowns'!$B$105:$B$107))</f>
        <v/>
      </c>
      <c r="AQ2">
        <f>(SUMIF('Cost Breakdowns'!$D$105:$D$107,"ISIC 62T63",'Cost Breakdowns'!$B$105:$B$107))</f>
        <v/>
      </c>
      <c r="AR2">
        <f>(SUMIF('Cost Breakdowns'!$D$105:$D$107,"ISIC 64T66",'Cost Breakdowns'!$B$105:$B$107))</f>
        <v/>
      </c>
      <c r="AS2">
        <f>(SUMIF('Cost Breakdowns'!$D$105:$D$107,"ISIC 68",'Cost Breakdowns'!$B$105:$B$107))</f>
        <v/>
      </c>
      <c r="AT2">
        <f>(SUMIF('Cost Breakdowns'!$D$105:$D$107,"ISIC 69T82",'Cost Breakdowns'!$B$105:$B$107))*'Factors applied'!$E$847</f>
        <v/>
      </c>
      <c r="AU2">
        <f>(SUMIF('Cost Breakdowns'!$D$105:$D$107,"ISIC 69T82",'Cost Breakdowns'!$B$105:$B$107))*'Factors applied'!$E$848</f>
        <v/>
      </c>
      <c r="AV2">
        <f>(SUMIF('Cost Breakdowns'!$D$105:$D$107,"ISIC 84",'Cost Breakdowns'!$B$105:$B$107))</f>
        <v/>
      </c>
      <c r="AW2">
        <f>(SUMIF('Cost Breakdowns'!$D$105:$D$107,"ISIC 85",'Cost Breakdowns'!$B$105:$B$107))</f>
        <v/>
      </c>
      <c r="AX2">
        <f>(SUMIF('Cost Breakdowns'!$D$105:$D$107,"ISIC 86T88",'Cost Breakdowns'!$B$105:$B$107))</f>
        <v/>
      </c>
      <c r="AY2">
        <f>(SUMIF('Cost Breakdowns'!$D$105:$D$107,"ISIC 90T96",'Cost Breakdowns'!$B$105:$B$107))*'Factors applied'!$E$849</f>
        <v/>
      </c>
      <c r="AZ2">
        <f>(SUMIF('Cost Breakdowns'!$D$105:$D$107,"ISIC 90T96",'Cost Breakdowns'!$B$105:$B$107))*'Factors applied'!$E$850</f>
        <v/>
      </c>
      <c r="BA2">
        <f>(SUMIF('Cost Breakdowns'!$D$105:$D$107,"ISIC 97T98",'Cost Breakdowns'!$B$105:$B$107))</f>
        <v/>
      </c>
    </row>
    <row r="3">
      <c r="A3" t="inlineStr">
        <is>
          <t>natural gas steam turbine</t>
        </is>
      </c>
      <c r="B3">
        <f>(SUMIF('Cost Breakdowns'!$D$140:$D$142,"ISIC 01T03",'Cost Breakdowns'!$B$140:$B$142))*'Factors applied'!$E$1027</f>
        <v/>
      </c>
      <c r="C3">
        <f>(SUMIF('Cost Breakdowns'!$D$140:$D$142,"ISIC 01T03",'Cost Breakdowns'!$B$140:$B$142))*'Factors applied'!$E$1028</f>
        <v/>
      </c>
      <c r="D3">
        <f>(SUMIF('Cost Breakdowns'!$D$140:$D$142,"ISIC 01T03",'Cost Breakdowns'!$B$140:$B$142))*'Factors applied'!$E$1029</f>
        <v/>
      </c>
      <c r="E3">
        <f>(SUMIF('Cost Breakdowns'!$D$140:$D$142,"ISIC 05",'Cost Breakdowns'!$B$140:$B$142))</f>
        <v/>
      </c>
      <c r="F3">
        <f>(SUMIF('Cost Breakdowns'!$D$140:$D$142,"ISIC 06",'Cost Breakdowns'!$B$140:$B$142))</f>
        <v/>
      </c>
      <c r="G3">
        <f>(SUMIF('Cost Breakdowns'!$D$140:$D$142,"ISIC 07T08",'Cost Breakdowns'!$B$140:$B$142))*'Factors applied'!$E$1030</f>
        <v/>
      </c>
      <c r="H3">
        <f>(SUMIF('Cost Breakdowns'!$D$140:$D$142,"ISIC 07T08",'Cost Breakdowns'!$B$140:$B$142))*'Factors applied'!$E$1031</f>
        <v/>
      </c>
      <c r="I3">
        <f>(SUMIF('Cost Breakdowns'!$D$140:$D$142,"ISIC 09",'Cost Breakdowns'!$B$140:$B$142))</f>
        <v/>
      </c>
      <c r="J3">
        <f>(SUMIF('Cost Breakdowns'!$D$140:$D$142,"ISIC 10T12",'Cost Breakdowns'!$B$140:$B$142))</f>
        <v/>
      </c>
      <c r="K3">
        <f>(SUMIF('Cost Breakdowns'!$D$140:$D$142,"ISIC 13T15",'Cost Breakdowns'!$B$140:$B$142))</f>
        <v/>
      </c>
      <c r="L3">
        <f>(SUMIF('Cost Breakdowns'!$D$140:$D$142,"ISIC 16",'Cost Breakdowns'!$B$140:$B$142))</f>
        <v/>
      </c>
      <c r="M3">
        <f>(SUMIF('Cost Breakdowns'!$D$140:$D$142,"ISIC 17T18",'Cost Breakdowns'!$B$140:$B$142))</f>
        <v/>
      </c>
      <c r="N3">
        <f>(SUMIF('Cost Breakdowns'!$D$140:$D$142,"ISIC 19",'Cost Breakdowns'!$B$140:$B$142))</f>
        <v/>
      </c>
      <c r="O3">
        <f>(SUMIF('Cost Breakdowns'!$D$140:$D$142,"ISIC 20",'Cost Breakdowns'!$B$140:$B$142))</f>
        <v/>
      </c>
      <c r="P3">
        <f>(SUMIF('Cost Breakdowns'!$D$140:$D$142,"ISIC 21",'Cost Breakdowns'!$B$140:$B$142))</f>
        <v/>
      </c>
      <c r="Q3">
        <f>(SUMIF('Cost Breakdowns'!$D$140:$D$142,"ISIC 22",'Cost Breakdowns'!$B$140:$B$142))</f>
        <v/>
      </c>
      <c r="R3">
        <f>(SUMIF('Cost Breakdowns'!$D$140:$D$142,"ISIC 231",'Cost Breakdowns'!$B$140:$B$142))</f>
        <v/>
      </c>
      <c r="S3">
        <f>(SUMIF('Cost Breakdowns'!$D$140:$D$142,"ISIC 239",'Cost Breakdowns'!$B$140:$B$142))</f>
        <v/>
      </c>
      <c r="T3">
        <f>(SUMIF('Cost Breakdowns'!$D$140:$D$142,"ISIC 241",'Cost Breakdowns'!$B$140:$B$142))</f>
        <v/>
      </c>
      <c r="U3">
        <f>(SUMIF('Cost Breakdowns'!$D$140:$D$142,"ISIC 242",'Cost Breakdowns'!$B$140:$B$142))</f>
        <v/>
      </c>
      <c r="V3">
        <f>(SUMIF('Cost Breakdowns'!$D$140:$D$142,"ISIC 25",'Cost Breakdowns'!$B$140:$B$142))</f>
        <v/>
      </c>
      <c r="W3">
        <f>(SUMIF('Cost Breakdowns'!$D$140:$D$142,"ISIC 26",'Cost Breakdowns'!$B$140:$B$142))</f>
        <v/>
      </c>
      <c r="X3">
        <f>(SUMIF('Cost Breakdowns'!$D$140:$D$142,"ISIC 27",'Cost Breakdowns'!$B$140:$B$142))</f>
        <v/>
      </c>
      <c r="Y3">
        <f>(SUMIF('Cost Breakdowns'!$D$140:$D$142,"ISIC 28",'Cost Breakdowns'!$B$140:$B$142))</f>
        <v/>
      </c>
      <c r="Z3">
        <f>(SUMIF('Cost Breakdowns'!$D$140:$D$142,"ISIC 29",'Cost Breakdowns'!$B$140:$B$142))</f>
        <v/>
      </c>
      <c r="AA3">
        <f>(SUMIF('Cost Breakdowns'!$D$140:$D$142,"ISIC 30",'Cost Breakdowns'!$B$140:$B$142))*'Factors applied'!$E$1032</f>
        <v/>
      </c>
      <c r="AB3">
        <f>(SUMIF('Cost Breakdowns'!$D$140:$D$142,"ISIC 30",'Cost Breakdowns'!$B$140:$B$142))*'Factors applied'!$E$1033</f>
        <v/>
      </c>
      <c r="AC3">
        <f>(SUMIF('Cost Breakdowns'!$D$140:$D$142,"ISIC 31T33",'Cost Breakdowns'!$B$140:$B$142))</f>
        <v/>
      </c>
      <c r="AD3">
        <f>(SUMIF('Cost Breakdowns'!$D$140:$D$142,"ISIC 351",'Cost Breakdowns'!$B$140:$B$142))</f>
        <v/>
      </c>
      <c r="AE3">
        <f>(SUMIF('Cost Breakdowns'!$D$140:$D$142,"ISIC 352T353",'Cost Breakdowns'!$B$140:$B$142))</f>
        <v/>
      </c>
      <c r="AF3">
        <f>(SUMIF('Cost Breakdowns'!$D$140:$D$142,"ISIC 36T39",'Cost Breakdowns'!$B$140:$B$142))</f>
        <v/>
      </c>
      <c r="AG3">
        <f>(SUMIF('Cost Breakdowns'!$D$140:$D$142,"ISIC 41T43",'Cost Breakdowns'!$B$140:$B$142))</f>
        <v/>
      </c>
      <c r="AH3">
        <f>(SUMIF('Cost Breakdowns'!$D$140:$D$142,"ISIC 45T47",'Cost Breakdowns'!$B$140:$B$142))</f>
        <v/>
      </c>
      <c r="AI3">
        <f>(SUMIF('Cost Breakdowns'!$D$140:$D$142,"ISIC 49T53",'Cost Breakdowns'!$B$140:$B$142))*'Factors applied'!$E$1034</f>
        <v/>
      </c>
      <c r="AJ3">
        <f>(SUMIF('Cost Breakdowns'!$D$140:$D$142,"ISIC 49T53",'Cost Breakdowns'!$B$140:$B$142))*'Factors applied'!$E$1035</f>
        <v/>
      </c>
      <c r="AK3">
        <f>(SUMIF('Cost Breakdowns'!$D$140:$D$142,"ISIC 49T53",'Cost Breakdowns'!$B$140:$B$142))*'Factors applied'!$E$1036</f>
        <v/>
      </c>
      <c r="AL3">
        <f>(SUMIF('Cost Breakdowns'!$D$140:$D$142,"ISIC 49T53",'Cost Breakdowns'!$B$140:$B$142))*'Factors applied'!$E$1037</f>
        <v/>
      </c>
      <c r="AM3">
        <f>(SUMIF('Cost Breakdowns'!$D$140:$D$142,"ISIC 49T53",'Cost Breakdowns'!$B$140:$B$142))*'Factors applied'!$E$1038</f>
        <v/>
      </c>
      <c r="AN3">
        <f>(SUMIF('Cost Breakdowns'!$D$140:$D$142,"ISIC 55T56",'Cost Breakdowns'!$B$140:$B$142))</f>
        <v/>
      </c>
      <c r="AO3">
        <f>(SUMIF('Cost Breakdowns'!$D$140:$D$142,"ISIC 58T60",'Cost Breakdowns'!$B$140:$B$142))</f>
        <v/>
      </c>
      <c r="AP3">
        <f>(SUMIF('Cost Breakdowns'!$D$140:$D$142,"ISIC 61",'Cost Breakdowns'!$B$140:$B$142))</f>
        <v/>
      </c>
      <c r="AQ3">
        <f>(SUMIF('Cost Breakdowns'!$D$140:$D$142,"ISIC 62T63",'Cost Breakdowns'!$B$140:$B$142))</f>
        <v/>
      </c>
      <c r="AR3">
        <f>(SUMIF('Cost Breakdowns'!$D$140:$D$142,"ISIC 64T66",'Cost Breakdowns'!$B$140:$B$142))</f>
        <v/>
      </c>
      <c r="AS3">
        <f>(SUMIF('Cost Breakdowns'!$D$140:$D$142,"ISIC 68",'Cost Breakdowns'!$B$140:$B$142))</f>
        <v/>
      </c>
      <c r="AT3">
        <f>(SUMIF('Cost Breakdowns'!$D$140:$D$142,"ISIC 69T82",'Cost Breakdowns'!$B$140:$B$142))*'Factors applied'!$E$1039</f>
        <v/>
      </c>
      <c r="AU3">
        <f>(SUMIF('Cost Breakdowns'!$D$140:$D$142,"ISIC 69T82",'Cost Breakdowns'!$B$140:$B$142))*'Factors applied'!$E$1040</f>
        <v/>
      </c>
      <c r="AV3">
        <f>(SUMIF('Cost Breakdowns'!$D$140:$D$142,"ISIC 84",'Cost Breakdowns'!$B$140:$B$142))</f>
        <v/>
      </c>
      <c r="AW3">
        <f>(SUMIF('Cost Breakdowns'!$D$140:$D$142,"ISIC 85",'Cost Breakdowns'!$B$140:$B$142))</f>
        <v/>
      </c>
      <c r="AX3">
        <f>(SUMIF('Cost Breakdowns'!$D$140:$D$142,"ISIC 86T88",'Cost Breakdowns'!$B$140:$B$142))</f>
        <v/>
      </c>
      <c r="AY3">
        <f>(SUMIF('Cost Breakdowns'!$D$140:$D$142,"ISIC 90T96",'Cost Breakdowns'!$B$140:$B$142))*'Factors applied'!$E$1041</f>
        <v/>
      </c>
      <c r="AZ3">
        <f>(SUMIF('Cost Breakdowns'!$D$140:$D$142,"ISIC 90T96",'Cost Breakdowns'!$B$140:$B$142))*'Factors applied'!$E$1042</f>
        <v/>
      </c>
      <c r="BA3">
        <f>(SUMIF('Cost Breakdowns'!$D$140:$D$142,"ISIC 97T98",'Cost Breakdowns'!$B$140:$B$142))</f>
        <v/>
      </c>
    </row>
    <row r="4">
      <c r="A4" t="inlineStr">
        <is>
          <t>natural gas combined cycle</t>
        </is>
      </c>
      <c r="B4">
        <f>((SUMIF('Cost Breakdowns'!$D$140:$D$142,"ISIC 01T03",'Cost Breakdowns'!$B$140:$B$142)))*'Factors applied'!$E$979</f>
        <v/>
      </c>
      <c r="C4">
        <f>((SUMIF('Cost Breakdowns'!$D$140:$D$142,"ISIC 01T03",'Cost Breakdowns'!$B$140:$B$142)))*'Factors applied'!$E$980</f>
        <v/>
      </c>
      <c r="D4">
        <f>((SUMIF('Cost Breakdowns'!$D$140:$D$142,"ISIC 01T03",'Cost Breakdowns'!$B$140:$B$142)))*'Factors applied'!$E$981</f>
        <v/>
      </c>
      <c r="E4">
        <f>((SUMIF('Cost Breakdowns'!$D$140:$D$142,"ISIC 05",'Cost Breakdowns'!$B$140:$B$142)))</f>
        <v/>
      </c>
      <c r="F4">
        <f>((SUMIF('Cost Breakdowns'!$D$140:$D$142,"ISIC 06",'Cost Breakdowns'!$B$140:$B$142)))</f>
        <v/>
      </c>
      <c r="G4">
        <f>((SUMIF('Cost Breakdowns'!$D$140:$D$142,"ISIC 07T08",'Cost Breakdowns'!$B$140:$B$142)))*'Factors applied'!$E$982</f>
        <v/>
      </c>
      <c r="H4">
        <f>((SUMIF('Cost Breakdowns'!$D$140:$D$142,"ISIC 07T08",'Cost Breakdowns'!$B$140:$B$142)))*'Factors applied'!$E$983</f>
        <v/>
      </c>
      <c r="I4">
        <f>((SUMIF('Cost Breakdowns'!$D$140:$D$142,"ISIC 09",'Cost Breakdowns'!$B$140:$B$142)))</f>
        <v/>
      </c>
      <c r="J4">
        <f>((SUMIF('Cost Breakdowns'!$D$140:$D$142,"ISIC 10T12",'Cost Breakdowns'!$B$140:$B$142)))</f>
        <v/>
      </c>
      <c r="K4">
        <f>((SUMIF('Cost Breakdowns'!$D$140:$D$142,"ISIC 13T15",'Cost Breakdowns'!$B$140:$B$142)))</f>
        <v/>
      </c>
      <c r="L4">
        <f>((SUMIF('Cost Breakdowns'!$D$140:$D$142,"ISIC 16",'Cost Breakdowns'!$B$140:$B$142)))</f>
        <v/>
      </c>
      <c r="M4">
        <f>((SUMIF('Cost Breakdowns'!$D$140:$D$142,"ISIC 17T18",'Cost Breakdowns'!$B$140:$B$142)))</f>
        <v/>
      </c>
      <c r="N4">
        <f>((SUMIF('Cost Breakdowns'!$D$140:$D$142,"ISIC 19",'Cost Breakdowns'!$B$140:$B$142)))</f>
        <v/>
      </c>
      <c r="O4">
        <f>((SUMIF('Cost Breakdowns'!$D$140:$D$142,"ISIC 20",'Cost Breakdowns'!$B$140:$B$142)))</f>
        <v/>
      </c>
      <c r="P4">
        <f>((SUMIF('Cost Breakdowns'!$D$140:$D$142,"ISIC 21",'Cost Breakdowns'!$B$140:$B$142)))</f>
        <v/>
      </c>
      <c r="Q4">
        <f>((SUMIF('Cost Breakdowns'!$D$140:$D$142,"ISIC 22",'Cost Breakdowns'!$B$140:$B$142)))</f>
        <v/>
      </c>
      <c r="R4">
        <f>((SUMIF('Cost Breakdowns'!$D$140:$D$142,"ISIC 231",'Cost Breakdowns'!$B$140:$B$142)))</f>
        <v/>
      </c>
      <c r="S4">
        <f>((SUMIF('Cost Breakdowns'!$D$140:$D$142,"ISIC 239",'Cost Breakdowns'!$B$140:$B$142)))</f>
        <v/>
      </c>
      <c r="T4">
        <f>((SUMIF('Cost Breakdowns'!$D$140:$D$142,"ISIC 241",'Cost Breakdowns'!$B$140:$B$142)))</f>
        <v/>
      </c>
      <c r="U4">
        <f>((SUMIF('Cost Breakdowns'!$D$140:$D$142,"ISIC 242",'Cost Breakdowns'!$B$140:$B$142)))</f>
        <v/>
      </c>
      <c r="V4">
        <f>((SUMIF('Cost Breakdowns'!$D$140:$D$142,"ISIC 25",'Cost Breakdowns'!$B$140:$B$142)))</f>
        <v/>
      </c>
      <c r="W4">
        <f>((SUMIF('Cost Breakdowns'!$D$140:$D$142,"ISIC 26",'Cost Breakdowns'!$B$140:$B$142)))</f>
        <v/>
      </c>
      <c r="X4">
        <f>((SUMIF('Cost Breakdowns'!$D$140:$D$142,"ISIC 27",'Cost Breakdowns'!$B$140:$B$142)))</f>
        <v/>
      </c>
      <c r="Y4">
        <f>((SUMIF('Cost Breakdowns'!$D$140:$D$142,"ISIC 28",'Cost Breakdowns'!$B$140:$B$142)))</f>
        <v/>
      </c>
      <c r="Z4">
        <f>((SUMIF('Cost Breakdowns'!$D$140:$D$142,"ISIC 29",'Cost Breakdowns'!$B$140:$B$142)))</f>
        <v/>
      </c>
      <c r="AA4">
        <f>((SUMIF('Cost Breakdowns'!$D$140:$D$142,"ISIC 30",'Cost Breakdowns'!$B$140:$B$142)))*'Factors applied'!$E$984</f>
        <v/>
      </c>
      <c r="AB4">
        <f>((SUMIF('Cost Breakdowns'!$D$140:$D$142,"ISIC 30",'Cost Breakdowns'!$B$140:$B$142)))*'Factors applied'!$E$985</f>
        <v/>
      </c>
      <c r="AC4">
        <f>((SUMIF('Cost Breakdowns'!$D$140:$D$142,"ISIC 31T33",'Cost Breakdowns'!$B$140:$B$142)))</f>
        <v/>
      </c>
      <c r="AD4">
        <f>((SUMIF('Cost Breakdowns'!$D$140:$D$142,"ISIC 351",'Cost Breakdowns'!$B$140:$B$142)))</f>
        <v/>
      </c>
      <c r="AE4">
        <f>((SUMIF('Cost Breakdowns'!$D$140:$D$142,"ISIC 352T353",'Cost Breakdowns'!$B$140:$B$142)))</f>
        <v/>
      </c>
      <c r="AF4">
        <f>((SUMIF('Cost Breakdowns'!$D$140:$D$142,"ISIC 36T39",'Cost Breakdowns'!$B$140:$B$142)))</f>
        <v/>
      </c>
      <c r="AG4">
        <f>((SUMIF('Cost Breakdowns'!$D$140:$D$142,"ISIC 41T43",'Cost Breakdowns'!$B$140:$B$142)))</f>
        <v/>
      </c>
      <c r="AH4">
        <f>((SUMIF('Cost Breakdowns'!$D$140:$D$142,"ISIC 45T47",'Cost Breakdowns'!$B$140:$B$142)))</f>
        <v/>
      </c>
      <c r="AI4">
        <f>((SUMIF('Cost Breakdowns'!$D$140:$D$142,"ISIC 49T53",'Cost Breakdowns'!$B$140:$B$142)))*'Factors applied'!$E$986</f>
        <v/>
      </c>
      <c r="AJ4">
        <f>((SUMIF('Cost Breakdowns'!$D$140:$D$142,"ISIC 49T53",'Cost Breakdowns'!$B$140:$B$142)))*'Factors applied'!$E$987</f>
        <v/>
      </c>
      <c r="AK4">
        <f>((SUMIF('Cost Breakdowns'!$D$140:$D$142,"ISIC 49T53",'Cost Breakdowns'!$B$140:$B$142)))*'Factors applied'!$E$988</f>
        <v/>
      </c>
      <c r="AL4">
        <f>((SUMIF('Cost Breakdowns'!$D$140:$D$142,"ISIC 49T53",'Cost Breakdowns'!$B$140:$B$142)))*'Factors applied'!$E$989</f>
        <v/>
      </c>
      <c r="AM4">
        <f>((SUMIF('Cost Breakdowns'!$D$140:$D$142,"ISIC 49T53",'Cost Breakdowns'!$B$140:$B$142)))*'Factors applied'!$E$990</f>
        <v/>
      </c>
      <c r="AN4">
        <f>((SUMIF('Cost Breakdowns'!$D$140:$D$142,"ISIC 55T56",'Cost Breakdowns'!$B$140:$B$142)))</f>
        <v/>
      </c>
      <c r="AO4">
        <f>((SUMIF('Cost Breakdowns'!$D$140:$D$142,"ISIC 58T60",'Cost Breakdowns'!$B$140:$B$142)))</f>
        <v/>
      </c>
      <c r="AP4">
        <f>((SUMIF('Cost Breakdowns'!$D$140:$D$142,"ISIC 61",'Cost Breakdowns'!$B$140:$B$142)))</f>
        <v/>
      </c>
      <c r="AQ4">
        <f>((SUMIF('Cost Breakdowns'!$D$140:$D$142,"ISIC 62T63",'Cost Breakdowns'!$B$140:$B$142)))</f>
        <v/>
      </c>
      <c r="AR4">
        <f>((SUMIF('Cost Breakdowns'!$D$140:$D$142,"ISIC 64T66",'Cost Breakdowns'!$B$140:$B$142)))</f>
        <v/>
      </c>
      <c r="AS4">
        <f>((SUMIF('Cost Breakdowns'!$D$140:$D$142,"ISIC 68",'Cost Breakdowns'!$B$140:$B$142)))</f>
        <v/>
      </c>
      <c r="AT4">
        <f>((SUMIF('Cost Breakdowns'!$D$140:$D$142,"ISIC 69T82",'Cost Breakdowns'!$B$140:$B$142)))*'Factors applied'!$E$991</f>
        <v/>
      </c>
      <c r="AU4">
        <f>((SUMIF('Cost Breakdowns'!$D$140:$D$142,"ISIC 69T82",'Cost Breakdowns'!$B$140:$B$142)))*'Factors applied'!$E$992</f>
        <v/>
      </c>
      <c r="AV4">
        <f>((SUMIF('Cost Breakdowns'!$D$140:$D$142,"ISIC 84",'Cost Breakdowns'!$B$140:$B$142)))</f>
        <v/>
      </c>
      <c r="AW4">
        <f>((SUMIF('Cost Breakdowns'!$D$140:$D$142,"ISIC 85",'Cost Breakdowns'!$B$140:$B$142)))</f>
        <v/>
      </c>
      <c r="AX4">
        <f>((SUMIF('Cost Breakdowns'!$D$140:$D$142,"ISIC 86T88",'Cost Breakdowns'!$B$140:$B$142)))</f>
        <v/>
      </c>
      <c r="AY4">
        <f>((SUMIF('Cost Breakdowns'!$D$140:$D$142,"ISIC 90T96",'Cost Breakdowns'!$B$140:$B$142)))*'Factors applied'!$E$993</f>
        <v/>
      </c>
      <c r="AZ4">
        <f>((SUMIF('Cost Breakdowns'!$D$140:$D$142,"ISIC 90T96",'Cost Breakdowns'!$B$140:$B$142)))*'Factors applied'!$E$994</f>
        <v/>
      </c>
      <c r="BA4">
        <f>((SUMIF('Cost Breakdowns'!$D$140:$D$142,"ISIC 97T98",'Cost Breakdowns'!$B$140:$B$142)))</f>
        <v/>
      </c>
    </row>
    <row r="5">
      <c r="A5" t="inlineStr">
        <is>
          <t>nuclear</t>
        </is>
      </c>
      <c r="B5">
        <f>(SUMIF('Cost Breakdowns'!$D$162:$D$162,"ISIC 01T03",'Cost Breakdowns'!$B$162:$B$162))*'Factors applied'!$E$1043</f>
        <v/>
      </c>
      <c r="C5">
        <f>(SUMIF('Cost Breakdowns'!$D$162:$D$162,"ISIC 01T03",'Cost Breakdowns'!$B$162:$B$162))*'Factors applied'!$E$1044</f>
        <v/>
      </c>
      <c r="D5">
        <f>(SUMIF('Cost Breakdowns'!$D$162:$D$162,"ISIC 01T03",'Cost Breakdowns'!$B$162:$B$162))*'Factors applied'!$E$1045</f>
        <v/>
      </c>
      <c r="E5">
        <f>(SUMIF('Cost Breakdowns'!$D$162:$D$162,"ISIC 05",'Cost Breakdowns'!$B$162:$B$162))</f>
        <v/>
      </c>
      <c r="F5">
        <f>(SUMIF('Cost Breakdowns'!$D$162:$D$162,"ISIC 06",'Cost Breakdowns'!$B$162:$B$162))</f>
        <v/>
      </c>
      <c r="G5">
        <f>(SUMIF('Cost Breakdowns'!$D$162:$D$162,"ISIC 07T08",'Cost Breakdowns'!$B$162:$B$162))*'Factors applied'!$E$1046</f>
        <v/>
      </c>
      <c r="H5">
        <f>(SUMIF('Cost Breakdowns'!$D$162:$D$162,"ISIC 07T08",'Cost Breakdowns'!$B$162:$B$162))*'Factors applied'!$E$1047</f>
        <v/>
      </c>
      <c r="I5">
        <f>(SUMIF('Cost Breakdowns'!$D$162:$D$162,"ISIC 09",'Cost Breakdowns'!$B$162:$B$162))</f>
        <v/>
      </c>
      <c r="J5">
        <f>(SUMIF('Cost Breakdowns'!$D$162:$D$162,"ISIC 10T12",'Cost Breakdowns'!$B$162:$B$162))</f>
        <v/>
      </c>
      <c r="K5">
        <f>(SUMIF('Cost Breakdowns'!$D$162:$D$162,"ISIC 13T15",'Cost Breakdowns'!$B$162:$B$162))</f>
        <v/>
      </c>
      <c r="L5">
        <f>(SUMIF('Cost Breakdowns'!$D$162:$D$162,"ISIC 16",'Cost Breakdowns'!$B$162:$B$162))</f>
        <v/>
      </c>
      <c r="M5">
        <f>(SUMIF('Cost Breakdowns'!$D$162:$D$162,"ISIC 17T18",'Cost Breakdowns'!$B$162:$B$162))</f>
        <v/>
      </c>
      <c r="N5">
        <f>(SUMIF('Cost Breakdowns'!$D$162:$D$162,"ISIC 19",'Cost Breakdowns'!$B$162:$B$162))</f>
        <v/>
      </c>
      <c r="O5">
        <f>(SUMIF('Cost Breakdowns'!$D$162:$D$162,"ISIC 20",'Cost Breakdowns'!$B$162:$B$162))</f>
        <v/>
      </c>
      <c r="P5">
        <f>(SUMIF('Cost Breakdowns'!$D$162:$D$162,"ISIC 21",'Cost Breakdowns'!$B$162:$B$162))</f>
        <v/>
      </c>
      <c r="Q5">
        <f>(SUMIF('Cost Breakdowns'!$D$162:$D$162,"ISIC 22",'Cost Breakdowns'!$B$162:$B$162))</f>
        <v/>
      </c>
      <c r="R5">
        <f>(SUMIF('Cost Breakdowns'!$D$162:$D$162,"ISIC 231",'Cost Breakdowns'!$B$162:$B$162))</f>
        <v/>
      </c>
      <c r="S5">
        <f>(SUMIF('Cost Breakdowns'!$D$162:$D$162,"ISIC 239",'Cost Breakdowns'!$B$162:$B$162))</f>
        <v/>
      </c>
      <c r="T5">
        <f>(SUMIF('Cost Breakdowns'!$D$162:$D$162,"ISIC 241",'Cost Breakdowns'!$B$162:$B$162))</f>
        <v/>
      </c>
      <c r="U5">
        <f>(SUMIF('Cost Breakdowns'!$D$162:$D$162,"ISIC 242",'Cost Breakdowns'!$B$162:$B$162))</f>
        <v/>
      </c>
      <c r="V5">
        <f>(SUMIF('Cost Breakdowns'!$D$162:$D$162,"ISIC 25",'Cost Breakdowns'!$B$162:$B$162))</f>
        <v/>
      </c>
      <c r="W5">
        <f>(SUMIF('Cost Breakdowns'!$D$162:$D$162,"ISIC 26",'Cost Breakdowns'!$B$162:$B$162))</f>
        <v/>
      </c>
      <c r="X5">
        <f>(SUMIF('Cost Breakdowns'!$D$162:$D$162,"ISIC 27",'Cost Breakdowns'!$B$162:$B$162))</f>
        <v/>
      </c>
      <c r="Y5">
        <f>(SUMIF('Cost Breakdowns'!$D$162:$D$162,"ISIC 28",'Cost Breakdowns'!$B$162:$B$162))</f>
        <v/>
      </c>
      <c r="Z5">
        <f>(SUMIF('Cost Breakdowns'!$D$162:$D$162,"ISIC 29",'Cost Breakdowns'!$B$162:$B$162))</f>
        <v/>
      </c>
      <c r="AA5">
        <f>(SUMIF('Cost Breakdowns'!$D$162:$D$162,"ISIC 30",'Cost Breakdowns'!$B$162:$B$162))*'Factors applied'!$E$1048</f>
        <v/>
      </c>
      <c r="AB5">
        <f>(SUMIF('Cost Breakdowns'!$D$162:$D$162,"ISIC 30",'Cost Breakdowns'!$B$162:$B$162))*'Factors applied'!$E$1049</f>
        <v/>
      </c>
      <c r="AC5">
        <f>(SUMIF('Cost Breakdowns'!$D$162:$D$162,"ISIC 31T33",'Cost Breakdowns'!$B$162:$B$162))</f>
        <v/>
      </c>
      <c r="AD5">
        <f>(SUMIF('Cost Breakdowns'!$D$162:$D$162,"ISIC 351",'Cost Breakdowns'!$B$162:$B$162))</f>
        <v/>
      </c>
      <c r="AE5">
        <f>(SUMIF('Cost Breakdowns'!$D$162:$D$162,"ISIC 352T353",'Cost Breakdowns'!$B$162:$B$162))</f>
        <v/>
      </c>
      <c r="AF5">
        <f>(SUMIF('Cost Breakdowns'!$D$162:$D$162,"ISIC 36T39",'Cost Breakdowns'!$B$162:$B$162))</f>
        <v/>
      </c>
      <c r="AG5">
        <f>(SUMIF('Cost Breakdowns'!$D$162:$D$162,"ISIC 41T43",'Cost Breakdowns'!$B$162:$B$162))</f>
        <v/>
      </c>
      <c r="AH5">
        <f>(SUMIF('Cost Breakdowns'!$D$162:$D$162,"ISIC 45T47",'Cost Breakdowns'!$B$162:$B$162))</f>
        <v/>
      </c>
      <c r="AI5">
        <f>(SUMIF('Cost Breakdowns'!$D$162:$D$162,"ISIC 49T53",'Cost Breakdowns'!$B$162:$B$162))*'Factors applied'!$E$1050</f>
        <v/>
      </c>
      <c r="AJ5">
        <f>(SUMIF('Cost Breakdowns'!$D$162:$D$162,"ISIC 49T53",'Cost Breakdowns'!$B$162:$B$162))*'Factors applied'!$E$1051</f>
        <v/>
      </c>
      <c r="AK5">
        <f>(SUMIF('Cost Breakdowns'!$D$162:$D$162,"ISIC 49T53",'Cost Breakdowns'!$B$162:$B$162))*'Factors applied'!$E$1052</f>
        <v/>
      </c>
      <c r="AL5">
        <f>(SUMIF('Cost Breakdowns'!$D$162:$D$162,"ISIC 49T53",'Cost Breakdowns'!$B$162:$B$162))*'Factors applied'!$E$1053</f>
        <v/>
      </c>
      <c r="AM5">
        <f>(SUMIF('Cost Breakdowns'!$D$162:$D$162,"ISIC 49T53",'Cost Breakdowns'!$B$162:$B$162))*'Factors applied'!$E$1054</f>
        <v/>
      </c>
      <c r="AN5">
        <f>(SUMIF('Cost Breakdowns'!$D$162:$D$162,"ISIC 55T56",'Cost Breakdowns'!$B$162:$B$162))</f>
        <v/>
      </c>
      <c r="AO5">
        <f>(SUMIF('Cost Breakdowns'!$D$162:$D$162,"ISIC 58T60",'Cost Breakdowns'!$B$162:$B$162))</f>
        <v/>
      </c>
      <c r="AP5">
        <f>(SUMIF('Cost Breakdowns'!$D$162:$D$162,"ISIC 61",'Cost Breakdowns'!$B$162:$B$162))</f>
        <v/>
      </c>
      <c r="AQ5">
        <f>(SUMIF('Cost Breakdowns'!$D$162:$D$162,"ISIC 62T63",'Cost Breakdowns'!$B$162:$B$162))</f>
        <v/>
      </c>
      <c r="AR5">
        <f>(SUMIF('Cost Breakdowns'!$D$162:$D$162,"ISIC 64T66",'Cost Breakdowns'!$B$162:$B$162))</f>
        <v/>
      </c>
      <c r="AS5">
        <f>(SUMIF('Cost Breakdowns'!$D$162:$D$162,"ISIC 68",'Cost Breakdowns'!$B$162:$B$162))</f>
        <v/>
      </c>
      <c r="AT5">
        <f>(SUMIF('Cost Breakdowns'!$D$162:$D$162,"ISIC 69T82",'Cost Breakdowns'!$B$162:$B$162))*'Factors applied'!$E$1055</f>
        <v/>
      </c>
      <c r="AU5">
        <f>(SUMIF('Cost Breakdowns'!$D$162:$D$162,"ISIC 69T82",'Cost Breakdowns'!$B$162:$B$162))*'Factors applied'!$E$1056</f>
        <v/>
      </c>
      <c r="AV5">
        <f>(SUMIF('Cost Breakdowns'!$D$162:$D$162,"ISIC 84",'Cost Breakdowns'!$B$162:$B$162))</f>
        <v/>
      </c>
      <c r="AW5">
        <f>(SUMIF('Cost Breakdowns'!$D$162:$D$162,"ISIC 85",'Cost Breakdowns'!$B$162:$B$162))</f>
        <v/>
      </c>
      <c r="AX5">
        <f>(SUMIF('Cost Breakdowns'!$D$162:$D$162,"ISIC 86T88",'Cost Breakdowns'!$B$162:$B$162))</f>
        <v/>
      </c>
      <c r="AY5">
        <f>(SUMIF('Cost Breakdowns'!$D$162:$D$162,"ISIC 90T96",'Cost Breakdowns'!$B$162:$B$162))*'Factors applied'!$E$1057</f>
        <v/>
      </c>
      <c r="AZ5">
        <f>(SUMIF('Cost Breakdowns'!$D$162:$D$162,"ISIC 90T96",'Cost Breakdowns'!$B$162:$B$162))*'Factors applied'!$E$1058</f>
        <v/>
      </c>
      <c r="BA5">
        <f>(SUMIF('Cost Breakdowns'!$D$162:$D$162,"ISIC 97T98",'Cost Breakdowns'!$B$162:$B$162))</f>
        <v/>
      </c>
    </row>
    <row r="6">
      <c r="A6" t="inlineStr">
        <is>
          <t>hydro</t>
        </is>
      </c>
      <c r="B6">
        <f>(SUMIF('Cost Breakdowns'!$D$217:$D$217,"ISIC 01T03",'Cost Breakdowns'!$B$217:$B$217))*'Factors applied'!$E$883</f>
        <v/>
      </c>
      <c r="C6">
        <f>(SUMIF('Cost Breakdowns'!$D$217:$D$217,"ISIC 01T03",'Cost Breakdowns'!$B$217:$B$217))*'Factors applied'!$E$884</f>
        <v/>
      </c>
      <c r="D6">
        <f>(SUMIF('Cost Breakdowns'!$D$217:$D$217,"ISIC 01T03",'Cost Breakdowns'!$B$217:$B$217))*'Factors applied'!$E$885</f>
        <v/>
      </c>
      <c r="E6">
        <f>(SUMIF('Cost Breakdowns'!$D$217:$D$217,"ISIC 05",'Cost Breakdowns'!$B$217:$B$217))</f>
        <v/>
      </c>
      <c r="F6">
        <f>(SUMIF('Cost Breakdowns'!$D$217:$D$217,"ISIC 06",'Cost Breakdowns'!$B$217:$B$217))</f>
        <v/>
      </c>
      <c r="G6">
        <f>(SUMIF('Cost Breakdowns'!$D$217:$D$217,"ISIC 07T08",'Cost Breakdowns'!$B$217:$B$217))*'Factors applied'!$E$886</f>
        <v/>
      </c>
      <c r="H6">
        <f>(SUMIF('Cost Breakdowns'!$D$217:$D$217,"ISIC 07T08",'Cost Breakdowns'!$B$217:$B$217))*'Factors applied'!$E$887</f>
        <v/>
      </c>
      <c r="I6">
        <f>(SUMIF('Cost Breakdowns'!$D$217:$D$217,"ISIC 09",'Cost Breakdowns'!$B$217:$B$217))</f>
        <v/>
      </c>
      <c r="J6">
        <f>(SUMIF('Cost Breakdowns'!$D$217:$D$217,"ISIC 10T12",'Cost Breakdowns'!$B$217:$B$217))</f>
        <v/>
      </c>
      <c r="K6">
        <f>(SUMIF('Cost Breakdowns'!$D$217:$D$217,"ISIC 13T15",'Cost Breakdowns'!$B$217:$B$217))</f>
        <v/>
      </c>
      <c r="L6">
        <f>(SUMIF('Cost Breakdowns'!$D$217:$D$217,"ISIC 16",'Cost Breakdowns'!$B$217:$B$217))</f>
        <v/>
      </c>
      <c r="M6">
        <f>(SUMIF('Cost Breakdowns'!$D$217:$D$217,"ISIC 17T18",'Cost Breakdowns'!$B$217:$B$217))</f>
        <v/>
      </c>
      <c r="N6">
        <f>(SUMIF('Cost Breakdowns'!$D$217:$D$217,"ISIC 19",'Cost Breakdowns'!$B$217:$B$217))</f>
        <v/>
      </c>
      <c r="O6">
        <f>(SUMIF('Cost Breakdowns'!$D$217:$D$217,"ISIC 20",'Cost Breakdowns'!$B$217:$B$217))</f>
        <v/>
      </c>
      <c r="P6">
        <f>(SUMIF('Cost Breakdowns'!$D$217:$D$217,"ISIC 21",'Cost Breakdowns'!$B$217:$B$217))</f>
        <v/>
      </c>
      <c r="Q6">
        <f>(SUMIF('Cost Breakdowns'!$D$217:$D$217,"ISIC 22",'Cost Breakdowns'!$B$217:$B$217))</f>
        <v/>
      </c>
      <c r="R6">
        <f>(SUMIF('Cost Breakdowns'!$D$217:$D$217,"ISIC 231",'Cost Breakdowns'!$B$217:$B$217))</f>
        <v/>
      </c>
      <c r="S6">
        <f>(SUMIF('Cost Breakdowns'!$D$217:$D$217,"ISIC 239",'Cost Breakdowns'!$B$217:$B$217))</f>
        <v/>
      </c>
      <c r="T6">
        <f>(SUMIF('Cost Breakdowns'!$D$217:$D$217,"ISIC 241",'Cost Breakdowns'!$B$217:$B$217))</f>
        <v/>
      </c>
      <c r="U6">
        <f>(SUMIF('Cost Breakdowns'!$D$217:$D$217,"ISIC 242",'Cost Breakdowns'!$B$217:$B$217))</f>
        <v/>
      </c>
      <c r="V6">
        <f>(SUMIF('Cost Breakdowns'!$D$217:$D$217,"ISIC 25",'Cost Breakdowns'!$B$217:$B$217))</f>
        <v/>
      </c>
      <c r="W6">
        <f>(SUMIF('Cost Breakdowns'!$D$217:$D$217,"ISIC 26",'Cost Breakdowns'!$B$217:$B$217))</f>
        <v/>
      </c>
      <c r="X6">
        <f>(SUMIF('Cost Breakdowns'!$D$217:$D$217,"ISIC 27",'Cost Breakdowns'!$B$217:$B$217))</f>
        <v/>
      </c>
      <c r="Y6">
        <f>(SUMIF('Cost Breakdowns'!$D$217:$D$217,"ISIC 28",'Cost Breakdowns'!$B$217:$B$217))</f>
        <v/>
      </c>
      <c r="Z6">
        <f>(SUMIF('Cost Breakdowns'!$D$217:$D$217,"ISIC 29",'Cost Breakdowns'!$B$217:$B$217))</f>
        <v/>
      </c>
      <c r="AA6">
        <f>(SUMIF('Cost Breakdowns'!$D$217:$D$217,"ISIC 30",'Cost Breakdowns'!$B$217:$B$217))*'Factors applied'!$E$888</f>
        <v/>
      </c>
      <c r="AB6">
        <f>(SUMIF('Cost Breakdowns'!$D$217:$D$217,"ISIC 30",'Cost Breakdowns'!$B$217:$B$217))*'Factors applied'!$E$889</f>
        <v/>
      </c>
      <c r="AC6">
        <f>(SUMIF('Cost Breakdowns'!$D$217:$D$217,"ISIC 31T33",'Cost Breakdowns'!$B$217:$B$217))</f>
        <v/>
      </c>
      <c r="AD6">
        <f>(SUMIF('Cost Breakdowns'!$D$217:$D$217,"ISIC 351",'Cost Breakdowns'!$B$217:$B$217))</f>
        <v/>
      </c>
      <c r="AE6">
        <f>(SUMIF('Cost Breakdowns'!$D$217:$D$217,"ISIC 352T353",'Cost Breakdowns'!$B$217:$B$217))</f>
        <v/>
      </c>
      <c r="AF6">
        <f>(SUMIF('Cost Breakdowns'!$D$217:$D$217,"ISIC 36T39",'Cost Breakdowns'!$B$217:$B$217))</f>
        <v/>
      </c>
      <c r="AG6">
        <f>(SUMIF('Cost Breakdowns'!$D$217:$D$217,"ISIC 41T43",'Cost Breakdowns'!$B$217:$B$217))</f>
        <v/>
      </c>
      <c r="AH6">
        <f>(SUMIF('Cost Breakdowns'!$D$217:$D$217,"ISIC 45T47",'Cost Breakdowns'!$B$217:$B$217))</f>
        <v/>
      </c>
      <c r="AI6">
        <f>(SUMIF('Cost Breakdowns'!$D$217:$D$217,"ISIC 49T53",'Cost Breakdowns'!$B$217:$B$217))*'Factors applied'!$E$890</f>
        <v/>
      </c>
      <c r="AJ6">
        <f>(SUMIF('Cost Breakdowns'!$D$217:$D$217,"ISIC 49T53",'Cost Breakdowns'!$B$217:$B$217))*'Factors applied'!$E$891</f>
        <v/>
      </c>
      <c r="AK6">
        <f>(SUMIF('Cost Breakdowns'!$D$217:$D$217,"ISIC 49T53",'Cost Breakdowns'!$B$217:$B$217))*'Factors applied'!$E$892</f>
        <v/>
      </c>
      <c r="AL6">
        <f>(SUMIF('Cost Breakdowns'!$D$217:$D$217,"ISIC 49T53",'Cost Breakdowns'!$B$217:$B$217))*'Factors applied'!$E$893</f>
        <v/>
      </c>
      <c r="AM6">
        <f>(SUMIF('Cost Breakdowns'!$D$217:$D$217,"ISIC 49T53",'Cost Breakdowns'!$B$217:$B$217))*'Factors applied'!$E$894</f>
        <v/>
      </c>
      <c r="AN6">
        <f>(SUMIF('Cost Breakdowns'!$D$217:$D$217,"ISIC 55T56",'Cost Breakdowns'!$B$217:$B$217))</f>
        <v/>
      </c>
      <c r="AO6">
        <f>(SUMIF('Cost Breakdowns'!$D$217:$D$217,"ISIC 58T60",'Cost Breakdowns'!$B$217:$B$217))</f>
        <v/>
      </c>
      <c r="AP6">
        <f>(SUMIF('Cost Breakdowns'!$D$217:$D$217,"ISIC 61",'Cost Breakdowns'!$B$217:$B$217))</f>
        <v/>
      </c>
      <c r="AQ6">
        <f>(SUMIF('Cost Breakdowns'!$D$217:$D$217,"ISIC 62T63",'Cost Breakdowns'!$B$217:$B$217))</f>
        <v/>
      </c>
      <c r="AR6">
        <f>(SUMIF('Cost Breakdowns'!$D$217:$D$217,"ISIC 64T66",'Cost Breakdowns'!$B$217:$B$217))</f>
        <v/>
      </c>
      <c r="AS6">
        <f>(SUMIF('Cost Breakdowns'!$D$217:$D$217,"ISIC 68",'Cost Breakdowns'!$B$217:$B$217))</f>
        <v/>
      </c>
      <c r="AT6">
        <f>(SUMIF('Cost Breakdowns'!$D$217:$D$217,"ISIC 69T82",'Cost Breakdowns'!$B$217:$B$217))*'Factors applied'!$E$895</f>
        <v/>
      </c>
      <c r="AU6">
        <f>(SUMIF('Cost Breakdowns'!$D$217:$D$217,"ISIC 69T82",'Cost Breakdowns'!$B$217:$B$217))*'Factors applied'!$E$896</f>
        <v/>
      </c>
      <c r="AV6">
        <f>(SUMIF('Cost Breakdowns'!$D$217:$D$217,"ISIC 84",'Cost Breakdowns'!$B$217:$B$217))</f>
        <v/>
      </c>
      <c r="AW6">
        <f>(SUMIF('Cost Breakdowns'!$D$217:$D$217,"ISIC 85",'Cost Breakdowns'!$B$217:$B$217))</f>
        <v/>
      </c>
      <c r="AX6">
        <f>(SUMIF('Cost Breakdowns'!$D$217:$D$217,"ISIC 86T88",'Cost Breakdowns'!$B$217:$B$217))</f>
        <v/>
      </c>
      <c r="AY6">
        <f>(SUMIF('Cost Breakdowns'!$D$217:$D$217,"ISIC 90T96",'Cost Breakdowns'!$B$217:$B$217))*'Factors applied'!$E$897</f>
        <v/>
      </c>
      <c r="AZ6">
        <f>(SUMIF('Cost Breakdowns'!$D$217:$D$217,"ISIC 90T96",'Cost Breakdowns'!$B$217:$B$217))*'Factors applied'!$E$898</f>
        <v/>
      </c>
      <c r="BA6">
        <f>(SUMIF('Cost Breakdowns'!$D$217:$D$217,"ISIC 97T98",'Cost Breakdowns'!$B$217:$B$217))</f>
        <v/>
      </c>
    </row>
    <row r="7">
      <c r="A7" t="inlineStr">
        <is>
          <t>wind</t>
        </is>
      </c>
      <c r="B7">
        <f>0*'Factors applied'!$E$1139</f>
        <v/>
      </c>
      <c r="C7">
        <f>0*'Factors applied'!$E$1140</f>
        <v/>
      </c>
      <c r="D7">
        <f>0*'Factors applied'!$E$1141</f>
        <v/>
      </c>
      <c r="E7" t="n">
        <v>0</v>
      </c>
      <c r="F7" t="n">
        <v>0</v>
      </c>
      <c r="G7">
        <f>0*'Factors applied'!$E$1142</f>
        <v/>
      </c>
      <c r="H7">
        <f>0*'Factors applied'!$E$1143</f>
        <v/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>
        <f>0*'Factors applied'!$E$1144</f>
        <v/>
      </c>
      <c r="AB7">
        <f>0*'Factors applied'!$E$1145</f>
        <v/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>
        <f>0*'Factors applied'!$E$1146</f>
        <v/>
      </c>
      <c r="AJ7">
        <f>0*'Factors applied'!$E$1147</f>
        <v/>
      </c>
      <c r="AK7">
        <f>0*'Factors applied'!$E$1148</f>
        <v/>
      </c>
      <c r="AL7">
        <f>0*'Factors applied'!$E$1149</f>
        <v/>
      </c>
      <c r="AM7">
        <f>0*'Factors applied'!$E$1150</f>
        <v/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>
        <f>0*'Factors applied'!$E$1151</f>
        <v/>
      </c>
      <c r="AU7">
        <f>0*'Factors applied'!$E$1152</f>
        <v/>
      </c>
      <c r="AV7" t="n">
        <v>0</v>
      </c>
      <c r="AW7" t="n">
        <v>0</v>
      </c>
      <c r="AX7" t="n">
        <v>0</v>
      </c>
      <c r="AY7">
        <f>0*'Factors applied'!$E$1153</f>
        <v/>
      </c>
      <c r="AZ7">
        <f>0*'Factors applied'!$E$1154</f>
        <v/>
      </c>
      <c r="BA7" t="n">
        <v>0</v>
      </c>
    </row>
    <row r="8">
      <c r="A8" t="inlineStr">
        <is>
          <t>solar PV</t>
        </is>
      </c>
      <c r="B8">
        <f>0*'Factors applied'!$E$1107</f>
        <v/>
      </c>
      <c r="C8">
        <f>0*'Factors applied'!$E$1108</f>
        <v/>
      </c>
      <c r="D8">
        <f>0*'Factors applied'!$E$1109</f>
        <v/>
      </c>
      <c r="E8" t="n">
        <v>0</v>
      </c>
      <c r="F8" t="n">
        <v>0</v>
      </c>
      <c r="G8">
        <f>0*'Factors applied'!$E$1110</f>
        <v/>
      </c>
      <c r="H8">
        <f>0*'Factors applied'!$E$1111</f>
        <v/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>
        <f>0*'Factors applied'!$E$1112</f>
        <v/>
      </c>
      <c r="AB8">
        <f>0*'Factors applied'!$E$1113</f>
        <v/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>
        <f>0*'Factors applied'!$E$1114</f>
        <v/>
      </c>
      <c r="AJ8">
        <f>0*'Factors applied'!$E$1115</f>
        <v/>
      </c>
      <c r="AK8">
        <f>0*'Factors applied'!$E$1116</f>
        <v/>
      </c>
      <c r="AL8">
        <f>0*'Factors applied'!$E$1117</f>
        <v/>
      </c>
      <c r="AM8">
        <f>0*'Factors applied'!$E$1118</f>
        <v/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>
        <f>0*'Factors applied'!$E$1119</f>
        <v/>
      </c>
      <c r="AU8">
        <f>0*'Factors applied'!$E$1120</f>
        <v/>
      </c>
      <c r="AV8" t="n">
        <v>0</v>
      </c>
      <c r="AW8" t="n">
        <v>0</v>
      </c>
      <c r="AX8" t="n">
        <v>0</v>
      </c>
      <c r="AY8">
        <f>0*'Factors applied'!$E$1121</f>
        <v/>
      </c>
      <c r="AZ8">
        <f>0*'Factors applied'!$E$1122</f>
        <v/>
      </c>
      <c r="BA8" t="n">
        <v>0</v>
      </c>
    </row>
    <row r="9">
      <c r="A9" t="inlineStr">
        <is>
          <t>solar thermal</t>
        </is>
      </c>
      <c r="B9">
        <f>0*'Factors applied'!$E$1123</f>
        <v/>
      </c>
      <c r="C9">
        <f>0*'Factors applied'!$E$1124</f>
        <v/>
      </c>
      <c r="D9">
        <f>0*'Factors applied'!$E$1125</f>
        <v/>
      </c>
      <c r="E9" t="n">
        <v>0</v>
      </c>
      <c r="F9" t="n">
        <v>0</v>
      </c>
      <c r="G9">
        <f>0*'Factors applied'!$E$1126</f>
        <v/>
      </c>
      <c r="H9">
        <f>0*'Factors applied'!$E$1127</f>
        <v/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>
        <f>0*'Factors applied'!$E$1128</f>
        <v/>
      </c>
      <c r="AB9">
        <f>0*'Factors applied'!$E$1129</f>
        <v/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>
        <f>0*'Factors applied'!$E$1130</f>
        <v/>
      </c>
      <c r="AJ9">
        <f>0*'Factors applied'!$E$1131</f>
        <v/>
      </c>
      <c r="AK9">
        <f>0*'Factors applied'!$E$1132</f>
        <v/>
      </c>
      <c r="AL9">
        <f>0*'Factors applied'!$E$1133</f>
        <v/>
      </c>
      <c r="AM9">
        <f>0*'Factors applied'!$E$1134</f>
        <v/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>
        <f>0*'Factors applied'!$E$1135</f>
        <v/>
      </c>
      <c r="AU9">
        <f>0*'Factors applied'!$E$1136</f>
        <v/>
      </c>
      <c r="AV9" t="n">
        <v>0</v>
      </c>
      <c r="AW9" t="n">
        <v>0</v>
      </c>
      <c r="AX9" t="n">
        <v>0</v>
      </c>
      <c r="AY9">
        <f>0*'Factors applied'!$E$1137</f>
        <v/>
      </c>
      <c r="AZ9">
        <f>0*'Factors applied'!$E$1138</f>
        <v/>
      </c>
      <c r="BA9" t="n">
        <v>0</v>
      </c>
    </row>
    <row r="10">
      <c r="A10" t="inlineStr">
        <is>
          <t>biomass</t>
        </is>
      </c>
      <c r="B10">
        <f>(SUMIF('Cost Breakdowns'!$D$231:$D$233,"ISIC 01T03",'Cost Breakdowns'!$B$231:$B$233))*'Factors applied'!$E$771</f>
        <v/>
      </c>
      <c r="C10">
        <f>(SUMIF('Cost Breakdowns'!$D$231:$D$233,"ISIC 01T03",'Cost Breakdowns'!$B$231:$B$233))*'Factors applied'!$E$772</f>
        <v/>
      </c>
      <c r="D10">
        <f>(SUMIF('Cost Breakdowns'!$D$231:$D$233,"ISIC 01T03",'Cost Breakdowns'!$B$231:$B$233))*'Factors applied'!$E$773</f>
        <v/>
      </c>
      <c r="E10">
        <f>(SUMIF('Cost Breakdowns'!$D$231:$D$233,"ISIC 05",'Cost Breakdowns'!$B$231:$B$233))</f>
        <v/>
      </c>
      <c r="F10">
        <f>(SUMIF('Cost Breakdowns'!$D$231:$D$233,"ISIC 06",'Cost Breakdowns'!$B$231:$B$233))</f>
        <v/>
      </c>
      <c r="G10">
        <f>(SUMIF('Cost Breakdowns'!$D$231:$D$233,"ISIC 07T08",'Cost Breakdowns'!$B$231:$B$233))*'Factors applied'!$E$774</f>
        <v/>
      </c>
      <c r="H10">
        <f>(SUMIF('Cost Breakdowns'!$D$231:$D$233,"ISIC 07T08",'Cost Breakdowns'!$B$231:$B$233))*'Factors applied'!$E$775</f>
        <v/>
      </c>
      <c r="I10">
        <f>(SUMIF('Cost Breakdowns'!$D$231:$D$233,"ISIC 09",'Cost Breakdowns'!$B$231:$B$233))</f>
        <v/>
      </c>
      <c r="J10">
        <f>(SUMIF('Cost Breakdowns'!$D$231:$D$233,"ISIC 10T12",'Cost Breakdowns'!$B$231:$B$233))</f>
        <v/>
      </c>
      <c r="K10">
        <f>(SUMIF('Cost Breakdowns'!$D$231:$D$233,"ISIC 13T15",'Cost Breakdowns'!$B$231:$B$233))</f>
        <v/>
      </c>
      <c r="L10">
        <f>(SUMIF('Cost Breakdowns'!$D$231:$D$233,"ISIC 16",'Cost Breakdowns'!$B$231:$B$233))</f>
        <v/>
      </c>
      <c r="M10">
        <f>(SUMIF('Cost Breakdowns'!$D$231:$D$233,"ISIC 17T18",'Cost Breakdowns'!$B$231:$B$233))</f>
        <v/>
      </c>
      <c r="N10">
        <f>(SUMIF('Cost Breakdowns'!$D$231:$D$233,"ISIC 19",'Cost Breakdowns'!$B$231:$B$233))</f>
        <v/>
      </c>
      <c r="O10">
        <f>(SUMIF('Cost Breakdowns'!$D$231:$D$233,"ISIC 20",'Cost Breakdowns'!$B$231:$B$233))</f>
        <v/>
      </c>
      <c r="P10">
        <f>(SUMIF('Cost Breakdowns'!$D$231:$D$233,"ISIC 21",'Cost Breakdowns'!$B$231:$B$233))</f>
        <v/>
      </c>
      <c r="Q10">
        <f>(SUMIF('Cost Breakdowns'!$D$231:$D$233,"ISIC 22",'Cost Breakdowns'!$B$231:$B$233))</f>
        <v/>
      </c>
      <c r="R10">
        <f>(SUMIF('Cost Breakdowns'!$D$231:$D$233,"ISIC 231",'Cost Breakdowns'!$B$231:$B$233))</f>
        <v/>
      </c>
      <c r="S10">
        <f>(SUMIF('Cost Breakdowns'!$D$231:$D$233,"ISIC 239",'Cost Breakdowns'!$B$231:$B$233))</f>
        <v/>
      </c>
      <c r="T10">
        <f>(SUMIF('Cost Breakdowns'!$D$231:$D$233,"ISIC 241",'Cost Breakdowns'!$B$231:$B$233))</f>
        <v/>
      </c>
      <c r="U10">
        <f>(SUMIF('Cost Breakdowns'!$D$231:$D$233,"ISIC 242",'Cost Breakdowns'!$B$231:$B$233))</f>
        <v/>
      </c>
      <c r="V10">
        <f>(SUMIF('Cost Breakdowns'!$D$231:$D$233,"ISIC 25",'Cost Breakdowns'!$B$231:$B$233))</f>
        <v/>
      </c>
      <c r="W10">
        <f>(SUMIF('Cost Breakdowns'!$D$231:$D$233,"ISIC 26",'Cost Breakdowns'!$B$231:$B$233))</f>
        <v/>
      </c>
      <c r="X10">
        <f>(SUMIF('Cost Breakdowns'!$D$231:$D$233,"ISIC 27",'Cost Breakdowns'!$B$231:$B$233))</f>
        <v/>
      </c>
      <c r="Y10">
        <f>(SUMIF('Cost Breakdowns'!$D$231:$D$233,"ISIC 28",'Cost Breakdowns'!$B$231:$B$233))</f>
        <v/>
      </c>
      <c r="Z10">
        <f>(SUMIF('Cost Breakdowns'!$D$231:$D$233,"ISIC 29",'Cost Breakdowns'!$B$231:$B$233))</f>
        <v/>
      </c>
      <c r="AA10">
        <f>(SUMIF('Cost Breakdowns'!$D$231:$D$233,"ISIC 30",'Cost Breakdowns'!$B$231:$B$233))*'Factors applied'!$E$776</f>
        <v/>
      </c>
      <c r="AB10">
        <f>(SUMIF('Cost Breakdowns'!$D$231:$D$233,"ISIC 30",'Cost Breakdowns'!$B$231:$B$233))*'Factors applied'!$E$777</f>
        <v/>
      </c>
      <c r="AC10">
        <f>(SUMIF('Cost Breakdowns'!$D$231:$D$233,"ISIC 31T33",'Cost Breakdowns'!$B$231:$B$233))</f>
        <v/>
      </c>
      <c r="AD10">
        <f>(SUMIF('Cost Breakdowns'!$D$231:$D$233,"ISIC 351",'Cost Breakdowns'!$B$231:$B$233))</f>
        <v/>
      </c>
      <c r="AE10">
        <f>(SUMIF('Cost Breakdowns'!$D$231:$D$233,"ISIC 352T353",'Cost Breakdowns'!$B$231:$B$233))</f>
        <v/>
      </c>
      <c r="AF10">
        <f>(SUMIF('Cost Breakdowns'!$D$231:$D$233,"ISIC 36T39",'Cost Breakdowns'!$B$231:$B$233))</f>
        <v/>
      </c>
      <c r="AG10">
        <f>(SUMIF('Cost Breakdowns'!$D$231:$D$233,"ISIC 41T43",'Cost Breakdowns'!$B$231:$B$233))</f>
        <v/>
      </c>
      <c r="AH10">
        <f>(SUMIF('Cost Breakdowns'!$D$231:$D$233,"ISIC 45T47",'Cost Breakdowns'!$B$231:$B$233))</f>
        <v/>
      </c>
      <c r="AI10">
        <f>(SUMIF('Cost Breakdowns'!$D$231:$D$233,"ISIC 49T53",'Cost Breakdowns'!$B$231:$B$233))*'Factors applied'!$E$778</f>
        <v/>
      </c>
      <c r="AJ10">
        <f>(SUMIF('Cost Breakdowns'!$D$231:$D$233,"ISIC 49T53",'Cost Breakdowns'!$B$231:$B$233))*'Factors applied'!$E$779</f>
        <v/>
      </c>
      <c r="AK10">
        <f>(SUMIF('Cost Breakdowns'!$D$231:$D$233,"ISIC 49T53",'Cost Breakdowns'!$B$231:$B$233))*'Factors applied'!$E$780</f>
        <v/>
      </c>
      <c r="AL10">
        <f>(SUMIF('Cost Breakdowns'!$D$231:$D$233,"ISIC 49T53",'Cost Breakdowns'!$B$231:$B$233))*'Factors applied'!$E$781</f>
        <v/>
      </c>
      <c r="AM10">
        <f>(SUMIF('Cost Breakdowns'!$D$231:$D$233,"ISIC 49T53",'Cost Breakdowns'!$B$231:$B$233))*'Factors applied'!$E$782</f>
        <v/>
      </c>
      <c r="AN10">
        <f>(SUMIF('Cost Breakdowns'!$D$231:$D$233,"ISIC 55T56",'Cost Breakdowns'!$B$231:$B$233))</f>
        <v/>
      </c>
      <c r="AO10">
        <f>(SUMIF('Cost Breakdowns'!$D$231:$D$233,"ISIC 58T60",'Cost Breakdowns'!$B$231:$B$233))</f>
        <v/>
      </c>
      <c r="AP10">
        <f>(SUMIF('Cost Breakdowns'!$D$231:$D$233,"ISIC 61",'Cost Breakdowns'!$B$231:$B$233))</f>
        <v/>
      </c>
      <c r="AQ10">
        <f>(SUMIF('Cost Breakdowns'!$D$231:$D$233,"ISIC 62T63",'Cost Breakdowns'!$B$231:$B$233))</f>
        <v/>
      </c>
      <c r="AR10">
        <f>(SUMIF('Cost Breakdowns'!$D$231:$D$233,"ISIC 64T66",'Cost Breakdowns'!$B$231:$B$233))</f>
        <v/>
      </c>
      <c r="AS10">
        <f>(SUMIF('Cost Breakdowns'!$D$231:$D$233,"ISIC 68",'Cost Breakdowns'!$B$231:$B$233))</f>
        <v/>
      </c>
      <c r="AT10">
        <f>(SUMIF('Cost Breakdowns'!$D$231:$D$233,"ISIC 69T82",'Cost Breakdowns'!$B$231:$B$233))*'Factors applied'!$E$783</f>
        <v/>
      </c>
      <c r="AU10">
        <f>(SUMIF('Cost Breakdowns'!$D$231:$D$233,"ISIC 69T82",'Cost Breakdowns'!$B$231:$B$233))*'Factors applied'!$E$784</f>
        <v/>
      </c>
      <c r="AV10">
        <f>(SUMIF('Cost Breakdowns'!$D$231:$D$233,"ISIC 84",'Cost Breakdowns'!$B$231:$B$233))</f>
        <v/>
      </c>
      <c r="AW10">
        <f>(SUMIF('Cost Breakdowns'!$D$231:$D$233,"ISIC 85",'Cost Breakdowns'!$B$231:$B$233))</f>
        <v/>
      </c>
      <c r="AX10">
        <f>(SUMIF('Cost Breakdowns'!$D$231:$D$233,"ISIC 86T88",'Cost Breakdowns'!$B$231:$B$233))</f>
        <v/>
      </c>
      <c r="AY10">
        <f>(SUMIF('Cost Breakdowns'!$D$231:$D$233,"ISIC 90T96",'Cost Breakdowns'!$B$231:$B$233))*'Factors applied'!$E$785</f>
        <v/>
      </c>
      <c r="AZ10">
        <f>(SUMIF('Cost Breakdowns'!$D$231:$D$233,"ISIC 90T96",'Cost Breakdowns'!$B$231:$B$233))*'Factors applied'!$E$786</f>
        <v/>
      </c>
      <c r="BA10">
        <f>(SUMIF('Cost Breakdowns'!$D$231:$D$233,"ISIC 97T98",'Cost Breakdowns'!$B$231:$B$233))</f>
        <v/>
      </c>
    </row>
    <row r="11">
      <c r="A11" t="inlineStr">
        <is>
          <t>geothermal</t>
        </is>
      </c>
      <c r="B11">
        <f>(SUMIF('Cost Breakdowns'!$D$313:$D$313,"ISIC 01T03",'Cost Breakdowns'!$B$313:$B$313))*'Factors applied'!$E$819</f>
        <v/>
      </c>
      <c r="C11">
        <f>(SUMIF('Cost Breakdowns'!$D$313:$D$313,"ISIC 01T03",'Cost Breakdowns'!$B$313:$B$313))*'Factors applied'!$E$820</f>
        <v/>
      </c>
      <c r="D11">
        <f>(SUMIF('Cost Breakdowns'!$D$313:$D$313,"ISIC 01T03",'Cost Breakdowns'!$B$313:$B$313))*'Factors applied'!$E$821</f>
        <v/>
      </c>
      <c r="E11">
        <f>(SUMIF('Cost Breakdowns'!$D$313:$D$313,"ISIC 05",'Cost Breakdowns'!$B$313:$B$313))</f>
        <v/>
      </c>
      <c r="F11">
        <f>(SUMIF('Cost Breakdowns'!$D$313:$D$313,"ISIC 06",'Cost Breakdowns'!$B$313:$B$313))</f>
        <v/>
      </c>
      <c r="G11">
        <f>(SUMIF('Cost Breakdowns'!$D$313:$D$313,"ISIC 07T08",'Cost Breakdowns'!$B$313:$B$313))*'Factors applied'!$E$822</f>
        <v/>
      </c>
      <c r="H11">
        <f>(SUMIF('Cost Breakdowns'!$D$313:$D$313,"ISIC 07T08",'Cost Breakdowns'!$B$313:$B$313))*'Factors applied'!$E$823</f>
        <v/>
      </c>
      <c r="I11">
        <f>(SUMIF('Cost Breakdowns'!$D$313:$D$313,"ISIC 09",'Cost Breakdowns'!$B$313:$B$313))</f>
        <v/>
      </c>
      <c r="J11">
        <f>(SUMIF('Cost Breakdowns'!$D$313:$D$313,"ISIC 10T12",'Cost Breakdowns'!$B$313:$B$313))</f>
        <v/>
      </c>
      <c r="K11">
        <f>(SUMIF('Cost Breakdowns'!$D$313:$D$313,"ISIC 13T15",'Cost Breakdowns'!$B$313:$B$313))</f>
        <v/>
      </c>
      <c r="L11">
        <f>(SUMIF('Cost Breakdowns'!$D$313:$D$313,"ISIC 16",'Cost Breakdowns'!$B$313:$B$313))</f>
        <v/>
      </c>
      <c r="M11">
        <f>(SUMIF('Cost Breakdowns'!$D$313:$D$313,"ISIC 17T18",'Cost Breakdowns'!$B$313:$B$313))</f>
        <v/>
      </c>
      <c r="N11">
        <f>(SUMIF('Cost Breakdowns'!$D$313:$D$313,"ISIC 19",'Cost Breakdowns'!$B$313:$B$313))</f>
        <v/>
      </c>
      <c r="O11">
        <f>(SUMIF('Cost Breakdowns'!$D$313:$D$313,"ISIC 20",'Cost Breakdowns'!$B$313:$B$313))</f>
        <v/>
      </c>
      <c r="P11">
        <f>(SUMIF('Cost Breakdowns'!$D$313:$D$313,"ISIC 21",'Cost Breakdowns'!$B$313:$B$313))</f>
        <v/>
      </c>
      <c r="Q11">
        <f>(SUMIF('Cost Breakdowns'!$D$313:$D$313,"ISIC 22",'Cost Breakdowns'!$B$313:$B$313))</f>
        <v/>
      </c>
      <c r="R11">
        <f>(SUMIF('Cost Breakdowns'!$D$313:$D$313,"ISIC 231",'Cost Breakdowns'!$B$313:$B$313))</f>
        <v/>
      </c>
      <c r="S11">
        <f>(SUMIF('Cost Breakdowns'!$D$313:$D$313,"ISIC 239",'Cost Breakdowns'!$B$313:$B$313))</f>
        <v/>
      </c>
      <c r="T11">
        <f>(SUMIF('Cost Breakdowns'!$D$313:$D$313,"ISIC 241",'Cost Breakdowns'!$B$313:$B$313))</f>
        <v/>
      </c>
      <c r="U11">
        <f>(SUMIF('Cost Breakdowns'!$D$313:$D$313,"ISIC 242",'Cost Breakdowns'!$B$313:$B$313))</f>
        <v/>
      </c>
      <c r="V11">
        <f>(SUMIF('Cost Breakdowns'!$D$313:$D$313,"ISIC 25",'Cost Breakdowns'!$B$313:$B$313))</f>
        <v/>
      </c>
      <c r="W11">
        <f>(SUMIF('Cost Breakdowns'!$D$313:$D$313,"ISIC 26",'Cost Breakdowns'!$B$313:$B$313))</f>
        <v/>
      </c>
      <c r="X11">
        <f>(SUMIF('Cost Breakdowns'!$D$313:$D$313,"ISIC 27",'Cost Breakdowns'!$B$313:$B$313))</f>
        <v/>
      </c>
      <c r="Y11">
        <f>(SUMIF('Cost Breakdowns'!$D$313:$D$313,"ISIC 28",'Cost Breakdowns'!$B$313:$B$313))</f>
        <v/>
      </c>
      <c r="Z11">
        <f>(SUMIF('Cost Breakdowns'!$D$313:$D$313,"ISIC 29",'Cost Breakdowns'!$B$313:$B$313))</f>
        <v/>
      </c>
      <c r="AA11">
        <f>(SUMIF('Cost Breakdowns'!$D$313:$D$313,"ISIC 30",'Cost Breakdowns'!$B$313:$B$313))*'Factors applied'!$E$824</f>
        <v/>
      </c>
      <c r="AB11">
        <f>(SUMIF('Cost Breakdowns'!$D$313:$D$313,"ISIC 30",'Cost Breakdowns'!$B$313:$B$313))*'Factors applied'!$E$825</f>
        <v/>
      </c>
      <c r="AC11">
        <f>(SUMIF('Cost Breakdowns'!$D$313:$D$313,"ISIC 31T33",'Cost Breakdowns'!$B$313:$B$313))</f>
        <v/>
      </c>
      <c r="AD11">
        <f>(SUMIF('Cost Breakdowns'!$D$313:$D$313,"ISIC 351",'Cost Breakdowns'!$B$313:$B$313))</f>
        <v/>
      </c>
      <c r="AE11">
        <f>(SUMIF('Cost Breakdowns'!$D$313:$D$313,"ISIC 352T353",'Cost Breakdowns'!$B$313:$B$313))</f>
        <v/>
      </c>
      <c r="AF11">
        <f>(SUMIF('Cost Breakdowns'!$D$313:$D$313,"ISIC 36T39",'Cost Breakdowns'!$B$313:$B$313))</f>
        <v/>
      </c>
      <c r="AG11">
        <f>(SUMIF('Cost Breakdowns'!$D$313:$D$313,"ISIC 41T43",'Cost Breakdowns'!$B$313:$B$313))</f>
        <v/>
      </c>
      <c r="AH11">
        <f>(SUMIF('Cost Breakdowns'!$D$313:$D$313,"ISIC 45T47",'Cost Breakdowns'!$B$313:$B$313))</f>
        <v/>
      </c>
      <c r="AI11">
        <f>(SUMIF('Cost Breakdowns'!$D$313:$D$313,"ISIC 49T53",'Cost Breakdowns'!$B$313:$B$313))*'Factors applied'!$E$826</f>
        <v/>
      </c>
      <c r="AJ11">
        <f>(SUMIF('Cost Breakdowns'!$D$313:$D$313,"ISIC 49T53",'Cost Breakdowns'!$B$313:$B$313))*'Factors applied'!$E$827</f>
        <v/>
      </c>
      <c r="AK11">
        <f>(SUMIF('Cost Breakdowns'!$D$313:$D$313,"ISIC 49T53",'Cost Breakdowns'!$B$313:$B$313))*'Factors applied'!$E$828</f>
        <v/>
      </c>
      <c r="AL11">
        <f>(SUMIF('Cost Breakdowns'!$D$313:$D$313,"ISIC 49T53",'Cost Breakdowns'!$B$313:$B$313))*'Factors applied'!$E$829</f>
        <v/>
      </c>
      <c r="AM11">
        <f>(SUMIF('Cost Breakdowns'!$D$313:$D$313,"ISIC 49T53",'Cost Breakdowns'!$B$313:$B$313))*'Factors applied'!$E$830</f>
        <v/>
      </c>
      <c r="AN11">
        <f>(SUMIF('Cost Breakdowns'!$D$313:$D$313,"ISIC 55T56",'Cost Breakdowns'!$B$313:$B$313))</f>
        <v/>
      </c>
      <c r="AO11">
        <f>(SUMIF('Cost Breakdowns'!$D$313:$D$313,"ISIC 58T60",'Cost Breakdowns'!$B$313:$B$313))</f>
        <v/>
      </c>
      <c r="AP11">
        <f>(SUMIF('Cost Breakdowns'!$D$313:$D$313,"ISIC 61",'Cost Breakdowns'!$B$313:$B$313))</f>
        <v/>
      </c>
      <c r="AQ11">
        <f>(SUMIF('Cost Breakdowns'!$D$313:$D$313,"ISIC 62T63",'Cost Breakdowns'!$B$313:$B$313))</f>
        <v/>
      </c>
      <c r="AR11">
        <f>(SUMIF('Cost Breakdowns'!$D$313:$D$313,"ISIC 64T66",'Cost Breakdowns'!$B$313:$B$313))</f>
        <v/>
      </c>
      <c r="AS11">
        <f>(SUMIF('Cost Breakdowns'!$D$313:$D$313,"ISIC 68",'Cost Breakdowns'!$B$313:$B$313))</f>
        <v/>
      </c>
      <c r="AT11">
        <f>(SUMIF('Cost Breakdowns'!$D$313:$D$313,"ISIC 69T82",'Cost Breakdowns'!$B$313:$B$313))*'Factors applied'!$E$831</f>
        <v/>
      </c>
      <c r="AU11">
        <f>(SUMIF('Cost Breakdowns'!$D$313:$D$313,"ISIC 69T82",'Cost Breakdowns'!$B$313:$B$313))*'Factors applied'!$E$832</f>
        <v/>
      </c>
      <c r="AV11">
        <f>(SUMIF('Cost Breakdowns'!$D$313:$D$313,"ISIC 84",'Cost Breakdowns'!$B$313:$B$313))</f>
        <v/>
      </c>
      <c r="AW11">
        <f>(SUMIF('Cost Breakdowns'!$D$313:$D$313,"ISIC 85",'Cost Breakdowns'!$B$313:$B$313))</f>
        <v/>
      </c>
      <c r="AX11">
        <f>(SUMIF('Cost Breakdowns'!$D$313:$D$313,"ISIC 86T88",'Cost Breakdowns'!$B$313:$B$313))</f>
        <v/>
      </c>
      <c r="AY11">
        <f>(SUMIF('Cost Breakdowns'!$D$313:$D$313,"ISIC 90T96",'Cost Breakdowns'!$B$313:$B$313))*'Factors applied'!$E$833</f>
        <v/>
      </c>
      <c r="AZ11">
        <f>(SUMIF('Cost Breakdowns'!$D$313:$D$313,"ISIC 90T96",'Cost Breakdowns'!$B$313:$B$313))*'Factors applied'!$E$834</f>
        <v/>
      </c>
      <c r="BA11">
        <f>(SUMIF('Cost Breakdowns'!$D$313:$D$313,"ISIC 97T98",'Cost Breakdowns'!$B$313:$B$313))</f>
        <v/>
      </c>
    </row>
    <row r="12">
      <c r="A12" t="inlineStr">
        <is>
          <t>petroleum</t>
        </is>
      </c>
      <c r="B12">
        <f>((SUMIF('Cost Breakdowns'!$D$140:$D$142,"ISIC 01T03",'Cost Breakdowns'!$B$140:$B$142)))*'Factors applied'!$E$1075</f>
        <v/>
      </c>
      <c r="C12">
        <f>((SUMIF('Cost Breakdowns'!$D$140:$D$142,"ISIC 01T03",'Cost Breakdowns'!$B$140:$B$142)))*'Factors applied'!$E$1076</f>
        <v/>
      </c>
      <c r="D12">
        <f>((SUMIF('Cost Breakdowns'!$D$140:$D$142,"ISIC 01T03",'Cost Breakdowns'!$B$140:$B$142)))*'Factors applied'!$E$1077</f>
        <v/>
      </c>
      <c r="E12">
        <f>((SUMIF('Cost Breakdowns'!$D$140:$D$142,"ISIC 05",'Cost Breakdowns'!$B$140:$B$142)))</f>
        <v/>
      </c>
      <c r="F12">
        <f>((SUMIF('Cost Breakdowns'!$D$140:$D$142,"ISIC 06",'Cost Breakdowns'!$B$140:$B$142)))</f>
        <v/>
      </c>
      <c r="G12">
        <f>((SUMIF('Cost Breakdowns'!$D$140:$D$142,"ISIC 07T08",'Cost Breakdowns'!$B$140:$B$142)))*'Factors applied'!$E$1078</f>
        <v/>
      </c>
      <c r="H12">
        <f>((SUMIF('Cost Breakdowns'!$D$140:$D$142,"ISIC 07T08",'Cost Breakdowns'!$B$140:$B$142)))*'Factors applied'!$E$1079</f>
        <v/>
      </c>
      <c r="I12">
        <f>((SUMIF('Cost Breakdowns'!$D$140:$D$142,"ISIC 09",'Cost Breakdowns'!$B$140:$B$142)))</f>
        <v/>
      </c>
      <c r="J12">
        <f>((SUMIF('Cost Breakdowns'!$D$140:$D$142,"ISIC 10T12",'Cost Breakdowns'!$B$140:$B$142)))</f>
        <v/>
      </c>
      <c r="K12">
        <f>((SUMIF('Cost Breakdowns'!$D$140:$D$142,"ISIC 13T15",'Cost Breakdowns'!$B$140:$B$142)))</f>
        <v/>
      </c>
      <c r="L12">
        <f>((SUMIF('Cost Breakdowns'!$D$140:$D$142,"ISIC 16",'Cost Breakdowns'!$B$140:$B$142)))</f>
        <v/>
      </c>
      <c r="M12">
        <f>((SUMIF('Cost Breakdowns'!$D$140:$D$142,"ISIC 17T18",'Cost Breakdowns'!$B$140:$B$142)))</f>
        <v/>
      </c>
      <c r="N12">
        <f>((SUMIF('Cost Breakdowns'!$D$140:$D$142,"ISIC 19",'Cost Breakdowns'!$B$140:$B$142)))</f>
        <v/>
      </c>
      <c r="O12">
        <f>((SUMIF('Cost Breakdowns'!$D$140:$D$142,"ISIC 20",'Cost Breakdowns'!$B$140:$B$142)))</f>
        <v/>
      </c>
      <c r="P12">
        <f>((SUMIF('Cost Breakdowns'!$D$140:$D$142,"ISIC 21",'Cost Breakdowns'!$B$140:$B$142)))</f>
        <v/>
      </c>
      <c r="Q12">
        <f>((SUMIF('Cost Breakdowns'!$D$140:$D$142,"ISIC 22",'Cost Breakdowns'!$B$140:$B$142)))</f>
        <v/>
      </c>
      <c r="R12">
        <f>((SUMIF('Cost Breakdowns'!$D$140:$D$142,"ISIC 231",'Cost Breakdowns'!$B$140:$B$142)))</f>
        <v/>
      </c>
      <c r="S12">
        <f>((SUMIF('Cost Breakdowns'!$D$140:$D$142,"ISIC 239",'Cost Breakdowns'!$B$140:$B$142)))</f>
        <v/>
      </c>
      <c r="T12">
        <f>((SUMIF('Cost Breakdowns'!$D$140:$D$142,"ISIC 241",'Cost Breakdowns'!$B$140:$B$142)))</f>
        <v/>
      </c>
      <c r="U12">
        <f>((SUMIF('Cost Breakdowns'!$D$140:$D$142,"ISIC 242",'Cost Breakdowns'!$B$140:$B$142)))</f>
        <v/>
      </c>
      <c r="V12">
        <f>((SUMIF('Cost Breakdowns'!$D$140:$D$142,"ISIC 25",'Cost Breakdowns'!$B$140:$B$142)))</f>
        <v/>
      </c>
      <c r="W12">
        <f>((SUMIF('Cost Breakdowns'!$D$140:$D$142,"ISIC 26",'Cost Breakdowns'!$B$140:$B$142)))</f>
        <v/>
      </c>
      <c r="X12">
        <f>((SUMIF('Cost Breakdowns'!$D$140:$D$142,"ISIC 27",'Cost Breakdowns'!$B$140:$B$142)))</f>
        <v/>
      </c>
      <c r="Y12">
        <f>((SUMIF('Cost Breakdowns'!$D$140:$D$142,"ISIC 28",'Cost Breakdowns'!$B$140:$B$142)))</f>
        <v/>
      </c>
      <c r="Z12">
        <f>((SUMIF('Cost Breakdowns'!$D$140:$D$142,"ISIC 29",'Cost Breakdowns'!$B$140:$B$142)))</f>
        <v/>
      </c>
      <c r="AA12">
        <f>((SUMIF('Cost Breakdowns'!$D$140:$D$142,"ISIC 30",'Cost Breakdowns'!$B$140:$B$142)))*'Factors applied'!$E$1080</f>
        <v/>
      </c>
      <c r="AB12">
        <f>((SUMIF('Cost Breakdowns'!$D$140:$D$142,"ISIC 30",'Cost Breakdowns'!$B$140:$B$142)))*'Factors applied'!$E$1081</f>
        <v/>
      </c>
      <c r="AC12">
        <f>((SUMIF('Cost Breakdowns'!$D$140:$D$142,"ISIC 31T33",'Cost Breakdowns'!$B$140:$B$142)))</f>
        <v/>
      </c>
      <c r="AD12">
        <f>((SUMIF('Cost Breakdowns'!$D$140:$D$142,"ISIC 351",'Cost Breakdowns'!$B$140:$B$142)))</f>
        <v/>
      </c>
      <c r="AE12">
        <f>((SUMIF('Cost Breakdowns'!$D$140:$D$142,"ISIC 352T353",'Cost Breakdowns'!$B$140:$B$142)))</f>
        <v/>
      </c>
      <c r="AF12">
        <f>((SUMIF('Cost Breakdowns'!$D$140:$D$142,"ISIC 36T39",'Cost Breakdowns'!$B$140:$B$142)))</f>
        <v/>
      </c>
      <c r="AG12">
        <f>((SUMIF('Cost Breakdowns'!$D$140:$D$142,"ISIC 41T43",'Cost Breakdowns'!$B$140:$B$142)))</f>
        <v/>
      </c>
      <c r="AH12">
        <f>((SUMIF('Cost Breakdowns'!$D$140:$D$142,"ISIC 45T47",'Cost Breakdowns'!$B$140:$B$142)))</f>
        <v/>
      </c>
      <c r="AI12">
        <f>((SUMIF('Cost Breakdowns'!$D$140:$D$142,"ISIC 49T53",'Cost Breakdowns'!$B$140:$B$142)))*'Factors applied'!$E$1082</f>
        <v/>
      </c>
      <c r="AJ12">
        <f>((SUMIF('Cost Breakdowns'!$D$140:$D$142,"ISIC 49T53",'Cost Breakdowns'!$B$140:$B$142)))*'Factors applied'!$E$1083</f>
        <v/>
      </c>
      <c r="AK12">
        <f>((SUMIF('Cost Breakdowns'!$D$140:$D$142,"ISIC 49T53",'Cost Breakdowns'!$B$140:$B$142)))*'Factors applied'!$E$1084</f>
        <v/>
      </c>
      <c r="AL12">
        <f>((SUMIF('Cost Breakdowns'!$D$140:$D$142,"ISIC 49T53",'Cost Breakdowns'!$B$140:$B$142)))*'Factors applied'!$E$1085</f>
        <v/>
      </c>
      <c r="AM12">
        <f>((SUMIF('Cost Breakdowns'!$D$140:$D$142,"ISIC 49T53",'Cost Breakdowns'!$B$140:$B$142)))*'Factors applied'!$E$1086</f>
        <v/>
      </c>
      <c r="AN12">
        <f>((SUMIF('Cost Breakdowns'!$D$140:$D$142,"ISIC 55T56",'Cost Breakdowns'!$B$140:$B$142)))</f>
        <v/>
      </c>
      <c r="AO12">
        <f>((SUMIF('Cost Breakdowns'!$D$140:$D$142,"ISIC 58T60",'Cost Breakdowns'!$B$140:$B$142)))</f>
        <v/>
      </c>
      <c r="AP12">
        <f>((SUMIF('Cost Breakdowns'!$D$140:$D$142,"ISIC 61",'Cost Breakdowns'!$B$140:$B$142)))</f>
        <v/>
      </c>
      <c r="AQ12">
        <f>((SUMIF('Cost Breakdowns'!$D$140:$D$142,"ISIC 62T63",'Cost Breakdowns'!$B$140:$B$142)))</f>
        <v/>
      </c>
      <c r="AR12">
        <f>((SUMIF('Cost Breakdowns'!$D$140:$D$142,"ISIC 64T66",'Cost Breakdowns'!$B$140:$B$142)))</f>
        <v/>
      </c>
      <c r="AS12">
        <f>((SUMIF('Cost Breakdowns'!$D$140:$D$142,"ISIC 68",'Cost Breakdowns'!$B$140:$B$142)))</f>
        <v/>
      </c>
      <c r="AT12">
        <f>((SUMIF('Cost Breakdowns'!$D$140:$D$142,"ISIC 69T82",'Cost Breakdowns'!$B$140:$B$142)))*'Factors applied'!$E$1087</f>
        <v/>
      </c>
      <c r="AU12">
        <f>((SUMIF('Cost Breakdowns'!$D$140:$D$142,"ISIC 69T82",'Cost Breakdowns'!$B$140:$B$142)))*'Factors applied'!$E$1088</f>
        <v/>
      </c>
      <c r="AV12">
        <f>((SUMIF('Cost Breakdowns'!$D$140:$D$142,"ISIC 84",'Cost Breakdowns'!$B$140:$B$142)))</f>
        <v/>
      </c>
      <c r="AW12">
        <f>((SUMIF('Cost Breakdowns'!$D$140:$D$142,"ISIC 85",'Cost Breakdowns'!$B$140:$B$142)))</f>
        <v/>
      </c>
      <c r="AX12">
        <f>((SUMIF('Cost Breakdowns'!$D$140:$D$142,"ISIC 86T88",'Cost Breakdowns'!$B$140:$B$142)))</f>
        <v/>
      </c>
      <c r="AY12">
        <f>((SUMIF('Cost Breakdowns'!$D$140:$D$142,"ISIC 90T96",'Cost Breakdowns'!$B$140:$B$142)))*'Factors applied'!$E$1089</f>
        <v/>
      </c>
      <c r="AZ12">
        <f>((SUMIF('Cost Breakdowns'!$D$140:$D$142,"ISIC 90T96",'Cost Breakdowns'!$B$140:$B$142)))*'Factors applied'!$E$1090</f>
        <v/>
      </c>
      <c r="BA12">
        <f>((SUMIF('Cost Breakdowns'!$D$140:$D$142,"ISIC 97T98",'Cost Breakdowns'!$B$140:$B$142)))</f>
        <v/>
      </c>
    </row>
    <row r="13">
      <c r="A13" t="inlineStr">
        <is>
          <t>natural gas peaker</t>
        </is>
      </c>
      <c r="B13">
        <f>((SUMIF('Cost Breakdowns'!$D$140:$D$142,"ISIC 01T03",'Cost Breakdowns'!$B$140:$B$142)))*'Factors applied'!$E$1011</f>
        <v/>
      </c>
      <c r="C13">
        <f>((SUMIF('Cost Breakdowns'!$D$140:$D$142,"ISIC 01T03",'Cost Breakdowns'!$B$140:$B$142)))*'Factors applied'!$E$1012</f>
        <v/>
      </c>
      <c r="D13">
        <f>((SUMIF('Cost Breakdowns'!$D$140:$D$142,"ISIC 01T03",'Cost Breakdowns'!$B$140:$B$142)))*'Factors applied'!$E$1013</f>
        <v/>
      </c>
      <c r="E13">
        <f>((SUMIF('Cost Breakdowns'!$D$140:$D$142,"ISIC 05",'Cost Breakdowns'!$B$140:$B$142)))</f>
        <v/>
      </c>
      <c r="F13">
        <f>((SUMIF('Cost Breakdowns'!$D$140:$D$142,"ISIC 06",'Cost Breakdowns'!$B$140:$B$142)))</f>
        <v/>
      </c>
      <c r="G13">
        <f>((SUMIF('Cost Breakdowns'!$D$140:$D$142,"ISIC 07T08",'Cost Breakdowns'!$B$140:$B$142)))*'Factors applied'!$E$1014</f>
        <v/>
      </c>
      <c r="H13">
        <f>((SUMIF('Cost Breakdowns'!$D$140:$D$142,"ISIC 07T08",'Cost Breakdowns'!$B$140:$B$142)))*'Factors applied'!$E$1015</f>
        <v/>
      </c>
      <c r="I13">
        <f>((SUMIF('Cost Breakdowns'!$D$140:$D$142,"ISIC 09",'Cost Breakdowns'!$B$140:$B$142)))</f>
        <v/>
      </c>
      <c r="J13">
        <f>((SUMIF('Cost Breakdowns'!$D$140:$D$142,"ISIC 10T12",'Cost Breakdowns'!$B$140:$B$142)))</f>
        <v/>
      </c>
      <c r="K13">
        <f>((SUMIF('Cost Breakdowns'!$D$140:$D$142,"ISIC 13T15",'Cost Breakdowns'!$B$140:$B$142)))</f>
        <v/>
      </c>
      <c r="L13">
        <f>((SUMIF('Cost Breakdowns'!$D$140:$D$142,"ISIC 16",'Cost Breakdowns'!$B$140:$B$142)))</f>
        <v/>
      </c>
      <c r="M13">
        <f>((SUMIF('Cost Breakdowns'!$D$140:$D$142,"ISIC 17T18",'Cost Breakdowns'!$B$140:$B$142)))</f>
        <v/>
      </c>
      <c r="N13">
        <f>((SUMIF('Cost Breakdowns'!$D$140:$D$142,"ISIC 19",'Cost Breakdowns'!$B$140:$B$142)))</f>
        <v/>
      </c>
      <c r="O13">
        <f>((SUMIF('Cost Breakdowns'!$D$140:$D$142,"ISIC 20",'Cost Breakdowns'!$B$140:$B$142)))</f>
        <v/>
      </c>
      <c r="P13">
        <f>((SUMIF('Cost Breakdowns'!$D$140:$D$142,"ISIC 21",'Cost Breakdowns'!$B$140:$B$142)))</f>
        <v/>
      </c>
      <c r="Q13">
        <f>((SUMIF('Cost Breakdowns'!$D$140:$D$142,"ISIC 22",'Cost Breakdowns'!$B$140:$B$142)))</f>
        <v/>
      </c>
      <c r="R13">
        <f>((SUMIF('Cost Breakdowns'!$D$140:$D$142,"ISIC 231",'Cost Breakdowns'!$B$140:$B$142)))</f>
        <v/>
      </c>
      <c r="S13">
        <f>((SUMIF('Cost Breakdowns'!$D$140:$D$142,"ISIC 239",'Cost Breakdowns'!$B$140:$B$142)))</f>
        <v/>
      </c>
      <c r="T13">
        <f>((SUMIF('Cost Breakdowns'!$D$140:$D$142,"ISIC 241",'Cost Breakdowns'!$B$140:$B$142)))</f>
        <v/>
      </c>
      <c r="U13">
        <f>((SUMIF('Cost Breakdowns'!$D$140:$D$142,"ISIC 242",'Cost Breakdowns'!$B$140:$B$142)))</f>
        <v/>
      </c>
      <c r="V13">
        <f>((SUMIF('Cost Breakdowns'!$D$140:$D$142,"ISIC 25",'Cost Breakdowns'!$B$140:$B$142)))</f>
        <v/>
      </c>
      <c r="W13">
        <f>((SUMIF('Cost Breakdowns'!$D$140:$D$142,"ISIC 26",'Cost Breakdowns'!$B$140:$B$142)))</f>
        <v/>
      </c>
      <c r="X13">
        <f>((SUMIF('Cost Breakdowns'!$D$140:$D$142,"ISIC 27",'Cost Breakdowns'!$B$140:$B$142)))</f>
        <v/>
      </c>
      <c r="Y13">
        <f>((SUMIF('Cost Breakdowns'!$D$140:$D$142,"ISIC 28",'Cost Breakdowns'!$B$140:$B$142)))</f>
        <v/>
      </c>
      <c r="Z13">
        <f>((SUMIF('Cost Breakdowns'!$D$140:$D$142,"ISIC 29",'Cost Breakdowns'!$B$140:$B$142)))</f>
        <v/>
      </c>
      <c r="AA13">
        <f>((SUMIF('Cost Breakdowns'!$D$140:$D$142,"ISIC 30",'Cost Breakdowns'!$B$140:$B$142)))*'Factors applied'!$E$1016</f>
        <v/>
      </c>
      <c r="AB13">
        <f>((SUMIF('Cost Breakdowns'!$D$140:$D$142,"ISIC 30",'Cost Breakdowns'!$B$140:$B$142)))*'Factors applied'!$E$1017</f>
        <v/>
      </c>
      <c r="AC13">
        <f>((SUMIF('Cost Breakdowns'!$D$140:$D$142,"ISIC 31T33",'Cost Breakdowns'!$B$140:$B$142)))</f>
        <v/>
      </c>
      <c r="AD13">
        <f>((SUMIF('Cost Breakdowns'!$D$140:$D$142,"ISIC 351",'Cost Breakdowns'!$B$140:$B$142)))</f>
        <v/>
      </c>
      <c r="AE13">
        <f>((SUMIF('Cost Breakdowns'!$D$140:$D$142,"ISIC 352T353",'Cost Breakdowns'!$B$140:$B$142)))</f>
        <v/>
      </c>
      <c r="AF13">
        <f>((SUMIF('Cost Breakdowns'!$D$140:$D$142,"ISIC 36T39",'Cost Breakdowns'!$B$140:$B$142)))</f>
        <v/>
      </c>
      <c r="AG13">
        <f>((SUMIF('Cost Breakdowns'!$D$140:$D$142,"ISIC 41T43",'Cost Breakdowns'!$B$140:$B$142)))</f>
        <v/>
      </c>
      <c r="AH13">
        <f>((SUMIF('Cost Breakdowns'!$D$140:$D$142,"ISIC 45T47",'Cost Breakdowns'!$B$140:$B$142)))</f>
        <v/>
      </c>
      <c r="AI13">
        <f>((SUMIF('Cost Breakdowns'!$D$140:$D$142,"ISIC 49T53",'Cost Breakdowns'!$B$140:$B$142)))*'Factors applied'!$E$1018</f>
        <v/>
      </c>
      <c r="AJ13">
        <f>((SUMIF('Cost Breakdowns'!$D$140:$D$142,"ISIC 49T53",'Cost Breakdowns'!$B$140:$B$142)))*'Factors applied'!$E$1019</f>
        <v/>
      </c>
      <c r="AK13">
        <f>((SUMIF('Cost Breakdowns'!$D$140:$D$142,"ISIC 49T53",'Cost Breakdowns'!$B$140:$B$142)))*'Factors applied'!$E$1020</f>
        <v/>
      </c>
      <c r="AL13">
        <f>((SUMIF('Cost Breakdowns'!$D$140:$D$142,"ISIC 49T53",'Cost Breakdowns'!$B$140:$B$142)))*'Factors applied'!$E$1021</f>
        <v/>
      </c>
      <c r="AM13">
        <f>((SUMIF('Cost Breakdowns'!$D$140:$D$142,"ISIC 49T53",'Cost Breakdowns'!$B$140:$B$142)))*'Factors applied'!$E$1022</f>
        <v/>
      </c>
      <c r="AN13">
        <f>((SUMIF('Cost Breakdowns'!$D$140:$D$142,"ISIC 55T56",'Cost Breakdowns'!$B$140:$B$142)))</f>
        <v/>
      </c>
      <c r="AO13">
        <f>((SUMIF('Cost Breakdowns'!$D$140:$D$142,"ISIC 58T60",'Cost Breakdowns'!$B$140:$B$142)))</f>
        <v/>
      </c>
      <c r="AP13">
        <f>((SUMIF('Cost Breakdowns'!$D$140:$D$142,"ISIC 61",'Cost Breakdowns'!$B$140:$B$142)))</f>
        <v/>
      </c>
      <c r="AQ13">
        <f>((SUMIF('Cost Breakdowns'!$D$140:$D$142,"ISIC 62T63",'Cost Breakdowns'!$B$140:$B$142)))</f>
        <v/>
      </c>
      <c r="AR13">
        <f>((SUMIF('Cost Breakdowns'!$D$140:$D$142,"ISIC 64T66",'Cost Breakdowns'!$B$140:$B$142)))</f>
        <v/>
      </c>
      <c r="AS13">
        <f>((SUMIF('Cost Breakdowns'!$D$140:$D$142,"ISIC 68",'Cost Breakdowns'!$B$140:$B$142)))</f>
        <v/>
      </c>
      <c r="AT13">
        <f>((SUMIF('Cost Breakdowns'!$D$140:$D$142,"ISIC 69T82",'Cost Breakdowns'!$B$140:$B$142)))*'Factors applied'!$E$1023</f>
        <v/>
      </c>
      <c r="AU13">
        <f>((SUMIF('Cost Breakdowns'!$D$140:$D$142,"ISIC 69T82",'Cost Breakdowns'!$B$140:$B$142)))*'Factors applied'!$E$1024</f>
        <v/>
      </c>
      <c r="AV13">
        <f>((SUMIF('Cost Breakdowns'!$D$140:$D$142,"ISIC 84",'Cost Breakdowns'!$B$140:$B$142)))</f>
        <v/>
      </c>
      <c r="AW13">
        <f>((SUMIF('Cost Breakdowns'!$D$140:$D$142,"ISIC 85",'Cost Breakdowns'!$B$140:$B$142)))</f>
        <v/>
      </c>
      <c r="AX13">
        <f>((SUMIF('Cost Breakdowns'!$D$140:$D$142,"ISIC 86T88",'Cost Breakdowns'!$B$140:$B$142)))</f>
        <v/>
      </c>
      <c r="AY13">
        <f>((SUMIF('Cost Breakdowns'!$D$140:$D$142,"ISIC 90T96",'Cost Breakdowns'!$B$140:$B$142)))*'Factors applied'!$E$1025</f>
        <v/>
      </c>
      <c r="AZ13">
        <f>((SUMIF('Cost Breakdowns'!$D$140:$D$142,"ISIC 90T96",'Cost Breakdowns'!$B$140:$B$142)))*'Factors applied'!$E$1026</f>
        <v/>
      </c>
      <c r="BA13">
        <f>((SUMIF('Cost Breakdowns'!$D$140:$D$142,"ISIC 97T98",'Cost Breakdowns'!$B$140:$B$142)))</f>
        <v/>
      </c>
    </row>
    <row r="14">
      <c r="A14" t="inlineStr">
        <is>
          <t>lignite</t>
        </is>
      </c>
      <c r="B14">
        <f>(SUMIF('Cost Breakdowns'!$D$105:$D$107,"ISIC 01T03",'Cost Breakdowns'!$B$105:$B$107))*'Factors applied'!$E$931</f>
        <v/>
      </c>
      <c r="C14">
        <f>(SUMIF('Cost Breakdowns'!$D$105:$D$107,"ISIC 01T03",'Cost Breakdowns'!$B$105:$B$107))*'Factors applied'!$E$932</f>
        <v/>
      </c>
      <c r="D14">
        <f>(SUMIF('Cost Breakdowns'!$D$105:$D$107,"ISIC 01T03",'Cost Breakdowns'!$B$105:$B$107))*'Factors applied'!$E$933</f>
        <v/>
      </c>
      <c r="E14">
        <f>(SUMIF('Cost Breakdowns'!$D$105:$D$107,"ISIC 05",'Cost Breakdowns'!$B$105:$B$107))</f>
        <v/>
      </c>
      <c r="F14">
        <f>(SUMIF('Cost Breakdowns'!$D$105:$D$107,"ISIC 06",'Cost Breakdowns'!$B$105:$B$107))</f>
        <v/>
      </c>
      <c r="G14">
        <f>(SUMIF('Cost Breakdowns'!$D$105:$D$107,"ISIC 07T08",'Cost Breakdowns'!$B$105:$B$107))*'Factors applied'!$E$934</f>
        <v/>
      </c>
      <c r="H14">
        <f>(SUMIF('Cost Breakdowns'!$D$105:$D$107,"ISIC 07T08",'Cost Breakdowns'!$B$105:$B$107))*'Factors applied'!$E$935</f>
        <v/>
      </c>
      <c r="I14">
        <f>(SUMIF('Cost Breakdowns'!$D$105:$D$107,"ISIC 09",'Cost Breakdowns'!$B$105:$B$107))</f>
        <v/>
      </c>
      <c r="J14">
        <f>(SUMIF('Cost Breakdowns'!$D$105:$D$107,"ISIC 10T12",'Cost Breakdowns'!$B$105:$B$107))</f>
        <v/>
      </c>
      <c r="K14">
        <f>(SUMIF('Cost Breakdowns'!$D$105:$D$107,"ISIC 13T15",'Cost Breakdowns'!$B$105:$B$107))</f>
        <v/>
      </c>
      <c r="L14">
        <f>(SUMIF('Cost Breakdowns'!$D$105:$D$107,"ISIC 16",'Cost Breakdowns'!$B$105:$B$107))</f>
        <v/>
      </c>
      <c r="M14">
        <f>(SUMIF('Cost Breakdowns'!$D$105:$D$107,"ISIC 17T18",'Cost Breakdowns'!$B$105:$B$107))</f>
        <v/>
      </c>
      <c r="N14">
        <f>(SUMIF('Cost Breakdowns'!$D$105:$D$107,"ISIC 19",'Cost Breakdowns'!$B$105:$B$107))</f>
        <v/>
      </c>
      <c r="O14">
        <f>(SUMIF('Cost Breakdowns'!$D$105:$D$107,"ISIC 20",'Cost Breakdowns'!$B$105:$B$107))</f>
        <v/>
      </c>
      <c r="P14">
        <f>(SUMIF('Cost Breakdowns'!$D$105:$D$107,"ISIC 21",'Cost Breakdowns'!$B$105:$B$107))</f>
        <v/>
      </c>
      <c r="Q14">
        <f>(SUMIF('Cost Breakdowns'!$D$105:$D$107,"ISIC 22",'Cost Breakdowns'!$B$105:$B$107))</f>
        <v/>
      </c>
      <c r="R14">
        <f>(SUMIF('Cost Breakdowns'!$D$105:$D$107,"ISIC 231",'Cost Breakdowns'!$B$105:$B$107))</f>
        <v/>
      </c>
      <c r="S14">
        <f>(SUMIF('Cost Breakdowns'!$D$105:$D$107,"ISIC 239",'Cost Breakdowns'!$B$105:$B$107))</f>
        <v/>
      </c>
      <c r="T14">
        <f>(SUMIF('Cost Breakdowns'!$D$105:$D$107,"ISIC 241",'Cost Breakdowns'!$B$105:$B$107))</f>
        <v/>
      </c>
      <c r="U14">
        <f>(SUMIF('Cost Breakdowns'!$D$105:$D$107,"ISIC 242",'Cost Breakdowns'!$B$105:$B$107))</f>
        <v/>
      </c>
      <c r="V14">
        <f>(SUMIF('Cost Breakdowns'!$D$105:$D$107,"ISIC 25",'Cost Breakdowns'!$B$105:$B$107))</f>
        <v/>
      </c>
      <c r="W14">
        <f>(SUMIF('Cost Breakdowns'!$D$105:$D$107,"ISIC 26",'Cost Breakdowns'!$B$105:$B$107))</f>
        <v/>
      </c>
      <c r="X14">
        <f>(SUMIF('Cost Breakdowns'!$D$105:$D$107,"ISIC 27",'Cost Breakdowns'!$B$105:$B$107))</f>
        <v/>
      </c>
      <c r="Y14">
        <f>(SUMIF('Cost Breakdowns'!$D$105:$D$107,"ISIC 28",'Cost Breakdowns'!$B$105:$B$107))</f>
        <v/>
      </c>
      <c r="Z14">
        <f>(SUMIF('Cost Breakdowns'!$D$105:$D$107,"ISIC 29",'Cost Breakdowns'!$B$105:$B$107))</f>
        <v/>
      </c>
      <c r="AA14">
        <f>(SUMIF('Cost Breakdowns'!$D$105:$D$107,"ISIC 30",'Cost Breakdowns'!$B$105:$B$107))*'Factors applied'!$E$936</f>
        <v/>
      </c>
      <c r="AB14">
        <f>(SUMIF('Cost Breakdowns'!$D$105:$D$107,"ISIC 30",'Cost Breakdowns'!$B$105:$B$107))*'Factors applied'!$E$937</f>
        <v/>
      </c>
      <c r="AC14">
        <f>(SUMIF('Cost Breakdowns'!$D$105:$D$107,"ISIC 31T33",'Cost Breakdowns'!$B$105:$B$107))</f>
        <v/>
      </c>
      <c r="AD14">
        <f>(SUMIF('Cost Breakdowns'!$D$105:$D$107,"ISIC 351",'Cost Breakdowns'!$B$105:$B$107))</f>
        <v/>
      </c>
      <c r="AE14">
        <f>(SUMIF('Cost Breakdowns'!$D$105:$D$107,"ISIC 352T353",'Cost Breakdowns'!$B$105:$B$107))</f>
        <v/>
      </c>
      <c r="AF14">
        <f>(SUMIF('Cost Breakdowns'!$D$105:$D$107,"ISIC 36T39",'Cost Breakdowns'!$B$105:$B$107))</f>
        <v/>
      </c>
      <c r="AG14">
        <f>(SUMIF('Cost Breakdowns'!$D$105:$D$107,"ISIC 41T43",'Cost Breakdowns'!$B$105:$B$107))</f>
        <v/>
      </c>
      <c r="AH14">
        <f>(SUMIF('Cost Breakdowns'!$D$105:$D$107,"ISIC 45T47",'Cost Breakdowns'!$B$105:$B$107))</f>
        <v/>
      </c>
      <c r="AI14">
        <f>(SUMIF('Cost Breakdowns'!$D$105:$D$107,"ISIC 49T53",'Cost Breakdowns'!$B$105:$B$107))*'Factors applied'!$E$938</f>
        <v/>
      </c>
      <c r="AJ14">
        <f>(SUMIF('Cost Breakdowns'!$D$105:$D$107,"ISIC 49T53",'Cost Breakdowns'!$B$105:$B$107))*'Factors applied'!$E$939</f>
        <v/>
      </c>
      <c r="AK14">
        <f>(SUMIF('Cost Breakdowns'!$D$105:$D$107,"ISIC 49T53",'Cost Breakdowns'!$B$105:$B$107))*'Factors applied'!$E$940</f>
        <v/>
      </c>
      <c r="AL14">
        <f>(SUMIF('Cost Breakdowns'!$D$105:$D$107,"ISIC 49T53",'Cost Breakdowns'!$B$105:$B$107))*'Factors applied'!$E$941</f>
        <v/>
      </c>
      <c r="AM14">
        <f>(SUMIF('Cost Breakdowns'!$D$105:$D$107,"ISIC 49T53",'Cost Breakdowns'!$B$105:$B$107))*'Factors applied'!$E$942</f>
        <v/>
      </c>
      <c r="AN14">
        <f>(SUMIF('Cost Breakdowns'!$D$105:$D$107,"ISIC 55T56",'Cost Breakdowns'!$B$105:$B$107))</f>
        <v/>
      </c>
      <c r="AO14">
        <f>(SUMIF('Cost Breakdowns'!$D$105:$D$107,"ISIC 58T60",'Cost Breakdowns'!$B$105:$B$107))</f>
        <v/>
      </c>
      <c r="AP14">
        <f>(SUMIF('Cost Breakdowns'!$D$105:$D$107,"ISIC 61",'Cost Breakdowns'!$B$105:$B$107))</f>
        <v/>
      </c>
      <c r="AQ14">
        <f>(SUMIF('Cost Breakdowns'!$D$105:$D$107,"ISIC 62T63",'Cost Breakdowns'!$B$105:$B$107))</f>
        <v/>
      </c>
      <c r="AR14">
        <f>(SUMIF('Cost Breakdowns'!$D$105:$D$107,"ISIC 64T66",'Cost Breakdowns'!$B$105:$B$107))</f>
        <v/>
      </c>
      <c r="AS14">
        <f>(SUMIF('Cost Breakdowns'!$D$105:$D$107,"ISIC 68",'Cost Breakdowns'!$B$105:$B$107))</f>
        <v/>
      </c>
      <c r="AT14">
        <f>(SUMIF('Cost Breakdowns'!$D$105:$D$107,"ISIC 69T82",'Cost Breakdowns'!$B$105:$B$107))*'Factors applied'!$E$943</f>
        <v/>
      </c>
      <c r="AU14">
        <f>(SUMIF('Cost Breakdowns'!$D$105:$D$107,"ISIC 69T82",'Cost Breakdowns'!$B$105:$B$107))*'Factors applied'!$E$944</f>
        <v/>
      </c>
      <c r="AV14">
        <f>(SUMIF('Cost Breakdowns'!$D$105:$D$107,"ISIC 84",'Cost Breakdowns'!$B$105:$B$107))</f>
        <v/>
      </c>
      <c r="AW14">
        <f>(SUMIF('Cost Breakdowns'!$D$105:$D$107,"ISIC 85",'Cost Breakdowns'!$B$105:$B$107))</f>
        <v/>
      </c>
      <c r="AX14">
        <f>(SUMIF('Cost Breakdowns'!$D$105:$D$107,"ISIC 86T88",'Cost Breakdowns'!$B$105:$B$107))</f>
        <v/>
      </c>
      <c r="AY14">
        <f>(SUMIF('Cost Breakdowns'!$D$105:$D$107,"ISIC 90T96",'Cost Breakdowns'!$B$105:$B$107))*'Factors applied'!$E$945</f>
        <v/>
      </c>
      <c r="AZ14">
        <f>(SUMIF('Cost Breakdowns'!$D$105:$D$107,"ISIC 90T96",'Cost Breakdowns'!$B$105:$B$107))*'Factors applied'!$E$946</f>
        <v/>
      </c>
      <c r="BA14">
        <f>(SUMIF('Cost Breakdowns'!$D$105:$D$107,"ISIC 97T98",'Cost Breakdowns'!$B$105:$B$107))</f>
        <v/>
      </c>
    </row>
    <row r="15">
      <c r="A15" t="inlineStr">
        <is>
          <t>offshore wind</t>
        </is>
      </c>
      <c r="B15">
        <f>0*'Factors applied'!$E$1059</f>
        <v/>
      </c>
      <c r="C15">
        <f>0*'Factors applied'!$E$1060</f>
        <v/>
      </c>
      <c r="D15">
        <f>0*'Factors applied'!$E$1061</f>
        <v/>
      </c>
      <c r="E15" t="n">
        <v>0</v>
      </c>
      <c r="F15" t="n">
        <v>0</v>
      </c>
      <c r="G15">
        <f>0*'Factors applied'!$E$1062</f>
        <v/>
      </c>
      <c r="H15">
        <f>0*'Factors applied'!$E$1063</f>
        <v/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>
        <f>0*'Factors applied'!$E$1064</f>
        <v/>
      </c>
      <c r="AB15">
        <f>0*'Factors applied'!$E$1065</f>
        <v/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>
        <f>0*'Factors applied'!$E$1066</f>
        <v/>
      </c>
      <c r="AJ15">
        <f>0*'Factors applied'!$E$1067</f>
        <v/>
      </c>
      <c r="AK15">
        <f>0*'Factors applied'!$E$1068</f>
        <v/>
      </c>
      <c r="AL15">
        <f>0*'Factors applied'!$E$1069</f>
        <v/>
      </c>
      <c r="AM15">
        <f>0*'Factors applied'!$E$1070</f>
        <v/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>
        <f>0*'Factors applied'!$E$1071</f>
        <v/>
      </c>
      <c r="AU15">
        <f>0*'Factors applied'!$E$1072</f>
        <v/>
      </c>
      <c r="AV15" t="n">
        <v>0</v>
      </c>
      <c r="AW15" t="n">
        <v>0</v>
      </c>
      <c r="AX15" t="n">
        <v>0</v>
      </c>
      <c r="AY15">
        <f>0*'Factors applied'!$E$1073</f>
        <v/>
      </c>
      <c r="AZ15">
        <f>0*'Factors applied'!$E$1074</f>
        <v/>
      </c>
      <c r="BA15" t="n">
        <v>0</v>
      </c>
    </row>
    <row r="16">
      <c r="A16" t="inlineStr">
        <is>
          <t>crude oil</t>
        </is>
      </c>
      <c r="B16">
        <f>((SUMIF('Cost Breakdowns'!$D$140:$D$142,"ISIC 01T03",'Cost Breakdowns'!$B$140:$B$142)))*'Factors applied'!$E$803</f>
        <v/>
      </c>
      <c r="C16">
        <f>((SUMIF('Cost Breakdowns'!$D$140:$D$142,"ISIC 01T03",'Cost Breakdowns'!$B$140:$B$142)))*'Factors applied'!$E$804</f>
        <v/>
      </c>
      <c r="D16">
        <f>((SUMIF('Cost Breakdowns'!$D$140:$D$142,"ISIC 01T03",'Cost Breakdowns'!$B$140:$B$142)))*'Factors applied'!$E$805</f>
        <v/>
      </c>
      <c r="E16">
        <f>((SUMIF('Cost Breakdowns'!$D$140:$D$142,"ISIC 05",'Cost Breakdowns'!$B$140:$B$142)))</f>
        <v/>
      </c>
      <c r="F16">
        <f>((SUMIF('Cost Breakdowns'!$D$140:$D$142,"ISIC 06",'Cost Breakdowns'!$B$140:$B$142)))</f>
        <v/>
      </c>
      <c r="G16">
        <f>((SUMIF('Cost Breakdowns'!$D$140:$D$142,"ISIC 07T08",'Cost Breakdowns'!$B$140:$B$142)))*'Factors applied'!$E$806</f>
        <v/>
      </c>
      <c r="H16">
        <f>((SUMIF('Cost Breakdowns'!$D$140:$D$142,"ISIC 07T08",'Cost Breakdowns'!$B$140:$B$142)))*'Factors applied'!$E$807</f>
        <v/>
      </c>
      <c r="I16">
        <f>((SUMIF('Cost Breakdowns'!$D$140:$D$142,"ISIC 09",'Cost Breakdowns'!$B$140:$B$142)))</f>
        <v/>
      </c>
      <c r="J16">
        <f>((SUMIF('Cost Breakdowns'!$D$140:$D$142,"ISIC 10T12",'Cost Breakdowns'!$B$140:$B$142)))</f>
        <v/>
      </c>
      <c r="K16">
        <f>((SUMIF('Cost Breakdowns'!$D$140:$D$142,"ISIC 13T15",'Cost Breakdowns'!$B$140:$B$142)))</f>
        <v/>
      </c>
      <c r="L16">
        <f>((SUMIF('Cost Breakdowns'!$D$140:$D$142,"ISIC 16",'Cost Breakdowns'!$B$140:$B$142)))</f>
        <v/>
      </c>
      <c r="M16">
        <f>((SUMIF('Cost Breakdowns'!$D$140:$D$142,"ISIC 17T18",'Cost Breakdowns'!$B$140:$B$142)))</f>
        <v/>
      </c>
      <c r="N16">
        <f>((SUMIF('Cost Breakdowns'!$D$140:$D$142,"ISIC 19",'Cost Breakdowns'!$B$140:$B$142)))</f>
        <v/>
      </c>
      <c r="O16">
        <f>((SUMIF('Cost Breakdowns'!$D$140:$D$142,"ISIC 20",'Cost Breakdowns'!$B$140:$B$142)))</f>
        <v/>
      </c>
      <c r="P16">
        <f>((SUMIF('Cost Breakdowns'!$D$140:$D$142,"ISIC 21",'Cost Breakdowns'!$B$140:$B$142)))</f>
        <v/>
      </c>
      <c r="Q16">
        <f>((SUMIF('Cost Breakdowns'!$D$140:$D$142,"ISIC 22",'Cost Breakdowns'!$B$140:$B$142)))</f>
        <v/>
      </c>
      <c r="R16">
        <f>((SUMIF('Cost Breakdowns'!$D$140:$D$142,"ISIC 231",'Cost Breakdowns'!$B$140:$B$142)))</f>
        <v/>
      </c>
      <c r="S16">
        <f>((SUMIF('Cost Breakdowns'!$D$140:$D$142,"ISIC 239",'Cost Breakdowns'!$B$140:$B$142)))</f>
        <v/>
      </c>
      <c r="T16">
        <f>((SUMIF('Cost Breakdowns'!$D$140:$D$142,"ISIC 241",'Cost Breakdowns'!$B$140:$B$142)))</f>
        <v/>
      </c>
      <c r="U16">
        <f>((SUMIF('Cost Breakdowns'!$D$140:$D$142,"ISIC 242",'Cost Breakdowns'!$B$140:$B$142)))</f>
        <v/>
      </c>
      <c r="V16">
        <f>((SUMIF('Cost Breakdowns'!$D$140:$D$142,"ISIC 25",'Cost Breakdowns'!$B$140:$B$142)))</f>
        <v/>
      </c>
      <c r="W16">
        <f>((SUMIF('Cost Breakdowns'!$D$140:$D$142,"ISIC 26",'Cost Breakdowns'!$B$140:$B$142)))</f>
        <v/>
      </c>
      <c r="X16">
        <f>((SUMIF('Cost Breakdowns'!$D$140:$D$142,"ISIC 27",'Cost Breakdowns'!$B$140:$B$142)))</f>
        <v/>
      </c>
      <c r="Y16">
        <f>((SUMIF('Cost Breakdowns'!$D$140:$D$142,"ISIC 28",'Cost Breakdowns'!$B$140:$B$142)))</f>
        <v/>
      </c>
      <c r="Z16">
        <f>((SUMIF('Cost Breakdowns'!$D$140:$D$142,"ISIC 29",'Cost Breakdowns'!$B$140:$B$142)))</f>
        <v/>
      </c>
      <c r="AA16">
        <f>((SUMIF('Cost Breakdowns'!$D$140:$D$142,"ISIC 30",'Cost Breakdowns'!$B$140:$B$142)))*'Factors applied'!$E$808</f>
        <v/>
      </c>
      <c r="AB16">
        <f>((SUMIF('Cost Breakdowns'!$D$140:$D$142,"ISIC 30",'Cost Breakdowns'!$B$140:$B$142)))*'Factors applied'!$E$809</f>
        <v/>
      </c>
      <c r="AC16">
        <f>((SUMIF('Cost Breakdowns'!$D$140:$D$142,"ISIC 31T33",'Cost Breakdowns'!$B$140:$B$142)))</f>
        <v/>
      </c>
      <c r="AD16">
        <f>((SUMIF('Cost Breakdowns'!$D$140:$D$142,"ISIC 351",'Cost Breakdowns'!$B$140:$B$142)))</f>
        <v/>
      </c>
      <c r="AE16">
        <f>((SUMIF('Cost Breakdowns'!$D$140:$D$142,"ISIC 352T353",'Cost Breakdowns'!$B$140:$B$142)))</f>
        <v/>
      </c>
      <c r="AF16">
        <f>((SUMIF('Cost Breakdowns'!$D$140:$D$142,"ISIC 36T39",'Cost Breakdowns'!$B$140:$B$142)))</f>
        <v/>
      </c>
      <c r="AG16">
        <f>((SUMIF('Cost Breakdowns'!$D$140:$D$142,"ISIC 41T43",'Cost Breakdowns'!$B$140:$B$142)))</f>
        <v/>
      </c>
      <c r="AH16">
        <f>((SUMIF('Cost Breakdowns'!$D$140:$D$142,"ISIC 45T47",'Cost Breakdowns'!$B$140:$B$142)))</f>
        <v/>
      </c>
      <c r="AI16">
        <f>((SUMIF('Cost Breakdowns'!$D$140:$D$142,"ISIC 49T53",'Cost Breakdowns'!$B$140:$B$142)))*'Factors applied'!$E$810</f>
        <v/>
      </c>
      <c r="AJ16">
        <f>((SUMIF('Cost Breakdowns'!$D$140:$D$142,"ISIC 49T53",'Cost Breakdowns'!$B$140:$B$142)))*'Factors applied'!$E$811</f>
        <v/>
      </c>
      <c r="AK16">
        <f>((SUMIF('Cost Breakdowns'!$D$140:$D$142,"ISIC 49T53",'Cost Breakdowns'!$B$140:$B$142)))*'Factors applied'!$E$812</f>
        <v/>
      </c>
      <c r="AL16">
        <f>((SUMIF('Cost Breakdowns'!$D$140:$D$142,"ISIC 49T53",'Cost Breakdowns'!$B$140:$B$142)))*'Factors applied'!$E$813</f>
        <v/>
      </c>
      <c r="AM16">
        <f>((SUMIF('Cost Breakdowns'!$D$140:$D$142,"ISIC 49T53",'Cost Breakdowns'!$B$140:$B$142)))*'Factors applied'!$E$814</f>
        <v/>
      </c>
      <c r="AN16">
        <f>((SUMIF('Cost Breakdowns'!$D$140:$D$142,"ISIC 55T56",'Cost Breakdowns'!$B$140:$B$142)))</f>
        <v/>
      </c>
      <c r="AO16">
        <f>((SUMIF('Cost Breakdowns'!$D$140:$D$142,"ISIC 58T60",'Cost Breakdowns'!$B$140:$B$142)))</f>
        <v/>
      </c>
      <c r="AP16">
        <f>((SUMIF('Cost Breakdowns'!$D$140:$D$142,"ISIC 61",'Cost Breakdowns'!$B$140:$B$142)))</f>
        <v/>
      </c>
      <c r="AQ16">
        <f>((SUMIF('Cost Breakdowns'!$D$140:$D$142,"ISIC 62T63",'Cost Breakdowns'!$B$140:$B$142)))</f>
        <v/>
      </c>
      <c r="AR16">
        <f>((SUMIF('Cost Breakdowns'!$D$140:$D$142,"ISIC 64T66",'Cost Breakdowns'!$B$140:$B$142)))</f>
        <v/>
      </c>
      <c r="AS16">
        <f>((SUMIF('Cost Breakdowns'!$D$140:$D$142,"ISIC 68",'Cost Breakdowns'!$B$140:$B$142)))</f>
        <v/>
      </c>
      <c r="AT16">
        <f>((SUMIF('Cost Breakdowns'!$D$140:$D$142,"ISIC 69T82",'Cost Breakdowns'!$B$140:$B$142)))*'Factors applied'!$E$815</f>
        <v/>
      </c>
      <c r="AU16">
        <f>((SUMIF('Cost Breakdowns'!$D$140:$D$142,"ISIC 69T82",'Cost Breakdowns'!$B$140:$B$142)))*'Factors applied'!$E$816</f>
        <v/>
      </c>
      <c r="AV16">
        <f>((SUMIF('Cost Breakdowns'!$D$140:$D$142,"ISIC 84",'Cost Breakdowns'!$B$140:$B$142)))</f>
        <v/>
      </c>
      <c r="AW16">
        <f>((SUMIF('Cost Breakdowns'!$D$140:$D$142,"ISIC 85",'Cost Breakdowns'!$B$140:$B$142)))</f>
        <v/>
      </c>
      <c r="AX16">
        <f>((SUMIF('Cost Breakdowns'!$D$140:$D$142,"ISIC 86T88",'Cost Breakdowns'!$B$140:$B$142)))</f>
        <v/>
      </c>
      <c r="AY16">
        <f>((SUMIF('Cost Breakdowns'!$D$140:$D$142,"ISIC 90T96",'Cost Breakdowns'!$B$140:$B$142)))*'Factors applied'!$E$817</f>
        <v/>
      </c>
      <c r="AZ16">
        <f>((SUMIF('Cost Breakdowns'!$D$140:$D$142,"ISIC 90T96",'Cost Breakdowns'!$B$140:$B$142)))*'Factors applied'!$E$818</f>
        <v/>
      </c>
      <c r="BA16">
        <f>((SUMIF('Cost Breakdowns'!$D$140:$D$142,"ISIC 97T98",'Cost Breakdowns'!$B$140:$B$142)))</f>
        <v/>
      </c>
    </row>
    <row r="17">
      <c r="A17" t="inlineStr">
        <is>
          <t>heavy or residual fuel oil</t>
        </is>
      </c>
      <c r="B17">
        <f>((SUMIF('Cost Breakdowns'!$D$140:$D$142,"ISIC 01T03",'Cost Breakdowns'!$B$140:$B$142)))*'Factors applied'!$E$867</f>
        <v/>
      </c>
      <c r="C17">
        <f>((SUMIF('Cost Breakdowns'!$D$140:$D$142,"ISIC 01T03",'Cost Breakdowns'!$B$140:$B$142)))*'Factors applied'!$E$868</f>
        <v/>
      </c>
      <c r="D17">
        <f>((SUMIF('Cost Breakdowns'!$D$140:$D$142,"ISIC 01T03",'Cost Breakdowns'!$B$140:$B$142)))*'Factors applied'!$E$869</f>
        <v/>
      </c>
      <c r="E17">
        <f>((SUMIF('Cost Breakdowns'!$D$140:$D$142,"ISIC 05",'Cost Breakdowns'!$B$140:$B$142)))</f>
        <v/>
      </c>
      <c r="F17">
        <f>((SUMIF('Cost Breakdowns'!$D$140:$D$142,"ISIC 06",'Cost Breakdowns'!$B$140:$B$142)))</f>
        <v/>
      </c>
      <c r="G17">
        <f>((SUMIF('Cost Breakdowns'!$D$140:$D$142,"ISIC 07T08",'Cost Breakdowns'!$B$140:$B$142)))*'Factors applied'!$E$870</f>
        <v/>
      </c>
      <c r="H17">
        <f>((SUMIF('Cost Breakdowns'!$D$140:$D$142,"ISIC 07T08",'Cost Breakdowns'!$B$140:$B$142)))*'Factors applied'!$E$871</f>
        <v/>
      </c>
      <c r="I17">
        <f>((SUMIF('Cost Breakdowns'!$D$140:$D$142,"ISIC 09",'Cost Breakdowns'!$B$140:$B$142)))</f>
        <v/>
      </c>
      <c r="J17">
        <f>((SUMIF('Cost Breakdowns'!$D$140:$D$142,"ISIC 10T12",'Cost Breakdowns'!$B$140:$B$142)))</f>
        <v/>
      </c>
      <c r="K17">
        <f>((SUMIF('Cost Breakdowns'!$D$140:$D$142,"ISIC 13T15",'Cost Breakdowns'!$B$140:$B$142)))</f>
        <v/>
      </c>
      <c r="L17">
        <f>((SUMIF('Cost Breakdowns'!$D$140:$D$142,"ISIC 16",'Cost Breakdowns'!$B$140:$B$142)))</f>
        <v/>
      </c>
      <c r="M17">
        <f>((SUMIF('Cost Breakdowns'!$D$140:$D$142,"ISIC 17T18",'Cost Breakdowns'!$B$140:$B$142)))</f>
        <v/>
      </c>
      <c r="N17">
        <f>((SUMIF('Cost Breakdowns'!$D$140:$D$142,"ISIC 19",'Cost Breakdowns'!$B$140:$B$142)))</f>
        <v/>
      </c>
      <c r="O17">
        <f>((SUMIF('Cost Breakdowns'!$D$140:$D$142,"ISIC 20",'Cost Breakdowns'!$B$140:$B$142)))</f>
        <v/>
      </c>
      <c r="P17">
        <f>((SUMIF('Cost Breakdowns'!$D$140:$D$142,"ISIC 21",'Cost Breakdowns'!$B$140:$B$142)))</f>
        <v/>
      </c>
      <c r="Q17">
        <f>((SUMIF('Cost Breakdowns'!$D$140:$D$142,"ISIC 22",'Cost Breakdowns'!$B$140:$B$142)))</f>
        <v/>
      </c>
      <c r="R17">
        <f>((SUMIF('Cost Breakdowns'!$D$140:$D$142,"ISIC 231",'Cost Breakdowns'!$B$140:$B$142)))</f>
        <v/>
      </c>
      <c r="S17">
        <f>((SUMIF('Cost Breakdowns'!$D$140:$D$142,"ISIC 239",'Cost Breakdowns'!$B$140:$B$142)))</f>
        <v/>
      </c>
      <c r="T17">
        <f>((SUMIF('Cost Breakdowns'!$D$140:$D$142,"ISIC 241",'Cost Breakdowns'!$B$140:$B$142)))</f>
        <v/>
      </c>
      <c r="U17">
        <f>((SUMIF('Cost Breakdowns'!$D$140:$D$142,"ISIC 242",'Cost Breakdowns'!$B$140:$B$142)))</f>
        <v/>
      </c>
      <c r="V17">
        <f>((SUMIF('Cost Breakdowns'!$D$140:$D$142,"ISIC 25",'Cost Breakdowns'!$B$140:$B$142)))</f>
        <v/>
      </c>
      <c r="W17">
        <f>((SUMIF('Cost Breakdowns'!$D$140:$D$142,"ISIC 26",'Cost Breakdowns'!$B$140:$B$142)))</f>
        <v/>
      </c>
      <c r="X17">
        <f>((SUMIF('Cost Breakdowns'!$D$140:$D$142,"ISIC 27",'Cost Breakdowns'!$B$140:$B$142)))</f>
        <v/>
      </c>
      <c r="Y17">
        <f>((SUMIF('Cost Breakdowns'!$D$140:$D$142,"ISIC 28",'Cost Breakdowns'!$B$140:$B$142)))</f>
        <v/>
      </c>
      <c r="Z17">
        <f>((SUMIF('Cost Breakdowns'!$D$140:$D$142,"ISIC 29",'Cost Breakdowns'!$B$140:$B$142)))</f>
        <v/>
      </c>
      <c r="AA17">
        <f>((SUMIF('Cost Breakdowns'!$D$140:$D$142,"ISIC 30",'Cost Breakdowns'!$B$140:$B$142)))*'Factors applied'!$E$872</f>
        <v/>
      </c>
      <c r="AB17">
        <f>((SUMIF('Cost Breakdowns'!$D$140:$D$142,"ISIC 30",'Cost Breakdowns'!$B$140:$B$142)))*'Factors applied'!$E$873</f>
        <v/>
      </c>
      <c r="AC17">
        <f>((SUMIF('Cost Breakdowns'!$D$140:$D$142,"ISIC 31T33",'Cost Breakdowns'!$B$140:$B$142)))</f>
        <v/>
      </c>
      <c r="AD17">
        <f>((SUMIF('Cost Breakdowns'!$D$140:$D$142,"ISIC 351",'Cost Breakdowns'!$B$140:$B$142)))</f>
        <v/>
      </c>
      <c r="AE17">
        <f>((SUMIF('Cost Breakdowns'!$D$140:$D$142,"ISIC 352T353",'Cost Breakdowns'!$B$140:$B$142)))</f>
        <v/>
      </c>
      <c r="AF17">
        <f>((SUMIF('Cost Breakdowns'!$D$140:$D$142,"ISIC 36T39",'Cost Breakdowns'!$B$140:$B$142)))</f>
        <v/>
      </c>
      <c r="AG17">
        <f>((SUMIF('Cost Breakdowns'!$D$140:$D$142,"ISIC 41T43",'Cost Breakdowns'!$B$140:$B$142)))</f>
        <v/>
      </c>
      <c r="AH17">
        <f>((SUMIF('Cost Breakdowns'!$D$140:$D$142,"ISIC 45T47",'Cost Breakdowns'!$B$140:$B$142)))</f>
        <v/>
      </c>
      <c r="AI17">
        <f>((SUMIF('Cost Breakdowns'!$D$140:$D$142,"ISIC 49T53",'Cost Breakdowns'!$B$140:$B$142)))*'Factors applied'!$E$874</f>
        <v/>
      </c>
      <c r="AJ17">
        <f>((SUMIF('Cost Breakdowns'!$D$140:$D$142,"ISIC 49T53",'Cost Breakdowns'!$B$140:$B$142)))*'Factors applied'!$E$875</f>
        <v/>
      </c>
      <c r="AK17">
        <f>((SUMIF('Cost Breakdowns'!$D$140:$D$142,"ISIC 49T53",'Cost Breakdowns'!$B$140:$B$142)))*'Factors applied'!$E$876</f>
        <v/>
      </c>
      <c r="AL17">
        <f>((SUMIF('Cost Breakdowns'!$D$140:$D$142,"ISIC 49T53",'Cost Breakdowns'!$B$140:$B$142)))*'Factors applied'!$E$877</f>
        <v/>
      </c>
      <c r="AM17">
        <f>((SUMIF('Cost Breakdowns'!$D$140:$D$142,"ISIC 49T53",'Cost Breakdowns'!$B$140:$B$142)))*'Factors applied'!$E$878</f>
        <v/>
      </c>
      <c r="AN17">
        <f>((SUMIF('Cost Breakdowns'!$D$140:$D$142,"ISIC 55T56",'Cost Breakdowns'!$B$140:$B$142)))</f>
        <v/>
      </c>
      <c r="AO17">
        <f>((SUMIF('Cost Breakdowns'!$D$140:$D$142,"ISIC 58T60",'Cost Breakdowns'!$B$140:$B$142)))</f>
        <v/>
      </c>
      <c r="AP17">
        <f>((SUMIF('Cost Breakdowns'!$D$140:$D$142,"ISIC 61",'Cost Breakdowns'!$B$140:$B$142)))</f>
        <v/>
      </c>
      <c r="AQ17">
        <f>((SUMIF('Cost Breakdowns'!$D$140:$D$142,"ISIC 62T63",'Cost Breakdowns'!$B$140:$B$142)))</f>
        <v/>
      </c>
      <c r="AR17">
        <f>((SUMIF('Cost Breakdowns'!$D$140:$D$142,"ISIC 64T66",'Cost Breakdowns'!$B$140:$B$142)))</f>
        <v/>
      </c>
      <c r="AS17">
        <f>((SUMIF('Cost Breakdowns'!$D$140:$D$142,"ISIC 68",'Cost Breakdowns'!$B$140:$B$142)))</f>
        <v/>
      </c>
      <c r="AT17">
        <f>((SUMIF('Cost Breakdowns'!$D$140:$D$142,"ISIC 69T82",'Cost Breakdowns'!$B$140:$B$142)))*'Factors applied'!$E$879</f>
        <v/>
      </c>
      <c r="AU17">
        <f>((SUMIF('Cost Breakdowns'!$D$140:$D$142,"ISIC 69T82",'Cost Breakdowns'!$B$140:$B$142)))*'Factors applied'!$E$880</f>
        <v/>
      </c>
      <c r="AV17">
        <f>((SUMIF('Cost Breakdowns'!$D$140:$D$142,"ISIC 84",'Cost Breakdowns'!$B$140:$B$142)))</f>
        <v/>
      </c>
      <c r="AW17">
        <f>((SUMIF('Cost Breakdowns'!$D$140:$D$142,"ISIC 85",'Cost Breakdowns'!$B$140:$B$142)))</f>
        <v/>
      </c>
      <c r="AX17">
        <f>((SUMIF('Cost Breakdowns'!$D$140:$D$142,"ISIC 86T88",'Cost Breakdowns'!$B$140:$B$142)))</f>
        <v/>
      </c>
      <c r="AY17">
        <f>((SUMIF('Cost Breakdowns'!$D$140:$D$142,"ISIC 90T96",'Cost Breakdowns'!$B$140:$B$142)))*'Factors applied'!$E$881</f>
        <v/>
      </c>
      <c r="AZ17">
        <f>((SUMIF('Cost Breakdowns'!$D$140:$D$142,"ISIC 90T96",'Cost Breakdowns'!$B$140:$B$142)))*'Factors applied'!$E$882</f>
        <v/>
      </c>
      <c r="BA17">
        <f>((SUMIF('Cost Breakdowns'!$D$140:$D$142,"ISIC 97T98",'Cost Breakdowns'!$B$140:$B$142)))</f>
        <v/>
      </c>
    </row>
    <row r="18">
      <c r="A18" t="inlineStr">
        <is>
          <t>municipal solid waste</t>
        </is>
      </c>
      <c r="B18">
        <f>((SUMIF('Cost Breakdowns'!$D$231:$D$233,"ISIC 01T03",'Cost Breakdowns'!$B$231:$B$233)))*'Factors applied'!$E$963</f>
        <v/>
      </c>
      <c r="C18">
        <f>((SUMIF('Cost Breakdowns'!$D$231:$D$233,"ISIC 01T03",'Cost Breakdowns'!$B$231:$B$233)))*'Factors applied'!$E$964</f>
        <v/>
      </c>
      <c r="D18">
        <f>((SUMIF('Cost Breakdowns'!$D$231:$D$233,"ISIC 01T03",'Cost Breakdowns'!$B$231:$B$233)))*'Factors applied'!$E$965</f>
        <v/>
      </c>
      <c r="E18">
        <f>((SUMIF('Cost Breakdowns'!$D$231:$D$233,"ISIC 05",'Cost Breakdowns'!$B$231:$B$233)))</f>
        <v/>
      </c>
      <c r="F18">
        <f>((SUMIF('Cost Breakdowns'!$D$231:$D$233,"ISIC 06",'Cost Breakdowns'!$B$231:$B$233)))</f>
        <v/>
      </c>
      <c r="G18">
        <f>((SUMIF('Cost Breakdowns'!$D$231:$D$233,"ISIC 07T08",'Cost Breakdowns'!$B$231:$B$233)))*'Factors applied'!$E$966</f>
        <v/>
      </c>
      <c r="H18">
        <f>((SUMIF('Cost Breakdowns'!$D$231:$D$233,"ISIC 07T08",'Cost Breakdowns'!$B$231:$B$233)))*'Factors applied'!$E$967</f>
        <v/>
      </c>
      <c r="I18">
        <f>((SUMIF('Cost Breakdowns'!$D$231:$D$233,"ISIC 09",'Cost Breakdowns'!$B$231:$B$233)))</f>
        <v/>
      </c>
      <c r="J18">
        <f>((SUMIF('Cost Breakdowns'!$D$231:$D$233,"ISIC 10T12",'Cost Breakdowns'!$B$231:$B$233)))</f>
        <v/>
      </c>
      <c r="K18">
        <f>((SUMIF('Cost Breakdowns'!$D$231:$D$233,"ISIC 13T15",'Cost Breakdowns'!$B$231:$B$233)))</f>
        <v/>
      </c>
      <c r="L18">
        <f>((SUMIF('Cost Breakdowns'!$D$231:$D$233,"ISIC 16",'Cost Breakdowns'!$B$231:$B$233)))</f>
        <v/>
      </c>
      <c r="M18">
        <f>((SUMIF('Cost Breakdowns'!$D$231:$D$233,"ISIC 17T18",'Cost Breakdowns'!$B$231:$B$233)))</f>
        <v/>
      </c>
      <c r="N18">
        <f>((SUMIF('Cost Breakdowns'!$D$231:$D$233,"ISIC 19",'Cost Breakdowns'!$B$231:$B$233)))</f>
        <v/>
      </c>
      <c r="O18">
        <f>((SUMIF('Cost Breakdowns'!$D$231:$D$233,"ISIC 20",'Cost Breakdowns'!$B$231:$B$233)))</f>
        <v/>
      </c>
      <c r="P18">
        <f>((SUMIF('Cost Breakdowns'!$D$231:$D$233,"ISIC 21",'Cost Breakdowns'!$B$231:$B$233)))</f>
        <v/>
      </c>
      <c r="Q18">
        <f>((SUMIF('Cost Breakdowns'!$D$231:$D$233,"ISIC 22",'Cost Breakdowns'!$B$231:$B$233)))</f>
        <v/>
      </c>
      <c r="R18">
        <f>((SUMIF('Cost Breakdowns'!$D$231:$D$233,"ISIC 231",'Cost Breakdowns'!$B$231:$B$233)))</f>
        <v/>
      </c>
      <c r="S18">
        <f>((SUMIF('Cost Breakdowns'!$D$231:$D$233,"ISIC 239",'Cost Breakdowns'!$B$231:$B$233)))</f>
        <v/>
      </c>
      <c r="T18">
        <f>((SUMIF('Cost Breakdowns'!$D$231:$D$233,"ISIC 241",'Cost Breakdowns'!$B$231:$B$233)))</f>
        <v/>
      </c>
      <c r="U18">
        <f>((SUMIF('Cost Breakdowns'!$D$231:$D$233,"ISIC 242",'Cost Breakdowns'!$B$231:$B$233)))</f>
        <v/>
      </c>
      <c r="V18">
        <f>((SUMIF('Cost Breakdowns'!$D$231:$D$233,"ISIC 25",'Cost Breakdowns'!$B$231:$B$233)))</f>
        <v/>
      </c>
      <c r="W18">
        <f>((SUMIF('Cost Breakdowns'!$D$231:$D$233,"ISIC 26",'Cost Breakdowns'!$B$231:$B$233)))</f>
        <v/>
      </c>
      <c r="X18">
        <f>((SUMIF('Cost Breakdowns'!$D$231:$D$233,"ISIC 27",'Cost Breakdowns'!$B$231:$B$233)))</f>
        <v/>
      </c>
      <c r="Y18">
        <f>((SUMIF('Cost Breakdowns'!$D$231:$D$233,"ISIC 28",'Cost Breakdowns'!$B$231:$B$233)))</f>
        <v/>
      </c>
      <c r="Z18">
        <f>((SUMIF('Cost Breakdowns'!$D$231:$D$233,"ISIC 29",'Cost Breakdowns'!$B$231:$B$233)))</f>
        <v/>
      </c>
      <c r="AA18">
        <f>((SUMIF('Cost Breakdowns'!$D$231:$D$233,"ISIC 30",'Cost Breakdowns'!$B$231:$B$233)))*'Factors applied'!$E$968</f>
        <v/>
      </c>
      <c r="AB18">
        <f>((SUMIF('Cost Breakdowns'!$D$231:$D$233,"ISIC 30",'Cost Breakdowns'!$B$231:$B$233)))*'Factors applied'!$E$969</f>
        <v/>
      </c>
      <c r="AC18">
        <f>((SUMIF('Cost Breakdowns'!$D$231:$D$233,"ISIC 31T33",'Cost Breakdowns'!$B$231:$B$233)))</f>
        <v/>
      </c>
      <c r="AD18">
        <f>((SUMIF('Cost Breakdowns'!$D$231:$D$233,"ISIC 351",'Cost Breakdowns'!$B$231:$B$233)))</f>
        <v/>
      </c>
      <c r="AE18">
        <f>((SUMIF('Cost Breakdowns'!$D$231:$D$233,"ISIC 352T353",'Cost Breakdowns'!$B$231:$B$233)))</f>
        <v/>
      </c>
      <c r="AF18">
        <f>((SUMIF('Cost Breakdowns'!$D$231:$D$233,"ISIC 36T39",'Cost Breakdowns'!$B$231:$B$233)))</f>
        <v/>
      </c>
      <c r="AG18">
        <f>((SUMIF('Cost Breakdowns'!$D$231:$D$233,"ISIC 41T43",'Cost Breakdowns'!$B$231:$B$233)))</f>
        <v/>
      </c>
      <c r="AH18">
        <f>((SUMIF('Cost Breakdowns'!$D$231:$D$233,"ISIC 45T47",'Cost Breakdowns'!$B$231:$B$233)))</f>
        <v/>
      </c>
      <c r="AI18">
        <f>((SUMIF('Cost Breakdowns'!$D$231:$D$233,"ISIC 49T53",'Cost Breakdowns'!$B$231:$B$233)))*'Factors applied'!$E$970</f>
        <v/>
      </c>
      <c r="AJ18">
        <f>((SUMIF('Cost Breakdowns'!$D$231:$D$233,"ISIC 49T53",'Cost Breakdowns'!$B$231:$B$233)))*'Factors applied'!$E$971</f>
        <v/>
      </c>
      <c r="AK18">
        <f>((SUMIF('Cost Breakdowns'!$D$231:$D$233,"ISIC 49T53",'Cost Breakdowns'!$B$231:$B$233)))*'Factors applied'!$E$972</f>
        <v/>
      </c>
      <c r="AL18">
        <f>((SUMIF('Cost Breakdowns'!$D$231:$D$233,"ISIC 49T53",'Cost Breakdowns'!$B$231:$B$233)))*'Factors applied'!$E$973</f>
        <v/>
      </c>
      <c r="AM18">
        <f>((SUMIF('Cost Breakdowns'!$D$231:$D$233,"ISIC 49T53",'Cost Breakdowns'!$B$231:$B$233)))*'Factors applied'!$E$974</f>
        <v/>
      </c>
      <c r="AN18">
        <f>((SUMIF('Cost Breakdowns'!$D$231:$D$233,"ISIC 55T56",'Cost Breakdowns'!$B$231:$B$233)))</f>
        <v/>
      </c>
      <c r="AO18">
        <f>((SUMIF('Cost Breakdowns'!$D$231:$D$233,"ISIC 58T60",'Cost Breakdowns'!$B$231:$B$233)))</f>
        <v/>
      </c>
      <c r="AP18">
        <f>((SUMIF('Cost Breakdowns'!$D$231:$D$233,"ISIC 61",'Cost Breakdowns'!$B$231:$B$233)))</f>
        <v/>
      </c>
      <c r="AQ18">
        <f>((SUMIF('Cost Breakdowns'!$D$231:$D$233,"ISIC 62T63",'Cost Breakdowns'!$B$231:$B$233)))</f>
        <v/>
      </c>
      <c r="AR18">
        <f>((SUMIF('Cost Breakdowns'!$D$231:$D$233,"ISIC 64T66",'Cost Breakdowns'!$B$231:$B$233)))</f>
        <v/>
      </c>
      <c r="AS18">
        <f>((SUMIF('Cost Breakdowns'!$D$231:$D$233,"ISIC 68",'Cost Breakdowns'!$B$231:$B$233)))</f>
        <v/>
      </c>
      <c r="AT18">
        <f>((SUMIF('Cost Breakdowns'!$D$231:$D$233,"ISIC 69T82",'Cost Breakdowns'!$B$231:$B$233)))*'Factors applied'!$E$975</f>
        <v/>
      </c>
      <c r="AU18">
        <f>((SUMIF('Cost Breakdowns'!$D$231:$D$233,"ISIC 69T82",'Cost Breakdowns'!$B$231:$B$233)))*'Factors applied'!$E$976</f>
        <v/>
      </c>
      <c r="AV18">
        <f>((SUMIF('Cost Breakdowns'!$D$231:$D$233,"ISIC 84",'Cost Breakdowns'!$B$231:$B$233)))</f>
        <v/>
      </c>
      <c r="AW18">
        <f>((SUMIF('Cost Breakdowns'!$D$231:$D$233,"ISIC 85",'Cost Breakdowns'!$B$231:$B$233)))</f>
        <v/>
      </c>
      <c r="AX18">
        <f>((SUMIF('Cost Breakdowns'!$D$231:$D$233,"ISIC 86T88",'Cost Breakdowns'!$B$231:$B$233)))</f>
        <v/>
      </c>
      <c r="AY18">
        <f>((SUMIF('Cost Breakdowns'!$D$231:$D$233,"ISIC 90T96",'Cost Breakdowns'!$B$231:$B$233)))*'Factors applied'!$E$977</f>
        <v/>
      </c>
      <c r="AZ18">
        <f>((SUMIF('Cost Breakdowns'!$D$231:$D$233,"ISIC 90T96",'Cost Breakdowns'!$B$231:$B$233)))*'Factors applied'!$E$978</f>
        <v/>
      </c>
      <c r="BA18">
        <f>((SUMIF('Cost Breakdowns'!$D$231:$D$233,"ISIC 97T98",'Cost Breakdowns'!$B$231:$B$233)))</f>
        <v/>
      </c>
    </row>
    <row r="19">
      <c r="A19" t="inlineStr">
        <is>
          <t>hard coal w CCS</t>
        </is>
      </c>
      <c r="B19">
        <f>('CCS Costs'!B90+'CCS Costs'!B98)*'Factors applied'!$E$851</f>
        <v/>
      </c>
      <c r="C19">
        <f>('CCS Costs'!B90+'CCS Costs'!B98)*'Factors applied'!$E$852</f>
        <v/>
      </c>
      <c r="D19">
        <f>('CCS Costs'!B90+'CCS Costs'!B98)*'Factors applied'!$E$853</f>
        <v/>
      </c>
      <c r="E19">
        <f>('CCS Costs'!C90+'CCS Costs'!C98)</f>
        <v/>
      </c>
      <c r="F19">
        <f>('CCS Costs'!D90+'CCS Costs'!D98)</f>
        <v/>
      </c>
      <c r="G19">
        <f>('CCS Costs'!E90+'CCS Costs'!E98)*'Factors applied'!$E$854</f>
        <v/>
      </c>
      <c r="H19">
        <f>('CCS Costs'!E90+'CCS Costs'!E98)*'Factors applied'!$E$855</f>
        <v/>
      </c>
      <c r="I19">
        <f>('CCS Costs'!F90+'CCS Costs'!F98)</f>
        <v/>
      </c>
      <c r="J19">
        <f>('CCS Costs'!G90+'CCS Costs'!G98)</f>
        <v/>
      </c>
      <c r="K19">
        <f>('CCS Costs'!H90+'CCS Costs'!H98)</f>
        <v/>
      </c>
      <c r="L19">
        <f>('CCS Costs'!I90+'CCS Costs'!I98)</f>
        <v/>
      </c>
      <c r="M19">
        <f>('CCS Costs'!J90+'CCS Costs'!J98)</f>
        <v/>
      </c>
      <c r="N19">
        <f>('CCS Costs'!K90+'CCS Costs'!K98)</f>
        <v/>
      </c>
      <c r="O19">
        <f>('CCS Costs'!L90+'CCS Costs'!L98)</f>
        <v/>
      </c>
      <c r="P19">
        <f>('CCS Costs'!M90+'CCS Costs'!M98)</f>
        <v/>
      </c>
      <c r="Q19">
        <f>('CCS Costs'!N90+'CCS Costs'!N98)</f>
        <v/>
      </c>
      <c r="R19">
        <f>('CCS Costs'!O90+'CCS Costs'!O98)</f>
        <v/>
      </c>
      <c r="S19">
        <f>('CCS Costs'!P90+'CCS Costs'!P98)</f>
        <v/>
      </c>
      <c r="T19">
        <f>('CCS Costs'!Q90+'CCS Costs'!Q98)</f>
        <v/>
      </c>
      <c r="U19">
        <f>('CCS Costs'!R90+'CCS Costs'!R98)</f>
        <v/>
      </c>
      <c r="V19">
        <f>('CCS Costs'!S90+'CCS Costs'!S98)</f>
        <v/>
      </c>
      <c r="W19">
        <f>('CCS Costs'!T90+'CCS Costs'!T98)</f>
        <v/>
      </c>
      <c r="X19">
        <f>('CCS Costs'!U90+'CCS Costs'!U98)</f>
        <v/>
      </c>
      <c r="Y19">
        <f>('CCS Costs'!V90+'CCS Costs'!V98)</f>
        <v/>
      </c>
      <c r="Z19">
        <f>('CCS Costs'!W90+'CCS Costs'!W98)</f>
        <v/>
      </c>
      <c r="AA19">
        <f>('CCS Costs'!X90+'CCS Costs'!X98)*'Factors applied'!$E$856</f>
        <v/>
      </c>
      <c r="AB19">
        <f>('CCS Costs'!X90+'CCS Costs'!X98)*'Factors applied'!$E$857</f>
        <v/>
      </c>
      <c r="AC19">
        <f>('CCS Costs'!Y90+'CCS Costs'!Y98)</f>
        <v/>
      </c>
      <c r="AD19">
        <f>('CCS Costs'!Z90+'CCS Costs'!Z98)</f>
        <v/>
      </c>
      <c r="AE19">
        <f>('CCS Costs'!AA90+'CCS Costs'!AA98)</f>
        <v/>
      </c>
      <c r="AF19">
        <f>('CCS Costs'!AB90+'CCS Costs'!AB98)</f>
        <v/>
      </c>
      <c r="AG19">
        <f>('CCS Costs'!AC90+'CCS Costs'!AC98)</f>
        <v/>
      </c>
      <c r="AH19">
        <f>('CCS Costs'!AD90+'CCS Costs'!AD98)</f>
        <v/>
      </c>
      <c r="AI19">
        <f>('CCS Costs'!AE90+'CCS Costs'!AE98)*'Factors applied'!$E$858</f>
        <v/>
      </c>
      <c r="AJ19">
        <f>('CCS Costs'!AE90+'CCS Costs'!AE98)*'Factors applied'!$E$859</f>
        <v/>
      </c>
      <c r="AK19">
        <f>('CCS Costs'!AE90+'CCS Costs'!AE98)*'Factors applied'!$E$860</f>
        <v/>
      </c>
      <c r="AL19">
        <f>('CCS Costs'!AE90+'CCS Costs'!AE98)*'Factors applied'!$E$861</f>
        <v/>
      </c>
      <c r="AM19">
        <f>('CCS Costs'!AE90+'CCS Costs'!AE98)*'Factors applied'!$E$862</f>
        <v/>
      </c>
      <c r="AN19">
        <f>('CCS Costs'!AF90+'CCS Costs'!AF98)</f>
        <v/>
      </c>
      <c r="AO19">
        <f>('CCS Costs'!AG90+'CCS Costs'!AG98)</f>
        <v/>
      </c>
      <c r="AP19">
        <f>('CCS Costs'!AH90+'CCS Costs'!AH98)</f>
        <v/>
      </c>
      <c r="AQ19">
        <f>('CCS Costs'!AI90+'CCS Costs'!AI98)</f>
        <v/>
      </c>
      <c r="AR19">
        <f>('CCS Costs'!AJ90+'CCS Costs'!AJ98)</f>
        <v/>
      </c>
      <c r="AS19">
        <f>('CCS Costs'!AK90+'CCS Costs'!AK98)</f>
        <v/>
      </c>
      <c r="AT19">
        <f>('CCS Costs'!AL90+'CCS Costs'!AL98)*'Factors applied'!$E$863</f>
        <v/>
      </c>
      <c r="AU19">
        <f>('CCS Costs'!AL90+'CCS Costs'!AL98)*'Factors applied'!$E$864</f>
        <v/>
      </c>
      <c r="AV19">
        <f>('CCS Costs'!AM90+'CCS Costs'!AM98)</f>
        <v/>
      </c>
      <c r="AW19">
        <f>('CCS Costs'!AN90+'CCS Costs'!AN98)</f>
        <v/>
      </c>
      <c r="AX19">
        <f>('CCS Costs'!AO90+'CCS Costs'!AO98)</f>
        <v/>
      </c>
      <c r="AY19">
        <f>('CCS Costs'!AP90+'CCS Costs'!AP98)*'Factors applied'!$E$865</f>
        <v/>
      </c>
      <c r="AZ19">
        <f>('CCS Costs'!AP90+'CCS Costs'!AP98)*'Factors applied'!$E$866</f>
        <v/>
      </c>
      <c r="BA19">
        <f>('CCS Costs'!AQ90+'CCS Costs'!AQ98)</f>
        <v/>
      </c>
    </row>
    <row r="20">
      <c r="A20" t="inlineStr">
        <is>
          <t>natural gas combined cycle w CCS</t>
        </is>
      </c>
      <c r="B20">
        <f>('CCS Costs'!B91+'CCS Costs'!B99)*'Factors applied'!$E$995</f>
        <v/>
      </c>
      <c r="C20">
        <f>('CCS Costs'!B91+'CCS Costs'!B99)*'Factors applied'!$E$996</f>
        <v/>
      </c>
      <c r="D20">
        <f>('CCS Costs'!B91+'CCS Costs'!B99)*'Factors applied'!$E$997</f>
        <v/>
      </c>
      <c r="E20">
        <f>('CCS Costs'!C91+'CCS Costs'!C99)</f>
        <v/>
      </c>
      <c r="F20">
        <f>('CCS Costs'!D91+'CCS Costs'!D99)</f>
        <v/>
      </c>
      <c r="G20">
        <f>('CCS Costs'!E91+'CCS Costs'!E99)*'Factors applied'!$E$998</f>
        <v/>
      </c>
      <c r="H20">
        <f>('CCS Costs'!E91+'CCS Costs'!E99)*'Factors applied'!$E$999</f>
        <v/>
      </c>
      <c r="I20">
        <f>('CCS Costs'!F91+'CCS Costs'!F99)</f>
        <v/>
      </c>
      <c r="J20">
        <f>('CCS Costs'!G91+'CCS Costs'!G99)</f>
        <v/>
      </c>
      <c r="K20">
        <f>('CCS Costs'!H91+'CCS Costs'!H99)</f>
        <v/>
      </c>
      <c r="L20">
        <f>('CCS Costs'!I91+'CCS Costs'!I99)</f>
        <v/>
      </c>
      <c r="M20">
        <f>('CCS Costs'!J91+'CCS Costs'!J99)</f>
        <v/>
      </c>
      <c r="N20">
        <f>('CCS Costs'!K91+'CCS Costs'!K99)</f>
        <v/>
      </c>
      <c r="O20">
        <f>('CCS Costs'!L91+'CCS Costs'!L99)</f>
        <v/>
      </c>
      <c r="P20">
        <f>('CCS Costs'!M91+'CCS Costs'!M99)</f>
        <v/>
      </c>
      <c r="Q20">
        <f>('CCS Costs'!N91+'CCS Costs'!N99)</f>
        <v/>
      </c>
      <c r="R20">
        <f>('CCS Costs'!O91+'CCS Costs'!O99)</f>
        <v/>
      </c>
      <c r="S20">
        <f>('CCS Costs'!P91+'CCS Costs'!P99)</f>
        <v/>
      </c>
      <c r="T20">
        <f>('CCS Costs'!Q91+'CCS Costs'!Q99)</f>
        <v/>
      </c>
      <c r="U20">
        <f>('CCS Costs'!R91+'CCS Costs'!R99)</f>
        <v/>
      </c>
      <c r="V20">
        <f>('CCS Costs'!S91+'CCS Costs'!S99)</f>
        <v/>
      </c>
      <c r="W20">
        <f>('CCS Costs'!T91+'CCS Costs'!T99)</f>
        <v/>
      </c>
      <c r="X20">
        <f>('CCS Costs'!U91+'CCS Costs'!U99)</f>
        <v/>
      </c>
      <c r="Y20">
        <f>('CCS Costs'!V91+'CCS Costs'!V99)</f>
        <v/>
      </c>
      <c r="Z20">
        <f>('CCS Costs'!W91+'CCS Costs'!W99)</f>
        <v/>
      </c>
      <c r="AA20">
        <f>('CCS Costs'!X91+'CCS Costs'!X99)*'Factors applied'!$E$1000</f>
        <v/>
      </c>
      <c r="AB20">
        <f>('CCS Costs'!X91+'CCS Costs'!X99)*'Factors applied'!$E$1001</f>
        <v/>
      </c>
      <c r="AC20">
        <f>('CCS Costs'!Y91+'CCS Costs'!Y99)</f>
        <v/>
      </c>
      <c r="AD20">
        <f>('CCS Costs'!Z91+'CCS Costs'!Z99)</f>
        <v/>
      </c>
      <c r="AE20">
        <f>('CCS Costs'!AA91+'CCS Costs'!AA99)</f>
        <v/>
      </c>
      <c r="AF20">
        <f>('CCS Costs'!AB91+'CCS Costs'!AB99)</f>
        <v/>
      </c>
      <c r="AG20">
        <f>('CCS Costs'!AC91+'CCS Costs'!AC99)</f>
        <v/>
      </c>
      <c r="AH20">
        <f>('CCS Costs'!AD91+'CCS Costs'!AD99)</f>
        <v/>
      </c>
      <c r="AI20">
        <f>('CCS Costs'!AE91+'CCS Costs'!AE99)*'Factors applied'!$E$1002</f>
        <v/>
      </c>
      <c r="AJ20">
        <f>('CCS Costs'!AE91+'CCS Costs'!AE99)*'Factors applied'!$E$1003</f>
        <v/>
      </c>
      <c r="AK20">
        <f>('CCS Costs'!AE91+'CCS Costs'!AE99)*'Factors applied'!$E$1004</f>
        <v/>
      </c>
      <c r="AL20">
        <f>('CCS Costs'!AE91+'CCS Costs'!AE99)*'Factors applied'!$E$1005</f>
        <v/>
      </c>
      <c r="AM20">
        <f>('CCS Costs'!AE91+'CCS Costs'!AE99)*'Factors applied'!$E$1006</f>
        <v/>
      </c>
      <c r="AN20">
        <f>('CCS Costs'!AF91+'CCS Costs'!AF99)</f>
        <v/>
      </c>
      <c r="AO20">
        <f>('CCS Costs'!AG91+'CCS Costs'!AG99)</f>
        <v/>
      </c>
      <c r="AP20">
        <f>('CCS Costs'!AH91+'CCS Costs'!AH99)</f>
        <v/>
      </c>
      <c r="AQ20">
        <f>('CCS Costs'!AI91+'CCS Costs'!AI99)</f>
        <v/>
      </c>
      <c r="AR20">
        <f>('CCS Costs'!AJ91+'CCS Costs'!AJ99)</f>
        <v/>
      </c>
      <c r="AS20">
        <f>('CCS Costs'!AK91+'CCS Costs'!AK99)</f>
        <v/>
      </c>
      <c r="AT20">
        <f>('CCS Costs'!AL91+'CCS Costs'!AL99)*'Factors applied'!$E$1007</f>
        <v/>
      </c>
      <c r="AU20">
        <f>('CCS Costs'!AL91+'CCS Costs'!AL99)*'Factors applied'!$E$1008</f>
        <v/>
      </c>
      <c r="AV20">
        <f>('CCS Costs'!AM91+'CCS Costs'!AM99)</f>
        <v/>
      </c>
      <c r="AW20">
        <f>('CCS Costs'!AN91+'CCS Costs'!AN99)</f>
        <v/>
      </c>
      <c r="AX20">
        <f>('CCS Costs'!AO91+'CCS Costs'!AO99)</f>
        <v/>
      </c>
      <c r="AY20">
        <f>('CCS Costs'!AP91+'CCS Costs'!AP99)*'Factors applied'!$E$1009</f>
        <v/>
      </c>
      <c r="AZ20">
        <f>('CCS Costs'!AP91+'CCS Costs'!AP99)*'Factors applied'!$E$1010</f>
        <v/>
      </c>
      <c r="BA20">
        <f>('CCS Costs'!AQ91+'CCS Costs'!AQ99)</f>
        <v/>
      </c>
    </row>
    <row r="21">
      <c r="A21" t="inlineStr">
        <is>
          <t>biomass w CCS</t>
        </is>
      </c>
      <c r="B21">
        <f>('CCS Costs'!B92+'CCS Costs'!B100)*'Factors applied'!$E$787</f>
        <v/>
      </c>
      <c r="C21">
        <f>('CCS Costs'!B92+'CCS Costs'!B100)*'Factors applied'!$E$788</f>
        <v/>
      </c>
      <c r="D21">
        <f>('CCS Costs'!B92+'CCS Costs'!B100)*'Factors applied'!$E$789</f>
        <v/>
      </c>
      <c r="E21">
        <f>('CCS Costs'!C92+'CCS Costs'!C100)</f>
        <v/>
      </c>
      <c r="F21">
        <f>('CCS Costs'!D92+'CCS Costs'!D100)</f>
        <v/>
      </c>
      <c r="G21">
        <f>('CCS Costs'!E92+'CCS Costs'!E100)*'Factors applied'!$E$790</f>
        <v/>
      </c>
      <c r="H21">
        <f>('CCS Costs'!E92+'CCS Costs'!E100)*'Factors applied'!$E$791</f>
        <v/>
      </c>
      <c r="I21">
        <f>('CCS Costs'!F92+'CCS Costs'!F100)</f>
        <v/>
      </c>
      <c r="J21">
        <f>('CCS Costs'!G92+'CCS Costs'!G100)</f>
        <v/>
      </c>
      <c r="K21">
        <f>('CCS Costs'!H92+'CCS Costs'!H100)</f>
        <v/>
      </c>
      <c r="L21">
        <f>('CCS Costs'!I92+'CCS Costs'!I100)</f>
        <v/>
      </c>
      <c r="M21">
        <f>('CCS Costs'!J92+'CCS Costs'!J100)</f>
        <v/>
      </c>
      <c r="N21">
        <f>('CCS Costs'!K92+'CCS Costs'!K100)</f>
        <v/>
      </c>
      <c r="O21">
        <f>('CCS Costs'!L92+'CCS Costs'!L100)</f>
        <v/>
      </c>
      <c r="P21">
        <f>('CCS Costs'!M92+'CCS Costs'!M100)</f>
        <v/>
      </c>
      <c r="Q21">
        <f>('CCS Costs'!N92+'CCS Costs'!N100)</f>
        <v/>
      </c>
      <c r="R21">
        <f>('CCS Costs'!O92+'CCS Costs'!O100)</f>
        <v/>
      </c>
      <c r="S21">
        <f>('CCS Costs'!P92+'CCS Costs'!P100)</f>
        <v/>
      </c>
      <c r="T21">
        <f>('CCS Costs'!Q92+'CCS Costs'!Q100)</f>
        <v/>
      </c>
      <c r="U21">
        <f>('CCS Costs'!R92+'CCS Costs'!R100)</f>
        <v/>
      </c>
      <c r="V21">
        <f>('CCS Costs'!S92+'CCS Costs'!S100)</f>
        <v/>
      </c>
      <c r="W21">
        <f>('CCS Costs'!T92+'CCS Costs'!T100)</f>
        <v/>
      </c>
      <c r="X21">
        <f>('CCS Costs'!U92+'CCS Costs'!U100)</f>
        <v/>
      </c>
      <c r="Y21">
        <f>('CCS Costs'!V92+'CCS Costs'!V100)</f>
        <v/>
      </c>
      <c r="Z21">
        <f>('CCS Costs'!W92+'CCS Costs'!W100)</f>
        <v/>
      </c>
      <c r="AA21">
        <f>('CCS Costs'!X92+'CCS Costs'!X100)*'Factors applied'!$E$792</f>
        <v/>
      </c>
      <c r="AB21">
        <f>('CCS Costs'!X92+'CCS Costs'!X100)*'Factors applied'!$E$793</f>
        <v/>
      </c>
      <c r="AC21">
        <f>('CCS Costs'!Y92+'CCS Costs'!Y100)</f>
        <v/>
      </c>
      <c r="AD21">
        <f>('CCS Costs'!Z92+'CCS Costs'!Z100)</f>
        <v/>
      </c>
      <c r="AE21">
        <f>('CCS Costs'!AA92+'CCS Costs'!AA100)</f>
        <v/>
      </c>
      <c r="AF21">
        <f>('CCS Costs'!AB92+'CCS Costs'!AB100)</f>
        <v/>
      </c>
      <c r="AG21">
        <f>('CCS Costs'!AC92+'CCS Costs'!AC100)</f>
        <v/>
      </c>
      <c r="AH21">
        <f>('CCS Costs'!AD92+'CCS Costs'!AD100)</f>
        <v/>
      </c>
      <c r="AI21">
        <f>('CCS Costs'!AE92+'CCS Costs'!AE100)*'Factors applied'!$E$794</f>
        <v/>
      </c>
      <c r="AJ21">
        <f>('CCS Costs'!AE92+'CCS Costs'!AE100)*'Factors applied'!$E$795</f>
        <v/>
      </c>
      <c r="AK21">
        <f>('CCS Costs'!AE92+'CCS Costs'!AE100)*'Factors applied'!$E$796</f>
        <v/>
      </c>
      <c r="AL21">
        <f>('CCS Costs'!AE92+'CCS Costs'!AE100)*'Factors applied'!$E$797</f>
        <v/>
      </c>
      <c r="AM21">
        <f>('CCS Costs'!AE92+'CCS Costs'!AE100)*'Factors applied'!$E$798</f>
        <v/>
      </c>
      <c r="AN21">
        <f>('CCS Costs'!AF92+'CCS Costs'!AF100)</f>
        <v/>
      </c>
      <c r="AO21">
        <f>('CCS Costs'!AG92+'CCS Costs'!AG100)</f>
        <v/>
      </c>
      <c r="AP21">
        <f>('CCS Costs'!AH92+'CCS Costs'!AH100)</f>
        <v/>
      </c>
      <c r="AQ21">
        <f>('CCS Costs'!AI92+'CCS Costs'!AI100)</f>
        <v/>
      </c>
      <c r="AR21">
        <f>('CCS Costs'!AJ92+'CCS Costs'!AJ100)</f>
        <v/>
      </c>
      <c r="AS21">
        <f>('CCS Costs'!AK92+'CCS Costs'!AK100)</f>
        <v/>
      </c>
      <c r="AT21">
        <f>('CCS Costs'!AL92+'CCS Costs'!AL100)*'Factors applied'!$E$799</f>
        <v/>
      </c>
      <c r="AU21">
        <f>('CCS Costs'!AL92+'CCS Costs'!AL100)*'Factors applied'!$E$800</f>
        <v/>
      </c>
      <c r="AV21">
        <f>('CCS Costs'!AM92+'CCS Costs'!AM100)</f>
        <v/>
      </c>
      <c r="AW21">
        <f>('CCS Costs'!AN92+'CCS Costs'!AN100)</f>
        <v/>
      </c>
      <c r="AX21">
        <f>('CCS Costs'!AO92+'CCS Costs'!AO100)</f>
        <v/>
      </c>
      <c r="AY21">
        <f>('CCS Costs'!AP92+'CCS Costs'!AP100)*'Factors applied'!$E$801</f>
        <v/>
      </c>
      <c r="AZ21">
        <f>('CCS Costs'!AP92+'CCS Costs'!AP100)*'Factors applied'!$E$802</f>
        <v/>
      </c>
      <c r="BA21">
        <f>('CCS Costs'!AQ92+'CCS Costs'!AQ100)</f>
        <v/>
      </c>
    </row>
    <row r="22">
      <c r="A22" t="inlineStr">
        <is>
          <t>lignite w CCS</t>
        </is>
      </c>
      <c r="B22">
        <f>('CCS Costs'!B93+'CCS Costs'!B101)*'Factors applied'!$E$947</f>
        <v/>
      </c>
      <c r="C22">
        <f>('CCS Costs'!B93+'CCS Costs'!B101)*'Factors applied'!$E$948</f>
        <v/>
      </c>
      <c r="D22">
        <f>('CCS Costs'!B93+'CCS Costs'!B101)*'Factors applied'!$E$949</f>
        <v/>
      </c>
      <c r="E22">
        <f>('CCS Costs'!C93+'CCS Costs'!C101)</f>
        <v/>
      </c>
      <c r="F22">
        <f>('CCS Costs'!D93+'CCS Costs'!D101)</f>
        <v/>
      </c>
      <c r="G22">
        <f>('CCS Costs'!E93+'CCS Costs'!E101)*'Factors applied'!$E$950</f>
        <v/>
      </c>
      <c r="H22">
        <f>('CCS Costs'!E93+'CCS Costs'!E101)*'Factors applied'!$E$951</f>
        <v/>
      </c>
      <c r="I22">
        <f>('CCS Costs'!F93+'CCS Costs'!F101)</f>
        <v/>
      </c>
      <c r="J22">
        <f>('CCS Costs'!G93+'CCS Costs'!G101)</f>
        <v/>
      </c>
      <c r="K22">
        <f>('CCS Costs'!H93+'CCS Costs'!H101)</f>
        <v/>
      </c>
      <c r="L22">
        <f>('CCS Costs'!I93+'CCS Costs'!I101)</f>
        <v/>
      </c>
      <c r="M22">
        <f>('CCS Costs'!J93+'CCS Costs'!J101)</f>
        <v/>
      </c>
      <c r="N22">
        <f>('CCS Costs'!K93+'CCS Costs'!K101)</f>
        <v/>
      </c>
      <c r="O22">
        <f>('CCS Costs'!L93+'CCS Costs'!L101)</f>
        <v/>
      </c>
      <c r="P22">
        <f>('CCS Costs'!M93+'CCS Costs'!M101)</f>
        <v/>
      </c>
      <c r="Q22">
        <f>('CCS Costs'!N93+'CCS Costs'!N101)</f>
        <v/>
      </c>
      <c r="R22">
        <f>('CCS Costs'!O93+'CCS Costs'!O101)</f>
        <v/>
      </c>
      <c r="S22">
        <f>('CCS Costs'!P93+'CCS Costs'!P101)</f>
        <v/>
      </c>
      <c r="T22">
        <f>('CCS Costs'!Q93+'CCS Costs'!Q101)</f>
        <v/>
      </c>
      <c r="U22">
        <f>('CCS Costs'!R93+'CCS Costs'!R101)</f>
        <v/>
      </c>
      <c r="V22">
        <f>('CCS Costs'!S93+'CCS Costs'!S101)</f>
        <v/>
      </c>
      <c r="W22">
        <f>('CCS Costs'!T93+'CCS Costs'!T101)</f>
        <v/>
      </c>
      <c r="X22">
        <f>('CCS Costs'!U93+'CCS Costs'!U101)</f>
        <v/>
      </c>
      <c r="Y22">
        <f>('CCS Costs'!V93+'CCS Costs'!V101)</f>
        <v/>
      </c>
      <c r="Z22">
        <f>('CCS Costs'!W93+'CCS Costs'!W101)</f>
        <v/>
      </c>
      <c r="AA22">
        <f>('CCS Costs'!X93+'CCS Costs'!X101)*'Factors applied'!$E$952</f>
        <v/>
      </c>
      <c r="AB22">
        <f>('CCS Costs'!X93+'CCS Costs'!X101)*'Factors applied'!$E$953</f>
        <v/>
      </c>
      <c r="AC22">
        <f>('CCS Costs'!Y93+'CCS Costs'!Y101)</f>
        <v/>
      </c>
      <c r="AD22">
        <f>('CCS Costs'!Z93+'CCS Costs'!Z101)</f>
        <v/>
      </c>
      <c r="AE22">
        <f>('CCS Costs'!AA93+'CCS Costs'!AA101)</f>
        <v/>
      </c>
      <c r="AF22">
        <f>('CCS Costs'!AB93+'CCS Costs'!AB101)</f>
        <v/>
      </c>
      <c r="AG22">
        <f>('CCS Costs'!AC93+'CCS Costs'!AC101)</f>
        <v/>
      </c>
      <c r="AH22">
        <f>('CCS Costs'!AD93+'CCS Costs'!AD101)</f>
        <v/>
      </c>
      <c r="AI22">
        <f>('CCS Costs'!AE93+'CCS Costs'!AE101)*'Factors applied'!$E$954</f>
        <v/>
      </c>
      <c r="AJ22">
        <f>('CCS Costs'!AE93+'CCS Costs'!AE101)*'Factors applied'!$E$955</f>
        <v/>
      </c>
      <c r="AK22">
        <f>('CCS Costs'!AE93+'CCS Costs'!AE101)*'Factors applied'!$E$956</f>
        <v/>
      </c>
      <c r="AL22">
        <f>('CCS Costs'!AE93+'CCS Costs'!AE101)*'Factors applied'!$E$957</f>
        <v/>
      </c>
      <c r="AM22">
        <f>('CCS Costs'!AE93+'CCS Costs'!AE101)*'Factors applied'!$E$958</f>
        <v/>
      </c>
      <c r="AN22">
        <f>('CCS Costs'!AF93+'CCS Costs'!AF101)</f>
        <v/>
      </c>
      <c r="AO22">
        <f>('CCS Costs'!AG93+'CCS Costs'!AG101)</f>
        <v/>
      </c>
      <c r="AP22">
        <f>('CCS Costs'!AH93+'CCS Costs'!AH101)</f>
        <v/>
      </c>
      <c r="AQ22">
        <f>('CCS Costs'!AI93+'CCS Costs'!AI101)</f>
        <v/>
      </c>
      <c r="AR22">
        <f>('CCS Costs'!AJ93+'CCS Costs'!AJ101)</f>
        <v/>
      </c>
      <c r="AS22">
        <f>('CCS Costs'!AK93+'CCS Costs'!AK101)</f>
        <v/>
      </c>
      <c r="AT22">
        <f>('CCS Costs'!AL93+'CCS Costs'!AL101)*'Factors applied'!$E$959</f>
        <v/>
      </c>
      <c r="AU22">
        <f>('CCS Costs'!AL93+'CCS Costs'!AL101)*'Factors applied'!$E$960</f>
        <v/>
      </c>
      <c r="AV22">
        <f>('CCS Costs'!AM93+'CCS Costs'!AM101)</f>
        <v/>
      </c>
      <c r="AW22">
        <f>('CCS Costs'!AN93+'CCS Costs'!AN101)</f>
        <v/>
      </c>
      <c r="AX22">
        <f>('CCS Costs'!AO93+'CCS Costs'!AO101)</f>
        <v/>
      </c>
      <c r="AY22">
        <f>('CCS Costs'!AP93+'CCS Costs'!AP101)*'Factors applied'!$E$961</f>
        <v/>
      </c>
      <c r="AZ22">
        <f>('CCS Costs'!AP93+'CCS Costs'!AP101)*'Factors applied'!$E$962</f>
        <v/>
      </c>
      <c r="BA22">
        <f>('CCS Costs'!AQ93+'CCS Costs'!AQ101)</f>
        <v/>
      </c>
    </row>
    <row r="23">
      <c r="A23" t="inlineStr">
        <is>
          <t>small modular reactor</t>
        </is>
      </c>
      <c r="B23">
        <f>((SUMIF('Cost Breakdowns'!$D$162:$D$162,"ISIC 01T03",'Cost Breakdowns'!$B$162:$B$162)))*'Factors applied'!$E$1091</f>
        <v/>
      </c>
      <c r="C23">
        <f>((SUMIF('Cost Breakdowns'!$D$162:$D$162,"ISIC 01T03",'Cost Breakdowns'!$B$162:$B$162)))*'Factors applied'!$E$1092</f>
        <v/>
      </c>
      <c r="D23">
        <f>((SUMIF('Cost Breakdowns'!$D$162:$D$162,"ISIC 01T03",'Cost Breakdowns'!$B$162:$B$162)))*'Factors applied'!$E$1093</f>
        <v/>
      </c>
      <c r="E23">
        <f>((SUMIF('Cost Breakdowns'!$D$162:$D$162,"ISIC 05",'Cost Breakdowns'!$B$162:$B$162)))</f>
        <v/>
      </c>
      <c r="F23">
        <f>((SUMIF('Cost Breakdowns'!$D$162:$D$162,"ISIC 06",'Cost Breakdowns'!$B$162:$B$162)))</f>
        <v/>
      </c>
      <c r="G23">
        <f>((SUMIF('Cost Breakdowns'!$D$162:$D$162,"ISIC 07T08",'Cost Breakdowns'!$B$162:$B$162)))*'Factors applied'!$E$1094</f>
        <v/>
      </c>
      <c r="H23">
        <f>((SUMIF('Cost Breakdowns'!$D$162:$D$162,"ISIC 07T08",'Cost Breakdowns'!$B$162:$B$162)))*'Factors applied'!$E$1095</f>
        <v/>
      </c>
      <c r="I23">
        <f>((SUMIF('Cost Breakdowns'!$D$162:$D$162,"ISIC 09",'Cost Breakdowns'!$B$162:$B$162)))</f>
        <v/>
      </c>
      <c r="J23">
        <f>((SUMIF('Cost Breakdowns'!$D$162:$D$162,"ISIC 10T12",'Cost Breakdowns'!$B$162:$B$162)))</f>
        <v/>
      </c>
      <c r="K23">
        <f>((SUMIF('Cost Breakdowns'!$D$162:$D$162,"ISIC 13T15",'Cost Breakdowns'!$B$162:$B$162)))</f>
        <v/>
      </c>
      <c r="L23">
        <f>((SUMIF('Cost Breakdowns'!$D$162:$D$162,"ISIC 16",'Cost Breakdowns'!$B$162:$B$162)))</f>
        <v/>
      </c>
      <c r="M23">
        <f>((SUMIF('Cost Breakdowns'!$D$162:$D$162,"ISIC 17T18",'Cost Breakdowns'!$B$162:$B$162)))</f>
        <v/>
      </c>
      <c r="N23">
        <f>((SUMIF('Cost Breakdowns'!$D$162:$D$162,"ISIC 19",'Cost Breakdowns'!$B$162:$B$162)))</f>
        <v/>
      </c>
      <c r="O23">
        <f>((SUMIF('Cost Breakdowns'!$D$162:$D$162,"ISIC 20",'Cost Breakdowns'!$B$162:$B$162)))</f>
        <v/>
      </c>
      <c r="P23">
        <f>((SUMIF('Cost Breakdowns'!$D$162:$D$162,"ISIC 21",'Cost Breakdowns'!$B$162:$B$162)))</f>
        <v/>
      </c>
      <c r="Q23">
        <f>((SUMIF('Cost Breakdowns'!$D$162:$D$162,"ISIC 22",'Cost Breakdowns'!$B$162:$B$162)))</f>
        <v/>
      </c>
      <c r="R23">
        <f>((SUMIF('Cost Breakdowns'!$D$162:$D$162,"ISIC 231",'Cost Breakdowns'!$B$162:$B$162)))</f>
        <v/>
      </c>
      <c r="S23">
        <f>((SUMIF('Cost Breakdowns'!$D$162:$D$162,"ISIC 239",'Cost Breakdowns'!$B$162:$B$162)))</f>
        <v/>
      </c>
      <c r="T23">
        <f>((SUMIF('Cost Breakdowns'!$D$162:$D$162,"ISIC 241",'Cost Breakdowns'!$B$162:$B$162)))</f>
        <v/>
      </c>
      <c r="U23">
        <f>((SUMIF('Cost Breakdowns'!$D$162:$D$162,"ISIC 242",'Cost Breakdowns'!$B$162:$B$162)))</f>
        <v/>
      </c>
      <c r="V23">
        <f>((SUMIF('Cost Breakdowns'!$D$162:$D$162,"ISIC 25",'Cost Breakdowns'!$B$162:$B$162)))</f>
        <v/>
      </c>
      <c r="W23">
        <f>((SUMIF('Cost Breakdowns'!$D$162:$D$162,"ISIC 26",'Cost Breakdowns'!$B$162:$B$162)))</f>
        <v/>
      </c>
      <c r="X23">
        <f>((SUMIF('Cost Breakdowns'!$D$162:$D$162,"ISIC 27",'Cost Breakdowns'!$B$162:$B$162)))</f>
        <v/>
      </c>
      <c r="Y23">
        <f>((SUMIF('Cost Breakdowns'!$D$162:$D$162,"ISIC 28",'Cost Breakdowns'!$B$162:$B$162)))</f>
        <v/>
      </c>
      <c r="Z23">
        <f>((SUMIF('Cost Breakdowns'!$D$162:$D$162,"ISIC 29",'Cost Breakdowns'!$B$162:$B$162)))</f>
        <v/>
      </c>
      <c r="AA23">
        <f>((SUMIF('Cost Breakdowns'!$D$162:$D$162,"ISIC 30",'Cost Breakdowns'!$B$162:$B$162)))*'Factors applied'!$E$1096</f>
        <v/>
      </c>
      <c r="AB23">
        <f>((SUMIF('Cost Breakdowns'!$D$162:$D$162,"ISIC 30",'Cost Breakdowns'!$B$162:$B$162)))*'Factors applied'!$E$1097</f>
        <v/>
      </c>
      <c r="AC23">
        <f>((SUMIF('Cost Breakdowns'!$D$162:$D$162,"ISIC 31T33",'Cost Breakdowns'!$B$162:$B$162)))</f>
        <v/>
      </c>
      <c r="AD23">
        <f>((SUMIF('Cost Breakdowns'!$D$162:$D$162,"ISIC 351",'Cost Breakdowns'!$B$162:$B$162)))</f>
        <v/>
      </c>
      <c r="AE23">
        <f>((SUMIF('Cost Breakdowns'!$D$162:$D$162,"ISIC 352T353",'Cost Breakdowns'!$B$162:$B$162)))</f>
        <v/>
      </c>
      <c r="AF23">
        <f>((SUMIF('Cost Breakdowns'!$D$162:$D$162,"ISIC 36T39",'Cost Breakdowns'!$B$162:$B$162)))</f>
        <v/>
      </c>
      <c r="AG23">
        <f>((SUMIF('Cost Breakdowns'!$D$162:$D$162,"ISIC 41T43",'Cost Breakdowns'!$B$162:$B$162)))</f>
        <v/>
      </c>
      <c r="AH23">
        <f>((SUMIF('Cost Breakdowns'!$D$162:$D$162,"ISIC 45T47",'Cost Breakdowns'!$B$162:$B$162)))</f>
        <v/>
      </c>
      <c r="AI23">
        <f>((SUMIF('Cost Breakdowns'!$D$162:$D$162,"ISIC 49T53",'Cost Breakdowns'!$B$162:$B$162)))*'Factors applied'!$E$1098</f>
        <v/>
      </c>
      <c r="AJ23">
        <f>((SUMIF('Cost Breakdowns'!$D$162:$D$162,"ISIC 49T53",'Cost Breakdowns'!$B$162:$B$162)))*'Factors applied'!$E$1099</f>
        <v/>
      </c>
      <c r="AK23">
        <f>((SUMIF('Cost Breakdowns'!$D$162:$D$162,"ISIC 49T53",'Cost Breakdowns'!$B$162:$B$162)))*'Factors applied'!$E$1100</f>
        <v/>
      </c>
      <c r="AL23">
        <f>((SUMIF('Cost Breakdowns'!$D$162:$D$162,"ISIC 49T53",'Cost Breakdowns'!$B$162:$B$162)))*'Factors applied'!$E$1101</f>
        <v/>
      </c>
      <c r="AM23">
        <f>((SUMIF('Cost Breakdowns'!$D$162:$D$162,"ISIC 49T53",'Cost Breakdowns'!$B$162:$B$162)))*'Factors applied'!$E$1102</f>
        <v/>
      </c>
      <c r="AN23">
        <f>((SUMIF('Cost Breakdowns'!$D$162:$D$162,"ISIC 55T56",'Cost Breakdowns'!$B$162:$B$162)))</f>
        <v/>
      </c>
      <c r="AO23">
        <f>((SUMIF('Cost Breakdowns'!$D$162:$D$162,"ISIC 58T60",'Cost Breakdowns'!$B$162:$B$162)))</f>
        <v/>
      </c>
      <c r="AP23">
        <f>((SUMIF('Cost Breakdowns'!$D$162:$D$162,"ISIC 61",'Cost Breakdowns'!$B$162:$B$162)))</f>
        <v/>
      </c>
      <c r="AQ23">
        <f>((SUMIF('Cost Breakdowns'!$D$162:$D$162,"ISIC 62T63",'Cost Breakdowns'!$B$162:$B$162)))</f>
        <v/>
      </c>
      <c r="AR23">
        <f>((SUMIF('Cost Breakdowns'!$D$162:$D$162,"ISIC 64T66",'Cost Breakdowns'!$B$162:$B$162)))</f>
        <v/>
      </c>
      <c r="AS23">
        <f>((SUMIF('Cost Breakdowns'!$D$162:$D$162,"ISIC 68",'Cost Breakdowns'!$B$162:$B$162)))</f>
        <v/>
      </c>
      <c r="AT23">
        <f>((SUMIF('Cost Breakdowns'!$D$162:$D$162,"ISIC 69T82",'Cost Breakdowns'!$B$162:$B$162)))*'Factors applied'!$E$1103</f>
        <v/>
      </c>
      <c r="AU23">
        <f>((SUMIF('Cost Breakdowns'!$D$162:$D$162,"ISIC 69T82",'Cost Breakdowns'!$B$162:$B$162)))*'Factors applied'!$E$1104</f>
        <v/>
      </c>
      <c r="AV23">
        <f>((SUMIF('Cost Breakdowns'!$D$162:$D$162,"ISIC 84",'Cost Breakdowns'!$B$162:$B$162)))</f>
        <v/>
      </c>
      <c r="AW23">
        <f>((SUMIF('Cost Breakdowns'!$D$162:$D$162,"ISIC 85",'Cost Breakdowns'!$B$162:$B$162)))</f>
        <v/>
      </c>
      <c r="AX23">
        <f>((SUMIF('Cost Breakdowns'!$D$162:$D$162,"ISIC 86T88",'Cost Breakdowns'!$B$162:$B$162)))</f>
        <v/>
      </c>
      <c r="AY23">
        <f>((SUMIF('Cost Breakdowns'!$D$162:$D$162,"ISIC 90T96",'Cost Breakdowns'!$B$162:$B$162)))*'Factors applied'!$E$1105</f>
        <v/>
      </c>
      <c r="AZ23">
        <f>((SUMIF('Cost Breakdowns'!$D$162:$D$162,"ISIC 90T96",'Cost Breakdowns'!$B$162:$B$162)))*'Factors applied'!$E$1106</f>
        <v/>
      </c>
      <c r="BA23">
        <f>((SUMIF('Cost Breakdowns'!$D$162:$D$162,"ISIC 97T98",'Cost Breakdowns'!$B$162:$B$162)))</f>
        <v/>
      </c>
    </row>
    <row r="24">
      <c r="A24" t="inlineStr">
        <is>
          <t>hydrogen combustion turbine</t>
        </is>
      </c>
      <c r="B24">
        <f>(((SUMIF('Cost Breakdowns'!$D$140:$D$142,"ISIC 01T03",'Cost Breakdowns'!$B$140:$B$142))))*'Factors applied'!$E$915</f>
        <v/>
      </c>
      <c r="C24">
        <f>(((SUMIF('Cost Breakdowns'!$D$140:$D$142,"ISIC 01T03",'Cost Breakdowns'!$B$140:$B$142))))*'Factors applied'!$E$916</f>
        <v/>
      </c>
      <c r="D24">
        <f>(((SUMIF('Cost Breakdowns'!$D$140:$D$142,"ISIC 01T03",'Cost Breakdowns'!$B$140:$B$142))))*'Factors applied'!$E$917</f>
        <v/>
      </c>
      <c r="E24">
        <f>(((SUMIF('Cost Breakdowns'!$D$140:$D$142,"ISIC 05",'Cost Breakdowns'!$B$140:$B$142))))</f>
        <v/>
      </c>
      <c r="F24">
        <f>(((SUMIF('Cost Breakdowns'!$D$140:$D$142,"ISIC 06",'Cost Breakdowns'!$B$140:$B$142))))</f>
        <v/>
      </c>
      <c r="G24">
        <f>(((SUMIF('Cost Breakdowns'!$D$140:$D$142,"ISIC 07T08",'Cost Breakdowns'!$B$140:$B$142))))*'Factors applied'!$E$918</f>
        <v/>
      </c>
      <c r="H24">
        <f>(((SUMIF('Cost Breakdowns'!$D$140:$D$142,"ISIC 07T08",'Cost Breakdowns'!$B$140:$B$142))))*'Factors applied'!$E$919</f>
        <v/>
      </c>
      <c r="I24">
        <f>(((SUMIF('Cost Breakdowns'!$D$140:$D$142,"ISIC 09",'Cost Breakdowns'!$B$140:$B$142))))</f>
        <v/>
      </c>
      <c r="J24">
        <f>(((SUMIF('Cost Breakdowns'!$D$140:$D$142,"ISIC 10T12",'Cost Breakdowns'!$B$140:$B$142))))</f>
        <v/>
      </c>
      <c r="K24">
        <f>(((SUMIF('Cost Breakdowns'!$D$140:$D$142,"ISIC 13T15",'Cost Breakdowns'!$B$140:$B$142))))</f>
        <v/>
      </c>
      <c r="L24">
        <f>(((SUMIF('Cost Breakdowns'!$D$140:$D$142,"ISIC 16",'Cost Breakdowns'!$B$140:$B$142))))</f>
        <v/>
      </c>
      <c r="M24">
        <f>(((SUMIF('Cost Breakdowns'!$D$140:$D$142,"ISIC 17T18",'Cost Breakdowns'!$B$140:$B$142))))</f>
        <v/>
      </c>
      <c r="N24">
        <f>(((SUMIF('Cost Breakdowns'!$D$140:$D$142,"ISIC 19",'Cost Breakdowns'!$B$140:$B$142))))</f>
        <v/>
      </c>
      <c r="O24">
        <f>(((SUMIF('Cost Breakdowns'!$D$140:$D$142,"ISIC 20",'Cost Breakdowns'!$B$140:$B$142))))</f>
        <v/>
      </c>
      <c r="P24">
        <f>(((SUMIF('Cost Breakdowns'!$D$140:$D$142,"ISIC 21",'Cost Breakdowns'!$B$140:$B$142))))</f>
        <v/>
      </c>
      <c r="Q24">
        <f>(((SUMIF('Cost Breakdowns'!$D$140:$D$142,"ISIC 22",'Cost Breakdowns'!$B$140:$B$142))))</f>
        <v/>
      </c>
      <c r="R24">
        <f>(((SUMIF('Cost Breakdowns'!$D$140:$D$142,"ISIC 231",'Cost Breakdowns'!$B$140:$B$142))))</f>
        <v/>
      </c>
      <c r="S24">
        <f>(((SUMIF('Cost Breakdowns'!$D$140:$D$142,"ISIC 239",'Cost Breakdowns'!$B$140:$B$142))))</f>
        <v/>
      </c>
      <c r="T24">
        <f>(((SUMIF('Cost Breakdowns'!$D$140:$D$142,"ISIC 241",'Cost Breakdowns'!$B$140:$B$142))))</f>
        <v/>
      </c>
      <c r="U24">
        <f>(((SUMIF('Cost Breakdowns'!$D$140:$D$142,"ISIC 242",'Cost Breakdowns'!$B$140:$B$142))))</f>
        <v/>
      </c>
      <c r="V24">
        <f>(((SUMIF('Cost Breakdowns'!$D$140:$D$142,"ISIC 25",'Cost Breakdowns'!$B$140:$B$142))))</f>
        <v/>
      </c>
      <c r="W24">
        <f>(((SUMIF('Cost Breakdowns'!$D$140:$D$142,"ISIC 26",'Cost Breakdowns'!$B$140:$B$142))))</f>
        <v/>
      </c>
      <c r="X24">
        <f>(((SUMIF('Cost Breakdowns'!$D$140:$D$142,"ISIC 27",'Cost Breakdowns'!$B$140:$B$142))))</f>
        <v/>
      </c>
      <c r="Y24">
        <f>(((SUMIF('Cost Breakdowns'!$D$140:$D$142,"ISIC 28",'Cost Breakdowns'!$B$140:$B$142))))</f>
        <v/>
      </c>
      <c r="Z24">
        <f>(((SUMIF('Cost Breakdowns'!$D$140:$D$142,"ISIC 29",'Cost Breakdowns'!$B$140:$B$142))))</f>
        <v/>
      </c>
      <c r="AA24">
        <f>(((SUMIF('Cost Breakdowns'!$D$140:$D$142,"ISIC 30",'Cost Breakdowns'!$B$140:$B$142))))*'Factors applied'!$E$920</f>
        <v/>
      </c>
      <c r="AB24">
        <f>(((SUMIF('Cost Breakdowns'!$D$140:$D$142,"ISIC 30",'Cost Breakdowns'!$B$140:$B$142))))*'Factors applied'!$E$921</f>
        <v/>
      </c>
      <c r="AC24">
        <f>(((SUMIF('Cost Breakdowns'!$D$140:$D$142,"ISIC 31T33",'Cost Breakdowns'!$B$140:$B$142))))</f>
        <v/>
      </c>
      <c r="AD24">
        <f>(((SUMIF('Cost Breakdowns'!$D$140:$D$142,"ISIC 351",'Cost Breakdowns'!$B$140:$B$142))))</f>
        <v/>
      </c>
      <c r="AE24">
        <f>(((SUMIF('Cost Breakdowns'!$D$140:$D$142,"ISIC 352T353",'Cost Breakdowns'!$B$140:$B$142))))</f>
        <v/>
      </c>
      <c r="AF24">
        <f>(((SUMIF('Cost Breakdowns'!$D$140:$D$142,"ISIC 36T39",'Cost Breakdowns'!$B$140:$B$142))))</f>
        <v/>
      </c>
      <c r="AG24">
        <f>(((SUMIF('Cost Breakdowns'!$D$140:$D$142,"ISIC 41T43",'Cost Breakdowns'!$B$140:$B$142))))</f>
        <v/>
      </c>
      <c r="AH24">
        <f>(((SUMIF('Cost Breakdowns'!$D$140:$D$142,"ISIC 45T47",'Cost Breakdowns'!$B$140:$B$142))))</f>
        <v/>
      </c>
      <c r="AI24">
        <f>(((SUMIF('Cost Breakdowns'!$D$140:$D$142,"ISIC 49T53",'Cost Breakdowns'!$B$140:$B$142))))*'Factors applied'!$E$922</f>
        <v/>
      </c>
      <c r="AJ24">
        <f>(((SUMIF('Cost Breakdowns'!$D$140:$D$142,"ISIC 49T53",'Cost Breakdowns'!$B$140:$B$142))))*'Factors applied'!$E$923</f>
        <v/>
      </c>
      <c r="AK24">
        <f>(((SUMIF('Cost Breakdowns'!$D$140:$D$142,"ISIC 49T53",'Cost Breakdowns'!$B$140:$B$142))))*'Factors applied'!$E$924</f>
        <v/>
      </c>
      <c r="AL24">
        <f>(((SUMIF('Cost Breakdowns'!$D$140:$D$142,"ISIC 49T53",'Cost Breakdowns'!$B$140:$B$142))))*'Factors applied'!$E$925</f>
        <v/>
      </c>
      <c r="AM24">
        <f>(((SUMIF('Cost Breakdowns'!$D$140:$D$142,"ISIC 49T53",'Cost Breakdowns'!$B$140:$B$142))))*'Factors applied'!$E$926</f>
        <v/>
      </c>
      <c r="AN24">
        <f>(((SUMIF('Cost Breakdowns'!$D$140:$D$142,"ISIC 55T56",'Cost Breakdowns'!$B$140:$B$142))))</f>
        <v/>
      </c>
      <c r="AO24">
        <f>(((SUMIF('Cost Breakdowns'!$D$140:$D$142,"ISIC 58T60",'Cost Breakdowns'!$B$140:$B$142))))</f>
        <v/>
      </c>
      <c r="AP24">
        <f>(((SUMIF('Cost Breakdowns'!$D$140:$D$142,"ISIC 61",'Cost Breakdowns'!$B$140:$B$142))))</f>
        <v/>
      </c>
      <c r="AQ24">
        <f>(((SUMIF('Cost Breakdowns'!$D$140:$D$142,"ISIC 62T63",'Cost Breakdowns'!$B$140:$B$142))))</f>
        <v/>
      </c>
      <c r="AR24">
        <f>(((SUMIF('Cost Breakdowns'!$D$140:$D$142,"ISIC 64T66",'Cost Breakdowns'!$B$140:$B$142))))</f>
        <v/>
      </c>
      <c r="AS24">
        <f>(((SUMIF('Cost Breakdowns'!$D$140:$D$142,"ISIC 68",'Cost Breakdowns'!$B$140:$B$142))))</f>
        <v/>
      </c>
      <c r="AT24">
        <f>(((SUMIF('Cost Breakdowns'!$D$140:$D$142,"ISIC 69T82",'Cost Breakdowns'!$B$140:$B$142))))*'Factors applied'!$E$927</f>
        <v/>
      </c>
      <c r="AU24">
        <f>(((SUMIF('Cost Breakdowns'!$D$140:$D$142,"ISIC 69T82",'Cost Breakdowns'!$B$140:$B$142))))*'Factors applied'!$E$928</f>
        <v/>
      </c>
      <c r="AV24">
        <f>(((SUMIF('Cost Breakdowns'!$D$140:$D$142,"ISIC 84",'Cost Breakdowns'!$B$140:$B$142))))</f>
        <v/>
      </c>
      <c r="AW24">
        <f>(((SUMIF('Cost Breakdowns'!$D$140:$D$142,"ISIC 85",'Cost Breakdowns'!$B$140:$B$142))))</f>
        <v/>
      </c>
      <c r="AX24">
        <f>(((SUMIF('Cost Breakdowns'!$D$140:$D$142,"ISIC 86T88",'Cost Breakdowns'!$B$140:$B$142))))</f>
        <v/>
      </c>
      <c r="AY24">
        <f>(((SUMIF('Cost Breakdowns'!$D$140:$D$142,"ISIC 90T96",'Cost Breakdowns'!$B$140:$B$142))))*'Factors applied'!$E$929</f>
        <v/>
      </c>
      <c r="AZ24">
        <f>(((SUMIF('Cost Breakdowns'!$D$140:$D$142,"ISIC 90T96",'Cost Breakdowns'!$B$140:$B$142))))*'Factors applied'!$E$930</f>
        <v/>
      </c>
      <c r="BA24">
        <f>(((SUMIF('Cost Breakdowns'!$D$140:$D$142,"ISIC 97T98",'Cost Breakdowns'!$B$140:$B$142))))</f>
        <v/>
      </c>
    </row>
    <row r="25">
      <c r="A25" t="inlineStr">
        <is>
          <t>hydrogen combined cycle</t>
        </is>
      </c>
      <c r="B25">
        <f>(((SUMIF('Cost Breakdowns'!$D$140:$D$142,"ISIC 01T03",'Cost Breakdowns'!$B$140:$B$142))))*'Factors applied'!$E$899</f>
        <v/>
      </c>
      <c r="C25">
        <f>(((SUMIF('Cost Breakdowns'!$D$140:$D$142,"ISIC 01T03",'Cost Breakdowns'!$B$140:$B$142))))*'Factors applied'!$E$900</f>
        <v/>
      </c>
      <c r="D25">
        <f>(((SUMIF('Cost Breakdowns'!$D$140:$D$142,"ISIC 01T03",'Cost Breakdowns'!$B$140:$B$142))))*'Factors applied'!$E$901</f>
        <v/>
      </c>
      <c r="E25">
        <f>(((SUMIF('Cost Breakdowns'!$D$140:$D$142,"ISIC 05",'Cost Breakdowns'!$B$140:$B$142))))</f>
        <v/>
      </c>
      <c r="F25">
        <f>(((SUMIF('Cost Breakdowns'!$D$140:$D$142,"ISIC 06",'Cost Breakdowns'!$B$140:$B$142))))</f>
        <v/>
      </c>
      <c r="G25">
        <f>(((SUMIF('Cost Breakdowns'!$D$140:$D$142,"ISIC 07T08",'Cost Breakdowns'!$B$140:$B$142))))*'Factors applied'!$E$902</f>
        <v/>
      </c>
      <c r="H25">
        <f>(((SUMIF('Cost Breakdowns'!$D$140:$D$142,"ISIC 07T08",'Cost Breakdowns'!$B$140:$B$142))))*'Factors applied'!$E$903</f>
        <v/>
      </c>
      <c r="I25">
        <f>(((SUMIF('Cost Breakdowns'!$D$140:$D$142,"ISIC 09",'Cost Breakdowns'!$B$140:$B$142))))</f>
        <v/>
      </c>
      <c r="J25">
        <f>(((SUMIF('Cost Breakdowns'!$D$140:$D$142,"ISIC 10T12",'Cost Breakdowns'!$B$140:$B$142))))</f>
        <v/>
      </c>
      <c r="K25">
        <f>(((SUMIF('Cost Breakdowns'!$D$140:$D$142,"ISIC 13T15",'Cost Breakdowns'!$B$140:$B$142))))</f>
        <v/>
      </c>
      <c r="L25">
        <f>(((SUMIF('Cost Breakdowns'!$D$140:$D$142,"ISIC 16",'Cost Breakdowns'!$B$140:$B$142))))</f>
        <v/>
      </c>
      <c r="M25">
        <f>(((SUMIF('Cost Breakdowns'!$D$140:$D$142,"ISIC 17T18",'Cost Breakdowns'!$B$140:$B$142))))</f>
        <v/>
      </c>
      <c r="N25">
        <f>(((SUMIF('Cost Breakdowns'!$D$140:$D$142,"ISIC 19",'Cost Breakdowns'!$B$140:$B$142))))</f>
        <v/>
      </c>
      <c r="O25">
        <f>(((SUMIF('Cost Breakdowns'!$D$140:$D$142,"ISIC 20",'Cost Breakdowns'!$B$140:$B$142))))</f>
        <v/>
      </c>
      <c r="P25">
        <f>(((SUMIF('Cost Breakdowns'!$D$140:$D$142,"ISIC 21",'Cost Breakdowns'!$B$140:$B$142))))</f>
        <v/>
      </c>
      <c r="Q25">
        <f>(((SUMIF('Cost Breakdowns'!$D$140:$D$142,"ISIC 22",'Cost Breakdowns'!$B$140:$B$142))))</f>
        <v/>
      </c>
      <c r="R25">
        <f>(((SUMIF('Cost Breakdowns'!$D$140:$D$142,"ISIC 231",'Cost Breakdowns'!$B$140:$B$142))))</f>
        <v/>
      </c>
      <c r="S25">
        <f>(((SUMIF('Cost Breakdowns'!$D$140:$D$142,"ISIC 239",'Cost Breakdowns'!$B$140:$B$142))))</f>
        <v/>
      </c>
      <c r="T25">
        <f>(((SUMIF('Cost Breakdowns'!$D$140:$D$142,"ISIC 241",'Cost Breakdowns'!$B$140:$B$142))))</f>
        <v/>
      </c>
      <c r="U25">
        <f>(((SUMIF('Cost Breakdowns'!$D$140:$D$142,"ISIC 242",'Cost Breakdowns'!$B$140:$B$142))))</f>
        <v/>
      </c>
      <c r="V25">
        <f>(((SUMIF('Cost Breakdowns'!$D$140:$D$142,"ISIC 25",'Cost Breakdowns'!$B$140:$B$142))))</f>
        <v/>
      </c>
      <c r="W25">
        <f>(((SUMIF('Cost Breakdowns'!$D$140:$D$142,"ISIC 26",'Cost Breakdowns'!$B$140:$B$142))))</f>
        <v/>
      </c>
      <c r="X25">
        <f>(((SUMIF('Cost Breakdowns'!$D$140:$D$142,"ISIC 27",'Cost Breakdowns'!$B$140:$B$142))))</f>
        <v/>
      </c>
      <c r="Y25">
        <f>(((SUMIF('Cost Breakdowns'!$D$140:$D$142,"ISIC 28",'Cost Breakdowns'!$B$140:$B$142))))</f>
        <v/>
      </c>
      <c r="Z25">
        <f>(((SUMIF('Cost Breakdowns'!$D$140:$D$142,"ISIC 29",'Cost Breakdowns'!$B$140:$B$142))))</f>
        <v/>
      </c>
      <c r="AA25">
        <f>(((SUMIF('Cost Breakdowns'!$D$140:$D$142,"ISIC 30",'Cost Breakdowns'!$B$140:$B$142))))*'Factors applied'!$E$904</f>
        <v/>
      </c>
      <c r="AB25">
        <f>(((SUMIF('Cost Breakdowns'!$D$140:$D$142,"ISIC 30",'Cost Breakdowns'!$B$140:$B$142))))*'Factors applied'!$E$905</f>
        <v/>
      </c>
      <c r="AC25">
        <f>(((SUMIF('Cost Breakdowns'!$D$140:$D$142,"ISIC 31T33",'Cost Breakdowns'!$B$140:$B$142))))</f>
        <v/>
      </c>
      <c r="AD25">
        <f>(((SUMIF('Cost Breakdowns'!$D$140:$D$142,"ISIC 351",'Cost Breakdowns'!$B$140:$B$142))))</f>
        <v/>
      </c>
      <c r="AE25">
        <f>(((SUMIF('Cost Breakdowns'!$D$140:$D$142,"ISIC 352T353",'Cost Breakdowns'!$B$140:$B$142))))</f>
        <v/>
      </c>
      <c r="AF25">
        <f>(((SUMIF('Cost Breakdowns'!$D$140:$D$142,"ISIC 36T39",'Cost Breakdowns'!$B$140:$B$142))))</f>
        <v/>
      </c>
      <c r="AG25">
        <f>(((SUMIF('Cost Breakdowns'!$D$140:$D$142,"ISIC 41T43",'Cost Breakdowns'!$B$140:$B$142))))</f>
        <v/>
      </c>
      <c r="AH25">
        <f>(((SUMIF('Cost Breakdowns'!$D$140:$D$142,"ISIC 45T47",'Cost Breakdowns'!$B$140:$B$142))))</f>
        <v/>
      </c>
      <c r="AI25">
        <f>(((SUMIF('Cost Breakdowns'!$D$140:$D$142,"ISIC 49T53",'Cost Breakdowns'!$B$140:$B$142))))*'Factors applied'!$E$906</f>
        <v/>
      </c>
      <c r="AJ25">
        <f>(((SUMIF('Cost Breakdowns'!$D$140:$D$142,"ISIC 49T53",'Cost Breakdowns'!$B$140:$B$142))))*'Factors applied'!$E$907</f>
        <v/>
      </c>
      <c r="AK25">
        <f>(((SUMIF('Cost Breakdowns'!$D$140:$D$142,"ISIC 49T53",'Cost Breakdowns'!$B$140:$B$142))))*'Factors applied'!$E$908</f>
        <v/>
      </c>
      <c r="AL25">
        <f>(((SUMIF('Cost Breakdowns'!$D$140:$D$142,"ISIC 49T53",'Cost Breakdowns'!$B$140:$B$142))))*'Factors applied'!$E$909</f>
        <v/>
      </c>
      <c r="AM25">
        <f>(((SUMIF('Cost Breakdowns'!$D$140:$D$142,"ISIC 49T53",'Cost Breakdowns'!$B$140:$B$142))))*'Factors applied'!$E$910</f>
        <v/>
      </c>
      <c r="AN25">
        <f>(((SUMIF('Cost Breakdowns'!$D$140:$D$142,"ISIC 55T56",'Cost Breakdowns'!$B$140:$B$142))))</f>
        <v/>
      </c>
      <c r="AO25">
        <f>(((SUMIF('Cost Breakdowns'!$D$140:$D$142,"ISIC 58T60",'Cost Breakdowns'!$B$140:$B$142))))</f>
        <v/>
      </c>
      <c r="AP25">
        <f>(((SUMIF('Cost Breakdowns'!$D$140:$D$142,"ISIC 61",'Cost Breakdowns'!$B$140:$B$142))))</f>
        <v/>
      </c>
      <c r="AQ25">
        <f>(((SUMIF('Cost Breakdowns'!$D$140:$D$142,"ISIC 62T63",'Cost Breakdowns'!$B$140:$B$142))))</f>
        <v/>
      </c>
      <c r="AR25">
        <f>(((SUMIF('Cost Breakdowns'!$D$140:$D$142,"ISIC 64T66",'Cost Breakdowns'!$B$140:$B$142))))</f>
        <v/>
      </c>
      <c r="AS25">
        <f>(((SUMIF('Cost Breakdowns'!$D$140:$D$142,"ISIC 68",'Cost Breakdowns'!$B$140:$B$142))))</f>
        <v/>
      </c>
      <c r="AT25">
        <f>(((SUMIF('Cost Breakdowns'!$D$140:$D$142,"ISIC 69T82",'Cost Breakdowns'!$B$140:$B$142))))*'Factors applied'!$E$911</f>
        <v/>
      </c>
      <c r="AU25">
        <f>(((SUMIF('Cost Breakdowns'!$D$140:$D$142,"ISIC 69T82",'Cost Breakdowns'!$B$140:$B$142))))*'Factors applied'!$E$912</f>
        <v/>
      </c>
      <c r="AV25">
        <f>(((SUMIF('Cost Breakdowns'!$D$140:$D$142,"ISIC 84",'Cost Breakdowns'!$B$140:$B$142))))</f>
        <v/>
      </c>
      <c r="AW25">
        <f>(((SUMIF('Cost Breakdowns'!$D$140:$D$142,"ISIC 85",'Cost Breakdowns'!$B$140:$B$142))))</f>
        <v/>
      </c>
      <c r="AX25">
        <f>(((SUMIF('Cost Breakdowns'!$D$140:$D$142,"ISIC 86T88",'Cost Breakdowns'!$B$140:$B$142))))</f>
        <v/>
      </c>
      <c r="AY25">
        <f>(((SUMIF('Cost Breakdowns'!$D$140:$D$142,"ISIC 90T96",'Cost Breakdowns'!$B$140:$B$142))))*'Factors applied'!$E$913</f>
        <v/>
      </c>
      <c r="AZ25">
        <f>(((SUMIF('Cost Breakdowns'!$D$140:$D$142,"ISIC 90T96",'Cost Breakdowns'!$B$140:$B$142))))*'Factors applied'!$E$914</f>
        <v/>
      </c>
      <c r="BA25">
        <f>(((SUMIF('Cost Breakdowns'!$D$140:$D$142,"ISIC 97T98",'Cost Breakdowns'!$B$140:$B$142))))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Robbie Orvis</dc:creator>
  <dcterms:created xmlns:dcterms="http://purl.org/dc/terms/" xmlns:xsi="http://www.w3.org/2001/XMLSchema-instance" xsi:type="dcterms:W3CDTF">2020-06-18T16:32:51Z</dcterms:created>
  <dcterms:modified xmlns:dcterms="http://purl.org/dc/terms/" xmlns:xsi="http://www.w3.org/2001/XMLSchema-instance" xsi:type="dcterms:W3CDTF">2026-07-20T17:27:22Z</dcterms:modified>
  <cp:lastModifiedBy>Dan O'Brien</cp:lastModifiedBy>
</cp:coreProperties>
</file>