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52-staging\elec\SoESCaOMCbIC\"/>
    </mc:Choice>
  </mc:AlternateContent>
  <xr:revisionPtr revIDLastSave="0" documentId="11_8E8C2CF5B6A7390F51291B9388174F26CBC5119B" xr6:coauthVersionLast="47" xr6:coauthVersionMax="47" xr10:uidLastSave="{00000000-0000-0000-0000-000000000000}"/>
  <bookViews>
    <workbookView xWindow="-108" yWindow="-108" windowWidth="23256" windowHeight="13896" firstSheet="3" activeTab="7" xr2:uid="{00000000-000D-0000-FFFF-FFFF00000000}"/>
  </bookViews>
  <sheets>
    <sheet name="About" sheetId="1" r:id="rId1"/>
    <sheet name="Factors applied" sheetId="2" r:id="rId2"/>
    <sheet name="OECD Mapping" sheetId="3" r:id="rId3"/>
    <sheet name="Cost Breakdowns" sheetId="4" r:id="rId4"/>
    <sheet name="graphs_nrel" sheetId="5" r:id="rId5"/>
    <sheet name="CCS Costs" sheetId="6" r:id="rId6"/>
    <sheet name="Checks" sheetId="7" r:id="rId7"/>
    <sheet name="SoESCaOMCbIC-capital" sheetId="8" r:id="rId8"/>
    <sheet name="SoESCaOMCbIC-fixedOM" sheetId="9" r:id="rId9"/>
    <sheet name="SoESCaOMCbIC-variableOM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8" i="10" l="1"/>
  <c r="K18" i="10"/>
  <c r="J18" i="10"/>
  <c r="F18" i="10"/>
  <c r="E18" i="10"/>
  <c r="D18" i="10"/>
  <c r="AZ15" i="10"/>
  <c r="AY15" i="10"/>
  <c r="AU15" i="10"/>
  <c r="AT15" i="10"/>
  <c r="AM15" i="10"/>
  <c r="AL15" i="10"/>
  <c r="AK15" i="10"/>
  <c r="AJ15" i="10"/>
  <c r="AI15" i="10"/>
  <c r="AB15" i="10"/>
  <c r="AA15" i="10"/>
  <c r="H15" i="10"/>
  <c r="G15" i="10"/>
  <c r="D15" i="10"/>
  <c r="C15" i="10"/>
  <c r="B15" i="10"/>
  <c r="L12" i="10"/>
  <c r="F12" i="10"/>
  <c r="AV11" i="10"/>
  <c r="AU11" i="10"/>
  <c r="AH11" i="10"/>
  <c r="AE11" i="10"/>
  <c r="AD11" i="10"/>
  <c r="J11" i="10"/>
  <c r="H11" i="10"/>
  <c r="B11" i="10"/>
  <c r="AL10" i="10"/>
  <c r="AH10" i="10"/>
  <c r="J10" i="10"/>
  <c r="G92" i="6" s="1"/>
  <c r="J21" i="10" s="1"/>
  <c r="AZ9" i="10"/>
  <c r="AY9" i="10"/>
  <c r="AU9" i="10"/>
  <c r="AT9" i="10"/>
  <c r="AM9" i="10"/>
  <c r="AL9" i="10"/>
  <c r="AK9" i="10"/>
  <c r="AJ9" i="10"/>
  <c r="AI9" i="10"/>
  <c r="AB9" i="10"/>
  <c r="AA9" i="10"/>
  <c r="H9" i="10"/>
  <c r="G9" i="10"/>
  <c r="D9" i="10"/>
  <c r="C9" i="10"/>
  <c r="B9" i="10"/>
  <c r="AZ8" i="10"/>
  <c r="AY8" i="10"/>
  <c r="AU8" i="10"/>
  <c r="AT8" i="10"/>
  <c r="AM8" i="10"/>
  <c r="AL8" i="10"/>
  <c r="AK8" i="10"/>
  <c r="AJ8" i="10"/>
  <c r="AI8" i="10"/>
  <c r="AB8" i="10"/>
  <c r="AA8" i="10"/>
  <c r="H8" i="10"/>
  <c r="G8" i="10"/>
  <c r="D8" i="10"/>
  <c r="C8" i="10"/>
  <c r="B8" i="10"/>
  <c r="AZ7" i="10"/>
  <c r="AY7" i="10"/>
  <c r="AU7" i="10"/>
  <c r="AT7" i="10"/>
  <c r="AM7" i="10"/>
  <c r="AL7" i="10"/>
  <c r="AK7" i="10"/>
  <c r="AJ7" i="10"/>
  <c r="AI7" i="10"/>
  <c r="AB7" i="10"/>
  <c r="AA7" i="10"/>
  <c r="H7" i="10"/>
  <c r="G7" i="10"/>
  <c r="D7" i="10"/>
  <c r="C7" i="10"/>
  <c r="B7" i="10"/>
  <c r="AP3" i="10"/>
  <c r="AH3" i="10"/>
  <c r="I3" i="10"/>
  <c r="G3" i="10"/>
  <c r="AO24" i="9"/>
  <c r="P24" i="9"/>
  <c r="AH23" i="9"/>
  <c r="AG23" i="9"/>
  <c r="AF23" i="9"/>
  <c r="AD23" i="9"/>
  <c r="K20" i="9"/>
  <c r="K18" i="9"/>
  <c r="AO17" i="9"/>
  <c r="AM17" i="9"/>
  <c r="AK17" i="9"/>
  <c r="AB17" i="9"/>
  <c r="AA17" i="9"/>
  <c r="X17" i="9"/>
  <c r="W17" i="9"/>
  <c r="S17" i="9"/>
  <c r="R17" i="9"/>
  <c r="L17" i="9"/>
  <c r="D17" i="9"/>
  <c r="J15" i="9"/>
  <c r="Z14" i="9"/>
  <c r="W78" i="6" s="1"/>
  <c r="Z22" i="9" s="1"/>
  <c r="Y14" i="9"/>
  <c r="V78" i="6" s="1"/>
  <c r="Y22" i="9" s="1"/>
  <c r="W14" i="9"/>
  <c r="T78" i="6" s="1"/>
  <c r="W22" i="9" s="1"/>
  <c r="R14" i="9"/>
  <c r="G14" i="9"/>
  <c r="B14" i="9"/>
  <c r="B78" i="6" s="1"/>
  <c r="BA13" i="9"/>
  <c r="AC12" i="9"/>
  <c r="V12" i="9"/>
  <c r="Q12" i="9"/>
  <c r="P12" i="9"/>
  <c r="O12" i="9"/>
  <c r="N12" i="9"/>
  <c r="M12" i="9"/>
  <c r="E12" i="9"/>
  <c r="AT11" i="9"/>
  <c r="U10" i="9"/>
  <c r="R77" i="6" s="1"/>
  <c r="U21" i="9" s="1"/>
  <c r="F10" i="9"/>
  <c r="D77" i="6" s="1"/>
  <c r="F21" i="9" s="1"/>
  <c r="O9" i="9"/>
  <c r="AO8" i="9"/>
  <c r="AN8" i="9"/>
  <c r="AK8" i="9"/>
  <c r="AJ8" i="9"/>
  <c r="AH8" i="9"/>
  <c r="AG8" i="9"/>
  <c r="AE8" i="9"/>
  <c r="AB8" i="9"/>
  <c r="W8" i="9"/>
  <c r="K8" i="9"/>
  <c r="AC7" i="9"/>
  <c r="X7" i="9"/>
  <c r="W7" i="9"/>
  <c r="F7" i="9"/>
  <c r="I6" i="9"/>
  <c r="AG5" i="9"/>
  <c r="J5" i="9"/>
  <c r="H5" i="9"/>
  <c r="AT4" i="9"/>
  <c r="AL76" i="6" s="1"/>
  <c r="AN4" i="9"/>
  <c r="K4" i="9"/>
  <c r="H76" i="6" s="1"/>
  <c r="I4" i="9"/>
  <c r="F76" i="6" s="1"/>
  <c r="I20" i="9" s="1"/>
  <c r="AG3" i="9"/>
  <c r="AB3" i="9"/>
  <c r="Z3" i="9"/>
  <c r="W3" i="9"/>
  <c r="P3" i="9"/>
  <c r="O3" i="9"/>
  <c r="H3" i="9"/>
  <c r="G3" i="9"/>
  <c r="F3" i="9"/>
  <c r="D3" i="9"/>
  <c r="J2" i="9"/>
  <c r="G75" i="6" s="1"/>
  <c r="J19" i="9" s="1"/>
  <c r="I2" i="9"/>
  <c r="F75" i="6" s="1"/>
  <c r="I19" i="9" s="1"/>
  <c r="E2" i="9"/>
  <c r="C75" i="6" s="1"/>
  <c r="E19" i="9" s="1"/>
  <c r="C435" i="7"/>
  <c r="B435" i="7"/>
  <c r="B434" i="7"/>
  <c r="C434" i="7" s="1"/>
  <c r="C433" i="7"/>
  <c r="B433" i="7"/>
  <c r="B432" i="7"/>
  <c r="C432" i="7" s="1"/>
  <c r="C431" i="7"/>
  <c r="B431" i="7"/>
  <c r="B430" i="7"/>
  <c r="C430" i="7" s="1"/>
  <c r="B429" i="7"/>
  <c r="C429" i="7" s="1"/>
  <c r="B428" i="7"/>
  <c r="C428" i="7" s="1"/>
  <c r="B427" i="7"/>
  <c r="C427" i="7" s="1"/>
  <c r="B426" i="7"/>
  <c r="C426" i="7" s="1"/>
  <c r="B425" i="7"/>
  <c r="C425" i="7" s="1"/>
  <c r="C424" i="7"/>
  <c r="B424" i="7"/>
  <c r="C423" i="7"/>
  <c r="B423" i="7"/>
  <c r="C422" i="7"/>
  <c r="B422" i="7"/>
  <c r="C421" i="7"/>
  <c r="B421" i="7"/>
  <c r="B420" i="7"/>
  <c r="C420" i="7" s="1"/>
  <c r="B419" i="7"/>
  <c r="C419" i="7" s="1"/>
  <c r="B418" i="7"/>
  <c r="C418" i="7" s="1"/>
  <c r="B417" i="7"/>
  <c r="C417" i="7" s="1"/>
  <c r="B416" i="7"/>
  <c r="C416" i="7" s="1"/>
  <c r="C415" i="7"/>
  <c r="B415" i="7"/>
  <c r="B414" i="7"/>
  <c r="C414" i="7" s="1"/>
  <c r="B413" i="7"/>
  <c r="C413" i="7" s="1"/>
  <c r="C412" i="7"/>
  <c r="B412" i="7"/>
  <c r="B411" i="7"/>
  <c r="C411" i="7" s="1"/>
  <c r="C410" i="7"/>
  <c r="B410" i="7"/>
  <c r="C409" i="7"/>
  <c r="B409" i="7"/>
  <c r="B408" i="7"/>
  <c r="C408" i="7" s="1"/>
  <c r="C407" i="7"/>
  <c r="B407" i="7"/>
  <c r="B406" i="7"/>
  <c r="C406" i="7" s="1"/>
  <c r="B405" i="7"/>
  <c r="C405" i="7" s="1"/>
  <c r="C404" i="7"/>
  <c r="B404" i="7"/>
  <c r="B403" i="7"/>
  <c r="C403" i="7" s="1"/>
  <c r="B402" i="7"/>
  <c r="C402" i="7" s="1"/>
  <c r="C401" i="7"/>
  <c r="B401" i="7"/>
  <c r="C400" i="7"/>
  <c r="B400" i="7"/>
  <c r="C399" i="7"/>
  <c r="B399" i="7"/>
  <c r="B398" i="7"/>
  <c r="C398" i="7" s="1"/>
  <c r="B397" i="7"/>
  <c r="C397" i="7" s="1"/>
  <c r="B396" i="7"/>
  <c r="C396" i="7" s="1"/>
  <c r="B395" i="7"/>
  <c r="C395" i="7" s="1"/>
  <c r="B394" i="7"/>
  <c r="C394" i="7" s="1"/>
  <c r="C393" i="7"/>
  <c r="B393" i="7"/>
  <c r="B392" i="7"/>
  <c r="C392" i="7" s="1"/>
  <c r="B391" i="7"/>
  <c r="C391" i="7" s="1"/>
  <c r="C390" i="7"/>
  <c r="B390" i="7"/>
  <c r="B389" i="7"/>
  <c r="C389" i="7" s="1"/>
  <c r="C388" i="7"/>
  <c r="B388" i="7"/>
  <c r="C387" i="7"/>
  <c r="B387" i="7"/>
  <c r="C386" i="7"/>
  <c r="B386" i="7"/>
  <c r="C385" i="7"/>
  <c r="B385" i="7"/>
  <c r="B384" i="7"/>
  <c r="C384" i="7" s="1"/>
  <c r="B383" i="7"/>
  <c r="C383" i="7" s="1"/>
  <c r="C382" i="7"/>
  <c r="B382" i="7"/>
  <c r="B381" i="7"/>
  <c r="C381" i="7" s="1"/>
  <c r="B380" i="7"/>
  <c r="C380" i="7" s="1"/>
  <c r="B379" i="7"/>
  <c r="C379" i="7" s="1"/>
  <c r="B378" i="7"/>
  <c r="C378" i="7" s="1"/>
  <c r="B377" i="7"/>
  <c r="C377" i="7" s="1"/>
  <c r="C376" i="7"/>
  <c r="B376" i="7"/>
  <c r="B375" i="7"/>
  <c r="C375" i="7" s="1"/>
  <c r="B374" i="7"/>
  <c r="C374" i="7" s="1"/>
  <c r="B373" i="7"/>
  <c r="C373" i="7" s="1"/>
  <c r="B372" i="7"/>
  <c r="C372" i="7" s="1"/>
  <c r="B371" i="7"/>
  <c r="C371" i="7" s="1"/>
  <c r="B370" i="7"/>
  <c r="C370" i="7" s="1"/>
  <c r="B369" i="7"/>
  <c r="C369" i="7" s="1"/>
  <c r="B368" i="7"/>
  <c r="C368" i="7" s="1"/>
  <c r="B367" i="7"/>
  <c r="C367" i="7" s="1"/>
  <c r="B366" i="7"/>
  <c r="C366" i="7" s="1"/>
  <c r="C365" i="7"/>
  <c r="B365" i="7"/>
  <c r="C364" i="7"/>
  <c r="B364" i="7"/>
  <c r="B363" i="7"/>
  <c r="C363" i="7" s="1"/>
  <c r="C362" i="7"/>
  <c r="B362" i="7"/>
  <c r="B361" i="7"/>
  <c r="C361" i="7" s="1"/>
  <c r="C360" i="7"/>
  <c r="B360" i="7"/>
  <c r="B359" i="7"/>
  <c r="C359" i="7" s="1"/>
  <c r="C358" i="7"/>
  <c r="B358" i="7"/>
  <c r="B357" i="7"/>
  <c r="C357" i="7" s="1"/>
  <c r="B356" i="7"/>
  <c r="C356" i="7" s="1"/>
  <c r="B355" i="7"/>
  <c r="C355" i="7" s="1"/>
  <c r="B354" i="7"/>
  <c r="C354" i="7" s="1"/>
  <c r="B353" i="7"/>
  <c r="C353" i="7" s="1"/>
  <c r="C352" i="7"/>
  <c r="B352" i="7"/>
  <c r="B351" i="7"/>
  <c r="C351" i="7" s="1"/>
  <c r="B350" i="7"/>
  <c r="C350" i="7" s="1"/>
  <c r="C349" i="7"/>
  <c r="B349" i="7"/>
  <c r="B348" i="7"/>
  <c r="C348" i="7" s="1"/>
  <c r="B347" i="7"/>
  <c r="C347" i="7" s="1"/>
  <c r="C346" i="7"/>
  <c r="B346" i="7"/>
  <c r="B345" i="7"/>
  <c r="C345" i="7" s="1"/>
  <c r="B344" i="7"/>
  <c r="C344" i="7" s="1"/>
  <c r="B343" i="7"/>
  <c r="C343" i="7" s="1"/>
  <c r="B342" i="7"/>
  <c r="C342" i="7" s="1"/>
  <c r="B341" i="7"/>
  <c r="C341" i="7" s="1"/>
  <c r="C340" i="7"/>
  <c r="B340" i="7"/>
  <c r="B339" i="7"/>
  <c r="C339" i="7" s="1"/>
  <c r="C338" i="7"/>
  <c r="B338" i="7"/>
  <c r="B337" i="7"/>
  <c r="C337" i="7" s="1"/>
  <c r="B336" i="7"/>
  <c r="C336" i="7" s="1"/>
  <c r="C335" i="7"/>
  <c r="B335" i="7"/>
  <c r="B334" i="7"/>
  <c r="C334" i="7" s="1"/>
  <c r="B333" i="7"/>
  <c r="C333" i="7" s="1"/>
  <c r="B332" i="7"/>
  <c r="C332" i="7" s="1"/>
  <c r="B331" i="7"/>
  <c r="C331" i="7" s="1"/>
  <c r="B330" i="7"/>
  <c r="C330" i="7" s="1"/>
  <c r="C329" i="7"/>
  <c r="B329" i="7"/>
  <c r="B328" i="7"/>
  <c r="C328" i="7" s="1"/>
  <c r="B327" i="7"/>
  <c r="C327" i="7" s="1"/>
  <c r="B326" i="7"/>
  <c r="C326" i="7" s="1"/>
  <c r="B325" i="7"/>
  <c r="C325" i="7" s="1"/>
  <c r="B324" i="7"/>
  <c r="C324" i="7" s="1"/>
  <c r="C323" i="7"/>
  <c r="B323" i="7"/>
  <c r="B322" i="7"/>
  <c r="C322" i="7" s="1"/>
  <c r="B321" i="7"/>
  <c r="C321" i="7" s="1"/>
  <c r="B320" i="7"/>
  <c r="C320" i="7" s="1"/>
  <c r="B319" i="7"/>
  <c r="C319" i="7" s="1"/>
  <c r="C318" i="7"/>
  <c r="B318" i="7"/>
  <c r="B317" i="7"/>
  <c r="C317" i="7" s="1"/>
  <c r="B316" i="7"/>
  <c r="C316" i="7" s="1"/>
  <c r="B315" i="7"/>
  <c r="C315" i="7" s="1"/>
  <c r="B314" i="7"/>
  <c r="C314" i="7" s="1"/>
  <c r="B313" i="7"/>
  <c r="C313" i="7" s="1"/>
  <c r="B312" i="7"/>
  <c r="C312" i="7" s="1"/>
  <c r="B311" i="7"/>
  <c r="C311" i="7" s="1"/>
  <c r="B310" i="7"/>
  <c r="C310" i="7" s="1"/>
  <c r="B309" i="7"/>
  <c r="C309" i="7" s="1"/>
  <c r="B308" i="7"/>
  <c r="C308" i="7" s="1"/>
  <c r="B307" i="7"/>
  <c r="C307" i="7" s="1"/>
  <c r="B306" i="7"/>
  <c r="C306" i="7" s="1"/>
  <c r="C305" i="7"/>
  <c r="B305" i="7"/>
  <c r="B304" i="7"/>
  <c r="C304" i="7" s="1"/>
  <c r="C303" i="7"/>
  <c r="B303" i="7"/>
  <c r="B302" i="7"/>
  <c r="C302" i="7" s="1"/>
  <c r="B301" i="7"/>
  <c r="C301" i="7" s="1"/>
  <c r="B300" i="7"/>
  <c r="C300" i="7" s="1"/>
  <c r="C299" i="7"/>
  <c r="B299" i="7"/>
  <c r="B298" i="7"/>
  <c r="C298" i="7" s="1"/>
  <c r="B297" i="7"/>
  <c r="C297" i="7" s="1"/>
  <c r="B296" i="7"/>
  <c r="C296" i="7" s="1"/>
  <c r="B295" i="7"/>
  <c r="C295" i="7" s="1"/>
  <c r="B294" i="7"/>
  <c r="C294" i="7" s="1"/>
  <c r="B293" i="7"/>
  <c r="C293" i="7" s="1"/>
  <c r="B292" i="7"/>
  <c r="C292" i="7" s="1"/>
  <c r="C291" i="7"/>
  <c r="B291" i="7"/>
  <c r="B290" i="7"/>
  <c r="C290" i="7" s="1"/>
  <c r="B289" i="7"/>
  <c r="C289" i="7" s="1"/>
  <c r="C288" i="7"/>
  <c r="B288" i="7"/>
  <c r="B287" i="7"/>
  <c r="C287" i="7" s="1"/>
  <c r="C286" i="7"/>
  <c r="B286" i="7"/>
  <c r="B285" i="7"/>
  <c r="C285" i="7" s="1"/>
  <c r="B284" i="7"/>
  <c r="C284" i="7" s="1"/>
  <c r="C283" i="7"/>
  <c r="B283" i="7"/>
  <c r="B282" i="7"/>
  <c r="C282" i="7" s="1"/>
  <c r="B281" i="7"/>
  <c r="C281" i="7" s="1"/>
  <c r="C280" i="7"/>
  <c r="B280" i="7"/>
  <c r="C279" i="7"/>
  <c r="B279" i="7"/>
  <c r="C278" i="7"/>
  <c r="B278" i="7"/>
  <c r="C277" i="7"/>
  <c r="B277" i="7"/>
  <c r="B276" i="7"/>
  <c r="C276" i="7" s="1"/>
  <c r="C275" i="7"/>
  <c r="B275" i="7"/>
  <c r="B274" i="7"/>
  <c r="C274" i="7" s="1"/>
  <c r="B273" i="7"/>
  <c r="C273" i="7" s="1"/>
  <c r="C272" i="7"/>
  <c r="B272" i="7"/>
  <c r="B271" i="7"/>
  <c r="C271" i="7" s="1"/>
  <c r="B270" i="7"/>
  <c r="C270" i="7" s="1"/>
  <c r="C269" i="7"/>
  <c r="B269" i="7"/>
  <c r="B268" i="7"/>
  <c r="C268" i="7" s="1"/>
  <c r="C267" i="7"/>
  <c r="B267" i="7"/>
  <c r="B266" i="7"/>
  <c r="C266" i="7" s="1"/>
  <c r="C265" i="7"/>
  <c r="B265" i="7"/>
  <c r="B264" i="7"/>
  <c r="C264" i="7" s="1"/>
  <c r="B263" i="7"/>
  <c r="C263" i="7" s="1"/>
  <c r="B262" i="7"/>
  <c r="C262" i="7" s="1"/>
  <c r="C261" i="7"/>
  <c r="B261" i="7"/>
  <c r="B260" i="7"/>
  <c r="C260" i="7" s="1"/>
  <c r="B259" i="7"/>
  <c r="C259" i="7" s="1"/>
  <c r="B258" i="7"/>
  <c r="C258" i="7" s="1"/>
  <c r="C257" i="7"/>
  <c r="B257" i="7"/>
  <c r="C256" i="7"/>
  <c r="B256" i="7"/>
  <c r="C255" i="7"/>
  <c r="B255" i="7"/>
  <c r="B254" i="7"/>
  <c r="C254" i="7" s="1"/>
  <c r="B253" i="7"/>
  <c r="C253" i="7" s="1"/>
  <c r="B252" i="7"/>
  <c r="C252" i="7" s="1"/>
  <c r="B251" i="7"/>
  <c r="C251" i="7" s="1"/>
  <c r="B250" i="7"/>
  <c r="C250" i="7" s="1"/>
  <c r="B249" i="7"/>
  <c r="C249" i="7" s="1"/>
  <c r="B248" i="7"/>
  <c r="C248" i="7" s="1"/>
  <c r="B247" i="7"/>
  <c r="C247" i="7" s="1"/>
  <c r="B246" i="7"/>
  <c r="C246" i="7" s="1"/>
  <c r="C245" i="7"/>
  <c r="B245" i="7"/>
  <c r="B244" i="7"/>
  <c r="C244" i="7" s="1"/>
  <c r="C243" i="7"/>
  <c r="B243" i="7"/>
  <c r="B242" i="7"/>
  <c r="C242" i="7" s="1"/>
  <c r="C241" i="7"/>
  <c r="B241" i="7"/>
  <c r="B240" i="7"/>
  <c r="C240" i="7" s="1"/>
  <c r="C239" i="7"/>
  <c r="B239" i="7"/>
  <c r="B238" i="7"/>
  <c r="C238" i="7" s="1"/>
  <c r="C237" i="7"/>
  <c r="B237" i="7"/>
  <c r="B236" i="7"/>
  <c r="C236" i="7" s="1"/>
  <c r="B235" i="7"/>
  <c r="C235" i="7" s="1"/>
  <c r="B234" i="7"/>
  <c r="C234" i="7" s="1"/>
  <c r="B233" i="7"/>
  <c r="C233" i="7" s="1"/>
  <c r="B232" i="7"/>
  <c r="C232" i="7" s="1"/>
  <c r="C231" i="7"/>
  <c r="B231" i="7"/>
  <c r="C230" i="7"/>
  <c r="B230" i="7"/>
  <c r="B229" i="7"/>
  <c r="C229" i="7" s="1"/>
  <c r="B228" i="7"/>
  <c r="C228" i="7" s="1"/>
  <c r="C227" i="7"/>
  <c r="B227" i="7"/>
  <c r="C226" i="7"/>
  <c r="B226" i="7"/>
  <c r="C225" i="7"/>
  <c r="B225" i="7"/>
  <c r="C224" i="7"/>
  <c r="B224" i="7"/>
  <c r="C223" i="7"/>
  <c r="B223" i="7"/>
  <c r="B222" i="7"/>
  <c r="C222" i="7" s="1"/>
  <c r="B221" i="7"/>
  <c r="C221" i="7" s="1"/>
  <c r="B220" i="7"/>
  <c r="C220" i="7" s="1"/>
  <c r="B219" i="7"/>
  <c r="C219" i="7" s="1"/>
  <c r="B218" i="7"/>
  <c r="C218" i="7" s="1"/>
  <c r="C217" i="7"/>
  <c r="B217" i="7"/>
  <c r="C216" i="7"/>
  <c r="B216" i="7"/>
  <c r="B215" i="7"/>
  <c r="C215" i="7" s="1"/>
  <c r="C214" i="7"/>
  <c r="B214" i="7"/>
  <c r="C213" i="7"/>
  <c r="B213" i="7"/>
  <c r="C212" i="7"/>
  <c r="B212" i="7"/>
  <c r="B211" i="7"/>
  <c r="C211" i="7" s="1"/>
  <c r="B210" i="7"/>
  <c r="C210" i="7" s="1"/>
  <c r="C209" i="7"/>
  <c r="B209" i="7"/>
  <c r="B208" i="7"/>
  <c r="C208" i="7" s="1"/>
  <c r="B207" i="7"/>
  <c r="C207" i="7" s="1"/>
  <c r="B206" i="7"/>
  <c r="C206" i="7" s="1"/>
  <c r="B205" i="7"/>
  <c r="C205" i="7" s="1"/>
  <c r="B204" i="7"/>
  <c r="C204" i="7" s="1"/>
  <c r="C203" i="7"/>
  <c r="B203" i="7"/>
  <c r="C202" i="7"/>
  <c r="B202" i="7"/>
  <c r="C201" i="7"/>
  <c r="B201" i="7"/>
  <c r="B200" i="7"/>
  <c r="C200" i="7" s="1"/>
  <c r="B199" i="7"/>
  <c r="C199" i="7" s="1"/>
  <c r="B198" i="7"/>
  <c r="C198" i="7" s="1"/>
  <c r="B197" i="7"/>
  <c r="C197" i="7" s="1"/>
  <c r="B196" i="7"/>
  <c r="C196" i="7" s="1"/>
  <c r="C195" i="7"/>
  <c r="B195" i="7"/>
  <c r="C194" i="7"/>
  <c r="B194" i="7"/>
  <c r="B193" i="7"/>
  <c r="C193" i="7" s="1"/>
  <c r="C192" i="7"/>
  <c r="B192" i="7"/>
  <c r="C191" i="7"/>
  <c r="B191" i="7"/>
  <c r="C190" i="7"/>
  <c r="B190" i="7"/>
  <c r="B189" i="7"/>
  <c r="C189" i="7" s="1"/>
  <c r="C188" i="7"/>
  <c r="B188" i="7"/>
  <c r="C187" i="7"/>
  <c r="B187" i="7"/>
  <c r="B186" i="7"/>
  <c r="C186" i="7" s="1"/>
  <c r="B185" i="7"/>
  <c r="C185" i="7" s="1"/>
  <c r="B184" i="7"/>
  <c r="C184" i="7" s="1"/>
  <c r="C183" i="7"/>
  <c r="B183" i="7"/>
  <c r="B182" i="7"/>
  <c r="C182" i="7" s="1"/>
  <c r="C181" i="7"/>
  <c r="B181" i="7"/>
  <c r="C180" i="7"/>
  <c r="B180" i="7"/>
  <c r="C179" i="7"/>
  <c r="B179" i="7"/>
  <c r="C178" i="7"/>
  <c r="B178" i="7"/>
  <c r="B177" i="7"/>
  <c r="C177" i="7" s="1"/>
  <c r="B176" i="7"/>
  <c r="C176" i="7" s="1"/>
  <c r="B175" i="7"/>
  <c r="C175" i="7" s="1"/>
  <c r="C174" i="7"/>
  <c r="B174" i="7"/>
  <c r="C173" i="7"/>
  <c r="B173" i="7"/>
  <c r="B172" i="7"/>
  <c r="C172" i="7" s="1"/>
  <c r="C171" i="7"/>
  <c r="B171" i="7"/>
  <c r="C170" i="7"/>
  <c r="B170" i="7"/>
  <c r="C169" i="7"/>
  <c r="B169" i="7"/>
  <c r="C168" i="7"/>
  <c r="B168" i="7"/>
  <c r="C167" i="7"/>
  <c r="B167" i="7"/>
  <c r="B166" i="7"/>
  <c r="C166" i="7" s="1"/>
  <c r="C165" i="7"/>
  <c r="B165" i="7"/>
  <c r="B164" i="7"/>
  <c r="C164" i="7" s="1"/>
  <c r="B163" i="7"/>
  <c r="C163" i="7" s="1"/>
  <c r="B162" i="7"/>
  <c r="C162" i="7" s="1"/>
  <c r="B161" i="7"/>
  <c r="C161" i="7" s="1"/>
  <c r="B160" i="7"/>
  <c r="C160" i="7" s="1"/>
  <c r="C159" i="7"/>
  <c r="B159" i="7"/>
  <c r="C158" i="7"/>
  <c r="B158" i="7"/>
  <c r="C157" i="7"/>
  <c r="B157" i="7"/>
  <c r="B156" i="7"/>
  <c r="C156" i="7" s="1"/>
  <c r="C155" i="7"/>
  <c r="B155" i="7"/>
  <c r="B154" i="7"/>
  <c r="C154" i="7" s="1"/>
  <c r="B153" i="7"/>
  <c r="C153" i="7" s="1"/>
  <c r="B152" i="7"/>
  <c r="C152" i="7" s="1"/>
  <c r="B151" i="7"/>
  <c r="C151" i="7" s="1"/>
  <c r="B150" i="7"/>
  <c r="C150" i="7" s="1"/>
  <c r="C149" i="7"/>
  <c r="B149" i="7"/>
  <c r="C148" i="7"/>
  <c r="B148" i="7"/>
  <c r="C147" i="7"/>
  <c r="B147" i="7"/>
  <c r="C146" i="7"/>
  <c r="B146" i="7"/>
  <c r="C145" i="7"/>
  <c r="B145" i="7"/>
  <c r="B144" i="7"/>
  <c r="C144" i="7" s="1"/>
  <c r="B143" i="7"/>
  <c r="C143" i="7" s="1"/>
  <c r="B142" i="7"/>
  <c r="C142" i="7" s="1"/>
  <c r="B141" i="7"/>
  <c r="C141" i="7" s="1"/>
  <c r="B140" i="7"/>
  <c r="C140" i="7" s="1"/>
  <c r="C139" i="7"/>
  <c r="B139" i="7"/>
  <c r="B138" i="7"/>
  <c r="C138" i="7" s="1"/>
  <c r="C137" i="7"/>
  <c r="B137" i="7"/>
  <c r="C136" i="7"/>
  <c r="B136" i="7"/>
  <c r="C135" i="7"/>
  <c r="B135" i="7"/>
  <c r="C134" i="7"/>
  <c r="B134" i="7"/>
  <c r="B133" i="7"/>
  <c r="C133" i="7" s="1"/>
  <c r="C132" i="7"/>
  <c r="B132" i="7"/>
  <c r="B131" i="7"/>
  <c r="C131" i="7" s="1"/>
  <c r="B130" i="7"/>
  <c r="C130" i="7" s="1"/>
  <c r="B129" i="7"/>
  <c r="C129" i="7" s="1"/>
  <c r="B128" i="7"/>
  <c r="C128" i="7" s="1"/>
  <c r="C127" i="7"/>
  <c r="B127" i="7"/>
  <c r="C126" i="7"/>
  <c r="B126" i="7"/>
  <c r="C125" i="7"/>
  <c r="B125" i="7"/>
  <c r="C124" i="7"/>
  <c r="B124" i="7"/>
  <c r="C123" i="7"/>
  <c r="B123" i="7"/>
  <c r="B122" i="7"/>
  <c r="C122" i="7" s="1"/>
  <c r="B121" i="7"/>
  <c r="C121" i="7" s="1"/>
  <c r="B120" i="7"/>
  <c r="C120" i="7" s="1"/>
  <c r="B119" i="7"/>
  <c r="C119" i="7" s="1"/>
  <c r="B118" i="7"/>
  <c r="C118" i="7" s="1"/>
  <c r="B117" i="7"/>
  <c r="C117" i="7" s="1"/>
  <c r="B116" i="7"/>
  <c r="C116" i="7" s="1"/>
  <c r="C115" i="7"/>
  <c r="B115" i="7"/>
  <c r="C114" i="7"/>
  <c r="B114" i="7"/>
  <c r="C113" i="7"/>
  <c r="B113" i="7"/>
  <c r="B112" i="7"/>
  <c r="C112" i="7" s="1"/>
  <c r="C111" i="7"/>
  <c r="B111" i="7"/>
  <c r="B110" i="7"/>
  <c r="C110" i="7" s="1"/>
  <c r="B109" i="7"/>
  <c r="C109" i="7" s="1"/>
  <c r="B108" i="7"/>
  <c r="C108" i="7" s="1"/>
  <c r="B107" i="7"/>
  <c r="C107" i="7" s="1"/>
  <c r="B106" i="7"/>
  <c r="C106" i="7" s="1"/>
  <c r="B105" i="7"/>
  <c r="C105" i="7" s="1"/>
  <c r="C104" i="7"/>
  <c r="B104" i="7"/>
  <c r="C103" i="7"/>
  <c r="B103" i="7"/>
  <c r="C102" i="7"/>
  <c r="B102" i="7"/>
  <c r="B101" i="7"/>
  <c r="C101" i="7" s="1"/>
  <c r="B100" i="7"/>
  <c r="C100" i="7" s="1"/>
  <c r="C99" i="7"/>
  <c r="B99" i="7"/>
  <c r="B98" i="7"/>
  <c r="C98" i="7" s="1"/>
  <c r="C97" i="7"/>
  <c r="B97" i="7"/>
  <c r="B96" i="7"/>
  <c r="C96" i="7" s="1"/>
  <c r="C95" i="7"/>
  <c r="B95" i="7"/>
  <c r="B94" i="7"/>
  <c r="C94" i="7" s="1"/>
  <c r="C93" i="7"/>
  <c r="B93" i="7"/>
  <c r="C92" i="7"/>
  <c r="B92" i="7"/>
  <c r="C91" i="7"/>
  <c r="B91" i="7"/>
  <c r="B90" i="7"/>
  <c r="C90" i="7" s="1"/>
  <c r="B89" i="7"/>
  <c r="C89" i="7" s="1"/>
  <c r="B88" i="7"/>
  <c r="C88" i="7" s="1"/>
  <c r="B87" i="7"/>
  <c r="C87" i="7" s="1"/>
  <c r="C86" i="7"/>
  <c r="B86" i="7"/>
  <c r="B85" i="7"/>
  <c r="C85" i="7" s="1"/>
  <c r="C84" i="7"/>
  <c r="B84" i="7"/>
  <c r="B83" i="7"/>
  <c r="C83" i="7" s="1"/>
  <c r="C82" i="7"/>
  <c r="B82" i="7"/>
  <c r="C81" i="7"/>
  <c r="B81" i="7"/>
  <c r="C80" i="7"/>
  <c r="B80" i="7"/>
  <c r="C79" i="7"/>
  <c r="B79" i="7"/>
  <c r="C78" i="7"/>
  <c r="B78" i="7"/>
  <c r="B77" i="7"/>
  <c r="C77" i="7" s="1"/>
  <c r="B76" i="7"/>
  <c r="C76" i="7" s="1"/>
  <c r="B75" i="7"/>
  <c r="C75" i="7" s="1"/>
  <c r="C74" i="7"/>
  <c r="B74" i="7"/>
  <c r="C73" i="7"/>
  <c r="B73" i="7"/>
  <c r="B72" i="7"/>
  <c r="C72" i="7" s="1"/>
  <c r="C71" i="7"/>
  <c r="B71" i="7"/>
  <c r="C70" i="7"/>
  <c r="B70" i="7"/>
  <c r="C69" i="7"/>
  <c r="B69" i="7"/>
  <c r="B68" i="7"/>
  <c r="C68" i="7" s="1"/>
  <c r="B67" i="7"/>
  <c r="C67" i="7" s="1"/>
  <c r="C66" i="7"/>
  <c r="B66" i="7"/>
  <c r="B65" i="7"/>
  <c r="C65" i="7" s="1"/>
  <c r="B64" i="7"/>
  <c r="C64" i="7" s="1"/>
  <c r="B63" i="7"/>
  <c r="C63" i="7" s="1"/>
  <c r="B62" i="7"/>
  <c r="C62" i="7" s="1"/>
  <c r="B61" i="7"/>
  <c r="C61" i="7" s="1"/>
  <c r="C60" i="7"/>
  <c r="B60" i="7"/>
  <c r="C59" i="7"/>
  <c r="B59" i="7"/>
  <c r="C58" i="7"/>
  <c r="B58" i="7"/>
  <c r="B57" i="7"/>
  <c r="C57" i="7" s="1"/>
  <c r="C56" i="7"/>
  <c r="B56" i="7"/>
  <c r="B55" i="7"/>
  <c r="C55" i="7" s="1"/>
  <c r="B54" i="7"/>
  <c r="C54" i="7" s="1"/>
  <c r="B53" i="7"/>
  <c r="C53" i="7" s="1"/>
  <c r="B52" i="7"/>
  <c r="C52" i="7" s="1"/>
  <c r="C51" i="7"/>
  <c r="B51" i="7"/>
  <c r="B50" i="7"/>
  <c r="C50" i="7" s="1"/>
  <c r="C49" i="7"/>
  <c r="B49" i="7"/>
  <c r="C48" i="7"/>
  <c r="B48" i="7"/>
  <c r="C47" i="7"/>
  <c r="B47" i="7"/>
  <c r="B46" i="7"/>
  <c r="C46" i="7" s="1"/>
  <c r="C45" i="7"/>
  <c r="B45" i="7"/>
  <c r="B44" i="7"/>
  <c r="C44" i="7" s="1"/>
  <c r="B43" i="7"/>
  <c r="C43" i="7" s="1"/>
  <c r="C42" i="7"/>
  <c r="B42" i="7"/>
  <c r="B41" i="7"/>
  <c r="C41" i="7" s="1"/>
  <c r="B40" i="7"/>
  <c r="C40" i="7" s="1"/>
  <c r="B39" i="7"/>
  <c r="C39" i="7" s="1"/>
  <c r="C38" i="7"/>
  <c r="B38" i="7"/>
  <c r="C37" i="7"/>
  <c r="B37" i="7"/>
  <c r="C36" i="7"/>
  <c r="B36" i="7"/>
  <c r="B35" i="7"/>
  <c r="C35" i="7" s="1"/>
  <c r="C34" i="7"/>
  <c r="B34" i="7"/>
  <c r="C33" i="7"/>
  <c r="B33" i="7"/>
  <c r="B32" i="7"/>
  <c r="C32" i="7" s="1"/>
  <c r="B31" i="7"/>
  <c r="C31" i="7" s="1"/>
  <c r="C30" i="7"/>
  <c r="B30" i="7"/>
  <c r="B29" i="7"/>
  <c r="C29" i="7" s="1"/>
  <c r="C28" i="7"/>
  <c r="B28" i="7"/>
  <c r="C27" i="7"/>
  <c r="B27" i="7"/>
  <c r="C26" i="7"/>
  <c r="B26" i="7"/>
  <c r="C25" i="7"/>
  <c r="B25" i="7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C18" i="7"/>
  <c r="B18" i="7"/>
  <c r="B17" i="7"/>
  <c r="C17" i="7" s="1"/>
  <c r="C16" i="7"/>
  <c r="B16" i="7"/>
  <c r="C15" i="7"/>
  <c r="B15" i="7"/>
  <c r="C14" i="7"/>
  <c r="B14" i="7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C6" i="7"/>
  <c r="B6" i="7"/>
  <c r="C5" i="7"/>
  <c r="B5" i="7"/>
  <c r="C4" i="7"/>
  <c r="B4" i="7"/>
  <c r="L101" i="6"/>
  <c r="L100" i="6"/>
  <c r="L99" i="6"/>
  <c r="L98" i="6"/>
  <c r="AD92" i="6"/>
  <c r="AH21" i="10" s="1"/>
  <c r="Z86" i="6"/>
  <c r="Z85" i="6"/>
  <c r="Z84" i="6"/>
  <c r="Z83" i="6"/>
  <c r="O78" i="6"/>
  <c r="R22" i="9" s="1"/>
  <c r="Y77" i="6"/>
  <c r="AC21" i="9" s="1"/>
  <c r="AF76" i="6"/>
  <c r="AN20" i="9" s="1"/>
  <c r="AB63" i="6"/>
  <c r="AF22" i="8" s="1"/>
  <c r="AA63" i="6"/>
  <c r="AE22" i="8" s="1"/>
  <c r="Z63" i="6"/>
  <c r="AD22" i="8" s="1"/>
  <c r="AA61" i="6"/>
  <c r="AE20" i="8" s="1"/>
  <c r="F60" i="6"/>
  <c r="I19" i="8" s="1"/>
  <c r="R24" i="5"/>
  <c r="R23" i="5"/>
  <c r="B15" i="4" s="1"/>
  <c r="Q20" i="5"/>
  <c r="R14" i="5" s="1"/>
  <c r="U7" i="5" s="1"/>
  <c r="B6" i="4" s="1"/>
  <c r="U14" i="5"/>
  <c r="B13" i="4" s="1"/>
  <c r="U13" i="5"/>
  <c r="B12" i="4" s="1"/>
  <c r="U12" i="5"/>
  <c r="B11" i="4" s="1"/>
  <c r="R7" i="5"/>
  <c r="R6" i="5"/>
  <c r="R5" i="5"/>
  <c r="D380" i="4"/>
  <c r="C380" i="4"/>
  <c r="D377" i="4"/>
  <c r="C377" i="4"/>
  <c r="D376" i="4"/>
  <c r="C376" i="4"/>
  <c r="D375" i="4"/>
  <c r="C375" i="4"/>
  <c r="D374" i="4"/>
  <c r="C374" i="4"/>
  <c r="D373" i="4"/>
  <c r="C373" i="4"/>
  <c r="D370" i="4"/>
  <c r="H15" i="9" s="1"/>
  <c r="C370" i="4"/>
  <c r="D369" i="4"/>
  <c r="C369" i="4"/>
  <c r="D368" i="4"/>
  <c r="C368" i="4"/>
  <c r="D367" i="4"/>
  <c r="C367" i="4"/>
  <c r="D363" i="4"/>
  <c r="C363" i="4"/>
  <c r="D361" i="4"/>
  <c r="C361" i="4"/>
  <c r="D359" i="4"/>
  <c r="C359" i="4"/>
  <c r="D358" i="4"/>
  <c r="C358" i="4"/>
  <c r="D357" i="4"/>
  <c r="C357" i="4"/>
  <c r="D356" i="4"/>
  <c r="C356" i="4"/>
  <c r="D353" i="4"/>
  <c r="C353" i="4"/>
  <c r="D352" i="4"/>
  <c r="C352" i="4"/>
  <c r="D351" i="4"/>
  <c r="C351" i="4"/>
  <c r="D350" i="4"/>
  <c r="C350" i="4"/>
  <c r="D349" i="4"/>
  <c r="C349" i="4"/>
  <c r="D348" i="4"/>
  <c r="C348" i="4"/>
  <c r="D347" i="4"/>
  <c r="C347" i="4"/>
  <c r="D346" i="4"/>
  <c r="C346" i="4"/>
  <c r="D345" i="4"/>
  <c r="C345" i="4"/>
  <c r="D343" i="4"/>
  <c r="C343" i="4"/>
  <c r="D340" i="4"/>
  <c r="C340" i="4"/>
  <c r="D339" i="4"/>
  <c r="C339" i="4"/>
  <c r="D338" i="4"/>
  <c r="C338" i="4"/>
  <c r="D337" i="4"/>
  <c r="C337" i="4"/>
  <c r="D336" i="4"/>
  <c r="C336" i="4"/>
  <c r="D335" i="4"/>
  <c r="C335" i="4"/>
  <c r="D332" i="4"/>
  <c r="C332" i="4"/>
  <c r="D331" i="4"/>
  <c r="C331" i="4"/>
  <c r="D330" i="4"/>
  <c r="C330" i="4"/>
  <c r="D329" i="4"/>
  <c r="C329" i="4"/>
  <c r="D328" i="4"/>
  <c r="C328" i="4"/>
  <c r="D327" i="4"/>
  <c r="C327" i="4"/>
  <c r="D326" i="4"/>
  <c r="C326" i="4"/>
  <c r="D323" i="4"/>
  <c r="R15" i="8" s="1"/>
  <c r="C323" i="4"/>
  <c r="D322" i="4"/>
  <c r="C322" i="4"/>
  <c r="D321" i="4"/>
  <c r="C321" i="4"/>
  <c r="D320" i="4"/>
  <c r="C320" i="4"/>
  <c r="D319" i="4"/>
  <c r="C319" i="4"/>
  <c r="D313" i="4"/>
  <c r="AA11" i="10" s="1"/>
  <c r="C313" i="4"/>
  <c r="D311" i="4"/>
  <c r="C311" i="4"/>
  <c r="D310" i="4"/>
  <c r="C310" i="4"/>
  <c r="D309" i="4"/>
  <c r="C309" i="4"/>
  <c r="D308" i="4"/>
  <c r="AS11" i="9" s="1"/>
  <c r="C308" i="4"/>
  <c r="D306" i="4"/>
  <c r="C306" i="4"/>
  <c r="D305" i="4"/>
  <c r="C305" i="4"/>
  <c r="D304" i="4"/>
  <c r="C304" i="4"/>
  <c r="D303" i="4"/>
  <c r="C303" i="4"/>
  <c r="D301" i="4"/>
  <c r="C301" i="4"/>
  <c r="D300" i="4"/>
  <c r="C300" i="4"/>
  <c r="D299" i="4"/>
  <c r="C299" i="4"/>
  <c r="D298" i="4"/>
  <c r="C298" i="4"/>
  <c r="D297" i="4"/>
  <c r="C297" i="4"/>
  <c r="D296" i="4"/>
  <c r="C296" i="4"/>
  <c r="D295" i="4"/>
  <c r="C295" i="4"/>
  <c r="D294" i="4"/>
  <c r="C294" i="4"/>
  <c r="D293" i="4"/>
  <c r="V11" i="8" s="1"/>
  <c r="C293" i="4"/>
  <c r="D286" i="4"/>
  <c r="C286" i="4"/>
  <c r="D285" i="4"/>
  <c r="C285" i="4"/>
  <c r="D284" i="4"/>
  <c r="C284" i="4"/>
  <c r="D283" i="4"/>
  <c r="C283" i="4"/>
  <c r="D282" i="4"/>
  <c r="C282" i="4"/>
  <c r="D281" i="4"/>
  <c r="C281" i="4"/>
  <c r="D280" i="4"/>
  <c r="C280" i="4"/>
  <c r="D277" i="4"/>
  <c r="C277" i="4"/>
  <c r="D276" i="4"/>
  <c r="C276" i="4"/>
  <c r="D275" i="4"/>
  <c r="C275" i="4"/>
  <c r="D274" i="4"/>
  <c r="AX9" i="9" s="1"/>
  <c r="C274" i="4"/>
  <c r="D267" i="4"/>
  <c r="C267" i="4"/>
  <c r="D266" i="4"/>
  <c r="C266" i="4"/>
  <c r="D265" i="4"/>
  <c r="C265" i="4"/>
  <c r="D262" i="4"/>
  <c r="C262" i="4"/>
  <c r="D261" i="4"/>
  <c r="C261" i="4"/>
  <c r="D260" i="4"/>
  <c r="C260" i="4"/>
  <c r="D259" i="4"/>
  <c r="C259" i="4"/>
  <c r="D258" i="4"/>
  <c r="C258" i="4"/>
  <c r="D257" i="4"/>
  <c r="C257" i="4"/>
  <c r="D256" i="4"/>
  <c r="C256" i="4"/>
  <c r="D255" i="4"/>
  <c r="C255" i="4"/>
  <c r="D254" i="4"/>
  <c r="C254" i="4"/>
  <c r="D253" i="4"/>
  <c r="C253" i="4"/>
  <c r="D252" i="4"/>
  <c r="C252" i="4"/>
  <c r="D251" i="4"/>
  <c r="C251" i="4"/>
  <c r="D250" i="4"/>
  <c r="C250" i="4"/>
  <c r="D246" i="4"/>
  <c r="C246" i="4"/>
  <c r="D245" i="4"/>
  <c r="C245" i="4"/>
  <c r="D244" i="4"/>
  <c r="C244" i="4"/>
  <c r="D243" i="4"/>
  <c r="C243" i="4"/>
  <c r="D242" i="4"/>
  <c r="C242" i="4"/>
  <c r="D239" i="4"/>
  <c r="B9" i="8" s="1"/>
  <c r="C239" i="4"/>
  <c r="D233" i="4"/>
  <c r="C233" i="4"/>
  <c r="D232" i="4"/>
  <c r="C232" i="4"/>
  <c r="D231" i="4"/>
  <c r="C231" i="4"/>
  <c r="D229" i="4"/>
  <c r="AC10" i="9" s="1"/>
  <c r="C229" i="4"/>
  <c r="D227" i="4"/>
  <c r="C227" i="4"/>
  <c r="D226" i="4"/>
  <c r="C226" i="4"/>
  <c r="D225" i="4"/>
  <c r="C225" i="4"/>
  <c r="D224" i="4"/>
  <c r="C224" i="4"/>
  <c r="D223" i="4"/>
  <c r="I10" i="8" s="1"/>
  <c r="F62" i="6" s="1"/>
  <c r="I21" i="8" s="1"/>
  <c r="C223" i="4"/>
  <c r="D222" i="4"/>
  <c r="B10" i="8" s="1"/>
  <c r="B62" i="6" s="1"/>
  <c r="C222" i="4"/>
  <c r="D217" i="4"/>
  <c r="C217" i="4"/>
  <c r="D211" i="4"/>
  <c r="C211" i="4"/>
  <c r="D210" i="4"/>
  <c r="C210" i="4"/>
  <c r="D209" i="4"/>
  <c r="C209" i="4"/>
  <c r="D208" i="4"/>
  <c r="Z6" i="9" s="1"/>
  <c r="C208" i="4"/>
  <c r="D207" i="4"/>
  <c r="C207" i="4"/>
  <c r="D206" i="4"/>
  <c r="C206" i="4"/>
  <c r="D204" i="4"/>
  <c r="C204" i="4"/>
  <c r="D198" i="4"/>
  <c r="C198" i="4"/>
  <c r="D197" i="4"/>
  <c r="C197" i="4"/>
  <c r="D196" i="4"/>
  <c r="C196" i="4"/>
  <c r="D195" i="4"/>
  <c r="C195" i="4"/>
  <c r="D194" i="4"/>
  <c r="C194" i="4"/>
  <c r="D191" i="4"/>
  <c r="C191" i="4"/>
  <c r="D190" i="4"/>
  <c r="C190" i="4"/>
  <c r="D189" i="4"/>
  <c r="C189" i="4"/>
  <c r="D188" i="4"/>
  <c r="C188" i="4"/>
  <c r="D187" i="4"/>
  <c r="C187" i="4"/>
  <c r="D186" i="4"/>
  <c r="C186" i="4"/>
  <c r="D185" i="4"/>
  <c r="C185" i="4"/>
  <c r="D184" i="4"/>
  <c r="C184" i="4"/>
  <c r="D181" i="4"/>
  <c r="C181" i="4"/>
  <c r="D180" i="4"/>
  <c r="L6" i="8" s="1"/>
  <c r="C180" i="4"/>
  <c r="D179" i="4"/>
  <c r="C179" i="4"/>
  <c r="D178" i="4"/>
  <c r="C178" i="4"/>
  <c r="D177" i="4"/>
  <c r="C177" i="4"/>
  <c r="D176" i="4"/>
  <c r="C176" i="4"/>
  <c r="D175" i="4"/>
  <c r="C175" i="4"/>
  <c r="D172" i="4"/>
  <c r="C172" i="4"/>
  <c r="D169" i="4"/>
  <c r="C169" i="4"/>
  <c r="D168" i="4"/>
  <c r="H6" i="8" s="1"/>
  <c r="C168" i="4"/>
  <c r="D162" i="4"/>
  <c r="C162" i="4"/>
  <c r="D160" i="4"/>
  <c r="AJ5" i="9" s="1"/>
  <c r="C160" i="4"/>
  <c r="D157" i="4"/>
  <c r="B23" i="8" s="1"/>
  <c r="C157" i="4"/>
  <c r="D156" i="4"/>
  <c r="C156" i="4"/>
  <c r="D155" i="4"/>
  <c r="C155" i="4"/>
  <c r="D154" i="4"/>
  <c r="C154" i="4"/>
  <c r="D153" i="4"/>
  <c r="C153" i="4"/>
  <c r="D152" i="4"/>
  <c r="C152" i="4"/>
  <c r="D151" i="4"/>
  <c r="C151" i="4"/>
  <c r="D150" i="4"/>
  <c r="C150" i="4"/>
  <c r="D149" i="4"/>
  <c r="G5" i="8" s="1"/>
  <c r="C149" i="4"/>
  <c r="B143" i="4"/>
  <c r="D142" i="4"/>
  <c r="C142" i="4"/>
  <c r="D141" i="4"/>
  <c r="C141" i="4"/>
  <c r="D140" i="4"/>
  <c r="AT17" i="10" s="1"/>
  <c r="C140" i="4"/>
  <c r="B138" i="4"/>
  <c r="D137" i="4"/>
  <c r="C137" i="4"/>
  <c r="D136" i="4"/>
  <c r="C136" i="4"/>
  <c r="D135" i="4"/>
  <c r="O25" i="9" s="1"/>
  <c r="C135" i="4"/>
  <c r="B133" i="4"/>
  <c r="D130" i="4"/>
  <c r="C130" i="4"/>
  <c r="D129" i="4"/>
  <c r="C129" i="4"/>
  <c r="D128" i="4"/>
  <c r="C128" i="4"/>
  <c r="D127" i="4"/>
  <c r="C127" i="4"/>
  <c r="D126" i="4"/>
  <c r="C126" i="4"/>
  <c r="D125" i="4"/>
  <c r="C125" i="4"/>
  <c r="D121" i="4"/>
  <c r="C121" i="4"/>
  <c r="D120" i="4"/>
  <c r="C120" i="4"/>
  <c r="D119" i="4"/>
  <c r="C119" i="4"/>
  <c r="D116" i="4"/>
  <c r="C116" i="4"/>
  <c r="D115" i="4"/>
  <c r="C115" i="4"/>
  <c r="D114" i="4"/>
  <c r="C114" i="4"/>
  <c r="B108" i="4"/>
  <c r="D107" i="4"/>
  <c r="C107" i="4"/>
  <c r="D106" i="4"/>
  <c r="C106" i="4"/>
  <c r="D105" i="4"/>
  <c r="AI2" i="10" s="1"/>
  <c r="AE90" i="6" s="1"/>
  <c r="C105" i="4"/>
  <c r="B103" i="4"/>
  <c r="D102" i="4"/>
  <c r="C102" i="4"/>
  <c r="D101" i="4"/>
  <c r="C101" i="4"/>
  <c r="D100" i="4"/>
  <c r="AS2" i="9" s="1"/>
  <c r="AK75" i="6" s="1"/>
  <c r="AS19" i="9" s="1"/>
  <c r="C100" i="4"/>
  <c r="B97" i="4"/>
  <c r="D96" i="4"/>
  <c r="C96" i="4"/>
  <c r="D95" i="4"/>
  <c r="C95" i="4"/>
  <c r="D94" i="4"/>
  <c r="C94" i="4"/>
  <c r="D93" i="4"/>
  <c r="C93" i="4"/>
  <c r="D92" i="4"/>
  <c r="C92" i="4"/>
  <c r="D91" i="4"/>
  <c r="C91" i="4"/>
  <c r="D90" i="4"/>
  <c r="C90" i="4"/>
  <c r="D89" i="4"/>
  <c r="C89" i="4"/>
  <c r="B86" i="4"/>
  <c r="D85" i="4"/>
  <c r="C85" i="4"/>
  <c r="D84" i="4"/>
  <c r="C84" i="4"/>
  <c r="B82" i="4"/>
  <c r="B87" i="4" s="1"/>
  <c r="B98" i="4" s="1"/>
  <c r="D81" i="4"/>
  <c r="C81" i="4"/>
  <c r="D80" i="4"/>
  <c r="C80" i="4"/>
  <c r="D79" i="4"/>
  <c r="C79" i="4"/>
  <c r="D71" i="4"/>
  <c r="C71" i="4"/>
  <c r="D69" i="4"/>
  <c r="C69" i="4"/>
  <c r="D68" i="4"/>
  <c r="C68" i="4"/>
  <c r="D67" i="4"/>
  <c r="C67" i="4"/>
  <c r="D66" i="4"/>
  <c r="AE7" i="9" s="1"/>
  <c r="C66" i="4"/>
  <c r="D65" i="4"/>
  <c r="C65" i="4"/>
  <c r="D64" i="4"/>
  <c r="C64" i="4"/>
  <c r="D63" i="4"/>
  <c r="C63" i="4"/>
  <c r="D62" i="4"/>
  <c r="C62" i="4"/>
  <c r="D59" i="4"/>
  <c r="C59" i="4"/>
  <c r="D58" i="4"/>
  <c r="C58" i="4"/>
  <c r="D57" i="4"/>
  <c r="C57" i="4"/>
  <c r="D52" i="4"/>
  <c r="C52" i="4"/>
  <c r="D48" i="4"/>
  <c r="C48" i="4"/>
  <c r="D47" i="4"/>
  <c r="C47" i="4"/>
  <c r="D46" i="4"/>
  <c r="C46" i="4"/>
  <c r="D45" i="4"/>
  <c r="C45" i="4"/>
  <c r="D44" i="4"/>
  <c r="C44" i="4"/>
  <c r="D43" i="4"/>
  <c r="C43" i="4"/>
  <c r="D39" i="4"/>
  <c r="C39" i="4"/>
  <c r="D38" i="4"/>
  <c r="C38" i="4"/>
  <c r="D37" i="4"/>
  <c r="C37" i="4"/>
  <c r="D36" i="4"/>
  <c r="C36" i="4"/>
  <c r="D35" i="4"/>
  <c r="C35" i="4"/>
  <c r="D32" i="4"/>
  <c r="C32" i="4"/>
  <c r="D31" i="4"/>
  <c r="AT7" i="8" s="1"/>
  <c r="C31" i="4"/>
  <c r="D30" i="4"/>
  <c r="AO7" i="8" s="1"/>
  <c r="C30" i="4"/>
  <c r="D29" i="4"/>
  <c r="C29" i="4"/>
  <c r="D25" i="4"/>
  <c r="I7" i="8" s="1"/>
  <c r="C25" i="4"/>
  <c r="D24" i="4"/>
  <c r="C24" i="4"/>
  <c r="D23" i="4"/>
  <c r="C23" i="4"/>
  <c r="D22" i="4"/>
  <c r="C22" i="4"/>
  <c r="D16" i="4"/>
  <c r="V8" i="9" s="1"/>
  <c r="C16" i="4"/>
  <c r="B16" i="4"/>
  <c r="D15" i="4"/>
  <c r="AD8" i="9" s="1"/>
  <c r="C15" i="4"/>
  <c r="D13" i="4"/>
  <c r="C13" i="4"/>
  <c r="D12" i="4"/>
  <c r="C12" i="4"/>
  <c r="D11" i="4"/>
  <c r="C11" i="4"/>
  <c r="D10" i="4"/>
  <c r="C10" i="4"/>
  <c r="D9" i="4"/>
  <c r="C9" i="4"/>
  <c r="D8" i="4"/>
  <c r="C8" i="4"/>
  <c r="D7" i="4"/>
  <c r="C7" i="4"/>
  <c r="D6" i="4"/>
  <c r="C6" i="4"/>
  <c r="D5" i="4"/>
  <c r="C5" i="4"/>
  <c r="D4" i="4"/>
  <c r="C4" i="4"/>
  <c r="BA25" i="8"/>
  <c r="AD25" i="8"/>
  <c r="AB25" i="8"/>
  <c r="Z25" i="8"/>
  <c r="Y25" i="8"/>
  <c r="X25" i="8"/>
  <c r="W25" i="8"/>
  <c r="U25" i="8"/>
  <c r="S25" i="8"/>
  <c r="AR24" i="8"/>
  <c r="AP24" i="8"/>
  <c r="AO24" i="8"/>
  <c r="AN24" i="8"/>
  <c r="AM24" i="8"/>
  <c r="AK24" i="8"/>
  <c r="AH24" i="8"/>
  <c r="AG24" i="8"/>
  <c r="AA24" i="8"/>
  <c r="X24" i="8"/>
  <c r="F24" i="8"/>
  <c r="C24" i="8"/>
  <c r="AT23" i="8"/>
  <c r="AS23" i="8"/>
  <c r="AQ23" i="8"/>
  <c r="AO23" i="8"/>
  <c r="J23" i="8"/>
  <c r="D23" i="8"/>
  <c r="AL18" i="8"/>
  <c r="AG18" i="8"/>
  <c r="AF18" i="8"/>
  <c r="AC18" i="8"/>
  <c r="F18" i="8"/>
  <c r="D18" i="8"/>
  <c r="BA17" i="8"/>
  <c r="AZ17" i="8"/>
  <c r="AY17" i="8"/>
  <c r="AX17" i="8"/>
  <c r="AV17" i="8"/>
  <c r="AU17" i="8"/>
  <c r="W17" i="8"/>
  <c r="U17" i="8"/>
  <c r="S17" i="8"/>
  <c r="N17" i="8"/>
  <c r="M17" i="8"/>
  <c r="K17" i="8"/>
  <c r="J17" i="8"/>
  <c r="I17" i="8"/>
  <c r="G17" i="8"/>
  <c r="F17" i="8"/>
  <c r="AL16" i="8"/>
  <c r="AI16" i="8"/>
  <c r="AH16" i="8"/>
  <c r="AD16" i="8"/>
  <c r="AC16" i="8"/>
  <c r="AA16" i="8"/>
  <c r="Z16" i="8"/>
  <c r="Y16" i="8"/>
  <c r="AX15" i="8"/>
  <c r="AU15" i="8"/>
  <c r="AT15" i="8"/>
  <c r="AR15" i="8"/>
  <c r="T15" i="8"/>
  <c r="Q15" i="8"/>
  <c r="L15" i="8"/>
  <c r="H15" i="8"/>
  <c r="F15" i="8"/>
  <c r="AP14" i="8"/>
  <c r="AH63" i="6" s="1"/>
  <c r="AP22" i="8" s="1"/>
  <c r="AH14" i="8"/>
  <c r="AD63" i="6" s="1"/>
  <c r="AH22" i="8" s="1"/>
  <c r="AF14" i="8"/>
  <c r="AE14" i="8"/>
  <c r="AD14" i="8"/>
  <c r="AB14" i="8"/>
  <c r="X63" i="6" s="1"/>
  <c r="AA22" i="8" s="1"/>
  <c r="AA14" i="8"/>
  <c r="Z14" i="8"/>
  <c r="W63" i="6" s="1"/>
  <c r="Z22" i="8" s="1"/>
  <c r="Y14" i="8"/>
  <c r="V63" i="6" s="1"/>
  <c r="X14" i="8"/>
  <c r="U63" i="6" s="1"/>
  <c r="X22" i="8" s="1"/>
  <c r="D14" i="8"/>
  <c r="BA13" i="8"/>
  <c r="AY13" i="8"/>
  <c r="AX13" i="8"/>
  <c r="AW13" i="8"/>
  <c r="AU13" i="8"/>
  <c r="AT13" i="8"/>
  <c r="AS13" i="8"/>
  <c r="V13" i="8"/>
  <c r="T13" i="8"/>
  <c r="S13" i="8"/>
  <c r="P13" i="8"/>
  <c r="O13" i="8"/>
  <c r="N13" i="8"/>
  <c r="M13" i="8"/>
  <c r="I13" i="8"/>
  <c r="H13" i="8"/>
  <c r="F13" i="8"/>
  <c r="AP12" i="8"/>
  <c r="AN12" i="8"/>
  <c r="AJ12" i="8"/>
  <c r="AI12" i="8"/>
  <c r="AF12" i="8"/>
  <c r="AE12" i="8"/>
  <c r="AD12" i="8"/>
  <c r="AB12" i="8"/>
  <c r="G12" i="8"/>
  <c r="E12" i="8"/>
  <c r="C12" i="8"/>
  <c r="B12" i="8"/>
  <c r="AX11" i="8"/>
  <c r="AW11" i="8"/>
  <c r="AU11" i="8"/>
  <c r="X11" i="8"/>
  <c r="U11" i="8"/>
  <c r="S11" i="8"/>
  <c r="R11" i="8"/>
  <c r="Q11" i="8"/>
  <c r="AR10" i="8"/>
  <c r="AJ62" i="6" s="1"/>
  <c r="AR21" i="8" s="1"/>
  <c r="AL10" i="8"/>
  <c r="AI10" i="8"/>
  <c r="AE62" i="6" s="1"/>
  <c r="AG10" i="8"/>
  <c r="AC70" i="6" s="1"/>
  <c r="V70" i="6" s="1"/>
  <c r="O10" i="8"/>
  <c r="L62" i="6" s="1"/>
  <c r="O21" i="8" s="1"/>
  <c r="K10" i="8"/>
  <c r="H62" i="6" s="1"/>
  <c r="K21" i="8" s="1"/>
  <c r="J10" i="8"/>
  <c r="G62" i="6" s="1"/>
  <c r="J21" i="8" s="1"/>
  <c r="G10" i="8"/>
  <c r="E10" i="8"/>
  <c r="C62" i="6" s="1"/>
  <c r="E21" i="8" s="1"/>
  <c r="D10" i="8"/>
  <c r="C10" i="8"/>
  <c r="AE9" i="8"/>
  <c r="AB9" i="8"/>
  <c r="AA9" i="8"/>
  <c r="Y9" i="8"/>
  <c r="F9" i="8"/>
  <c r="D9" i="8"/>
  <c r="S8" i="8"/>
  <c r="P8" i="8"/>
  <c r="BA7" i="8"/>
  <c r="AW7" i="8"/>
  <c r="AV7" i="8"/>
  <c r="AS7" i="8"/>
  <c r="AR7" i="8"/>
  <c r="AQ7" i="8"/>
  <c r="AP7" i="8"/>
  <c r="T7" i="8"/>
  <c r="Q7" i="8"/>
  <c r="P7" i="8"/>
  <c r="N7" i="8"/>
  <c r="AX6" i="8"/>
  <c r="AV6" i="8"/>
  <c r="AR6" i="8"/>
  <c r="AQ6" i="8"/>
  <c r="AP6" i="8"/>
  <c r="AO6" i="8"/>
  <c r="U6" i="8"/>
  <c r="N6" i="8"/>
  <c r="M6" i="8"/>
  <c r="J6" i="8"/>
  <c r="F6" i="8"/>
  <c r="E6" i="8"/>
  <c r="AO5" i="8"/>
  <c r="AM5" i="8"/>
  <c r="AL5" i="8"/>
  <c r="AK5" i="8"/>
  <c r="AD5" i="8"/>
  <c r="L5" i="8"/>
  <c r="K5" i="8"/>
  <c r="I5" i="8"/>
  <c r="F5" i="8"/>
  <c r="E5" i="8"/>
  <c r="AO4" i="8"/>
  <c r="AG61" i="6" s="1"/>
  <c r="AO20" i="8" s="1"/>
  <c r="AM4" i="8"/>
  <c r="AK4" i="8"/>
  <c r="AJ4" i="8"/>
  <c r="AE4" i="8"/>
  <c r="AD4" i="8"/>
  <c r="Z61" i="6" s="1"/>
  <c r="AD20" i="8" s="1"/>
  <c r="AC4" i="8"/>
  <c r="Y61" i="6" s="1"/>
  <c r="AC20" i="8" s="1"/>
  <c r="Z4" i="8"/>
  <c r="W61" i="6" s="1"/>
  <c r="Z20" i="8" s="1"/>
  <c r="Y4" i="8"/>
  <c r="V61" i="6" s="1"/>
  <c r="N4" i="8"/>
  <c r="K61" i="6" s="1"/>
  <c r="N20" i="8" s="1"/>
  <c r="L4" i="8"/>
  <c r="I61" i="6" s="1"/>
  <c r="L20" i="8" s="1"/>
  <c r="I4" i="8"/>
  <c r="F61" i="6" s="1"/>
  <c r="I20" i="8" s="1"/>
  <c r="H4" i="8"/>
  <c r="E61" i="6" s="1"/>
  <c r="G20" i="8" s="1"/>
  <c r="G4" i="8"/>
  <c r="F4" i="8"/>
  <c r="D61" i="6" s="1"/>
  <c r="F20" i="8" s="1"/>
  <c r="C4" i="8"/>
  <c r="B4" i="8"/>
  <c r="B61" i="6" s="1"/>
  <c r="BA3" i="8"/>
  <c r="AY3" i="8"/>
  <c r="AX3" i="8"/>
  <c r="AW3" i="8"/>
  <c r="AM3" i="8"/>
  <c r="AK3" i="8"/>
  <c r="AD3" i="8"/>
  <c r="AB3" i="8"/>
  <c r="AA3" i="8"/>
  <c r="Z3" i="8"/>
  <c r="Y3" i="8"/>
  <c r="X3" i="8"/>
  <c r="W3" i="8"/>
  <c r="M3" i="8"/>
  <c r="I3" i="8"/>
  <c r="G3" i="8"/>
  <c r="E3" i="8"/>
  <c r="D3" i="8"/>
  <c r="C3" i="8"/>
  <c r="B3" i="8"/>
  <c r="BA2" i="8"/>
  <c r="AQ60" i="6" s="1"/>
  <c r="BA19" i="8" s="1"/>
  <c r="AZ2" i="8"/>
  <c r="AP60" i="6" s="1"/>
  <c r="AY19" i="8" s="1"/>
  <c r="AY2" i="8"/>
  <c r="AX2" i="8"/>
  <c r="AO60" i="6" s="1"/>
  <c r="AX19" i="8" s="1"/>
  <c r="AW2" i="8"/>
  <c r="AN60" i="6" s="1"/>
  <c r="AW19" i="8" s="1"/>
  <c r="AE2" i="8"/>
  <c r="AA60" i="6" s="1"/>
  <c r="AE19" i="8" s="1"/>
  <c r="AD2" i="8"/>
  <c r="Z60" i="6" s="1"/>
  <c r="AD19" i="8" s="1"/>
  <c r="AC2" i="8"/>
  <c r="Y60" i="6" s="1"/>
  <c r="AC19" i="8" s="1"/>
  <c r="AB2" i="8"/>
  <c r="X60" i="6" s="1"/>
  <c r="AA2" i="8"/>
  <c r="Y2" i="8"/>
  <c r="V60" i="6" s="1"/>
  <c r="X2" i="8"/>
  <c r="U60" i="6" s="1"/>
  <c r="X19" i="8" s="1"/>
  <c r="W2" i="8"/>
  <c r="T60" i="6" s="1"/>
  <c r="W19" i="8" s="1"/>
  <c r="V2" i="8"/>
  <c r="S60" i="6" s="1"/>
  <c r="V19" i="8" s="1"/>
  <c r="K2" i="8"/>
  <c r="H60" i="6" s="1"/>
  <c r="K19" i="8" s="1"/>
  <c r="I2" i="8"/>
  <c r="G2" i="8"/>
  <c r="F2" i="8"/>
  <c r="D60" i="6" s="1"/>
  <c r="F19" i="8" s="1"/>
  <c r="E2" i="8"/>
  <c r="C60" i="6" s="1"/>
  <c r="E19" i="8" s="1"/>
  <c r="C2" i="8"/>
  <c r="B2" i="8"/>
  <c r="B60" i="6" s="1"/>
  <c r="D21" i="8" l="1"/>
  <c r="C21" i="8"/>
  <c r="B21" i="8"/>
  <c r="AI19" i="10"/>
  <c r="AM19" i="10"/>
  <c r="AK19" i="10"/>
  <c r="AL19" i="10"/>
  <c r="AJ19" i="10"/>
  <c r="H20" i="8"/>
  <c r="E23" i="8"/>
  <c r="AC62" i="6"/>
  <c r="AG21" i="8" s="1"/>
  <c r="V9" i="9"/>
  <c r="O5" i="8"/>
  <c r="R6" i="8"/>
  <c r="R7" i="8"/>
  <c r="U8" i="8"/>
  <c r="AC9" i="8"/>
  <c r="AM10" i="8"/>
  <c r="AY11" i="8"/>
  <c r="AV15" i="8"/>
  <c r="AI18" i="8"/>
  <c r="F23" i="8"/>
  <c r="AR25" i="8"/>
  <c r="V25" i="8"/>
  <c r="AZ24" i="8"/>
  <c r="AD24" i="8"/>
  <c r="H24" i="8"/>
  <c r="AP17" i="8"/>
  <c r="T17" i="8"/>
  <c r="AX16" i="8"/>
  <c r="AB16" i="8"/>
  <c r="F16" i="8"/>
  <c r="AZ13" i="8"/>
  <c r="AD13" i="8"/>
  <c r="AN25" i="8"/>
  <c r="R25" i="8"/>
  <c r="AV24" i="8"/>
  <c r="Z24" i="8"/>
  <c r="D24" i="8"/>
  <c r="AL17" i="8"/>
  <c r="P17" i="8"/>
  <c r="AT16" i="8"/>
  <c r="X16" i="8"/>
  <c r="B16" i="8"/>
  <c r="AV13" i="8"/>
  <c r="Z13" i="8"/>
  <c r="D13" i="8"/>
  <c r="AH12" i="8"/>
  <c r="L12" i="8"/>
  <c r="AF4" i="8"/>
  <c r="AB61" i="6" s="1"/>
  <c r="AF20" i="8" s="1"/>
  <c r="J4" i="8"/>
  <c r="G61" i="6" s="1"/>
  <c r="J20" i="8" s="1"/>
  <c r="AN3" i="8"/>
  <c r="R3" i="8"/>
  <c r="AS25" i="8"/>
  <c r="T25" i="8"/>
  <c r="AU24" i="8"/>
  <c r="W24" i="8"/>
  <c r="AW17" i="8"/>
  <c r="Y17" i="8"/>
  <c r="BA16" i="8"/>
  <c r="AH25" i="8"/>
  <c r="J25" i="8"/>
  <c r="AL24" i="8"/>
  <c r="N24" i="8"/>
  <c r="AK25" i="8"/>
  <c r="K25" i="8"/>
  <c r="AJ24" i="8"/>
  <c r="J24" i="8"/>
  <c r="AD17" i="8"/>
  <c r="E17" i="8"/>
  <c r="AF16" i="8"/>
  <c r="H16" i="8"/>
  <c r="AP13" i="8"/>
  <c r="R13" i="8"/>
  <c r="AU12" i="8"/>
  <c r="X12" i="8"/>
  <c r="AJ25" i="8"/>
  <c r="I25" i="8"/>
  <c r="AI24" i="8"/>
  <c r="I24" i="8"/>
  <c r="AC17" i="8"/>
  <c r="D17" i="8"/>
  <c r="AE16" i="8"/>
  <c r="G16" i="8"/>
  <c r="AO13" i="8"/>
  <c r="Q13" i="8"/>
  <c r="AT12" i="8"/>
  <c r="W12" i="8"/>
  <c r="AM25" i="8"/>
  <c r="H25" i="8"/>
  <c r="AF24" i="8"/>
  <c r="B24" i="8"/>
  <c r="AT17" i="8"/>
  <c r="R17" i="8"/>
  <c r="AP16" i="8"/>
  <c r="P16" i="8"/>
  <c r="AL13" i="8"/>
  <c r="L13" i="8"/>
  <c r="AM12" i="8"/>
  <c r="N12" i="8"/>
  <c r="AY4" i="8"/>
  <c r="AB4" i="8"/>
  <c r="X61" i="6" s="1"/>
  <c r="E4" i="8"/>
  <c r="C61" i="6" s="1"/>
  <c r="E20" i="8" s="1"/>
  <c r="AH3" i="8"/>
  <c r="K3" i="8"/>
  <c r="AL25" i="8"/>
  <c r="G25" i="8"/>
  <c r="AS17" i="8"/>
  <c r="AO16" i="8"/>
  <c r="O16" i="8"/>
  <c r="AK13" i="8"/>
  <c r="AL12" i="8"/>
  <c r="M12" i="8"/>
  <c r="AX4" i="8"/>
  <c r="AO61" i="6" s="1"/>
  <c r="AX20" i="8" s="1"/>
  <c r="AA4" i="8"/>
  <c r="D4" i="8"/>
  <c r="J3" i="8"/>
  <c r="AR17" i="8"/>
  <c r="O17" i="8"/>
  <c r="AN16" i="8"/>
  <c r="AJ13" i="8"/>
  <c r="AK12" i="8"/>
  <c r="K12" i="8"/>
  <c r="AE24" i="8"/>
  <c r="Q17" i="8"/>
  <c r="K13" i="8"/>
  <c r="AG3" i="8"/>
  <c r="AI25" i="8"/>
  <c r="F25" i="8"/>
  <c r="AC24" i="8"/>
  <c r="N16" i="8"/>
  <c r="J13" i="8"/>
  <c r="AG25" i="8"/>
  <c r="E25" i="8"/>
  <c r="AB24" i="8"/>
  <c r="AE25" i="8"/>
  <c r="C25" i="8"/>
  <c r="Y24" i="8"/>
  <c r="AN17" i="8"/>
  <c r="L17" i="8"/>
  <c r="AK16" i="8"/>
  <c r="K16" i="8"/>
  <c r="AG13" i="8"/>
  <c r="G13" i="8"/>
  <c r="AG12" i="8"/>
  <c r="H12" i="8"/>
  <c r="AT4" i="8"/>
  <c r="AL61" i="6" s="1"/>
  <c r="W4" i="8"/>
  <c r="T61" i="6" s="1"/>
  <c r="W20" i="8" s="1"/>
  <c r="AZ3" i="8"/>
  <c r="AC3" i="8"/>
  <c r="F3" i="8"/>
  <c r="AA25" i="8"/>
  <c r="AX24" i="8"/>
  <c r="T24" i="8"/>
  <c r="AI17" i="8"/>
  <c r="H17" i="8"/>
  <c r="AG16" i="8"/>
  <c r="D16" i="8"/>
  <c r="AB13" i="8"/>
  <c r="B13" i="8"/>
  <c r="AC12" i="8"/>
  <c r="D12" i="8"/>
  <c r="AP4" i="8"/>
  <c r="AH61" i="6" s="1"/>
  <c r="AP20" i="8" s="1"/>
  <c r="S4" i="8"/>
  <c r="P61" i="6" s="1"/>
  <c r="S20" i="8" s="1"/>
  <c r="AY25" i="8"/>
  <c r="N25" i="8"/>
  <c r="U24" i="8"/>
  <c r="AK17" i="8"/>
  <c r="B17" i="8"/>
  <c r="T16" i="8"/>
  <c r="AM13" i="8"/>
  <c r="C13" i="8"/>
  <c r="V12" i="8"/>
  <c r="BA4" i="8"/>
  <c r="AQ61" i="6" s="1"/>
  <c r="BA20" i="8" s="1"/>
  <c r="X4" i="8"/>
  <c r="U61" i="6" s="1"/>
  <c r="X20" i="8" s="1"/>
  <c r="AV3" i="8"/>
  <c r="V3" i="8"/>
  <c r="U4" i="8"/>
  <c r="R61" i="6" s="1"/>
  <c r="U20" i="8" s="1"/>
  <c r="S12" i="8"/>
  <c r="AS3" i="8"/>
  <c r="E16" i="8"/>
  <c r="AX25" i="8"/>
  <c r="M25" i="8"/>
  <c r="S24" i="8"/>
  <c r="AJ17" i="8"/>
  <c r="AZ16" i="8"/>
  <c r="S16" i="8"/>
  <c r="AI13" i="8"/>
  <c r="BA12" i="8"/>
  <c r="U12" i="8"/>
  <c r="AZ4" i="8"/>
  <c r="AP61" i="6" s="1"/>
  <c r="V4" i="8"/>
  <c r="S61" i="6" s="1"/>
  <c r="V20" i="8" s="1"/>
  <c r="AU3" i="8"/>
  <c r="U3" i="8"/>
  <c r="AW4" i="8"/>
  <c r="AN61" i="6" s="1"/>
  <c r="AW20" i="8" s="1"/>
  <c r="AT3" i="8"/>
  <c r="AF13" i="8"/>
  <c r="S3" i="8"/>
  <c r="X13" i="8"/>
  <c r="AW25" i="8"/>
  <c r="L25" i="8"/>
  <c r="R24" i="8"/>
  <c r="AH17" i="8"/>
  <c r="AY16" i="8"/>
  <c r="R16" i="8"/>
  <c r="AH13" i="8"/>
  <c r="AZ12" i="8"/>
  <c r="T12" i="8"/>
  <c r="T3" i="8"/>
  <c r="T4" i="8"/>
  <c r="Q61" i="6" s="1"/>
  <c r="T20" i="8" s="1"/>
  <c r="J12" i="8"/>
  <c r="AV25" i="8"/>
  <c r="D25" i="8"/>
  <c r="Q24" i="8"/>
  <c r="AG17" i="8"/>
  <c r="AW16" i="8"/>
  <c r="Q16" i="8"/>
  <c r="AY12" i="8"/>
  <c r="AV4" i="8"/>
  <c r="AM61" i="6" s="1"/>
  <c r="AV20" i="8" s="1"/>
  <c r="AU25" i="8"/>
  <c r="B25" i="8"/>
  <c r="P24" i="8"/>
  <c r="AF17" i="8"/>
  <c r="AV16" i="8"/>
  <c r="M16" i="8"/>
  <c r="AE13" i="8"/>
  <c r="AX12" i="8"/>
  <c r="R12" i="8"/>
  <c r="AU4" i="8"/>
  <c r="R4" i="8"/>
  <c r="O61" i="6" s="1"/>
  <c r="R20" i="8" s="1"/>
  <c r="AR3" i="8"/>
  <c r="Q3" i="8"/>
  <c r="AQ25" i="8"/>
  <c r="M24" i="8"/>
  <c r="AS16" i="8"/>
  <c r="J16" i="8"/>
  <c r="AA13" i="8"/>
  <c r="P4" i="8"/>
  <c r="M61" i="6" s="1"/>
  <c r="P20" i="8" s="1"/>
  <c r="O3" i="8"/>
  <c r="AW24" i="8"/>
  <c r="AA17" i="8"/>
  <c r="I16" i="8"/>
  <c r="Y13" i="8"/>
  <c r="O12" i="8"/>
  <c r="AQ4" i="8"/>
  <c r="AI61" i="6" s="1"/>
  <c r="AQ20" i="8" s="1"/>
  <c r="AO3" i="8"/>
  <c r="AO25" i="8"/>
  <c r="Z17" i="8"/>
  <c r="AT25" i="8"/>
  <c r="BA24" i="8"/>
  <c r="O24" i="8"/>
  <c r="AE17" i="8"/>
  <c r="AU16" i="8"/>
  <c r="L16" i="8"/>
  <c r="AC13" i="8"/>
  <c r="AW12" i="8"/>
  <c r="Q12" i="8"/>
  <c r="AS4" i="8"/>
  <c r="AK61" i="6" s="1"/>
  <c r="AS20" i="8" s="1"/>
  <c r="Q4" i="8"/>
  <c r="N61" i="6" s="1"/>
  <c r="Q20" i="8" s="1"/>
  <c r="AQ3" i="8"/>
  <c r="P3" i="8"/>
  <c r="AY24" i="8"/>
  <c r="AB17" i="8"/>
  <c r="AV12" i="8"/>
  <c r="P12" i="8"/>
  <c r="AR4" i="8"/>
  <c r="AJ61" i="6" s="1"/>
  <c r="AR20" i="8" s="1"/>
  <c r="AP3" i="8"/>
  <c r="AP25" i="8"/>
  <c r="L24" i="8"/>
  <c r="AR16" i="8"/>
  <c r="AS12" i="8"/>
  <c r="O4" i="8"/>
  <c r="L61" i="6" s="1"/>
  <c r="O20" i="8" s="1"/>
  <c r="N3" i="8"/>
  <c r="AT24" i="8"/>
  <c r="K24" i="8"/>
  <c r="AQ16" i="8"/>
  <c r="AR12" i="8"/>
  <c r="AF25" i="8"/>
  <c r="AS24" i="8"/>
  <c r="G24" i="8"/>
  <c r="X17" i="8"/>
  <c r="AM16" i="8"/>
  <c r="C16" i="8"/>
  <c r="W13" i="8"/>
  <c r="AQ12" i="8"/>
  <c r="I12" i="8"/>
  <c r="AN4" i="8"/>
  <c r="AF61" i="6" s="1"/>
  <c r="AN20" i="8" s="1"/>
  <c r="M4" i="8"/>
  <c r="J61" i="6" s="1"/>
  <c r="M20" i="8" s="1"/>
  <c r="AL3" i="8"/>
  <c r="L3" i="8"/>
  <c r="AC25" i="8"/>
  <c r="AQ24" i="8"/>
  <c r="E24" i="8"/>
  <c r="V17" i="8"/>
  <c r="AJ16" i="8"/>
  <c r="U13" i="8"/>
  <c r="AO12" i="8"/>
  <c r="F12" i="8"/>
  <c r="AL4" i="8"/>
  <c r="K4" i="8"/>
  <c r="H61" i="6" s="1"/>
  <c r="K20" i="8" s="1"/>
  <c r="AJ3" i="8"/>
  <c r="H3" i="8"/>
  <c r="Z7" i="9"/>
  <c r="AV9" i="9"/>
  <c r="T8" i="8"/>
  <c r="AB19" i="8"/>
  <c r="AA19" i="8"/>
  <c r="R5" i="8"/>
  <c r="S6" i="8"/>
  <c r="S7" i="8"/>
  <c r="AD9" i="8"/>
  <c r="AQ10" i="8"/>
  <c r="AI62" i="6" s="1"/>
  <c r="AQ21" i="8" s="1"/>
  <c r="AW15" i="8"/>
  <c r="AK18" i="8"/>
  <c r="I23" i="8"/>
  <c r="AU2" i="8"/>
  <c r="U2" i="8"/>
  <c r="R60" i="6" s="1"/>
  <c r="U19" i="8" s="1"/>
  <c r="AS2" i="8"/>
  <c r="AK60" i="6" s="1"/>
  <c r="AS19" i="8" s="1"/>
  <c r="AT2" i="8"/>
  <c r="AL60" i="6" s="1"/>
  <c r="T2" i="8"/>
  <c r="Q60" i="6" s="1"/>
  <c r="T19" i="8" s="1"/>
  <c r="S2" i="8"/>
  <c r="P60" i="6" s="1"/>
  <c r="S19" i="8" s="1"/>
  <c r="AY14" i="8"/>
  <c r="S14" i="8"/>
  <c r="P63" i="6" s="1"/>
  <c r="S22" i="8" s="1"/>
  <c r="Q14" i="8"/>
  <c r="N63" i="6" s="1"/>
  <c r="Q22" i="8" s="1"/>
  <c r="R2" i="8"/>
  <c r="O60" i="6" s="1"/>
  <c r="R19" i="8" s="1"/>
  <c r="AX14" i="8"/>
  <c r="AO63" i="6" s="1"/>
  <c r="AX22" i="8" s="1"/>
  <c r="AR2" i="8"/>
  <c r="AJ60" i="6" s="1"/>
  <c r="AR19" i="8" s="1"/>
  <c r="AT14" i="8"/>
  <c r="AL63" i="6" s="1"/>
  <c r="AL2" i="8"/>
  <c r="F14" i="8"/>
  <c r="D63" i="6" s="1"/>
  <c r="F22" i="8" s="1"/>
  <c r="H14" i="8"/>
  <c r="E63" i="6" s="1"/>
  <c r="L2" i="8"/>
  <c r="I60" i="6" s="1"/>
  <c r="L19" i="8" s="1"/>
  <c r="AS14" i="8"/>
  <c r="AK63" i="6" s="1"/>
  <c r="AS22" i="8" s="1"/>
  <c r="AG2" i="8"/>
  <c r="H2" i="8"/>
  <c r="E60" i="6" s="1"/>
  <c r="AA7" i="9"/>
  <c r="AW9" i="9"/>
  <c r="AI21" i="8"/>
  <c r="AM21" i="8"/>
  <c r="AK21" i="8"/>
  <c r="AL21" i="8"/>
  <c r="AR8" i="8"/>
  <c r="V8" i="8"/>
  <c r="AY8" i="8"/>
  <c r="AB8" i="8"/>
  <c r="E8" i="8"/>
  <c r="AX8" i="8"/>
  <c r="AA8" i="8"/>
  <c r="AW8" i="8"/>
  <c r="D8" i="8"/>
  <c r="AO8" i="8"/>
  <c r="R8" i="8"/>
  <c r="AN8" i="8"/>
  <c r="M8" i="8"/>
  <c r="J8" i="8"/>
  <c r="AM8" i="8"/>
  <c r="L8" i="8"/>
  <c r="K8" i="8"/>
  <c r="AL8" i="8"/>
  <c r="AK8" i="8"/>
  <c r="AJ8" i="8"/>
  <c r="I8" i="8"/>
  <c r="AH8" i="8"/>
  <c r="AG8" i="8"/>
  <c r="AF8" i="8"/>
  <c r="AI8" i="8"/>
  <c r="H8" i="8"/>
  <c r="G8" i="8"/>
  <c r="F8" i="8"/>
  <c r="C8" i="8"/>
  <c r="AE8" i="8"/>
  <c r="B8" i="8"/>
  <c r="AC8" i="8"/>
  <c r="Y8" i="8"/>
  <c r="AE5" i="8"/>
  <c r="W6" i="8"/>
  <c r="U7" i="8"/>
  <c r="Z8" i="8"/>
  <c r="AF9" i="8"/>
  <c r="AS10" i="8"/>
  <c r="AK62" i="6" s="1"/>
  <c r="AS21" i="8" s="1"/>
  <c r="AY15" i="8"/>
  <c r="AM18" i="8"/>
  <c r="AJ21" i="8"/>
  <c r="K23" i="8"/>
  <c r="AA15" i="8"/>
  <c r="AD7" i="9"/>
  <c r="AG6" i="8"/>
  <c r="AD8" i="8"/>
  <c r="AG4" i="8"/>
  <c r="AM7" i="8"/>
  <c r="AZ9" i="8"/>
  <c r="Y12" i="8"/>
  <c r="AN13" i="8"/>
  <c r="B15" i="8"/>
  <c r="U16" i="8"/>
  <c r="AM17" i="8"/>
  <c r="AK23" i="8"/>
  <c r="O25" i="8"/>
  <c r="AE7" i="8"/>
  <c r="AT7" i="9"/>
  <c r="AQ14" i="8"/>
  <c r="AI63" i="6" s="1"/>
  <c r="AQ22" i="8" s="1"/>
  <c r="AJ7" i="9"/>
  <c r="AI11" i="9"/>
  <c r="V23" i="9"/>
  <c r="AF5" i="8"/>
  <c r="W7" i="8"/>
  <c r="AH9" i="8"/>
  <c r="AU10" i="8"/>
  <c r="BA15" i="8"/>
  <c r="AP18" i="8"/>
  <c r="O23" i="8"/>
  <c r="U23" i="9"/>
  <c r="AE3" i="8"/>
  <c r="AG5" i="8"/>
  <c r="AP8" i="8"/>
  <c r="AH2" i="8"/>
  <c r="AD60" i="6" s="1"/>
  <c r="AH19" i="8" s="1"/>
  <c r="AH4" i="8"/>
  <c r="AD61" i="6" s="1"/>
  <c r="AH20" i="8" s="1"/>
  <c r="AJ6" i="8"/>
  <c r="AQ8" i="8"/>
  <c r="BA9" i="8"/>
  <c r="L11" i="8"/>
  <c r="Z12" i="8"/>
  <c r="AQ13" i="8"/>
  <c r="D15" i="8"/>
  <c r="V16" i="8"/>
  <c r="AO17" i="8"/>
  <c r="AM23" i="8"/>
  <c r="P25" i="8"/>
  <c r="AK11" i="9"/>
  <c r="AA23" i="9"/>
  <c r="AF2" i="8"/>
  <c r="AB60" i="6" s="1"/>
  <c r="AF19" i="8" s="1"/>
  <c r="AI6" i="8"/>
  <c r="K11" i="8"/>
  <c r="AF3" i="8"/>
  <c r="AH5" i="8"/>
  <c r="AN7" i="8"/>
  <c r="AK2" i="8"/>
  <c r="AI3" i="8"/>
  <c r="AI4" i="8"/>
  <c r="AE61" i="6" s="1"/>
  <c r="AI5" i="8"/>
  <c r="AK6" i="8"/>
  <c r="AS8" i="8"/>
  <c r="P11" i="8"/>
  <c r="AA12" i="8"/>
  <c r="AR13" i="8"/>
  <c r="E15" i="8"/>
  <c r="W16" i="8"/>
  <c r="AQ17" i="8"/>
  <c r="AN23" i="8"/>
  <c r="Q25" i="8"/>
  <c r="AM15" i="9"/>
  <c r="AC23" i="9"/>
  <c r="AU20" i="9"/>
  <c r="AT20" i="9"/>
  <c r="AZ8" i="8"/>
  <c r="D19" i="8"/>
  <c r="C19" i="8"/>
  <c r="B19" i="8"/>
  <c r="BA8" i="8"/>
  <c r="C5" i="8"/>
  <c r="AQ5" i="8"/>
  <c r="AS6" i="8"/>
  <c r="AU23" i="8"/>
  <c r="AM6" i="10"/>
  <c r="Q6" i="10"/>
  <c r="AL6" i="10"/>
  <c r="P6" i="10"/>
  <c r="AK6" i="10"/>
  <c r="O6" i="10"/>
  <c r="AJ6" i="10"/>
  <c r="N6" i="10"/>
  <c r="AI6" i="10"/>
  <c r="M6" i="10"/>
  <c r="AQ6" i="10"/>
  <c r="U6" i="10"/>
  <c r="AS6" i="10"/>
  <c r="K6" i="10"/>
  <c r="AR6" i="10"/>
  <c r="J6" i="10"/>
  <c r="AP6" i="10"/>
  <c r="I6" i="10"/>
  <c r="AO6" i="10"/>
  <c r="H6" i="10"/>
  <c r="AN6" i="10"/>
  <c r="G6" i="10"/>
  <c r="AH6" i="10"/>
  <c r="F6" i="10"/>
  <c r="AD6" i="10"/>
  <c r="B6" i="10"/>
  <c r="AB6" i="10"/>
  <c r="R6" i="10"/>
  <c r="L6" i="10"/>
  <c r="BA6" i="10"/>
  <c r="E6" i="10"/>
  <c r="AY6" i="10"/>
  <c r="C6" i="10"/>
  <c r="AX6" i="10"/>
  <c r="AT6" i="10"/>
  <c r="AZ6" i="10"/>
  <c r="AW6" i="10"/>
  <c r="AV6" i="10"/>
  <c r="Z6" i="10"/>
  <c r="D6" i="10"/>
  <c r="AG6" i="10"/>
  <c r="AF6" i="10"/>
  <c r="AE6" i="10"/>
  <c r="AC6" i="10"/>
  <c r="T6" i="10"/>
  <c r="AU6" i="10"/>
  <c r="Y6" i="10"/>
  <c r="X6" i="10"/>
  <c r="W6" i="10"/>
  <c r="AA6" i="10"/>
  <c r="V6" i="10"/>
  <c r="S6" i="10"/>
  <c r="AJ9" i="8"/>
  <c r="N9" i="8"/>
  <c r="AP9" i="8"/>
  <c r="AT9" i="8"/>
  <c r="V9" i="8"/>
  <c r="AS9" i="8"/>
  <c r="U9" i="8"/>
  <c r="AR9" i="8"/>
  <c r="T9" i="8"/>
  <c r="AN9" i="8"/>
  <c r="Q9" i="8"/>
  <c r="AI9" i="8"/>
  <c r="L9" i="8"/>
  <c r="AY9" i="8"/>
  <c r="S9" i="8"/>
  <c r="AW9" i="8"/>
  <c r="AX9" i="8"/>
  <c r="R9" i="8"/>
  <c r="P9" i="8"/>
  <c r="AV9" i="8"/>
  <c r="O9" i="8"/>
  <c r="AU9" i="8"/>
  <c r="M9" i="8"/>
  <c r="AO9" i="8"/>
  <c r="AM9" i="8"/>
  <c r="H9" i="8"/>
  <c r="AQ9" i="8"/>
  <c r="K9" i="8"/>
  <c r="J9" i="8"/>
  <c r="I9" i="8"/>
  <c r="AL9" i="8"/>
  <c r="AK9" i="8"/>
  <c r="G9" i="8"/>
  <c r="AG9" i="8"/>
  <c r="E9" i="8"/>
  <c r="AQ9" i="9"/>
  <c r="U9" i="9"/>
  <c r="AM9" i="9"/>
  <c r="Q9" i="9"/>
  <c r="AL9" i="9"/>
  <c r="P9" i="9"/>
  <c r="AR9" i="9"/>
  <c r="R9" i="9"/>
  <c r="AK9" i="9"/>
  <c r="L9" i="9"/>
  <c r="AJ9" i="9"/>
  <c r="K9" i="9"/>
  <c r="AB9" i="9"/>
  <c r="AA9" i="9"/>
  <c r="Z9" i="9"/>
  <c r="BA9" i="9"/>
  <c r="Y9" i="9"/>
  <c r="AZ9" i="9"/>
  <c r="X9" i="9"/>
  <c r="AS9" i="9"/>
  <c r="M9" i="9"/>
  <c r="AF9" i="9"/>
  <c r="D9" i="9"/>
  <c r="AE9" i="9"/>
  <c r="C9" i="9"/>
  <c r="AT9" i="9"/>
  <c r="AP9" i="9"/>
  <c r="AO9" i="9"/>
  <c r="W9" i="9"/>
  <c r="T9" i="9"/>
  <c r="S9" i="9"/>
  <c r="J9" i="9"/>
  <c r="I9" i="9"/>
  <c r="H9" i="9"/>
  <c r="AG9" i="9"/>
  <c r="AU9" i="9"/>
  <c r="AN9" i="9"/>
  <c r="AI9" i="9"/>
  <c r="AH9" i="9"/>
  <c r="AD9" i="9"/>
  <c r="AC9" i="9"/>
  <c r="G9" i="9"/>
  <c r="AY9" i="9"/>
  <c r="AP11" i="8"/>
  <c r="T11" i="8"/>
  <c r="BA11" i="8"/>
  <c r="AD11" i="8"/>
  <c r="G11" i="8"/>
  <c r="AZ11" i="8"/>
  <c r="AC11" i="8"/>
  <c r="F11" i="8"/>
  <c r="AN11" i="8"/>
  <c r="O11" i="8"/>
  <c r="AM11" i="8"/>
  <c r="N11" i="8"/>
  <c r="AL11" i="8"/>
  <c r="M11" i="8"/>
  <c r="AI11" i="8"/>
  <c r="J11" i="8"/>
  <c r="AE11" i="8"/>
  <c r="D11" i="8"/>
  <c r="AR11" i="8"/>
  <c r="I11" i="8"/>
  <c r="AQ11" i="8"/>
  <c r="H11" i="8"/>
  <c r="AO11" i="8"/>
  <c r="E11" i="8"/>
  <c r="C11" i="8"/>
  <c r="AK11" i="8"/>
  <c r="AJ11" i="8"/>
  <c r="B11" i="8"/>
  <c r="AG11" i="8"/>
  <c r="AH11" i="8"/>
  <c r="AF11" i="8"/>
  <c r="AB11" i="8"/>
  <c r="AA11" i="8"/>
  <c r="Y11" i="8"/>
  <c r="AE15" i="8"/>
  <c r="AD15" i="8"/>
  <c r="X15" i="8"/>
  <c r="Y15" i="8"/>
  <c r="AI15" i="9"/>
  <c r="T15" i="9"/>
  <c r="K15" i="9"/>
  <c r="D5" i="8"/>
  <c r="AV5" i="8"/>
  <c r="AT6" i="8"/>
  <c r="C9" i="8"/>
  <c r="W11" i="8"/>
  <c r="S15" i="8"/>
  <c r="AW23" i="8"/>
  <c r="F7" i="8"/>
  <c r="AI7" i="8"/>
  <c r="AJ7" i="8"/>
  <c r="D7" i="8"/>
  <c r="Z7" i="8"/>
  <c r="AU7" i="9"/>
  <c r="AX23" i="9"/>
  <c r="AB23" i="9"/>
  <c r="F23" i="9"/>
  <c r="AV23" i="9"/>
  <c r="Z23" i="9"/>
  <c r="D23" i="9"/>
  <c r="AU23" i="9"/>
  <c r="Y23" i="9"/>
  <c r="C23" i="9"/>
  <c r="AZ23" i="9"/>
  <c r="X23" i="9"/>
  <c r="BA5" i="9"/>
  <c r="AE5" i="9"/>
  <c r="I5" i="9"/>
  <c r="AY23" i="9"/>
  <c r="AW23" i="9"/>
  <c r="AT23" i="9"/>
  <c r="AS23" i="9"/>
  <c r="T23" i="9"/>
  <c r="AW5" i="9"/>
  <c r="AA5" i="9"/>
  <c r="E5" i="9"/>
  <c r="AR23" i="9"/>
  <c r="S23" i="9"/>
  <c r="AV5" i="9"/>
  <c r="Z5" i="9"/>
  <c r="D5" i="9"/>
  <c r="R23" i="9"/>
  <c r="AT5" i="9"/>
  <c r="U5" i="9"/>
  <c r="AP23" i="9"/>
  <c r="N23" i="9"/>
  <c r="AP5" i="9"/>
  <c r="Q5" i="9"/>
  <c r="AO23" i="9"/>
  <c r="M23" i="9"/>
  <c r="AO5" i="9"/>
  <c r="P5" i="9"/>
  <c r="BA23" i="9"/>
  <c r="K23" i="9"/>
  <c r="AD5" i="9"/>
  <c r="AQ23" i="9"/>
  <c r="J23" i="9"/>
  <c r="AC5" i="9"/>
  <c r="AN23" i="9"/>
  <c r="I23" i="9"/>
  <c r="AB5" i="9"/>
  <c r="AM23" i="9"/>
  <c r="H23" i="9"/>
  <c r="Y5" i="9"/>
  <c r="AL23" i="9"/>
  <c r="G23" i="9"/>
  <c r="X5" i="9"/>
  <c r="AE23" i="9"/>
  <c r="AR5" i="9"/>
  <c r="N5" i="9"/>
  <c r="Q23" i="9"/>
  <c r="AI5" i="9"/>
  <c r="F5" i="9"/>
  <c r="P23" i="9"/>
  <c r="AH5" i="9"/>
  <c r="C5" i="9"/>
  <c r="L23" i="9"/>
  <c r="S5" i="9"/>
  <c r="E23" i="9"/>
  <c r="R5" i="9"/>
  <c r="B23" i="9"/>
  <c r="O5" i="9"/>
  <c r="AK23" i="9"/>
  <c r="AU5" i="9"/>
  <c r="B5" i="9"/>
  <c r="W23" i="9"/>
  <c r="G5" i="9"/>
  <c r="AX5" i="9"/>
  <c r="AS5" i="9"/>
  <c r="AJ23" i="9"/>
  <c r="L5" i="9"/>
  <c r="O23" i="9"/>
  <c r="AF5" i="9"/>
  <c r="W5" i="9"/>
  <c r="V5" i="9"/>
  <c r="T5" i="9"/>
  <c r="M5" i="9"/>
  <c r="K5" i="9"/>
  <c r="AZ5" i="9"/>
  <c r="AY5" i="9"/>
  <c r="AQ5" i="9"/>
  <c r="AI23" i="9"/>
  <c r="AH18" i="8"/>
  <c r="L18" i="8"/>
  <c r="AZ18" i="8"/>
  <c r="AD18" i="8"/>
  <c r="H18" i="8"/>
  <c r="AX10" i="8"/>
  <c r="AO62" i="6" s="1"/>
  <c r="AX21" i="8" s="1"/>
  <c r="AB10" i="8"/>
  <c r="X62" i="6" s="1"/>
  <c r="F10" i="8"/>
  <c r="D62" i="6" s="1"/>
  <c r="F21" i="8" s="1"/>
  <c r="AS18" i="8"/>
  <c r="U18" i="8"/>
  <c r="AJ18" i="8"/>
  <c r="AB18" i="8"/>
  <c r="C18" i="8"/>
  <c r="AJ10" i="8"/>
  <c r="M10" i="8"/>
  <c r="J62" i="6" s="1"/>
  <c r="M21" i="8" s="1"/>
  <c r="AA18" i="8"/>
  <c r="B18" i="8"/>
  <c r="AX18" i="8"/>
  <c r="V18" i="8"/>
  <c r="AP10" i="8"/>
  <c r="AH62" i="6" s="1"/>
  <c r="AP21" i="8" s="1"/>
  <c r="R10" i="8"/>
  <c r="O62" i="6" s="1"/>
  <c r="R21" i="8" s="1"/>
  <c r="AW18" i="8"/>
  <c r="T18" i="8"/>
  <c r="AO10" i="8"/>
  <c r="AG62" i="6" s="1"/>
  <c r="AO21" i="8" s="1"/>
  <c r="S18" i="8"/>
  <c r="AN10" i="8"/>
  <c r="AF62" i="6" s="1"/>
  <c r="AN21" i="8" s="1"/>
  <c r="Q10" i="8"/>
  <c r="N62" i="6" s="1"/>
  <c r="Q21" i="8" s="1"/>
  <c r="AV18" i="8"/>
  <c r="P10" i="8"/>
  <c r="M62" i="6" s="1"/>
  <c r="P21" i="8" s="1"/>
  <c r="AR18" i="8"/>
  <c r="P18" i="8"/>
  <c r="AK10" i="8"/>
  <c r="L10" i="8"/>
  <c r="I62" i="6" s="1"/>
  <c r="L21" i="8" s="1"/>
  <c r="AN18" i="8"/>
  <c r="K18" i="8"/>
  <c r="AF10" i="8"/>
  <c r="AB62" i="6" s="1"/>
  <c r="AF21" i="8" s="1"/>
  <c r="H10" i="8"/>
  <c r="E62" i="6" s="1"/>
  <c r="X18" i="8"/>
  <c r="AC10" i="8"/>
  <c r="Y62" i="6" s="1"/>
  <c r="AC21" i="8" s="1"/>
  <c r="Y10" i="8"/>
  <c r="V62" i="6" s="1"/>
  <c r="Y21" i="8" s="1"/>
  <c r="W18" i="8"/>
  <c r="AA10" i="8"/>
  <c r="R18" i="8"/>
  <c r="Z10" i="8"/>
  <c r="W62" i="6" s="1"/>
  <c r="Z21" i="8" s="1"/>
  <c r="Q18" i="8"/>
  <c r="T10" i="8"/>
  <c r="Q62" i="6" s="1"/>
  <c r="T21" i="8" s="1"/>
  <c r="O18" i="8"/>
  <c r="X10" i="8"/>
  <c r="U62" i="6" s="1"/>
  <c r="X21" i="8" s="1"/>
  <c r="M18" i="8"/>
  <c r="V10" i="8"/>
  <c r="S62" i="6" s="1"/>
  <c r="V21" i="8" s="1"/>
  <c r="AU18" i="8"/>
  <c r="AY10" i="8"/>
  <c r="I18" i="8"/>
  <c r="AW10" i="8"/>
  <c r="AN62" i="6" s="1"/>
  <c r="AW21" i="8" s="1"/>
  <c r="BA18" i="8"/>
  <c r="N18" i="8"/>
  <c r="BA10" i="8"/>
  <c r="AQ62" i="6" s="1"/>
  <c r="BA21" i="8" s="1"/>
  <c r="W10" i="8"/>
  <c r="T62" i="6" s="1"/>
  <c r="W21" i="8" s="1"/>
  <c r="AY18" i="8"/>
  <c r="AZ10" i="8"/>
  <c r="AP62" i="6" s="1"/>
  <c r="J18" i="8"/>
  <c r="U10" i="8"/>
  <c r="R62" i="6" s="1"/>
  <c r="U21" i="8" s="1"/>
  <c r="AT18" i="8"/>
  <c r="AQ18" i="8"/>
  <c r="G18" i="8"/>
  <c r="AV10" i="8"/>
  <c r="AM62" i="6" s="1"/>
  <c r="AV21" i="8" s="1"/>
  <c r="S10" i="8"/>
  <c r="P62" i="6" s="1"/>
  <c r="S21" i="8" s="1"/>
  <c r="AO18" i="8"/>
  <c r="E18" i="8"/>
  <c r="AT10" i="8"/>
  <c r="AL62" i="6" s="1"/>
  <c r="N10" i="8"/>
  <c r="K62" i="6" s="1"/>
  <c r="N21" i="8" s="1"/>
  <c r="AK5" i="9"/>
  <c r="AL5" i="9"/>
  <c r="D20" i="8"/>
  <c r="C20" i="8"/>
  <c r="B20" i="8"/>
  <c r="V15" i="8"/>
  <c r="AB22" i="8"/>
  <c r="AM14" i="10"/>
  <c r="Q14" i="10"/>
  <c r="N93" i="6" s="1"/>
  <c r="Q22" i="10" s="1"/>
  <c r="AW2" i="10"/>
  <c r="AN90" i="6" s="1"/>
  <c r="AW19" i="10" s="1"/>
  <c r="AL14" i="10"/>
  <c r="P14" i="10"/>
  <c r="M93" i="6" s="1"/>
  <c r="P22" i="10" s="1"/>
  <c r="AV2" i="10"/>
  <c r="AM90" i="6" s="1"/>
  <c r="AV19" i="10" s="1"/>
  <c r="Z2" i="10"/>
  <c r="W90" i="6" s="1"/>
  <c r="Z19" i="10" s="1"/>
  <c r="D2" i="10"/>
  <c r="AK14" i="10"/>
  <c r="O14" i="10"/>
  <c r="L93" i="6" s="1"/>
  <c r="O22" i="10" s="1"/>
  <c r="AJ14" i="10"/>
  <c r="N14" i="10"/>
  <c r="K93" i="6" s="1"/>
  <c r="N22" i="10" s="1"/>
  <c r="AT2" i="10"/>
  <c r="AL90" i="6" s="1"/>
  <c r="X2" i="10"/>
  <c r="U90" i="6" s="1"/>
  <c r="X19" i="10" s="1"/>
  <c r="B2" i="10"/>
  <c r="B90" i="6" s="1"/>
  <c r="AI14" i="10"/>
  <c r="AE93" i="6" s="1"/>
  <c r="M14" i="10"/>
  <c r="J93" i="6" s="1"/>
  <c r="M22" i="10" s="1"/>
  <c r="AS2" i="10"/>
  <c r="AK90" i="6" s="1"/>
  <c r="AS19" i="10" s="1"/>
  <c r="W2" i="10"/>
  <c r="T90" i="6" s="1"/>
  <c r="W19" i="10" s="1"/>
  <c r="AQ14" i="10"/>
  <c r="AI93" i="6" s="1"/>
  <c r="AQ22" i="10" s="1"/>
  <c r="U14" i="10"/>
  <c r="R93" i="6" s="1"/>
  <c r="U22" i="10" s="1"/>
  <c r="BA2" i="10"/>
  <c r="AQ90" i="6" s="1"/>
  <c r="BA19" i="10" s="1"/>
  <c r="AX14" i="10"/>
  <c r="AO93" i="6" s="1"/>
  <c r="AX22" i="10" s="1"/>
  <c r="V14" i="10"/>
  <c r="S93" i="6" s="1"/>
  <c r="V22" i="10" s="1"/>
  <c r="AX2" i="10"/>
  <c r="AO90" i="6" s="1"/>
  <c r="AX19" i="10" s="1"/>
  <c r="U2" i="10"/>
  <c r="R90" i="6" s="1"/>
  <c r="U19" i="10" s="1"/>
  <c r="AW14" i="10"/>
  <c r="AN93" i="6" s="1"/>
  <c r="AW22" i="10" s="1"/>
  <c r="T14" i="10"/>
  <c r="Q93" i="6" s="1"/>
  <c r="T22" i="10" s="1"/>
  <c r="AU2" i="10"/>
  <c r="T2" i="10"/>
  <c r="Q90" i="6" s="1"/>
  <c r="T19" i="10" s="1"/>
  <c r="AV14" i="10"/>
  <c r="AM93" i="6" s="1"/>
  <c r="AV22" i="10" s="1"/>
  <c r="S14" i="10"/>
  <c r="P93" i="6" s="1"/>
  <c r="S22" i="10" s="1"/>
  <c r="AR2" i="10"/>
  <c r="AJ90" i="6" s="1"/>
  <c r="AR19" i="10" s="1"/>
  <c r="S2" i="10"/>
  <c r="P90" i="6" s="1"/>
  <c r="S19" i="10" s="1"/>
  <c r="AU14" i="10"/>
  <c r="R14" i="10"/>
  <c r="O93" i="6" s="1"/>
  <c r="R22" i="10" s="1"/>
  <c r="AQ2" i="10"/>
  <c r="AI90" i="6" s="1"/>
  <c r="AQ19" i="10" s="1"/>
  <c r="R2" i="10"/>
  <c r="O90" i="6" s="1"/>
  <c r="R19" i="10" s="1"/>
  <c r="AT14" i="10"/>
  <c r="AL93" i="6" s="1"/>
  <c r="L14" i="10"/>
  <c r="I93" i="6" s="1"/>
  <c r="L22" i="10" s="1"/>
  <c r="AP2" i="10"/>
  <c r="AH90" i="6" s="1"/>
  <c r="AP19" i="10" s="1"/>
  <c r="Q2" i="10"/>
  <c r="N90" i="6" s="1"/>
  <c r="Q19" i="10" s="1"/>
  <c r="AS14" i="10"/>
  <c r="AK93" i="6" s="1"/>
  <c r="AS22" i="10" s="1"/>
  <c r="K14" i="10"/>
  <c r="H93" i="6" s="1"/>
  <c r="K22" i="10" s="1"/>
  <c r="AO2" i="10"/>
  <c r="AG90" i="6" s="1"/>
  <c r="AO19" i="10" s="1"/>
  <c r="P2" i="10"/>
  <c r="M90" i="6" s="1"/>
  <c r="P19" i="10" s="1"/>
  <c r="AN14" i="10"/>
  <c r="AF93" i="6" s="1"/>
  <c r="AN22" i="10" s="1"/>
  <c r="G14" i="10"/>
  <c r="AK2" i="10"/>
  <c r="L2" i="10"/>
  <c r="I90" i="6" s="1"/>
  <c r="L19" i="10" s="1"/>
  <c r="AG14" i="10"/>
  <c r="AC93" i="6" s="1"/>
  <c r="AG22" i="10" s="1"/>
  <c r="E14" i="10"/>
  <c r="C93" i="6" s="1"/>
  <c r="E22" i="10" s="1"/>
  <c r="AC14" i="10"/>
  <c r="Y93" i="6" s="1"/>
  <c r="AC22" i="10" s="1"/>
  <c r="AM2" i="10"/>
  <c r="F2" i="10"/>
  <c r="D90" i="6" s="1"/>
  <c r="F19" i="10" s="1"/>
  <c r="AB14" i="10"/>
  <c r="X93" i="6" s="1"/>
  <c r="AL2" i="10"/>
  <c r="E2" i="10"/>
  <c r="C90" i="6" s="1"/>
  <c r="E19" i="10" s="1"/>
  <c r="AA14" i="10"/>
  <c r="Y14" i="10"/>
  <c r="V93" i="6" s="1"/>
  <c r="Y22" i="10" s="1"/>
  <c r="AH2" i="10"/>
  <c r="AD90" i="6" s="1"/>
  <c r="AH19" i="10" s="1"/>
  <c r="X14" i="10"/>
  <c r="U93" i="6" s="1"/>
  <c r="X22" i="10" s="1"/>
  <c r="AG2" i="10"/>
  <c r="AC90" i="6" s="1"/>
  <c r="AG19" i="10" s="1"/>
  <c r="H14" i="10"/>
  <c r="E93" i="6" s="1"/>
  <c r="AC2" i="10"/>
  <c r="Y90" i="6" s="1"/>
  <c r="AC19" i="10" s="1"/>
  <c r="AH14" i="10"/>
  <c r="AD93" i="6" s="1"/>
  <c r="AH22" i="10" s="1"/>
  <c r="AA2" i="10"/>
  <c r="Y2" i="10"/>
  <c r="V90" i="6" s="1"/>
  <c r="Y19" i="10" s="1"/>
  <c r="BA14" i="10"/>
  <c r="AQ93" i="6" s="1"/>
  <c r="BA22" i="10" s="1"/>
  <c r="V2" i="10"/>
  <c r="S90" i="6" s="1"/>
  <c r="V19" i="10" s="1"/>
  <c r="AZ14" i="10"/>
  <c r="AP93" i="6" s="1"/>
  <c r="O2" i="10"/>
  <c r="L90" i="6" s="1"/>
  <c r="O19" i="10" s="1"/>
  <c r="AY14" i="10"/>
  <c r="N2" i="10"/>
  <c r="K90" i="6" s="1"/>
  <c r="N19" i="10" s="1"/>
  <c r="Z14" i="10"/>
  <c r="W93" i="6" s="1"/>
  <c r="Z22" i="10" s="1"/>
  <c r="C2" i="10"/>
  <c r="B14" i="10"/>
  <c r="B93" i="6" s="1"/>
  <c r="AF2" i="10"/>
  <c r="AB90" i="6" s="1"/>
  <c r="AF19" i="10" s="1"/>
  <c r="AE2" i="10"/>
  <c r="AA90" i="6" s="1"/>
  <c r="AE19" i="10" s="1"/>
  <c r="AO14" i="10"/>
  <c r="AG93" i="6" s="1"/>
  <c r="AO22" i="10" s="1"/>
  <c r="AD2" i="10"/>
  <c r="Z90" i="6" s="1"/>
  <c r="AD19" i="10" s="1"/>
  <c r="C14" i="10"/>
  <c r="AP14" i="10"/>
  <c r="AH93" i="6" s="1"/>
  <c r="AP22" i="10" s="1"/>
  <c r="I2" i="10"/>
  <c r="F90" i="6" s="1"/>
  <c r="I19" i="10" s="1"/>
  <c r="AF14" i="10"/>
  <c r="AB93" i="6" s="1"/>
  <c r="AF22" i="10" s="1"/>
  <c r="H2" i="10"/>
  <c r="E90" i="6" s="1"/>
  <c r="AE14" i="10"/>
  <c r="AA93" i="6" s="1"/>
  <c r="AE22" i="10" s="1"/>
  <c r="G2" i="10"/>
  <c r="W14" i="10"/>
  <c r="T93" i="6" s="1"/>
  <c r="W22" i="10" s="1"/>
  <c r="J14" i="10"/>
  <c r="G93" i="6" s="1"/>
  <c r="J22" i="10" s="1"/>
  <c r="I14" i="10"/>
  <c r="F93" i="6" s="1"/>
  <c r="I22" i="10" s="1"/>
  <c r="AB2" i="10"/>
  <c r="X90" i="6" s="1"/>
  <c r="AR14" i="10"/>
  <c r="AJ93" i="6" s="1"/>
  <c r="AR22" i="10" s="1"/>
  <c r="M2" i="10"/>
  <c r="J90" i="6" s="1"/>
  <c r="M19" i="10" s="1"/>
  <c r="AD14" i="10"/>
  <c r="Z93" i="6" s="1"/>
  <c r="AD22" i="10" s="1"/>
  <c r="K2" i="10"/>
  <c r="H90" i="6" s="1"/>
  <c r="K19" i="10" s="1"/>
  <c r="F14" i="10"/>
  <c r="D93" i="6" s="1"/>
  <c r="F22" i="10" s="1"/>
  <c r="J2" i="10"/>
  <c r="G90" i="6" s="1"/>
  <c r="J19" i="10" s="1"/>
  <c r="D14" i="10"/>
  <c r="AU23" i="10"/>
  <c r="Y23" i="10"/>
  <c r="C23" i="10"/>
  <c r="AU5" i="10"/>
  <c r="Y5" i="10"/>
  <c r="C5" i="10"/>
  <c r="AT23" i="10"/>
  <c r="X23" i="10"/>
  <c r="B23" i="10"/>
  <c r="AT5" i="10"/>
  <c r="X5" i="10"/>
  <c r="B5" i="10"/>
  <c r="AS23" i="10"/>
  <c r="W23" i="10"/>
  <c r="AS5" i="10"/>
  <c r="AR23" i="10"/>
  <c r="V23" i="10"/>
  <c r="AR5" i="10"/>
  <c r="V5" i="10"/>
  <c r="AQ23" i="10"/>
  <c r="U23" i="10"/>
  <c r="AQ5" i="10"/>
  <c r="U5" i="10"/>
  <c r="AY23" i="10"/>
  <c r="AC23" i="10"/>
  <c r="G23" i="10"/>
  <c r="AY5" i="10"/>
  <c r="AC5" i="10"/>
  <c r="G5" i="10"/>
  <c r="AH23" i="10"/>
  <c r="E23" i="10"/>
  <c r="AI5" i="10"/>
  <c r="H5" i="10"/>
  <c r="AG23" i="10"/>
  <c r="D23" i="10"/>
  <c r="AH5" i="10"/>
  <c r="F5" i="10"/>
  <c r="AF23" i="10"/>
  <c r="AG5" i="10"/>
  <c r="E5" i="10"/>
  <c r="AE23" i="10"/>
  <c r="AF5" i="10"/>
  <c r="D5" i="10"/>
  <c r="AD23" i="10"/>
  <c r="AE5" i="10"/>
  <c r="AB23" i="10"/>
  <c r="AD5" i="10"/>
  <c r="BA23" i="10"/>
  <c r="S23" i="10"/>
  <c r="W5" i="10"/>
  <c r="AX23" i="10"/>
  <c r="Q23" i="10"/>
  <c r="AZ5" i="10"/>
  <c r="S5" i="10"/>
  <c r="J23" i="10"/>
  <c r="P5" i="10"/>
  <c r="AZ23" i="10"/>
  <c r="I23" i="10"/>
  <c r="O5" i="10"/>
  <c r="AW23" i="10"/>
  <c r="H23" i="10"/>
  <c r="N5" i="10"/>
  <c r="AP23" i="10"/>
  <c r="L5" i="10"/>
  <c r="AO23" i="10"/>
  <c r="BA5" i="10"/>
  <c r="K5" i="10"/>
  <c r="AK23" i="10"/>
  <c r="AP5" i="10"/>
  <c r="N23" i="10"/>
  <c r="K23" i="10"/>
  <c r="AO5" i="10"/>
  <c r="F23" i="10"/>
  <c r="AN5" i="10"/>
  <c r="AM5" i="10"/>
  <c r="AL5" i="10"/>
  <c r="AK5" i="10"/>
  <c r="AL23" i="10"/>
  <c r="Q5" i="10"/>
  <c r="P23" i="10"/>
  <c r="O23" i="10"/>
  <c r="AX5" i="10"/>
  <c r="AA23" i="10"/>
  <c r="Z23" i="10"/>
  <c r="T23" i="10"/>
  <c r="R23" i="10"/>
  <c r="AN23" i="10"/>
  <c r="R5" i="10"/>
  <c r="I5" i="10"/>
  <c r="J5" i="10"/>
  <c r="AV23" i="10"/>
  <c r="M23" i="10"/>
  <c r="AM23" i="10"/>
  <c r="AJ23" i="10"/>
  <c r="AI23" i="10"/>
  <c r="L23" i="10"/>
  <c r="AW5" i="10"/>
  <c r="AV5" i="10"/>
  <c r="AJ5" i="10"/>
  <c r="AB5" i="10"/>
  <c r="AA5" i="10"/>
  <c r="Z5" i="10"/>
  <c r="T5" i="10"/>
  <c r="M5" i="10"/>
  <c r="AJ11" i="9"/>
  <c r="N11" i="9"/>
  <c r="AH11" i="9"/>
  <c r="L11" i="9"/>
  <c r="AG11" i="9"/>
  <c r="K11" i="9"/>
  <c r="AM11" i="9"/>
  <c r="M11" i="9"/>
  <c r="AF11" i="9"/>
  <c r="G11" i="9"/>
  <c r="AE11" i="9"/>
  <c r="F11" i="9"/>
  <c r="AZ11" i="9"/>
  <c r="X11" i="9"/>
  <c r="AV11" i="9"/>
  <c r="T11" i="9"/>
  <c r="AU11" i="9"/>
  <c r="S11" i="9"/>
  <c r="V11" i="9"/>
  <c r="BA11" i="9"/>
  <c r="U11" i="9"/>
  <c r="AY11" i="9"/>
  <c r="R11" i="9"/>
  <c r="AX11" i="9"/>
  <c r="Q11" i="9"/>
  <c r="AW11" i="9"/>
  <c r="P11" i="9"/>
  <c r="AN11" i="9"/>
  <c r="C11" i="9"/>
  <c r="AA11" i="9"/>
  <c r="Z11" i="9"/>
  <c r="AQ11" i="9"/>
  <c r="AP11" i="9"/>
  <c r="AO11" i="9"/>
  <c r="Y11" i="9"/>
  <c r="AR11" i="9"/>
  <c r="AL11" i="9"/>
  <c r="AD11" i="9"/>
  <c r="AC11" i="9"/>
  <c r="AB11" i="9"/>
  <c r="O11" i="9"/>
  <c r="J11" i="9"/>
  <c r="I11" i="9"/>
  <c r="H11" i="9"/>
  <c r="E11" i="9"/>
  <c r="D11" i="9"/>
  <c r="W11" i="9"/>
  <c r="B11" i="9"/>
  <c r="AM5" i="9"/>
  <c r="AJ2" i="10"/>
  <c r="L7" i="8"/>
  <c r="N8" i="8"/>
  <c r="W9" i="8"/>
  <c r="AD10" i="8"/>
  <c r="Z62" i="6" s="1"/>
  <c r="AD21" i="8" s="1"/>
  <c r="AS11" i="8"/>
  <c r="E13" i="8"/>
  <c r="W14" i="8"/>
  <c r="T63" i="6" s="1"/>
  <c r="W22" i="8" s="1"/>
  <c r="AM15" i="8"/>
  <c r="C17" i="8"/>
  <c r="Y18" i="8"/>
  <c r="V24" i="8"/>
  <c r="AZ25" i="8"/>
  <c r="AN5" i="9"/>
  <c r="B9" i="9"/>
  <c r="AN2" i="10"/>
  <c r="AF90" i="6" s="1"/>
  <c r="AN19" i="10" s="1"/>
  <c r="Z11" i="8"/>
  <c r="H5" i="8"/>
  <c r="I6" i="8"/>
  <c r="M7" i="8"/>
  <c r="O8" i="8"/>
  <c r="X9" i="8"/>
  <c r="AE10" i="8"/>
  <c r="AA62" i="6" s="1"/>
  <c r="AE21" i="8" s="1"/>
  <c r="AT11" i="8"/>
  <c r="AQ15" i="8"/>
  <c r="Z18" i="8"/>
  <c r="AL23" i="8"/>
  <c r="P23" i="8"/>
  <c r="AH23" i="8"/>
  <c r="L23" i="8"/>
  <c r="AT5" i="8"/>
  <c r="X5" i="8"/>
  <c r="B5" i="8"/>
  <c r="AY23" i="8"/>
  <c r="AA23" i="8"/>
  <c r="C23" i="8"/>
  <c r="AP23" i="8"/>
  <c r="R23" i="8"/>
  <c r="AI23" i="8"/>
  <c r="H23" i="8"/>
  <c r="AG23" i="8"/>
  <c r="G23" i="8"/>
  <c r="Y23" i="8"/>
  <c r="AS5" i="8"/>
  <c r="V5" i="8"/>
  <c r="BA23" i="8"/>
  <c r="X23" i="8"/>
  <c r="AR5" i="8"/>
  <c r="AZ23" i="8"/>
  <c r="U5" i="8"/>
  <c r="W23" i="8"/>
  <c r="AX23" i="8"/>
  <c r="V23" i="8"/>
  <c r="AV23" i="8"/>
  <c r="T23" i="8"/>
  <c r="AN5" i="8"/>
  <c r="Q5" i="8"/>
  <c r="AR23" i="8"/>
  <c r="N23" i="8"/>
  <c r="AJ5" i="8"/>
  <c r="M5" i="8"/>
  <c r="AJ23" i="8"/>
  <c r="AC5" i="8"/>
  <c r="AA5" i="8"/>
  <c r="BA5" i="8"/>
  <c r="AF23" i="8"/>
  <c r="AB5" i="8"/>
  <c r="Z5" i="8"/>
  <c r="AE23" i="8"/>
  <c r="AD23" i="8"/>
  <c r="AC23" i="8"/>
  <c r="AZ5" i="8"/>
  <c r="Y5" i="8"/>
  <c r="T5" i="8"/>
  <c r="U23" i="8"/>
  <c r="AW5" i="8"/>
  <c r="S23" i="8"/>
  <c r="AB23" i="8"/>
  <c r="AY5" i="8"/>
  <c r="W5" i="8"/>
  <c r="Z23" i="8"/>
  <c r="AX5" i="8"/>
  <c r="S5" i="8"/>
  <c r="Q23" i="8"/>
  <c r="AU5" i="8"/>
  <c r="P5" i="8"/>
  <c r="M23" i="8"/>
  <c r="AP5" i="8"/>
  <c r="N5" i="8"/>
  <c r="AL6" i="8"/>
  <c r="P6" i="8"/>
  <c r="AN6" i="8"/>
  <c r="Q6" i="8"/>
  <c r="AM6" i="8"/>
  <c r="O6" i="8"/>
  <c r="AH6" i="8"/>
  <c r="K6" i="8"/>
  <c r="BA6" i="8"/>
  <c r="AD6" i="8"/>
  <c r="G6" i="8"/>
  <c r="AF6" i="8"/>
  <c r="D6" i="8"/>
  <c r="AE6" i="8"/>
  <c r="C6" i="8"/>
  <c r="AC6" i="8"/>
  <c r="B6" i="8"/>
  <c r="AB6" i="8"/>
  <c r="AA6" i="8"/>
  <c r="Y6" i="8"/>
  <c r="Z6" i="8"/>
  <c r="AZ6" i="8"/>
  <c r="AY6" i="8"/>
  <c r="X6" i="8"/>
  <c r="AW6" i="8"/>
  <c r="V6" i="8"/>
  <c r="AU6" i="8"/>
  <c r="T6" i="8"/>
  <c r="E9" i="9"/>
  <c r="AY2" i="10"/>
  <c r="AZ2" i="10"/>
  <c r="AP90" i="6" s="1"/>
  <c r="F9" i="9"/>
  <c r="B22" i="9"/>
  <c r="D22" i="9"/>
  <c r="C22" i="9"/>
  <c r="J5" i="8"/>
  <c r="O7" i="8"/>
  <c r="Q8" i="8"/>
  <c r="Z9" i="8"/>
  <c r="AH10" i="8"/>
  <c r="AD62" i="6" s="1"/>
  <c r="AH21" i="8" s="1"/>
  <c r="AV11" i="8"/>
  <c r="AS15" i="8"/>
  <c r="AE18" i="8"/>
  <c r="AZ19" i="8"/>
  <c r="V7" i="9"/>
  <c r="N9" i="9"/>
  <c r="V7" i="8"/>
  <c r="AX7" i="8"/>
  <c r="B14" i="8"/>
  <c r="B63" i="6" s="1"/>
  <c r="AI14" i="8"/>
  <c r="AE63" i="6" s="1"/>
  <c r="U15" i="8"/>
  <c r="AZ15" i="8"/>
  <c r="AY7" i="9"/>
  <c r="AD6" i="9"/>
  <c r="D2" i="9"/>
  <c r="AH3" i="9"/>
  <c r="E10" i="9"/>
  <c r="C77" i="6" s="1"/>
  <c r="E21" i="9" s="1"/>
  <c r="R12" i="9"/>
  <c r="S15" i="9"/>
  <c r="AN17" i="9"/>
  <c r="G24" i="9"/>
  <c r="J2" i="8"/>
  <c r="G60" i="6" s="1"/>
  <c r="J19" i="8" s="1"/>
  <c r="AJ2" i="8"/>
  <c r="Y7" i="8"/>
  <c r="E14" i="8"/>
  <c r="C63" i="6" s="1"/>
  <c r="E22" i="8" s="1"/>
  <c r="W15" i="8"/>
  <c r="F2" i="9"/>
  <c r="D75" i="6" s="1"/>
  <c r="F19" i="9" s="1"/>
  <c r="J4" i="9"/>
  <c r="G76" i="6" s="1"/>
  <c r="J20" i="9" s="1"/>
  <c r="N10" i="9"/>
  <c r="K77" i="6" s="1"/>
  <c r="N21" i="9" s="1"/>
  <c r="AA12" i="9"/>
  <c r="AG15" i="9"/>
  <c r="H18" i="9"/>
  <c r="Z24" i="9"/>
  <c r="AO14" i="8"/>
  <c r="AG63" i="6" s="1"/>
  <c r="AO22" i="8" s="1"/>
  <c r="L14" i="8"/>
  <c r="I63" i="6" s="1"/>
  <c r="L22" i="8" s="1"/>
  <c r="AN2" i="8"/>
  <c r="AF60" i="6" s="1"/>
  <c r="AN19" i="8" s="1"/>
  <c r="Q2" i="8"/>
  <c r="N60" i="6" s="1"/>
  <c r="Q19" i="8" s="1"/>
  <c r="AM14" i="8"/>
  <c r="K14" i="8"/>
  <c r="H63" i="6" s="1"/>
  <c r="K22" i="8" s="1"/>
  <c r="AM2" i="8"/>
  <c r="P2" i="8"/>
  <c r="M60" i="6" s="1"/>
  <c r="P19" i="8" s="1"/>
  <c r="AJ14" i="8"/>
  <c r="J14" i="8"/>
  <c r="G63" i="6" s="1"/>
  <c r="J22" i="8" s="1"/>
  <c r="AG14" i="8"/>
  <c r="G14" i="8"/>
  <c r="AI2" i="8"/>
  <c r="AE60" i="6" s="1"/>
  <c r="AC14" i="8"/>
  <c r="Y63" i="6" s="1"/>
  <c r="AC22" i="8" s="1"/>
  <c r="C14" i="8"/>
  <c r="N4" i="9"/>
  <c r="K76" i="6" s="1"/>
  <c r="N20" i="9" s="1"/>
  <c r="Q6" i="9"/>
  <c r="Y10" i="9"/>
  <c r="V77" i="6" s="1"/>
  <c r="Y21" i="9" s="1"/>
  <c r="AY24" i="9"/>
  <c r="AO2" i="8"/>
  <c r="AG60" i="6" s="1"/>
  <c r="AO19" i="8" s="1"/>
  <c r="I14" i="8"/>
  <c r="F63" i="6" s="1"/>
  <c r="I22" i="8" s="1"/>
  <c r="Z15" i="8"/>
  <c r="Q2" i="9"/>
  <c r="N75" i="6" s="1"/>
  <c r="Q19" i="9" s="1"/>
  <c r="T6" i="9"/>
  <c r="AB10" i="9"/>
  <c r="X77" i="6" s="1"/>
  <c r="Z13" i="9"/>
  <c r="E16" i="9"/>
  <c r="AZ24" i="9"/>
  <c r="AQ12" i="10"/>
  <c r="N2" i="8"/>
  <c r="K60" i="6" s="1"/>
  <c r="N19" i="8" s="1"/>
  <c r="AP2" i="8"/>
  <c r="AH60" i="6" s="1"/>
  <c r="AP19" i="8" s="1"/>
  <c r="B7" i="8"/>
  <c r="O14" i="8"/>
  <c r="L63" i="6" s="1"/>
  <c r="O22" i="8" s="1"/>
  <c r="AV14" i="8"/>
  <c r="AM63" i="6" s="1"/>
  <c r="AV22" i="8" s="1"/>
  <c r="AQ18" i="10"/>
  <c r="U18" i="10"/>
  <c r="AW10" i="10"/>
  <c r="AN92" i="6" s="1"/>
  <c r="AW21" i="10" s="1"/>
  <c r="AA10" i="10"/>
  <c r="E10" i="10"/>
  <c r="C92" i="6" s="1"/>
  <c r="E21" i="10" s="1"/>
  <c r="AP18" i="10"/>
  <c r="T18" i="10"/>
  <c r="AV10" i="10"/>
  <c r="AM92" i="6" s="1"/>
  <c r="AV21" i="10" s="1"/>
  <c r="Z10" i="10"/>
  <c r="W92" i="6" s="1"/>
  <c r="Z21" i="10" s="1"/>
  <c r="D10" i="10"/>
  <c r="AO18" i="10"/>
  <c r="S18" i="10"/>
  <c r="AU10" i="10"/>
  <c r="Y10" i="10"/>
  <c r="V92" i="6" s="1"/>
  <c r="Y21" i="10" s="1"/>
  <c r="C10" i="10"/>
  <c r="AN18" i="10"/>
  <c r="R18" i="10"/>
  <c r="AT10" i="10"/>
  <c r="AL92" i="6" s="1"/>
  <c r="X10" i="10"/>
  <c r="U92" i="6" s="1"/>
  <c r="X21" i="10" s="1"/>
  <c r="B10" i="10"/>
  <c r="B92" i="6" s="1"/>
  <c r="AM18" i="10"/>
  <c r="Q18" i="10"/>
  <c r="AS10" i="10"/>
  <c r="AK92" i="6" s="1"/>
  <c r="AS21" i="10" s="1"/>
  <c r="W10" i="10"/>
  <c r="T92" i="6" s="1"/>
  <c r="W21" i="10" s="1"/>
  <c r="AU18" i="10"/>
  <c r="Y18" i="10"/>
  <c r="C18" i="10"/>
  <c r="BA10" i="10"/>
  <c r="AQ92" i="6" s="1"/>
  <c r="BA21" i="10" s="1"/>
  <c r="AE10" i="10"/>
  <c r="AA92" i="6" s="1"/>
  <c r="AE21" i="10" s="1"/>
  <c r="I10" i="10"/>
  <c r="F92" i="6" s="1"/>
  <c r="I21" i="10" s="1"/>
  <c r="AZ18" i="10"/>
  <c r="W18" i="10"/>
  <c r="AR10" i="10"/>
  <c r="AJ92" i="6" s="1"/>
  <c r="AR21" i="10" s="1"/>
  <c r="P10" i="10"/>
  <c r="M92" i="6" s="1"/>
  <c r="P21" i="10" s="1"/>
  <c r="AY18" i="10"/>
  <c r="V18" i="10"/>
  <c r="AQ10" i="10"/>
  <c r="AI92" i="6" s="1"/>
  <c r="AQ21" i="10" s="1"/>
  <c r="O10" i="10"/>
  <c r="L92" i="6" s="1"/>
  <c r="O21" i="10" s="1"/>
  <c r="AX18" i="10"/>
  <c r="P18" i="10"/>
  <c r="AP10" i="10"/>
  <c r="AH92" i="6" s="1"/>
  <c r="AP21" i="10" s="1"/>
  <c r="N10" i="10"/>
  <c r="K92" i="6" s="1"/>
  <c r="N21" i="10" s="1"/>
  <c r="AW18" i="10"/>
  <c r="O18" i="10"/>
  <c r="AO10" i="10"/>
  <c r="AG92" i="6" s="1"/>
  <c r="AO21" i="10" s="1"/>
  <c r="M10" i="10"/>
  <c r="J92" i="6" s="1"/>
  <c r="M21" i="10" s="1"/>
  <c r="AV18" i="10"/>
  <c r="N18" i="10"/>
  <c r="AN10" i="10"/>
  <c r="AF92" i="6" s="1"/>
  <c r="AN21" i="10" s="1"/>
  <c r="L10" i="10"/>
  <c r="I92" i="6" s="1"/>
  <c r="L21" i="10" s="1"/>
  <c r="AT18" i="10"/>
  <c r="M18" i="10"/>
  <c r="AM10" i="10"/>
  <c r="K10" i="10"/>
  <c r="H92" i="6" s="1"/>
  <c r="K21" i="10" s="1"/>
  <c r="AK18" i="10"/>
  <c r="I18" i="10"/>
  <c r="AI10" i="10"/>
  <c r="AE92" i="6" s="1"/>
  <c r="F10" i="10"/>
  <c r="D92" i="6" s="1"/>
  <c r="F21" i="10" s="1"/>
  <c r="AI18" i="10"/>
  <c r="G18" i="10"/>
  <c r="AG10" i="10"/>
  <c r="AC92" i="6" s="1"/>
  <c r="AG21" i="10" s="1"/>
  <c r="AD18" i="10"/>
  <c r="AZ10" i="10"/>
  <c r="AP92" i="6" s="1"/>
  <c r="AC18" i="10"/>
  <c r="AY10" i="10"/>
  <c r="AB18" i="10"/>
  <c r="AX10" i="10"/>
  <c r="AO92" i="6" s="1"/>
  <c r="AX21" i="10" s="1"/>
  <c r="Z18" i="10"/>
  <c r="AK10" i="10"/>
  <c r="X18" i="10"/>
  <c r="AJ10" i="10"/>
  <c r="H18" i="10"/>
  <c r="AC10" i="10"/>
  <c r="Y92" i="6" s="1"/>
  <c r="AC21" i="10" s="1"/>
  <c r="AH18" i="10"/>
  <c r="BA18" i="10"/>
  <c r="AS18" i="10"/>
  <c r="AR18" i="10"/>
  <c r="L18" i="10"/>
  <c r="V10" i="10"/>
  <c r="S92" i="6" s="1"/>
  <c r="V21" i="10" s="1"/>
  <c r="H10" i="10"/>
  <c r="E92" i="6" s="1"/>
  <c r="G10" i="10"/>
  <c r="AA18" i="10"/>
  <c r="AD10" i="10"/>
  <c r="Z92" i="6" s="1"/>
  <c r="AD21" i="10" s="1"/>
  <c r="AJ18" i="10"/>
  <c r="AG18" i="10"/>
  <c r="AF18" i="10"/>
  <c r="Q10" i="10"/>
  <c r="N92" i="6" s="1"/>
  <c r="Q21" i="10" s="1"/>
  <c r="AF10" i="10"/>
  <c r="AB92" i="6" s="1"/>
  <c r="AF21" i="10" s="1"/>
  <c r="AB10" i="10"/>
  <c r="X92" i="6" s="1"/>
  <c r="U10" i="10"/>
  <c r="R92" i="6" s="1"/>
  <c r="U21" i="10" s="1"/>
  <c r="T10" i="10"/>
  <c r="Q92" i="6" s="1"/>
  <c r="T21" i="10" s="1"/>
  <c r="S10" i="10"/>
  <c r="P92" i="6" s="1"/>
  <c r="S21" i="10" s="1"/>
  <c r="R10" i="10"/>
  <c r="O92" i="6" s="1"/>
  <c r="R21" i="10" s="1"/>
  <c r="AE18" i="10"/>
  <c r="AV15" i="9"/>
  <c r="Z15" i="9"/>
  <c r="D15" i="9"/>
  <c r="AT15" i="9"/>
  <c r="X15" i="9"/>
  <c r="B15" i="9"/>
  <c r="AS15" i="9"/>
  <c r="W15" i="9"/>
  <c r="AH15" i="9"/>
  <c r="I15" i="9"/>
  <c r="AD15" i="9"/>
  <c r="E15" i="9"/>
  <c r="AC15" i="9"/>
  <c r="C15" i="9"/>
  <c r="AZ15" i="9"/>
  <c r="U15" i="9"/>
  <c r="AU15" i="9"/>
  <c r="Q15" i="9"/>
  <c r="AR15" i="9"/>
  <c r="P15" i="9"/>
  <c r="BA15" i="9"/>
  <c r="R15" i="9"/>
  <c r="AY15" i="9"/>
  <c r="O15" i="9"/>
  <c r="AX15" i="9"/>
  <c r="N15" i="9"/>
  <c r="AW15" i="9"/>
  <c r="M15" i="9"/>
  <c r="AQ15" i="9"/>
  <c r="L15" i="9"/>
  <c r="AJ15" i="9"/>
  <c r="Y15" i="9"/>
  <c r="V15" i="9"/>
  <c r="AP15" i="9"/>
  <c r="AO15" i="9"/>
  <c r="AN15" i="9"/>
  <c r="AF15" i="9"/>
  <c r="AL15" i="9"/>
  <c r="AK15" i="9"/>
  <c r="AE15" i="9"/>
  <c r="AB15" i="9"/>
  <c r="AA15" i="9"/>
  <c r="G15" i="9"/>
  <c r="F15" i="9"/>
  <c r="T2" i="9"/>
  <c r="Q75" i="6" s="1"/>
  <c r="T19" i="9" s="1"/>
  <c r="AD4" i="9"/>
  <c r="Z76" i="6" s="1"/>
  <c r="AD20" i="9" s="1"/>
  <c r="AB13" i="9"/>
  <c r="I16" i="9"/>
  <c r="AT12" i="10"/>
  <c r="AS16" i="10"/>
  <c r="AA7" i="8"/>
  <c r="AH7" i="8"/>
  <c r="K7" i="8"/>
  <c r="AG7" i="8"/>
  <c r="J7" i="8"/>
  <c r="AY7" i="8"/>
  <c r="AB7" i="8"/>
  <c r="E7" i="8"/>
  <c r="AU7" i="8"/>
  <c r="X7" i="8"/>
  <c r="AX7" i="9"/>
  <c r="AI7" i="9"/>
  <c r="AH25" i="9"/>
  <c r="L25" i="9"/>
  <c r="AP24" i="9"/>
  <c r="T24" i="9"/>
  <c r="AF17" i="9"/>
  <c r="J17" i="9"/>
  <c r="AN16" i="9"/>
  <c r="R16" i="9"/>
  <c r="AP13" i="9"/>
  <c r="T13" i="9"/>
  <c r="AX12" i="9"/>
  <c r="AB12" i="9"/>
  <c r="F12" i="9"/>
  <c r="AF25" i="9"/>
  <c r="J25" i="9"/>
  <c r="AN24" i="9"/>
  <c r="R24" i="9"/>
  <c r="AZ17" i="9"/>
  <c r="AD17" i="9"/>
  <c r="H17" i="9"/>
  <c r="AL16" i="9"/>
  <c r="P16" i="9"/>
  <c r="AN13" i="9"/>
  <c r="R13" i="9"/>
  <c r="AV12" i="9"/>
  <c r="Z12" i="9"/>
  <c r="D12" i="9"/>
  <c r="BA25" i="9"/>
  <c r="AE25" i="9"/>
  <c r="I25" i="9"/>
  <c r="AM24" i="9"/>
  <c r="Q24" i="9"/>
  <c r="AY17" i="9"/>
  <c r="AC17" i="9"/>
  <c r="G17" i="9"/>
  <c r="AK16" i="9"/>
  <c r="O16" i="9"/>
  <c r="AM13" i="9"/>
  <c r="Q13" i="9"/>
  <c r="AU12" i="9"/>
  <c r="Y12" i="9"/>
  <c r="C12" i="9"/>
  <c r="AV25" i="9"/>
  <c r="W25" i="9"/>
  <c r="AX24" i="9"/>
  <c r="Y24" i="9"/>
  <c r="AG17" i="9"/>
  <c r="E17" i="9"/>
  <c r="AF16" i="9"/>
  <c r="G16" i="9"/>
  <c r="AI13" i="9"/>
  <c r="J13" i="9"/>
  <c r="AK12" i="9"/>
  <c r="L12" i="9"/>
  <c r="AM4" i="9"/>
  <c r="Q4" i="9"/>
  <c r="N76" i="6" s="1"/>
  <c r="Q20" i="9" s="1"/>
  <c r="AU3" i="9"/>
  <c r="Y3" i="9"/>
  <c r="AU25" i="9"/>
  <c r="V25" i="9"/>
  <c r="AW24" i="9"/>
  <c r="X24" i="9"/>
  <c r="AT25" i="9"/>
  <c r="U25" i="9"/>
  <c r="AV24" i="9"/>
  <c r="W24" i="9"/>
  <c r="AS25" i="9"/>
  <c r="T25" i="9"/>
  <c r="AU24" i="9"/>
  <c r="V24" i="9"/>
  <c r="AR25" i="9"/>
  <c r="S25" i="9"/>
  <c r="AT24" i="9"/>
  <c r="U24" i="9"/>
  <c r="BA17" i="9"/>
  <c r="Z17" i="9"/>
  <c r="BA16" i="9"/>
  <c r="AB16" i="9"/>
  <c r="C16" i="9"/>
  <c r="AE13" i="9"/>
  <c r="F13" i="9"/>
  <c r="AG12" i="9"/>
  <c r="H12" i="9"/>
  <c r="AI4" i="9"/>
  <c r="AE76" i="6" s="1"/>
  <c r="M4" i="9"/>
  <c r="J76" i="6" s="1"/>
  <c r="M20" i="9" s="1"/>
  <c r="AQ3" i="9"/>
  <c r="U3" i="9"/>
  <c r="AQ25" i="9"/>
  <c r="R25" i="9"/>
  <c r="AS24" i="9"/>
  <c r="S24" i="9"/>
  <c r="AX17" i="9"/>
  <c r="Y17" i="9"/>
  <c r="AZ16" i="9"/>
  <c r="AA16" i="9"/>
  <c r="B16" i="9"/>
  <c r="AD13" i="9"/>
  <c r="E13" i="9"/>
  <c r="AF12" i="9"/>
  <c r="G12" i="9"/>
  <c r="AH4" i="9"/>
  <c r="AD76" i="6" s="1"/>
  <c r="AH20" i="9" s="1"/>
  <c r="L4" i="9"/>
  <c r="I76" i="6" s="1"/>
  <c r="L20" i="9" s="1"/>
  <c r="AP3" i="9"/>
  <c r="T3" i="9"/>
  <c r="AM25" i="9"/>
  <c r="N25" i="9"/>
  <c r="Q25" i="9"/>
  <c r="AH24" i="9"/>
  <c r="C24" i="9"/>
  <c r="AL17" i="9"/>
  <c r="I17" i="9"/>
  <c r="AD16" i="9"/>
  <c r="AL13" i="9"/>
  <c r="I13" i="9"/>
  <c r="AE12" i="9"/>
  <c r="AV4" i="9"/>
  <c r="AM76" i="6" s="1"/>
  <c r="AV20" i="9" s="1"/>
  <c r="W4" i="9"/>
  <c r="T76" i="6" s="1"/>
  <c r="W20" i="9" s="1"/>
  <c r="AX3" i="9"/>
  <c r="X3" i="9"/>
  <c r="P25" i="9"/>
  <c r="AG24" i="9"/>
  <c r="AY25" i="9"/>
  <c r="K25" i="9"/>
  <c r="AD24" i="9"/>
  <c r="AH17" i="9"/>
  <c r="B17" i="9"/>
  <c r="X16" i="9"/>
  <c r="AG13" i="9"/>
  <c r="C13" i="9"/>
  <c r="X12" i="9"/>
  <c r="AR4" i="9"/>
  <c r="AJ76" i="6" s="1"/>
  <c r="AR20" i="9" s="1"/>
  <c r="S4" i="9"/>
  <c r="P76" i="6" s="1"/>
  <c r="S20" i="9" s="1"/>
  <c r="AS3" i="9"/>
  <c r="R3" i="9"/>
  <c r="AX25" i="9"/>
  <c r="H25" i="9"/>
  <c r="AC24" i="9"/>
  <c r="AE17" i="9"/>
  <c r="AY16" i="9"/>
  <c r="W16" i="9"/>
  <c r="AF13" i="9"/>
  <c r="B13" i="9"/>
  <c r="W12" i="9"/>
  <c r="AQ4" i="9"/>
  <c r="AI76" i="6" s="1"/>
  <c r="AQ20" i="9" s="1"/>
  <c r="R4" i="9"/>
  <c r="O76" i="6" s="1"/>
  <c r="R20" i="9" s="1"/>
  <c r="AR3" i="9"/>
  <c r="Q3" i="9"/>
  <c r="AD25" i="9"/>
  <c r="AK24" i="9"/>
  <c r="AV17" i="9"/>
  <c r="Q17" i="9"/>
  <c r="AI16" i="9"/>
  <c r="AZ13" i="9"/>
  <c r="U13" i="9"/>
  <c r="AM12" i="9"/>
  <c r="B12" i="9"/>
  <c r="AZ4" i="9"/>
  <c r="AP76" i="6" s="1"/>
  <c r="X4" i="9"/>
  <c r="U76" i="6" s="1"/>
  <c r="X20" i="9" s="1"/>
  <c r="AT3" i="9"/>
  <c r="N3" i="9"/>
  <c r="AC25" i="9"/>
  <c r="AJ24" i="9"/>
  <c r="AU17" i="9"/>
  <c r="P17" i="9"/>
  <c r="AH16" i="9"/>
  <c r="AY13" i="9"/>
  <c r="S13" i="9"/>
  <c r="AL12" i="9"/>
  <c r="AY4" i="9"/>
  <c r="V4" i="9"/>
  <c r="S76" i="6" s="1"/>
  <c r="V20" i="9" s="1"/>
  <c r="AO3" i="9"/>
  <c r="M3" i="9"/>
  <c r="AB25" i="9"/>
  <c r="AI24" i="9"/>
  <c r="AT17" i="9"/>
  <c r="O17" i="9"/>
  <c r="AG16" i="9"/>
  <c r="AX13" i="9"/>
  <c r="P13" i="9"/>
  <c r="AJ12" i="9"/>
  <c r="AX4" i="9"/>
  <c r="AO76" i="6" s="1"/>
  <c r="AX20" i="9" s="1"/>
  <c r="U4" i="9"/>
  <c r="R76" i="6" s="1"/>
  <c r="U20" i="9" s="1"/>
  <c r="AN3" i="9"/>
  <c r="L3" i="9"/>
  <c r="AA25" i="9"/>
  <c r="AF24" i="9"/>
  <c r="AS17" i="9"/>
  <c r="N17" i="9"/>
  <c r="AE16" i="9"/>
  <c r="AW13" i="9"/>
  <c r="O13" i="9"/>
  <c r="AI12" i="9"/>
  <c r="AW4" i="9"/>
  <c r="AN76" i="6" s="1"/>
  <c r="AW20" i="9" s="1"/>
  <c r="T4" i="9"/>
  <c r="Q76" i="6" s="1"/>
  <c r="T20" i="9" s="1"/>
  <c r="AM3" i="9"/>
  <c r="K3" i="9"/>
  <c r="Z25" i="9"/>
  <c r="AE24" i="9"/>
  <c r="AR17" i="9"/>
  <c r="M17" i="9"/>
  <c r="AC16" i="9"/>
  <c r="AV13" i="9"/>
  <c r="N13" i="9"/>
  <c r="AH12" i="9"/>
  <c r="AU4" i="9"/>
  <c r="P4" i="9"/>
  <c r="M76" i="6" s="1"/>
  <c r="P20" i="9" s="1"/>
  <c r="AL3" i="9"/>
  <c r="J3" i="9"/>
  <c r="E25" i="9"/>
  <c r="M24" i="9"/>
  <c r="AJ17" i="9"/>
  <c r="AW16" i="9"/>
  <c r="Q16" i="9"/>
  <c r="AK13" i="9"/>
  <c r="BA12" i="9"/>
  <c r="S12" i="9"/>
  <c r="AK4" i="9"/>
  <c r="G4" i="9"/>
  <c r="AE3" i="9"/>
  <c r="C3" i="9"/>
  <c r="AK25" i="9"/>
  <c r="AR24" i="9"/>
  <c r="F24" i="9"/>
  <c r="U17" i="9"/>
  <c r="AP16" i="9"/>
  <c r="H16" i="9"/>
  <c r="Y13" i="9"/>
  <c r="AQ12" i="9"/>
  <c r="K12" i="9"/>
  <c r="AB4" i="9"/>
  <c r="X76" i="6" s="1"/>
  <c r="AZ3" i="9"/>
  <c r="V3" i="9"/>
  <c r="AJ25" i="9"/>
  <c r="AQ24" i="9"/>
  <c r="E24" i="9"/>
  <c r="T17" i="9"/>
  <c r="AO16" i="9"/>
  <c r="F16" i="9"/>
  <c r="X13" i="9"/>
  <c r="AP12" i="9"/>
  <c r="J12" i="9"/>
  <c r="AA4" i="9"/>
  <c r="AY3" i="9"/>
  <c r="S3" i="9"/>
  <c r="AL25" i="9"/>
  <c r="N24" i="9"/>
  <c r="AX16" i="9"/>
  <c r="D16" i="9"/>
  <c r="AT13" i="9"/>
  <c r="AT12" i="9"/>
  <c r="AC4" i="9"/>
  <c r="Y76" i="6" s="1"/>
  <c r="AC20" i="9" s="1"/>
  <c r="AF3" i="9"/>
  <c r="AI25" i="9"/>
  <c r="L24" i="9"/>
  <c r="AV16" i="9"/>
  <c r="AS13" i="9"/>
  <c r="AS12" i="9"/>
  <c r="Z4" i="9"/>
  <c r="W76" i="6" s="1"/>
  <c r="Z20" i="9" s="1"/>
  <c r="AD3" i="9"/>
  <c r="AG25" i="9"/>
  <c r="K24" i="9"/>
  <c r="AW17" i="9"/>
  <c r="AU16" i="9"/>
  <c r="AR13" i="9"/>
  <c r="AR12" i="9"/>
  <c r="Y4" i="9"/>
  <c r="V76" i="6" s="1"/>
  <c r="Y20" i="9" s="1"/>
  <c r="AC3" i="9"/>
  <c r="Y25" i="9"/>
  <c r="J24" i="9"/>
  <c r="AQ17" i="9"/>
  <c r="AT16" i="9"/>
  <c r="AQ13" i="9"/>
  <c r="AO12" i="9"/>
  <c r="D25" i="9"/>
  <c r="AI17" i="9"/>
  <c r="Z16" i="9"/>
  <c r="AA13" i="9"/>
  <c r="U12" i="9"/>
  <c r="F4" i="9"/>
  <c r="D76" i="6" s="1"/>
  <c r="F20" i="9" s="1"/>
  <c r="I3" i="9"/>
  <c r="AW25" i="9"/>
  <c r="AA24" i="9"/>
  <c r="O24" i="9"/>
  <c r="K17" i="9"/>
  <c r="H13" i="9"/>
  <c r="B4" i="9"/>
  <c r="B76" i="6" s="1"/>
  <c r="I24" i="9"/>
  <c r="F17" i="9"/>
  <c r="G13" i="9"/>
  <c r="BA4" i="9"/>
  <c r="AQ76" i="6" s="1"/>
  <c r="BA20" i="9" s="1"/>
  <c r="BA3" i="9"/>
  <c r="H24" i="9"/>
  <c r="AP25" i="9"/>
  <c r="D24" i="9"/>
  <c r="AS16" i="9"/>
  <c r="AY12" i="9"/>
  <c r="AP4" i="9"/>
  <c r="AH76" i="6" s="1"/>
  <c r="AP20" i="9" s="1"/>
  <c r="AK3" i="9"/>
  <c r="AO25" i="9"/>
  <c r="B24" i="9"/>
  <c r="AR16" i="9"/>
  <c r="AW12" i="9"/>
  <c r="AO4" i="9"/>
  <c r="AG76" i="6" s="1"/>
  <c r="AO20" i="9" s="1"/>
  <c r="AJ3" i="9"/>
  <c r="AN25" i="9"/>
  <c r="AQ16" i="9"/>
  <c r="AN12" i="9"/>
  <c r="AL24" i="9"/>
  <c r="V17" i="9"/>
  <c r="J16" i="9"/>
  <c r="V13" i="9"/>
  <c r="I12" i="9"/>
  <c r="H4" i="9"/>
  <c r="E76" i="6" s="1"/>
  <c r="E3" i="9"/>
  <c r="M25" i="9"/>
  <c r="C17" i="9"/>
  <c r="M13" i="9"/>
  <c r="E4" i="9"/>
  <c r="C76" i="6" s="1"/>
  <c r="E20" i="9" s="1"/>
  <c r="G25" i="9"/>
  <c r="AM16" i="9"/>
  <c r="L13" i="9"/>
  <c r="D4" i="9"/>
  <c r="F25" i="9"/>
  <c r="AJ16" i="9"/>
  <c r="K13" i="9"/>
  <c r="C4" i="9"/>
  <c r="C25" i="9"/>
  <c r="Y16" i="9"/>
  <c r="D13" i="9"/>
  <c r="AW3" i="9"/>
  <c r="B25" i="9"/>
  <c r="V16" i="9"/>
  <c r="AZ12" i="9"/>
  <c r="AV3" i="9"/>
  <c r="BA24" i="9"/>
  <c r="U16" i="9"/>
  <c r="AD12" i="9"/>
  <c r="AI3" i="9"/>
  <c r="AB24" i="9"/>
  <c r="AP17" i="9"/>
  <c r="M16" i="9"/>
  <c r="T12" i="9"/>
  <c r="AS4" i="9"/>
  <c r="AK76" i="6" s="1"/>
  <c r="AS20" i="9" s="1"/>
  <c r="AA3" i="9"/>
  <c r="AR6" i="9"/>
  <c r="AK6" i="9"/>
  <c r="AJ6" i="9"/>
  <c r="AC6" i="9"/>
  <c r="Y6" i="9"/>
  <c r="AT18" i="9"/>
  <c r="X18" i="9"/>
  <c r="B18" i="9"/>
  <c r="AR10" i="9"/>
  <c r="AJ77" i="6" s="1"/>
  <c r="AR21" i="9" s="1"/>
  <c r="V10" i="9"/>
  <c r="S77" i="6" s="1"/>
  <c r="V21" i="9" s="1"/>
  <c r="AR18" i="9"/>
  <c r="V18" i="9"/>
  <c r="AP10" i="9"/>
  <c r="AH77" i="6" s="1"/>
  <c r="AP21" i="9" s="1"/>
  <c r="T10" i="9"/>
  <c r="Q77" i="6" s="1"/>
  <c r="T21" i="9" s="1"/>
  <c r="AQ18" i="9"/>
  <c r="U18" i="9"/>
  <c r="AO10" i="9"/>
  <c r="AG77" i="6" s="1"/>
  <c r="AO21" i="9" s="1"/>
  <c r="S10" i="9"/>
  <c r="P77" i="6" s="1"/>
  <c r="S21" i="9" s="1"/>
  <c r="AE18" i="9"/>
  <c r="F18" i="9"/>
  <c r="AL10" i="9"/>
  <c r="M10" i="9"/>
  <c r="J77" i="6" s="1"/>
  <c r="M21" i="9" s="1"/>
  <c r="AZ18" i="9"/>
  <c r="AA18" i="9"/>
  <c r="AH10" i="9"/>
  <c r="AD77" i="6" s="1"/>
  <c r="AH21" i="9" s="1"/>
  <c r="I10" i="9"/>
  <c r="F77" i="6" s="1"/>
  <c r="I21" i="9" s="1"/>
  <c r="AY18" i="9"/>
  <c r="Z18" i="9"/>
  <c r="AG10" i="9"/>
  <c r="AC77" i="6" s="1"/>
  <c r="AG21" i="9" s="1"/>
  <c r="H10" i="9"/>
  <c r="E77" i="6" s="1"/>
  <c r="AP18" i="9"/>
  <c r="N18" i="9"/>
  <c r="AV10" i="9"/>
  <c r="AM77" i="6" s="1"/>
  <c r="AV21" i="9" s="1"/>
  <c r="Q10" i="9"/>
  <c r="N77" i="6" s="1"/>
  <c r="Q21" i="9" s="1"/>
  <c r="AL18" i="9"/>
  <c r="J18" i="9"/>
  <c r="AQ10" i="9"/>
  <c r="AI77" i="6" s="1"/>
  <c r="AQ21" i="9" s="1"/>
  <c r="L10" i="9"/>
  <c r="I77" i="6" s="1"/>
  <c r="L21" i="9" s="1"/>
  <c r="AK18" i="9"/>
  <c r="I18" i="9"/>
  <c r="AN10" i="9"/>
  <c r="AF77" i="6" s="1"/>
  <c r="AN21" i="9" s="1"/>
  <c r="K10" i="9"/>
  <c r="H77" i="6" s="1"/>
  <c r="K21" i="9" s="1"/>
  <c r="AG18" i="9"/>
  <c r="AK10" i="9"/>
  <c r="D10" i="9"/>
  <c r="AF18" i="9"/>
  <c r="AJ10" i="9"/>
  <c r="C10" i="9"/>
  <c r="AD18" i="9"/>
  <c r="AI10" i="9"/>
  <c r="AE77" i="6" s="1"/>
  <c r="B10" i="9"/>
  <c r="B77" i="6" s="1"/>
  <c r="AC18" i="9"/>
  <c r="AF10" i="9"/>
  <c r="AB77" i="6" s="1"/>
  <c r="AF21" i="9" s="1"/>
  <c r="AB18" i="9"/>
  <c r="AE10" i="9"/>
  <c r="AA77" i="6" s="1"/>
  <c r="AE21" i="9" s="1"/>
  <c r="AX18" i="9"/>
  <c r="P18" i="9"/>
  <c r="X10" i="9"/>
  <c r="U77" i="6" s="1"/>
  <c r="X21" i="9" s="1"/>
  <c r="AM18" i="9"/>
  <c r="E18" i="9"/>
  <c r="AU10" i="9"/>
  <c r="J10" i="9"/>
  <c r="G77" i="6" s="1"/>
  <c r="J21" i="9" s="1"/>
  <c r="AJ18" i="9"/>
  <c r="D18" i="9"/>
  <c r="AT10" i="9"/>
  <c r="AL77" i="6" s="1"/>
  <c r="G10" i="9"/>
  <c r="G18" i="9"/>
  <c r="AW10" i="9"/>
  <c r="AN77" i="6" s="1"/>
  <c r="AW21" i="9" s="1"/>
  <c r="C18" i="9"/>
  <c r="AS10" i="9"/>
  <c r="AK77" i="6" s="1"/>
  <c r="AS21" i="9" s="1"/>
  <c r="BA18" i="9"/>
  <c r="AM10" i="9"/>
  <c r="AW18" i="9"/>
  <c r="AI18" i="9"/>
  <c r="W10" i="9"/>
  <c r="T77" i="6" s="1"/>
  <c r="W21" i="9" s="1"/>
  <c r="M18" i="9"/>
  <c r="W18" i="9"/>
  <c r="AA10" i="9"/>
  <c r="T18" i="9"/>
  <c r="Z10" i="9"/>
  <c r="W77" i="6" s="1"/>
  <c r="Z21" i="9" s="1"/>
  <c r="S18" i="9"/>
  <c r="Q18" i="9"/>
  <c r="R10" i="9"/>
  <c r="O77" i="6" s="1"/>
  <c r="R21" i="9" s="1"/>
  <c r="O18" i="9"/>
  <c r="P10" i="9"/>
  <c r="M77" i="6" s="1"/>
  <c r="P21" i="9" s="1"/>
  <c r="L18" i="9"/>
  <c r="O10" i="9"/>
  <c r="L77" i="6" s="1"/>
  <c r="O21" i="9" s="1"/>
  <c r="AO18" i="9"/>
  <c r="AX10" i="9"/>
  <c r="AO77" i="6" s="1"/>
  <c r="AX21" i="9" s="1"/>
  <c r="AV18" i="9"/>
  <c r="AU18" i="9"/>
  <c r="AS18" i="9"/>
  <c r="AN18" i="9"/>
  <c r="AH18" i="9"/>
  <c r="Y18" i="9"/>
  <c r="AY10" i="9"/>
  <c r="AJ15" i="8"/>
  <c r="N15" i="8"/>
  <c r="AF15" i="8"/>
  <c r="J15" i="8"/>
  <c r="AI15" i="8"/>
  <c r="K15" i="8"/>
  <c r="AH15" i="8"/>
  <c r="I15" i="8"/>
  <c r="AP15" i="8"/>
  <c r="P15" i="8"/>
  <c r="AO15" i="8"/>
  <c r="O15" i="8"/>
  <c r="AN15" i="8"/>
  <c r="M15" i="8"/>
  <c r="AK15" i="8"/>
  <c r="G15" i="8"/>
  <c r="AC15" i="8"/>
  <c r="C15" i="8"/>
  <c r="W13" i="9"/>
  <c r="R18" i="9"/>
  <c r="M2" i="8"/>
  <c r="J60" i="6" s="1"/>
  <c r="M19" i="8" s="1"/>
  <c r="AC7" i="8"/>
  <c r="AU14" i="8"/>
  <c r="O4" i="9"/>
  <c r="L76" i="6" s="1"/>
  <c r="O20" i="9" s="1"/>
  <c r="O2" i="8"/>
  <c r="L60" i="6" s="1"/>
  <c r="O19" i="8" s="1"/>
  <c r="AQ2" i="8"/>
  <c r="AI60" i="6" s="1"/>
  <c r="AQ19" i="8" s="1"/>
  <c r="C7" i="8"/>
  <c r="AF7" i="8"/>
  <c r="P14" i="8"/>
  <c r="M63" i="6" s="1"/>
  <c r="P22" i="8" s="1"/>
  <c r="AW14" i="8"/>
  <c r="AN63" i="6" s="1"/>
  <c r="AW22" i="8" s="1"/>
  <c r="AB15" i="8"/>
  <c r="U2" i="9"/>
  <c r="R75" i="6" s="1"/>
  <c r="U19" i="9" s="1"/>
  <c r="AE4" i="9"/>
  <c r="AA76" i="6" s="1"/>
  <c r="AE20" i="9" s="1"/>
  <c r="AA6" i="9"/>
  <c r="AD10" i="9"/>
  <c r="Z77" i="6" s="1"/>
  <c r="AD21" i="9" s="1"/>
  <c r="AC13" i="9"/>
  <c r="K16" i="9"/>
  <c r="X25" i="9"/>
  <c r="AV12" i="10"/>
  <c r="AU16" i="10"/>
  <c r="AF4" i="9"/>
  <c r="AB76" i="6" s="1"/>
  <c r="AF20" i="9" s="1"/>
  <c r="AB6" i="9"/>
  <c r="AZ10" i="9"/>
  <c r="AP77" i="6" s="1"/>
  <c r="AH13" i="9"/>
  <c r="L16" i="9"/>
  <c r="AZ25" i="9"/>
  <c r="P17" i="10"/>
  <c r="AH14" i="9"/>
  <c r="AD78" i="6" s="1"/>
  <c r="AH22" i="9" s="1"/>
  <c r="L14" i="9"/>
  <c r="I78" i="6" s="1"/>
  <c r="L22" i="9" s="1"/>
  <c r="AF14" i="9"/>
  <c r="AB78" i="6" s="1"/>
  <c r="AF22" i="9" s="1"/>
  <c r="J14" i="9"/>
  <c r="G78" i="6" s="1"/>
  <c r="J22" i="9" s="1"/>
  <c r="BA14" i="9"/>
  <c r="AQ78" i="6" s="1"/>
  <c r="BA22" i="9" s="1"/>
  <c r="AE14" i="9"/>
  <c r="AA78" i="6" s="1"/>
  <c r="AE22" i="9" s="1"/>
  <c r="I14" i="9"/>
  <c r="F78" i="6" s="1"/>
  <c r="I22" i="9" s="1"/>
  <c r="AJ14" i="9"/>
  <c r="H14" i="9"/>
  <c r="E78" i="6" s="1"/>
  <c r="AC14" i="9"/>
  <c r="Y78" i="6" s="1"/>
  <c r="AC22" i="9" s="1"/>
  <c r="D14" i="9"/>
  <c r="AB14" i="9"/>
  <c r="X78" i="6" s="1"/>
  <c r="C14" i="9"/>
  <c r="AX2" i="9"/>
  <c r="AO75" i="6" s="1"/>
  <c r="AX19" i="9" s="1"/>
  <c r="AS14" i="9"/>
  <c r="AK78" i="6" s="1"/>
  <c r="AS22" i="9" s="1"/>
  <c r="Q14" i="9"/>
  <c r="N78" i="6" s="1"/>
  <c r="Q22" i="9" s="1"/>
  <c r="AZ2" i="9"/>
  <c r="AP75" i="6" s="1"/>
  <c r="AC2" i="9"/>
  <c r="Y75" i="6" s="1"/>
  <c r="AC19" i="9" s="1"/>
  <c r="G2" i="9"/>
  <c r="AO14" i="9"/>
  <c r="AG78" i="6" s="1"/>
  <c r="AO22" i="9" s="1"/>
  <c r="M14" i="9"/>
  <c r="J78" i="6" s="1"/>
  <c r="M22" i="9" s="1"/>
  <c r="AU2" i="9"/>
  <c r="Y2" i="9"/>
  <c r="V75" i="6" s="1"/>
  <c r="Y19" i="9" s="1"/>
  <c r="C2" i="9"/>
  <c r="AN14" i="9"/>
  <c r="AF78" i="6" s="1"/>
  <c r="AN22" i="9" s="1"/>
  <c r="K14" i="9"/>
  <c r="H78" i="6" s="1"/>
  <c r="K22" i="9" s="1"/>
  <c r="AT2" i="9"/>
  <c r="AL75" i="6" s="1"/>
  <c r="X2" i="9"/>
  <c r="U75" i="6" s="1"/>
  <c r="X19" i="9" s="1"/>
  <c r="AK14" i="9"/>
  <c r="AN2" i="9"/>
  <c r="AF75" i="6" s="1"/>
  <c r="AN19" i="9" s="1"/>
  <c r="O2" i="9"/>
  <c r="L75" i="6" s="1"/>
  <c r="O19" i="9" s="1"/>
  <c r="AI14" i="9"/>
  <c r="AE78" i="6" s="1"/>
  <c r="AM2" i="9"/>
  <c r="N2" i="9"/>
  <c r="K75" i="6" s="1"/>
  <c r="N19" i="9" s="1"/>
  <c r="AG14" i="9"/>
  <c r="AC78" i="6" s="1"/>
  <c r="AG22" i="9" s="1"/>
  <c r="AL2" i="9"/>
  <c r="M2" i="9"/>
  <c r="J75" i="6" s="1"/>
  <c r="M19" i="9" s="1"/>
  <c r="AD14" i="9"/>
  <c r="Z78" i="6" s="1"/>
  <c r="AD22" i="9" s="1"/>
  <c r="AK2" i="9"/>
  <c r="L2" i="9"/>
  <c r="I75" i="6" s="1"/>
  <c r="L19" i="9" s="1"/>
  <c r="AA14" i="9"/>
  <c r="AJ2" i="9"/>
  <c r="K2" i="9"/>
  <c r="H75" i="6" s="1"/>
  <c r="K19" i="9" s="1"/>
  <c r="AY14" i="9"/>
  <c r="T14" i="9"/>
  <c r="Q78" i="6" s="1"/>
  <c r="T22" i="9" s="1"/>
  <c r="AB2" i="9"/>
  <c r="X75" i="6" s="1"/>
  <c r="B2" i="9"/>
  <c r="B75" i="6" s="1"/>
  <c r="AQ14" i="9"/>
  <c r="AI78" i="6" s="1"/>
  <c r="AQ22" i="9" s="1"/>
  <c r="F14" i="9"/>
  <c r="D78" i="6" s="1"/>
  <c r="F22" i="9" s="1"/>
  <c r="AR2" i="9"/>
  <c r="AJ75" i="6" s="1"/>
  <c r="AR19" i="9" s="1"/>
  <c r="S2" i="9"/>
  <c r="P75" i="6" s="1"/>
  <c r="S19" i="9" s="1"/>
  <c r="AP14" i="9"/>
  <c r="AH78" i="6" s="1"/>
  <c r="AP22" i="9" s="1"/>
  <c r="E14" i="9"/>
  <c r="C78" i="6" s="1"/>
  <c r="E22" i="9" s="1"/>
  <c r="AQ2" i="9"/>
  <c r="AI75" i="6" s="1"/>
  <c r="AQ19" i="9" s="1"/>
  <c r="R2" i="9"/>
  <c r="O75" i="6" s="1"/>
  <c r="R19" i="9" s="1"/>
  <c r="AW14" i="9"/>
  <c r="AN78" i="6" s="1"/>
  <c r="AW22" i="9" s="1"/>
  <c r="AO2" i="9"/>
  <c r="AG75" i="6" s="1"/>
  <c r="AO19" i="9" s="1"/>
  <c r="AV14" i="9"/>
  <c r="AM78" i="6" s="1"/>
  <c r="AV22" i="9" s="1"/>
  <c r="AI2" i="9"/>
  <c r="AE75" i="6" s="1"/>
  <c r="AU14" i="9"/>
  <c r="AH2" i="9"/>
  <c r="AD75" i="6" s="1"/>
  <c r="AH19" i="9" s="1"/>
  <c r="AT14" i="9"/>
  <c r="AL78" i="6" s="1"/>
  <c r="X14" i="9"/>
  <c r="U78" i="6" s="1"/>
  <c r="X22" i="9" s="1"/>
  <c r="W2" i="9"/>
  <c r="T75" i="6" s="1"/>
  <c r="W19" i="9" s="1"/>
  <c r="V14" i="9"/>
  <c r="S78" i="6" s="1"/>
  <c r="V22" i="9" s="1"/>
  <c r="AY2" i="9"/>
  <c r="U14" i="9"/>
  <c r="R78" i="6" s="1"/>
  <c r="U22" i="9" s="1"/>
  <c r="AW2" i="9"/>
  <c r="AN75" i="6" s="1"/>
  <c r="AW19" i="9" s="1"/>
  <c r="P14" i="9"/>
  <c r="M78" i="6" s="1"/>
  <c r="P22" i="9" s="1"/>
  <c r="AP2" i="9"/>
  <c r="AH75" i="6" s="1"/>
  <c r="AP19" i="9" s="1"/>
  <c r="O14" i="9"/>
  <c r="L78" i="6" s="1"/>
  <c r="O22" i="9" s="1"/>
  <c r="AG2" i="9"/>
  <c r="AC75" i="6" s="1"/>
  <c r="AG19" i="9" s="1"/>
  <c r="N14" i="9"/>
  <c r="K78" i="6" s="1"/>
  <c r="N22" i="9" s="1"/>
  <c r="AL14" i="9"/>
  <c r="H2" i="9"/>
  <c r="E75" i="6" s="1"/>
  <c r="AF2" i="9"/>
  <c r="AB75" i="6" s="1"/>
  <c r="AF19" i="9" s="1"/>
  <c r="AE2" i="9"/>
  <c r="AA75" i="6" s="1"/>
  <c r="AE19" i="9" s="1"/>
  <c r="AZ14" i="9"/>
  <c r="AP78" i="6" s="1"/>
  <c r="AD2" i="9"/>
  <c r="Z75" i="6" s="1"/>
  <c r="AD19" i="9" s="1"/>
  <c r="AX14" i="9"/>
  <c r="AO78" i="6" s="1"/>
  <c r="AX22" i="9" s="1"/>
  <c r="AA2" i="9"/>
  <c r="AR14" i="9"/>
  <c r="AJ78" i="6" s="1"/>
  <c r="AR22" i="9" s="1"/>
  <c r="Z2" i="9"/>
  <c r="W75" i="6" s="1"/>
  <c r="Z19" i="9" s="1"/>
  <c r="AM14" i="9"/>
  <c r="V2" i="9"/>
  <c r="S75" i="6" s="1"/>
  <c r="V19" i="9" s="1"/>
  <c r="S14" i="9"/>
  <c r="P78" i="6" s="1"/>
  <c r="S22" i="9" s="1"/>
  <c r="P2" i="9"/>
  <c r="M75" i="6" s="1"/>
  <c r="P19" i="9" s="1"/>
  <c r="AV2" i="9"/>
  <c r="AM75" i="6" s="1"/>
  <c r="AV19" i="9" s="1"/>
  <c r="AG4" i="9"/>
  <c r="AC76" i="6" s="1"/>
  <c r="AG20" i="9" s="1"/>
  <c r="AW6" i="9"/>
  <c r="BA10" i="9"/>
  <c r="AQ77" i="6" s="1"/>
  <c r="BA21" i="9" s="1"/>
  <c r="AJ13" i="9"/>
  <c r="N16" i="9"/>
  <c r="AS17" i="10"/>
  <c r="G7" i="8"/>
  <c r="AK7" i="8"/>
  <c r="T14" i="8"/>
  <c r="Q63" i="6" s="1"/>
  <c r="T22" i="8" s="1"/>
  <c r="AZ14" i="8"/>
  <c r="AP63" i="6" s="1"/>
  <c r="AG15" i="8"/>
  <c r="BA2" i="9"/>
  <c r="AQ75" i="6" s="1"/>
  <c r="BA19" i="9" s="1"/>
  <c r="AJ4" i="9"/>
  <c r="AX6" i="9"/>
  <c r="AO13" i="9"/>
  <c r="S16" i="9"/>
  <c r="AL7" i="8"/>
  <c r="U14" i="8"/>
  <c r="R63" i="6" s="1"/>
  <c r="U22" i="8" s="1"/>
  <c r="BA14" i="8"/>
  <c r="AQ63" i="6" s="1"/>
  <c r="BA22" i="8" s="1"/>
  <c r="AL15" i="8"/>
  <c r="BA25" i="10"/>
  <c r="AE25" i="10"/>
  <c r="I25" i="10"/>
  <c r="AM24" i="10"/>
  <c r="Q24" i="10"/>
  <c r="AY17" i="10"/>
  <c r="AC17" i="10"/>
  <c r="G17" i="10"/>
  <c r="AK16" i="10"/>
  <c r="O16" i="10"/>
  <c r="AU13" i="10"/>
  <c r="Y13" i="10"/>
  <c r="C13" i="10"/>
  <c r="AG12" i="10"/>
  <c r="K12" i="10"/>
  <c r="AG4" i="10"/>
  <c r="AC91" i="6" s="1"/>
  <c r="AG20" i="10" s="1"/>
  <c r="K4" i="10"/>
  <c r="H91" i="6" s="1"/>
  <c r="K20" i="10" s="1"/>
  <c r="AO3" i="10"/>
  <c r="S3" i="10"/>
  <c r="AZ25" i="10"/>
  <c r="AD25" i="10"/>
  <c r="H25" i="10"/>
  <c r="AL24" i="10"/>
  <c r="P24" i="10"/>
  <c r="AX17" i="10"/>
  <c r="AB17" i="10"/>
  <c r="F17" i="10"/>
  <c r="AJ16" i="10"/>
  <c r="N16" i="10"/>
  <c r="AT13" i="10"/>
  <c r="X13" i="10"/>
  <c r="B13" i="10"/>
  <c r="AF12" i="10"/>
  <c r="J12" i="10"/>
  <c r="AF4" i="10"/>
  <c r="AB91" i="6" s="1"/>
  <c r="AF20" i="10" s="1"/>
  <c r="J4" i="10"/>
  <c r="G91" i="6" s="1"/>
  <c r="J20" i="10" s="1"/>
  <c r="AN3" i="10"/>
  <c r="R3" i="10"/>
  <c r="AY25" i="10"/>
  <c r="AC25" i="10"/>
  <c r="G25" i="10"/>
  <c r="AK24" i="10"/>
  <c r="O24" i="10"/>
  <c r="AW17" i="10"/>
  <c r="AA17" i="10"/>
  <c r="E17" i="10"/>
  <c r="AI16" i="10"/>
  <c r="M16" i="10"/>
  <c r="AS13" i="10"/>
  <c r="W13" i="10"/>
  <c r="BA12" i="10"/>
  <c r="AE12" i="10"/>
  <c r="I12" i="10"/>
  <c r="AX25" i="10"/>
  <c r="AB25" i="10"/>
  <c r="F25" i="10"/>
  <c r="AJ24" i="10"/>
  <c r="N24" i="10"/>
  <c r="AV17" i="10"/>
  <c r="Z17" i="10"/>
  <c r="D17" i="10"/>
  <c r="AH16" i="10"/>
  <c r="L16" i="10"/>
  <c r="AR13" i="10"/>
  <c r="V13" i="10"/>
  <c r="AZ12" i="10"/>
  <c r="AD12" i="10"/>
  <c r="H12" i="10"/>
  <c r="AZ4" i="10"/>
  <c r="AP91" i="6" s="1"/>
  <c r="AD4" i="10"/>
  <c r="Z91" i="6" s="1"/>
  <c r="AD20" i="10" s="1"/>
  <c r="H4" i="10"/>
  <c r="E91" i="6" s="1"/>
  <c r="AL3" i="10"/>
  <c r="P3" i="10"/>
  <c r="AW25" i="10"/>
  <c r="AA25" i="10"/>
  <c r="E25" i="10"/>
  <c r="AI24" i="10"/>
  <c r="M24" i="10"/>
  <c r="AU17" i="10"/>
  <c r="Y17" i="10"/>
  <c r="C17" i="10"/>
  <c r="AG16" i="10"/>
  <c r="K16" i="10"/>
  <c r="AQ13" i="10"/>
  <c r="U13" i="10"/>
  <c r="AY12" i="10"/>
  <c r="AC12" i="10"/>
  <c r="G12" i="10"/>
  <c r="AY4" i="10"/>
  <c r="AC4" i="10"/>
  <c r="Y91" i="6" s="1"/>
  <c r="AC20" i="10" s="1"/>
  <c r="G4" i="10"/>
  <c r="AK3" i="10"/>
  <c r="O3" i="10"/>
  <c r="AI25" i="10"/>
  <c r="M25" i="10"/>
  <c r="AQ24" i="10"/>
  <c r="U24" i="10"/>
  <c r="AG17" i="10"/>
  <c r="K17" i="10"/>
  <c r="AO16" i="10"/>
  <c r="S16" i="10"/>
  <c r="AY13" i="10"/>
  <c r="AC13" i="10"/>
  <c r="G13" i="10"/>
  <c r="AK12" i="10"/>
  <c r="O12" i="10"/>
  <c r="AK4" i="10"/>
  <c r="O4" i="10"/>
  <c r="L91" i="6" s="1"/>
  <c r="O20" i="10" s="1"/>
  <c r="AS3" i="10"/>
  <c r="W3" i="10"/>
  <c r="AV25" i="10"/>
  <c r="T25" i="10"/>
  <c r="AR24" i="10"/>
  <c r="J24" i="10"/>
  <c r="AP17" i="10"/>
  <c r="N17" i="10"/>
  <c r="AF16" i="10"/>
  <c r="D16" i="10"/>
  <c r="AN13" i="10"/>
  <c r="L13" i="10"/>
  <c r="AI12" i="10"/>
  <c r="B12" i="10"/>
  <c r="AB4" i="10"/>
  <c r="X91" i="6" s="1"/>
  <c r="BA3" i="10"/>
  <c r="Z3" i="10"/>
  <c r="AU25" i="10"/>
  <c r="S25" i="10"/>
  <c r="AP24" i="10"/>
  <c r="I24" i="10"/>
  <c r="AO17" i="10"/>
  <c r="M17" i="10"/>
  <c r="AE16" i="10"/>
  <c r="C16" i="10"/>
  <c r="AM13" i="10"/>
  <c r="K13" i="10"/>
  <c r="AH12" i="10"/>
  <c r="AA4" i="10"/>
  <c r="AZ3" i="10"/>
  <c r="Y3" i="10"/>
  <c r="AT25" i="10"/>
  <c r="R25" i="10"/>
  <c r="AO24" i="10"/>
  <c r="H24" i="10"/>
  <c r="AN17" i="10"/>
  <c r="L17" i="10"/>
  <c r="AD16" i="10"/>
  <c r="B16" i="10"/>
  <c r="AL13" i="10"/>
  <c r="J13" i="10"/>
  <c r="AB12" i="10"/>
  <c r="Z4" i="10"/>
  <c r="W91" i="6" s="1"/>
  <c r="Z20" i="10" s="1"/>
  <c r="AY3" i="10"/>
  <c r="X3" i="10"/>
  <c r="AS25" i="10"/>
  <c r="Q25" i="10"/>
  <c r="AN24" i="10"/>
  <c r="G24" i="10"/>
  <c r="AM17" i="10"/>
  <c r="J17" i="10"/>
  <c r="AC16" i="10"/>
  <c r="AK13" i="10"/>
  <c r="I13" i="10"/>
  <c r="AA12" i="10"/>
  <c r="Y4" i="10"/>
  <c r="V91" i="6" s="1"/>
  <c r="Y20" i="10" s="1"/>
  <c r="AX3" i="10"/>
  <c r="V3" i="10"/>
  <c r="AR25" i="10"/>
  <c r="P25" i="10"/>
  <c r="AH24" i="10"/>
  <c r="F24" i="10"/>
  <c r="AL17" i="10"/>
  <c r="I17" i="10"/>
  <c r="AB16" i="10"/>
  <c r="AJ13" i="10"/>
  <c r="H13" i="10"/>
  <c r="Z12" i="10"/>
  <c r="BA4" i="10"/>
  <c r="AQ91" i="6" s="1"/>
  <c r="BA20" i="10" s="1"/>
  <c r="X4" i="10"/>
  <c r="U91" i="6" s="1"/>
  <c r="X20" i="10" s="1"/>
  <c r="AW3" i="10"/>
  <c r="U3" i="10"/>
  <c r="AQ25" i="10"/>
  <c r="O25" i="10"/>
  <c r="AG24" i="10"/>
  <c r="E24" i="10"/>
  <c r="AK17" i="10"/>
  <c r="H17" i="10"/>
  <c r="AA16" i="10"/>
  <c r="AI13" i="10"/>
  <c r="F13" i="10"/>
  <c r="Y12" i="10"/>
  <c r="AX4" i="10"/>
  <c r="AO91" i="6" s="1"/>
  <c r="AX20" i="10" s="1"/>
  <c r="W4" i="10"/>
  <c r="T91" i="6" s="1"/>
  <c r="W20" i="10" s="1"/>
  <c r="AV3" i="10"/>
  <c r="T3" i="10"/>
  <c r="AM25" i="10"/>
  <c r="J25" i="10"/>
  <c r="AC24" i="10"/>
  <c r="AF17" i="10"/>
  <c r="AY16" i="10"/>
  <c r="W16" i="10"/>
  <c r="AE13" i="10"/>
  <c r="AW12" i="10"/>
  <c r="U12" i="10"/>
  <c r="AT4" i="10"/>
  <c r="AL91" i="6" s="1"/>
  <c r="S4" i="10"/>
  <c r="P91" i="6" s="1"/>
  <c r="S20" i="10" s="1"/>
  <c r="AQ3" i="10"/>
  <c r="L3" i="10"/>
  <c r="AK25" i="10"/>
  <c r="C25" i="10"/>
  <c r="AA24" i="10"/>
  <c r="AD17" i="10"/>
  <c r="AW16" i="10"/>
  <c r="U16" i="10"/>
  <c r="AB13" i="10"/>
  <c r="AU12" i="10"/>
  <c r="S12" i="10"/>
  <c r="AR4" i="10"/>
  <c r="AJ91" i="6" s="1"/>
  <c r="AR20" i="10" s="1"/>
  <c r="Q4" i="10"/>
  <c r="N91" i="6" s="1"/>
  <c r="Q20" i="10" s="1"/>
  <c r="AM3" i="10"/>
  <c r="AP25" i="10"/>
  <c r="AX24" i="10"/>
  <c r="B24" i="10"/>
  <c r="AH17" i="10"/>
  <c r="AP16" i="10"/>
  <c r="AG13" i="10"/>
  <c r="AO12" i="10"/>
  <c r="V4" i="10"/>
  <c r="S91" i="6" s="1"/>
  <c r="V20" i="10" s="1"/>
  <c r="AF3" i="10"/>
  <c r="AO25" i="10"/>
  <c r="AW24" i="10"/>
  <c r="AE17" i="10"/>
  <c r="AN16" i="10"/>
  <c r="AF13" i="10"/>
  <c r="AN12" i="10"/>
  <c r="U4" i="10"/>
  <c r="R91" i="6" s="1"/>
  <c r="U20" i="10" s="1"/>
  <c r="AE3" i="10"/>
  <c r="AN25" i="10"/>
  <c r="AV24" i="10"/>
  <c r="X17" i="10"/>
  <c r="AM16" i="10"/>
  <c r="AD13" i="10"/>
  <c r="AM12" i="10"/>
  <c r="T4" i="10"/>
  <c r="Q91" i="6" s="1"/>
  <c r="T20" i="10" s="1"/>
  <c r="AD3" i="10"/>
  <c r="AJ25" i="10"/>
  <c r="AT24" i="10"/>
  <c r="V17" i="10"/>
  <c r="Z16" i="10"/>
  <c r="Z13" i="10"/>
  <c r="AJ12" i="10"/>
  <c r="P4" i="10"/>
  <c r="M91" i="6" s="1"/>
  <c r="P20" i="10" s="1"/>
  <c r="AB3" i="10"/>
  <c r="AH25" i="10"/>
  <c r="AS24" i="10"/>
  <c r="U17" i="10"/>
  <c r="Y16" i="10"/>
  <c r="T13" i="10"/>
  <c r="X12" i="10"/>
  <c r="N4" i="10"/>
  <c r="K91" i="6" s="1"/>
  <c r="N20" i="10" s="1"/>
  <c r="AA3" i="10"/>
  <c r="Y25" i="10"/>
  <c r="AB24" i="10"/>
  <c r="Q17" i="10"/>
  <c r="R16" i="10"/>
  <c r="P13" i="10"/>
  <c r="R12" i="10"/>
  <c r="AV4" i="10"/>
  <c r="AM91" i="6" s="1"/>
  <c r="AV20" i="10" s="1"/>
  <c r="F4" i="10"/>
  <c r="D91" i="6" s="1"/>
  <c r="F20" i="10" s="1"/>
  <c r="K3" i="10"/>
  <c r="B25" i="10"/>
  <c r="L24" i="10"/>
  <c r="AR17" i="10"/>
  <c r="AT16" i="10"/>
  <c r="AV13" i="10"/>
  <c r="AS12" i="10"/>
  <c r="C12" i="10"/>
  <c r="AL25" i="10"/>
  <c r="W24" i="10"/>
  <c r="AQ17" i="10"/>
  <c r="Q16" i="10"/>
  <c r="AW13" i="10"/>
  <c r="T12" i="10"/>
  <c r="AM4" i="10"/>
  <c r="AC3" i="10"/>
  <c r="AG25" i="10"/>
  <c r="V24" i="10"/>
  <c r="AJ17" i="10"/>
  <c r="P16" i="10"/>
  <c r="AP13" i="10"/>
  <c r="Q12" i="10"/>
  <c r="AL4" i="10"/>
  <c r="Q3" i="10"/>
  <c r="AF25" i="10"/>
  <c r="T24" i="10"/>
  <c r="AI17" i="10"/>
  <c r="J16" i="10"/>
  <c r="AO13" i="10"/>
  <c r="P12" i="10"/>
  <c r="AJ4" i="10"/>
  <c r="N3" i="10"/>
  <c r="Z25" i="10"/>
  <c r="S24" i="10"/>
  <c r="W17" i="10"/>
  <c r="I16" i="10"/>
  <c r="AH13" i="10"/>
  <c r="N12" i="10"/>
  <c r="AI4" i="10"/>
  <c r="AE91" i="6" s="1"/>
  <c r="M3" i="10"/>
  <c r="X25" i="10"/>
  <c r="R24" i="10"/>
  <c r="T17" i="10"/>
  <c r="H16" i="10"/>
  <c r="AA13" i="10"/>
  <c r="M12" i="10"/>
  <c r="AH4" i="10"/>
  <c r="AD91" i="6" s="1"/>
  <c r="AH20" i="10" s="1"/>
  <c r="J3" i="10"/>
  <c r="D25" i="10"/>
  <c r="AZ16" i="10"/>
  <c r="E13" i="10"/>
  <c r="D4" i="10"/>
  <c r="C3" i="10"/>
  <c r="AD24" i="10"/>
  <c r="BA17" i="10"/>
  <c r="AL16" i="10"/>
  <c r="AP12" i="10"/>
  <c r="AQ4" i="10"/>
  <c r="AI91" i="6" s="1"/>
  <c r="AQ20" i="10" s="1"/>
  <c r="AJ3" i="10"/>
  <c r="Z24" i="10"/>
  <c r="AZ17" i="10"/>
  <c r="X16" i="10"/>
  <c r="BA13" i="10"/>
  <c r="AL12" i="10"/>
  <c r="AP4" i="10"/>
  <c r="AH91" i="6" s="1"/>
  <c r="AP20" i="10" s="1"/>
  <c r="AI3" i="10"/>
  <c r="W25" i="10"/>
  <c r="B17" i="10"/>
  <c r="R13" i="10"/>
  <c r="AW4" i="10"/>
  <c r="AN91" i="6" s="1"/>
  <c r="AW20" i="10" s="1"/>
  <c r="F3" i="10"/>
  <c r="V25" i="10"/>
  <c r="BA16" i="10"/>
  <c r="Q13" i="10"/>
  <c r="AU4" i="10"/>
  <c r="E3" i="10"/>
  <c r="U25" i="10"/>
  <c r="AX16" i="10"/>
  <c r="O13" i="10"/>
  <c r="AS4" i="10"/>
  <c r="AK91" i="6" s="1"/>
  <c r="AS20" i="10" s="1"/>
  <c r="D3" i="10"/>
  <c r="N25" i="10"/>
  <c r="AV16" i="10"/>
  <c r="N13" i="10"/>
  <c r="AO4" i="10"/>
  <c r="AG91" i="6" s="1"/>
  <c r="AO20" i="10" s="1"/>
  <c r="B3" i="10"/>
  <c r="AU24" i="10"/>
  <c r="T16" i="10"/>
  <c r="AR12" i="10"/>
  <c r="I4" i="10"/>
  <c r="F91" i="6" s="1"/>
  <c r="I20" i="10" s="1"/>
  <c r="AE24" i="10"/>
  <c r="S17" i="10"/>
  <c r="AG3" i="10"/>
  <c r="L25" i="10"/>
  <c r="AQ16" i="10"/>
  <c r="E12" i="10"/>
  <c r="M4" i="10"/>
  <c r="J91" i="6" s="1"/>
  <c r="M20" i="10" s="1"/>
  <c r="K25" i="10"/>
  <c r="V16" i="10"/>
  <c r="D12" i="10"/>
  <c r="L4" i="10"/>
  <c r="I91" i="6" s="1"/>
  <c r="L20" i="10" s="1"/>
  <c r="BA24" i="10"/>
  <c r="G16" i="10"/>
  <c r="E4" i="10"/>
  <c r="C91" i="6" s="1"/>
  <c r="E20" i="10" s="1"/>
  <c r="AY24" i="10"/>
  <c r="E16" i="10"/>
  <c r="B4" i="10"/>
  <c r="B91" i="6" s="1"/>
  <c r="AF24" i="10"/>
  <c r="AU3" i="10"/>
  <c r="Y24" i="10"/>
  <c r="AT3" i="10"/>
  <c r="O17" i="10"/>
  <c r="W12" i="10"/>
  <c r="AZ24" i="10"/>
  <c r="AR16" i="10"/>
  <c r="AZ13" i="10"/>
  <c r="X24" i="10"/>
  <c r="F16" i="10"/>
  <c r="AX13" i="10"/>
  <c r="AN4" i="10"/>
  <c r="AF91" i="6" s="1"/>
  <c r="AN20" i="10" s="1"/>
  <c r="K24" i="10"/>
  <c r="S13" i="10"/>
  <c r="AE4" i="10"/>
  <c r="AA91" i="6" s="1"/>
  <c r="AE20" i="10" s="1"/>
  <c r="D24" i="10"/>
  <c r="M13" i="10"/>
  <c r="R4" i="10"/>
  <c r="O91" i="6" s="1"/>
  <c r="R20" i="10" s="1"/>
  <c r="C24" i="10"/>
  <c r="D13" i="10"/>
  <c r="C4" i="10"/>
  <c r="AX12" i="10"/>
  <c r="AR3" i="10"/>
  <c r="V12" i="10"/>
  <c r="H3" i="10"/>
  <c r="R17" i="10"/>
  <c r="B3" i="9"/>
  <c r="AL4" i="9"/>
  <c r="B7" i="9"/>
  <c r="AU13" i="9"/>
  <c r="T16" i="9"/>
  <c r="B18" i="10"/>
  <c r="R11" i="5"/>
  <c r="U11" i="5" s="1"/>
  <c r="B10" i="4" s="1"/>
  <c r="AV8" i="8" s="1"/>
  <c r="R15" i="5"/>
  <c r="U8" i="5" s="1"/>
  <c r="B7" i="4" s="1"/>
  <c r="R13" i="5"/>
  <c r="U9" i="5" s="1"/>
  <c r="B8" i="4" s="1"/>
  <c r="R12" i="5"/>
  <c r="U10" i="5" s="1"/>
  <c r="B9" i="4" s="1"/>
  <c r="AU8" i="8" s="1"/>
  <c r="R19" i="5"/>
  <c r="U5" i="5" s="1"/>
  <c r="R17" i="5"/>
  <c r="U6" i="5" s="1"/>
  <c r="B5" i="4" s="1"/>
  <c r="X8" i="8" s="1"/>
  <c r="E8" i="9"/>
  <c r="AY6" i="9"/>
  <c r="J8" i="9"/>
  <c r="Q7" i="9"/>
  <c r="Y7" i="9"/>
  <c r="AR14" i="8"/>
  <c r="AJ63" i="6" s="1"/>
  <c r="AR22" i="8" s="1"/>
  <c r="V14" i="8"/>
  <c r="S63" i="6" s="1"/>
  <c r="V22" i="8" s="1"/>
  <c r="AN14" i="8"/>
  <c r="AF63" i="6" s="1"/>
  <c r="AN22" i="8" s="1"/>
  <c r="R14" i="8"/>
  <c r="O63" i="6" s="1"/>
  <c r="R22" i="8" s="1"/>
  <c r="AV2" i="8"/>
  <c r="AM60" i="6" s="1"/>
  <c r="AV19" i="8" s="1"/>
  <c r="Z2" i="8"/>
  <c r="W60" i="6" s="1"/>
  <c r="Z19" i="8" s="1"/>
  <c r="D2" i="8"/>
  <c r="AL14" i="8"/>
  <c r="N14" i="8"/>
  <c r="K63" i="6" s="1"/>
  <c r="N22" i="8" s="1"/>
  <c r="AK14" i="8"/>
  <c r="M14" i="8"/>
  <c r="J63" i="6" s="1"/>
  <c r="M22" i="8" s="1"/>
  <c r="H6" i="9"/>
  <c r="B6" i="9"/>
  <c r="V6" i="9"/>
  <c r="AV6" i="9"/>
  <c r="AY8" i="9"/>
  <c r="AC8" i="9"/>
  <c r="G8" i="9"/>
  <c r="AU8" i="9"/>
  <c r="Y8" i="9"/>
  <c r="C8" i="9"/>
  <c r="AT8" i="9"/>
  <c r="X8" i="9"/>
  <c r="B8" i="9"/>
  <c r="AQ8" i="9"/>
  <c r="R8" i="9"/>
  <c r="AM8" i="9"/>
  <c r="N8" i="9"/>
  <c r="AL8" i="9"/>
  <c r="M8" i="9"/>
  <c r="AZ8" i="9"/>
  <c r="U8" i="9"/>
  <c r="AX8" i="9"/>
  <c r="T8" i="9"/>
  <c r="AW8" i="9"/>
  <c r="S8" i="9"/>
  <c r="AV8" i="9"/>
  <c r="Q8" i="9"/>
  <c r="AS8" i="9"/>
  <c r="P8" i="9"/>
  <c r="AI8" i="9"/>
  <c r="F8" i="9"/>
  <c r="AA8" i="9"/>
  <c r="Z8" i="9"/>
  <c r="BA8" i="9"/>
  <c r="D8" i="9"/>
  <c r="AR8" i="9"/>
  <c r="AP8" i="9"/>
  <c r="AF8" i="9"/>
  <c r="H8" i="9"/>
  <c r="AK7" i="9"/>
  <c r="O7" i="9"/>
  <c r="AG7" i="9"/>
  <c r="K7" i="9"/>
  <c r="AF7" i="9"/>
  <c r="J7" i="9"/>
  <c r="AS7" i="9"/>
  <c r="T7" i="9"/>
  <c r="AO7" i="9"/>
  <c r="P7" i="9"/>
  <c r="AN7" i="9"/>
  <c r="N7" i="9"/>
  <c r="AR7" i="9"/>
  <c r="M7" i="9"/>
  <c r="AQ7" i="9"/>
  <c r="L7" i="9"/>
  <c r="AP7" i="9"/>
  <c r="I7" i="9"/>
  <c r="AM7" i="9"/>
  <c r="H7" i="9"/>
  <c r="AL7" i="9"/>
  <c r="G7" i="9"/>
  <c r="AB7" i="9"/>
  <c r="AW7" i="9"/>
  <c r="U7" i="9"/>
  <c r="AV7" i="9"/>
  <c r="S7" i="9"/>
  <c r="E7" i="9"/>
  <c r="BA7" i="9"/>
  <c r="D7" i="9"/>
  <c r="AZ7" i="9"/>
  <c r="C7" i="9"/>
  <c r="AH7" i="9"/>
  <c r="AS6" i="9"/>
  <c r="W6" i="9"/>
  <c r="AO6" i="9"/>
  <c r="S6" i="9"/>
  <c r="AN6" i="9"/>
  <c r="R6" i="9"/>
  <c r="AU6" i="9"/>
  <c r="U6" i="9"/>
  <c r="AP6" i="9"/>
  <c r="O6" i="9"/>
  <c r="AM6" i="9"/>
  <c r="N6" i="9"/>
  <c r="AI6" i="9"/>
  <c r="G6" i="9"/>
  <c r="AH6" i="9"/>
  <c r="F6" i="9"/>
  <c r="AG6" i="9"/>
  <c r="E6" i="9"/>
  <c r="AF6" i="9"/>
  <c r="D6" i="9"/>
  <c r="AE6" i="9"/>
  <c r="C6" i="9"/>
  <c r="AZ6" i="9"/>
  <c r="X6" i="9"/>
  <c r="AQ6" i="9"/>
  <c r="K6" i="9"/>
  <c r="AL6" i="9"/>
  <c r="J6" i="9"/>
  <c r="P6" i="9"/>
  <c r="M6" i="9"/>
  <c r="L6" i="9"/>
  <c r="AT6" i="9"/>
  <c r="BA6" i="9"/>
  <c r="I8" i="9"/>
  <c r="L8" i="9"/>
  <c r="R7" i="9"/>
  <c r="O8" i="9"/>
  <c r="N11" i="10"/>
  <c r="AZ7" i="8"/>
  <c r="AD7" i="8"/>
  <c r="H7" i="8"/>
  <c r="AO11" i="10"/>
  <c r="S11" i="10"/>
  <c r="AN11" i="10"/>
  <c r="R11" i="10"/>
  <c r="AM11" i="10"/>
  <c r="Q11" i="10"/>
  <c r="AL11" i="10"/>
  <c r="P11" i="10"/>
  <c r="AK11" i="10"/>
  <c r="O11" i="10"/>
  <c r="AS11" i="10"/>
  <c r="W11" i="10"/>
  <c r="Z11" i="10"/>
  <c r="BA11" i="10"/>
  <c r="Y11" i="10"/>
  <c r="AZ11" i="10"/>
  <c r="X11" i="10"/>
  <c r="AY11" i="10"/>
  <c r="V11" i="10"/>
  <c r="AX11" i="10"/>
  <c r="U11" i="10"/>
  <c r="AW11" i="10"/>
  <c r="T11" i="10"/>
  <c r="AR11" i="10"/>
  <c r="K11" i="10"/>
  <c r="AP11" i="10"/>
  <c r="I11" i="10"/>
  <c r="AQ11" i="10"/>
  <c r="AJ11" i="10"/>
  <c r="AI11" i="10"/>
  <c r="AG11" i="10"/>
  <c r="AF11" i="10"/>
  <c r="AB11" i="10"/>
  <c r="G11" i="10"/>
  <c r="F11" i="10"/>
  <c r="E11" i="10"/>
  <c r="D11" i="10"/>
  <c r="C11" i="10"/>
  <c r="AT11" i="10"/>
  <c r="M11" i="10"/>
  <c r="L11" i="10"/>
  <c r="AC11" i="10"/>
  <c r="AU22" i="10" l="1"/>
  <c r="AT22" i="10"/>
  <c r="AB21" i="8"/>
  <c r="AA21" i="8"/>
  <c r="AC69" i="6"/>
  <c r="V69" i="6" s="1"/>
  <c r="Y20" i="8" s="1"/>
  <c r="AC61" i="6"/>
  <c r="AG20" i="8" s="1"/>
  <c r="AU21" i="8"/>
  <c r="AT21" i="8"/>
  <c r="AU20" i="8"/>
  <c r="AT20" i="8"/>
  <c r="AB22" i="10"/>
  <c r="AA22" i="10"/>
  <c r="AC63" i="6"/>
  <c r="AC71" i="6"/>
  <c r="V71" i="6" s="1"/>
  <c r="Y22" i="8" s="1"/>
  <c r="H20" i="10"/>
  <c r="G20" i="10"/>
  <c r="AK22" i="10"/>
  <c r="AM22" i="10"/>
  <c r="AJ22" i="10"/>
  <c r="AL22" i="10"/>
  <c r="AI22" i="10"/>
  <c r="AZ20" i="10"/>
  <c r="AY20" i="10"/>
  <c r="AU19" i="10"/>
  <c r="AT19" i="10"/>
  <c r="D20" i="10"/>
  <c r="C20" i="10"/>
  <c r="B20" i="10"/>
  <c r="D22" i="10"/>
  <c r="B22" i="10"/>
  <c r="C22" i="10"/>
  <c r="AZ21" i="9"/>
  <c r="AY21" i="9"/>
  <c r="AM19" i="8"/>
  <c r="AK19" i="8"/>
  <c r="AI19" i="8"/>
  <c r="AL19" i="8"/>
  <c r="AJ19" i="8"/>
  <c r="AI21" i="9"/>
  <c r="AK21" i="9"/>
  <c r="AJ21" i="9"/>
  <c r="AM21" i="9"/>
  <c r="AL21" i="9"/>
  <c r="V3" i="5"/>
  <c r="B4" i="4"/>
  <c r="W8" i="8" s="1"/>
  <c r="AL19" i="9"/>
  <c r="AJ19" i="9"/>
  <c r="AI19" i="9"/>
  <c r="AM19" i="9"/>
  <c r="AK19" i="9"/>
  <c r="AL20" i="9"/>
  <c r="AK20" i="9"/>
  <c r="AM20" i="9"/>
  <c r="AJ20" i="9"/>
  <c r="AI20" i="9"/>
  <c r="C21" i="10"/>
  <c r="D21" i="10"/>
  <c r="B21" i="10"/>
  <c r="AY21" i="10"/>
  <c r="AZ21" i="10"/>
  <c r="AZ22" i="10"/>
  <c r="AY22" i="10"/>
  <c r="AK22" i="8"/>
  <c r="AM22" i="8"/>
  <c r="AL22" i="8"/>
  <c r="AI22" i="8"/>
  <c r="AJ22" i="8"/>
  <c r="B22" i="8"/>
  <c r="D22" i="8"/>
  <c r="C22" i="8"/>
  <c r="AA19" i="9"/>
  <c r="AB19" i="9"/>
  <c r="C19" i="10"/>
  <c r="B19" i="10"/>
  <c r="D19" i="10"/>
  <c r="AU19" i="9"/>
  <c r="AT19" i="9"/>
  <c r="AU20" i="10"/>
  <c r="AT20" i="10"/>
  <c r="D19" i="9"/>
  <c r="C19" i="9"/>
  <c r="B19" i="9"/>
  <c r="AZ20" i="9"/>
  <c r="AY20" i="9"/>
  <c r="AZ20" i="8"/>
  <c r="AY20" i="8"/>
  <c r="G21" i="9"/>
  <c r="H21" i="9"/>
  <c r="B20" i="9"/>
  <c r="D20" i="9"/>
  <c r="C20" i="9"/>
  <c r="AU22" i="9"/>
  <c r="AT22" i="9"/>
  <c r="C21" i="9"/>
  <c r="B21" i="9"/>
  <c r="D21" i="9"/>
  <c r="H19" i="8"/>
  <c r="G19" i="8"/>
  <c r="AY22" i="9"/>
  <c r="AZ22" i="9"/>
  <c r="G21" i="8"/>
  <c r="H21" i="8"/>
  <c r="AA20" i="10"/>
  <c r="AB20" i="10"/>
  <c r="AZ22" i="8"/>
  <c r="AY22" i="8"/>
  <c r="AU21" i="9"/>
  <c r="AT21" i="9"/>
  <c r="AL20" i="10"/>
  <c r="AK20" i="10"/>
  <c r="AJ20" i="10"/>
  <c r="AI20" i="10"/>
  <c r="AM20" i="10"/>
  <c r="AT19" i="8"/>
  <c r="AU19" i="8"/>
  <c r="AB21" i="10"/>
  <c r="AA21" i="10"/>
  <c r="AY19" i="9"/>
  <c r="AZ19" i="9"/>
  <c r="AU21" i="10"/>
  <c r="AT21" i="10"/>
  <c r="AB19" i="10"/>
  <c r="AA19" i="10"/>
  <c r="AZ21" i="8"/>
  <c r="AY21" i="8"/>
  <c r="AB22" i="9"/>
  <c r="AA22" i="9"/>
  <c r="AC68" i="6"/>
  <c r="V68" i="6" s="1"/>
  <c r="Y19" i="8" s="1"/>
  <c r="AC60" i="6"/>
  <c r="AG19" i="8" s="1"/>
  <c r="AJ22" i="9"/>
  <c r="AL22" i="9"/>
  <c r="AK22" i="9"/>
  <c r="AI22" i="9"/>
  <c r="AM22" i="9"/>
  <c r="H19" i="9"/>
  <c r="G19" i="9"/>
  <c r="G22" i="9"/>
  <c r="H22" i="9"/>
  <c r="H21" i="10"/>
  <c r="G21" i="10"/>
  <c r="AJ20" i="8"/>
  <c r="AL20" i="8"/>
  <c r="AI20" i="8"/>
  <c r="AM20" i="8"/>
  <c r="AK20" i="8"/>
  <c r="G22" i="8"/>
  <c r="H22" i="8"/>
  <c r="H20" i="9"/>
  <c r="G20" i="9"/>
  <c r="AB20" i="8"/>
  <c r="AA20" i="8"/>
  <c r="AB21" i="9"/>
  <c r="AA21" i="9"/>
  <c r="AZ19" i="10"/>
  <c r="AY19" i="10"/>
  <c r="H19" i="10"/>
  <c r="G19" i="10"/>
  <c r="AT8" i="8"/>
  <c r="AM21" i="10"/>
  <c r="AL21" i="10"/>
  <c r="AK21" i="10"/>
  <c r="AJ21" i="10"/>
  <c r="AI21" i="10"/>
  <c r="AB20" i="9"/>
  <c r="AA20" i="9"/>
  <c r="H22" i="10"/>
  <c r="G22" i="10"/>
  <c r="AT22" i="8"/>
  <c r="AU22" i="8"/>
  <c r="AG22" i="8" l="1"/>
</calcChain>
</file>

<file path=xl/sharedStrings.xml><?xml version="1.0" encoding="utf-8"?>
<sst xmlns="http://schemas.openxmlformats.org/spreadsheetml/2006/main" count="7810" uniqueCount="981">
  <si>
    <t>Unit: dimensionless (share of costs)</t>
  </si>
  <si>
    <t>ISIC 01</t>
  </si>
  <si>
    <t>ISIC 02</t>
  </si>
  <si>
    <t>ISIC 03</t>
  </si>
  <si>
    <t>ISIC 05</t>
  </si>
  <si>
    <t>ISIC 06</t>
  </si>
  <si>
    <t>ISIC 07</t>
  </si>
  <si>
    <t>ISIC 08</t>
  </si>
  <si>
    <t>ISIC 09</t>
  </si>
  <si>
    <t>ISIC 10T12</t>
  </si>
  <si>
    <t>ISIC 13T15</t>
  </si>
  <si>
    <t>ISIC 16</t>
  </si>
  <si>
    <t>ISIC 17T18</t>
  </si>
  <si>
    <t>ISIC 19</t>
  </si>
  <si>
    <t>ISIC 20</t>
  </si>
  <si>
    <t>ISIC 21</t>
  </si>
  <si>
    <t>ISIC 22</t>
  </si>
  <si>
    <t>ISIC 231</t>
  </si>
  <si>
    <t>ISIC 239</t>
  </si>
  <si>
    <t>ISIC 241</t>
  </si>
  <si>
    <t>ISIC 242</t>
  </si>
  <si>
    <t>ISIC 25</t>
  </si>
  <si>
    <t>ISIC 26</t>
  </si>
  <si>
    <t>ISIC 27</t>
  </si>
  <si>
    <t>ISIC 28</t>
  </si>
  <si>
    <t>ISIC 29</t>
  </si>
  <si>
    <t>ISIC 301</t>
  </si>
  <si>
    <t>ISIC 302T309</t>
  </si>
  <si>
    <t>ISIC 31T33</t>
  </si>
  <si>
    <t>ISIC 351</t>
  </si>
  <si>
    <t>ISIC 352T353</t>
  </si>
  <si>
    <t>ISIC 36T39</t>
  </si>
  <si>
    <t>ISIC 41T43</t>
  </si>
  <si>
    <t>ISIC 45T47</t>
  </si>
  <si>
    <t>ISIC 49</t>
  </si>
  <si>
    <t>ISIC 50</t>
  </si>
  <si>
    <t>ISIC 51</t>
  </si>
  <si>
    <t>ISIC 52</t>
  </si>
  <si>
    <t>ISIC 53</t>
  </si>
  <si>
    <t>ISIC 55T56</t>
  </si>
  <si>
    <t>ISIC 58T60</t>
  </si>
  <si>
    <t>ISIC 61</t>
  </si>
  <si>
    <t>ISIC 62T63</t>
  </si>
  <si>
    <t>ISIC 64T66</t>
  </si>
  <si>
    <t>ISIC 68</t>
  </si>
  <si>
    <t>ISIC 69T75</t>
  </si>
  <si>
    <t>ISIC 77T82</t>
  </si>
  <si>
    <t>ISIC 84</t>
  </si>
  <si>
    <t>ISIC 85</t>
  </si>
  <si>
    <t>ISIC 86T88</t>
  </si>
  <si>
    <t>ISIC 90T93</t>
  </si>
  <si>
    <t>ISIC 94T96</t>
  </si>
  <si>
    <t>ISIC 97T98</t>
  </si>
  <si>
    <t>hard coal</t>
  </si>
  <si>
    <t>natural gas steam turbine</t>
  </si>
  <si>
    <t>natural gas combined cycle</t>
  </si>
  <si>
    <t>nuclear</t>
  </si>
  <si>
    <t>hydro</t>
  </si>
  <si>
    <t>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</si>
  <si>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</si>
  <si>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</si>
  <si>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</si>
  <si>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</si>
  <si>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</si>
  <si>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</si>
  <si>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</si>
  <si>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</si>
  <si>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</si>
  <si>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</si>
  <si>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</si>
  <si>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</si>
  <si>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</si>
  <si>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</si>
  <si>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</si>
  <si>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</si>
  <si>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</si>
  <si>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</si>
  <si>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SoESCaOMCbIC Share of Electricity Sector Capital and O&amp;M Costs by ISIC Code</t>
  </si>
  <si>
    <t>Sources:</t>
  </si>
  <si>
    <t>Solar PV Costs</t>
  </si>
  <si>
    <t>Hard Coal and Lignite Costs</t>
  </si>
  <si>
    <t>Nuclear Costs</t>
  </si>
  <si>
    <t>CCS Cost Breakdown</t>
  </si>
  <si>
    <t>NREL</t>
  </si>
  <si>
    <t>World Nuclear Association</t>
  </si>
  <si>
    <t>Economic Research Institute for ASEAN and East Asia</t>
  </si>
  <si>
    <t>U.S. Solar Photovoltaic System Cost Benchmark: Q1 2021</t>
  </si>
  <si>
    <t>JEDI Coal Model</t>
  </si>
  <si>
    <t>Economics of Nuclear Power</t>
  </si>
  <si>
    <t>A Model Case Study: CCUS Cost Estimation</t>
  </si>
  <si>
    <t>https://www.nrel.gov/docs/fy22osti/80694.pdf</t>
  </si>
  <si>
    <t>https://www.nrel.gov/analysis/jedi/coal.html</t>
  </si>
  <si>
    <t>https://www.world-nuclear.org/information-library/economic-aspects/economics-of-nuclear-power.aspx</t>
  </si>
  <si>
    <t>https://www.eria.org/uploads/media/Research-Project-Report/RPR-2021-25/11_Chapter-2-A-Model-Case-Study_CCUS-Cost-Estimation_ed.pdf</t>
  </si>
  <si>
    <t>Figure 24</t>
  </si>
  <si>
    <t>"DefaultData" and "Calculations" tabs</t>
  </si>
  <si>
    <t>Capital cost breakdown by labour, goods, and materials</t>
  </si>
  <si>
    <t>Table 2.2</t>
  </si>
  <si>
    <t>Onshore Wind Costs</t>
  </si>
  <si>
    <t>Natural Gas Nonpeaker and All Oil Costs</t>
  </si>
  <si>
    <t>Hydro Construction Costs</t>
  </si>
  <si>
    <t>CCS Costs</t>
  </si>
  <si>
    <t>see EPS file elec/CCaMC</t>
  </si>
  <si>
    <t>JEDI Land Based Wind</t>
  </si>
  <si>
    <t>JEDI Natural Gas Model</t>
  </si>
  <si>
    <t>JEDI Conventional Hydropower Model</t>
  </si>
  <si>
    <t>https://www.nrel.gov/analysis/jedi/wind.html</t>
  </si>
  <si>
    <t>https://www.nrel.gov/analysis/jedi/natural-gas.html</t>
  </si>
  <si>
    <t>https://www.nrel.gov/analysis/jedi/conventional-hydro.html</t>
  </si>
  <si>
    <t>Cost to Sector Mapping for Solar PV and Onshore Wind</t>
  </si>
  <si>
    <t>Geothermal O&amp;M Costs</t>
  </si>
  <si>
    <t>Hydro O&amp;M Costs</t>
  </si>
  <si>
    <t>EIA</t>
  </si>
  <si>
    <t>INL</t>
  </si>
  <si>
    <t>I-JEDI Model</t>
  </si>
  <si>
    <t>Capital Cost and Performance Characteristic Estimates for Utility Scale Electric Power Generating Technologies</t>
  </si>
  <si>
    <t>Estimaton of Economic Parameters of U.S. Hydropower Resources</t>
  </si>
  <si>
    <t>https://www.nrel.gov/analysis/jedi/international.html</t>
  </si>
  <si>
    <t>https://www.eia.gov/analysis/studies/powerplants/capitalcost/pdf/capital_cost_AEO2020.pdf</t>
  </si>
  <si>
    <t>https://www1.eere.energy.gov/water/pdfs/doewater-00662.pdf</t>
  </si>
  <si>
    <t>"Calculations" tab</t>
  </si>
  <si>
    <t>Table 15.2</t>
  </si>
  <si>
    <t>p.8, 2.2</t>
  </si>
  <si>
    <t>Solar Thermal Costs</t>
  </si>
  <si>
    <t>Offshore Wind</t>
  </si>
  <si>
    <t>Biomass; Geothermal</t>
  </si>
  <si>
    <t>JEDI Concentrating Solar Power Model</t>
  </si>
  <si>
    <t>JEDI Offshore Wind Model</t>
  </si>
  <si>
    <t>https://www.nrel.gov/analysis/jedi/csp.html</t>
  </si>
  <si>
    <t>Notes:</t>
  </si>
  <si>
    <t>Petroleum, crude, and fuel oil plants assigned same cost structure as natural gas plants as the designs are usually the same. If the type of plant</t>
  </si>
  <si>
    <t>in the region being adapted differs from a traditional natural gas combined cycle plant, these values should be updated.</t>
  </si>
  <si>
    <t xml:space="preserve">Municipal solid waste assigned same cost structure as biomass plants as the designs are usually similar. If the type of plant in the region being </t>
  </si>
  <si>
    <t>adapted differs from a traditional biomass plant, these values should be updated</t>
  </si>
  <si>
    <t>Natural gas peaker assigned same costs structure as natural gas nonpeaker.</t>
  </si>
  <si>
    <t>Though a geothermal-specific JEDI model exists, we use the I-JEDI version for simplicity.</t>
  </si>
  <si>
    <t>52-code expansion (2026-07-17):</t>
  </si>
  <si>
    <t>The output tabs produce the 52-code ISIC list. The derivation above is unchanged and live; output-tab formulas reference the derivation tabs</t>
  </si>
  <si>
    <t>directly, with the original header-label criteria written as literals (the derivation tabs still use the pre-split 42-code labels).</t>
  </si>
  <si>
    <t>Children of split parents multiply the parent's allocation by the factors on the 'Factors applied' tab (editable; defaults = BEA 2024 gross-</t>
  </si>
  <si>
    <t>output shares from io-model/BObIC; semantic overrides documented per row with rationale).</t>
  </si>
  <si>
    <t>Child factors applied inline in the output-tab formulas (editable). Defaults = BEA 2024 output shares; semantic overrides and fuel reroutes noted per row.</t>
  </si>
  <si>
    <t>File</t>
  </si>
  <si>
    <t>Row context</t>
  </si>
  <si>
    <t>Child</t>
  </si>
  <si>
    <t>Parent</t>
  </si>
  <si>
    <t>Factor</t>
  </si>
  <si>
    <t>Rationale</t>
  </si>
  <si>
    <t>BEA 2024 output share</t>
  </si>
  <si>
    <t>SoESCaOMCbIC-capital.csv</t>
  </si>
  <si>
    <t>ISIC 01T03</t>
  </si>
  <si>
    <t>BEA 2024 output share (default)</t>
  </si>
  <si>
    <t>ISIC 07T08</t>
  </si>
  <si>
    <t>ISIC 30</t>
  </si>
  <si>
    <t>ISIC 49T53</t>
  </si>
  <si>
    <t>ISIC 69T82</t>
  </si>
  <si>
    <t>semantic override</t>
  </si>
  <si>
    <t>ISIC 90T96</t>
  </si>
  <si>
    <t>SoESCaOMCbIC-fixedOM.csv</t>
  </si>
  <si>
    <t>SoESCaOMCbIC-variableOM.csv</t>
  </si>
  <si>
    <t>OECD Code</t>
  </si>
  <si>
    <t>ISIC Code</t>
  </si>
  <si>
    <t>D01T03: Agriculture, forestry and fishing</t>
  </si>
  <si>
    <t>D05: Coal mining</t>
  </si>
  <si>
    <t>D06: Oil and gas extraction</t>
  </si>
  <si>
    <t>D07T08: Mining and quarrying of uranium and non-energy-producing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</si>
  <si>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</si>
  <si>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</si>
  <si>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</si>
  <si>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</si>
  <si>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</si>
  <si>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</si>
  <si>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D20: Chemicals</t>
  </si>
  <si>
    <t>D21: Pharmaceuticals</t>
  </si>
  <si>
    <t>D22: Rubber and plastic products</t>
  </si>
  <si>
    <t>D231: Glass</t>
  </si>
  <si>
    <t>D239: Cement and other nometallic minerals</t>
  </si>
  <si>
    <t>D241: Iron and steel</t>
  </si>
  <si>
    <t>D242: Other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</si>
  <si>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</si>
  <si>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</si>
  <si>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</si>
  <si>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</si>
  <si>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</si>
  <si>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</si>
  <si>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</si>
  <si>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D351: Electricity generation and distribution</t>
  </si>
  <si>
    <t>D352T353: Energy pipelines and gas processing</t>
  </si>
  <si>
    <t>D36T39: Water and waste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</si>
  <si>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</si>
  <si>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</si>
  <si>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</si>
  <si>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</si>
  <si>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</si>
  <si>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</si>
  <si>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</si>
  <si>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</si>
  <si>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</si>
  <si>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</si>
  <si>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</si>
  <si>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</si>
  <si>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</si>
  <si>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</si>
  <si>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</si>
  <si>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Solar PV</t>
  </si>
  <si>
    <t>Capital Costs</t>
  </si>
  <si>
    <t xml:space="preserve">Percent </t>
  </si>
  <si>
    <t>OECD Mapping</t>
  </si>
  <si>
    <t>ISIC Mapping</t>
  </si>
  <si>
    <t>Notes</t>
  </si>
  <si>
    <t>Sources</t>
  </si>
  <si>
    <t>Construction Costs</t>
  </si>
  <si>
    <t>of Cost</t>
  </si>
  <si>
    <t>Module</t>
  </si>
  <si>
    <t>Mapping based on I-JEDI and judgment</t>
  </si>
  <si>
    <t>https://www.nrel.gov/docs/fy19osti/72399.pdf, Figure 28</t>
  </si>
  <si>
    <t>Inverter</t>
  </si>
  <si>
    <t>Electrical BOS</t>
  </si>
  <si>
    <t>Structural BOS</t>
  </si>
  <si>
    <t>Install Labor and Equipment</t>
  </si>
  <si>
    <t>EPC Overhead</t>
  </si>
  <si>
    <t>Sales Tax</t>
  </si>
  <si>
    <t>Developer Overhead</t>
  </si>
  <si>
    <t>Contingency</t>
  </si>
  <si>
    <t>EPC/Developer Net Profit</t>
  </si>
  <si>
    <t>Fixed O&amp;M Costs</t>
  </si>
  <si>
    <t>Maintenance and repair services</t>
  </si>
  <si>
    <t>Repair parts</t>
  </si>
  <si>
    <t>Onshore Wind</t>
  </si>
  <si>
    <t>I-O Mapping</t>
  </si>
  <si>
    <t>Equipment Costs</t>
  </si>
  <si>
    <t xml:space="preserve">  Turbines and other equipment (excluding blades and towers)</t>
  </si>
  <si>
    <t>Mapping based on Land Based Wind JEDI and judgment</t>
  </si>
  <si>
    <t xml:space="preserve">  Blades</t>
  </si>
  <si>
    <t xml:space="preserve">  Towers</t>
  </si>
  <si>
    <t xml:space="preserve">  Transportation</t>
  </si>
  <si>
    <t xml:space="preserve">  Equipment Total</t>
  </si>
  <si>
    <t>Balance of Plant</t>
  </si>
  <si>
    <t xml:space="preserve">  Materials</t>
  </si>
  <si>
    <t xml:space="preserve">    Construction (concrete, rebar, equip, roads and site prep)</t>
  </si>
  <si>
    <t xml:space="preserve">    Transformer</t>
  </si>
  <si>
    <t xml:space="preserve">    Electrical (drop cable, wire, )</t>
  </si>
  <si>
    <t xml:space="preserve">    HV line extension</t>
  </si>
  <si>
    <t xml:space="preserve">    Materials Subtotal</t>
  </si>
  <si>
    <t xml:space="preserve">  Labor</t>
  </si>
  <si>
    <t xml:space="preserve">    Foundation</t>
  </si>
  <si>
    <t xml:space="preserve">    Erection</t>
  </si>
  <si>
    <t xml:space="preserve">    Electrical</t>
  </si>
  <si>
    <t xml:space="preserve">    Management/Supervision</t>
  </si>
  <si>
    <t xml:space="preserve">    Misc. </t>
  </si>
  <si>
    <t xml:space="preserve">    Labor Subtotal</t>
  </si>
  <si>
    <t xml:space="preserve">  Development/Other Costs</t>
  </si>
  <si>
    <t xml:space="preserve">    HV Sub/Interconnection</t>
  </si>
  <si>
    <t xml:space="preserve">       Materials</t>
  </si>
  <si>
    <t xml:space="preserve">       Labor</t>
  </si>
  <si>
    <t xml:space="preserve">    Engineering</t>
  </si>
  <si>
    <t xml:space="preserve">    Legal Services</t>
  </si>
  <si>
    <t xml:space="preserve">    Land Easements</t>
  </si>
  <si>
    <t xml:space="preserve">    Site Certificate/Permitting</t>
  </si>
  <si>
    <t xml:space="preserve">    Development/Other Subtotal</t>
  </si>
  <si>
    <t xml:space="preserve">  Balance of Plant Total</t>
  </si>
  <si>
    <t>Subtotal (all cost without taxes)</t>
  </si>
  <si>
    <t>Sales Tax (Material and Equipment Purchases)</t>
  </si>
  <si>
    <t>Total</t>
  </si>
  <si>
    <t>Labor</t>
  </si>
  <si>
    <t>Personnel</t>
  </si>
  <si>
    <t xml:space="preserve">  Field Salaries (i.e., onsite wind technicians, etc.)</t>
  </si>
  <si>
    <t xml:space="preserve">  Administrative</t>
  </si>
  <si>
    <t xml:space="preserve">  Management</t>
  </si>
  <si>
    <t xml:space="preserve">  Labor/Personnel Subtotal</t>
  </si>
  <si>
    <t>Materials and Services</t>
  </si>
  <si>
    <t xml:space="preserve">  Vehicles</t>
  </si>
  <si>
    <t xml:space="preserve">  Site Maint/Misc. Services</t>
  </si>
  <si>
    <t xml:space="preserve">  Fees, Permits, Licenses</t>
  </si>
  <si>
    <t xml:space="preserve">  Utilities</t>
  </si>
  <si>
    <t xml:space="preserve">  Insurance</t>
  </si>
  <si>
    <t xml:space="preserve">  Fuel (motor vehicle gasoline)</t>
  </si>
  <si>
    <t xml:space="preserve">  Consumables/Tools and Misc. Supplies</t>
  </si>
  <si>
    <t xml:space="preserve">  Replacement Parts/Equipment/ Spare Parts Inventory</t>
  </si>
  <si>
    <t xml:space="preserve">  Materials and Services Subtotal</t>
  </si>
  <si>
    <t>Sales Tax (Materials &amp; Equipment Purchases)</t>
  </si>
  <si>
    <t>Other Taxes/Payments</t>
  </si>
  <si>
    <t>Total O&amp;M Cost</t>
  </si>
  <si>
    <t>Coal</t>
  </si>
  <si>
    <t>Percent</t>
  </si>
  <si>
    <t xml:space="preserve"> Facility and Equipment</t>
  </si>
  <si>
    <t xml:space="preserve">   Power Generation</t>
  </si>
  <si>
    <t>Mapping based on JEDI and judgment</t>
  </si>
  <si>
    <t xml:space="preserve">   General facilities</t>
  </si>
  <si>
    <t xml:space="preserve">   Plant Equipment</t>
  </si>
  <si>
    <t xml:space="preserve">   Facility and Equipment Subtotal</t>
  </si>
  <si>
    <t xml:space="preserve"> Labor</t>
  </si>
  <si>
    <t xml:space="preserve">   Construction Labor</t>
  </si>
  <si>
    <t xml:space="preserve">   Project management</t>
  </si>
  <si>
    <t xml:space="preserve">   Labor Subtotal</t>
  </si>
  <si>
    <t xml:space="preserve"> Construction Subtotal</t>
  </si>
  <si>
    <t>Other Costs</t>
  </si>
  <si>
    <t xml:space="preserve"> Engineering, Procurement, Construction Management</t>
  </si>
  <si>
    <t xml:space="preserve"> Construction insurance</t>
  </si>
  <si>
    <t xml:space="preserve"> Land</t>
  </si>
  <si>
    <t xml:space="preserve"> Catalysts &amp; chemicals</t>
  </si>
  <si>
    <t xml:space="preserve"> Grid intertie</t>
  </si>
  <si>
    <t xml:space="preserve"> Owner costs </t>
  </si>
  <si>
    <t xml:space="preserve"> Legal and Advisory</t>
  </si>
  <si>
    <t xml:space="preserve"> Spare Parts</t>
  </si>
  <si>
    <t xml:space="preserve"> Other Subtotal</t>
  </si>
  <si>
    <t xml:space="preserve">Total </t>
  </si>
  <si>
    <t xml:space="preserve"> Materials</t>
  </si>
  <si>
    <t xml:space="preserve"> Services</t>
  </si>
  <si>
    <t>Variable O&amp;M Costs</t>
  </si>
  <si>
    <t xml:space="preserve"> Ash/sludge disposal</t>
  </si>
  <si>
    <t xml:space="preserve"> Water</t>
  </si>
  <si>
    <t>Natural Gas Nonpeaker</t>
  </si>
  <si>
    <t>Mapping based on Natural Gas JEDI and judgment</t>
  </si>
  <si>
    <t xml:space="preserve">   Subtotal</t>
  </si>
  <si>
    <t xml:space="preserve"> Labor and Management</t>
  </si>
  <si>
    <t xml:space="preserve">   Project management (contruction and owner's)</t>
  </si>
  <si>
    <t xml:space="preserve">   Construction Utilities</t>
  </si>
  <si>
    <t xml:space="preserve"> Engineering/Design</t>
  </si>
  <si>
    <t xml:space="preserve"> Permitting Fees</t>
  </si>
  <si>
    <t>Subtotal All Costs (without sales tax)</t>
  </si>
  <si>
    <t xml:space="preserve"> Routine Turbine Maintenance</t>
  </si>
  <si>
    <t>Nuclear</t>
  </si>
  <si>
    <t>Equipment</t>
  </si>
  <si>
    <t>     Nuclear steam supply system</t>
  </si>
  <si>
    <t>Assumption made by EI</t>
  </si>
  <si>
    <t>     Electrical and generating equipment</t>
  </si>
  <si>
    <t>     Mechanical equipment</t>
  </si>
  <si>
    <t>     Instrumentation and control system (including software)</t>
  </si>
  <si>
    <t>Construction materials</t>
  </si>
  <si>
    <t>Labour onsite</t>
  </si>
  <si>
    <t>Project management services</t>
  </si>
  <si>
    <t>Other services</t>
  </si>
  <si>
    <t>First fuel load</t>
  </si>
  <si>
    <t>Based on source, non-labor costs are neglible</t>
  </si>
  <si>
    <t>https://www.nei.org/CorporateSite/media/filefolder/resources/reports-and-briefs/nuclear-costs-context-201810.pdf</t>
  </si>
  <si>
    <t>water, water discharge treatment cost, chemicals, and consumables</t>
  </si>
  <si>
    <t>Water considered to be the largest cost</t>
  </si>
  <si>
    <t>Hydro</t>
  </si>
  <si>
    <t>Land, Water and Facility Rights</t>
  </si>
  <si>
    <t xml:space="preserve">  Land and Water Rights</t>
  </si>
  <si>
    <t>Mapping based on Conventional Hydro JEDI and judgment</t>
  </si>
  <si>
    <t xml:space="preserve">  Transmission Line Right of Way</t>
  </si>
  <si>
    <t xml:space="preserve">  Subtotal</t>
  </si>
  <si>
    <t>Construction Materials and Equipment</t>
  </si>
  <si>
    <t xml:space="preserve"> Civil Works and Structures</t>
  </si>
  <si>
    <t xml:space="preserve">  Civil Subtotal</t>
  </si>
  <si>
    <t xml:space="preserve"> Equipment</t>
  </si>
  <si>
    <t xml:space="preserve">  Turbines</t>
  </si>
  <si>
    <t xml:space="preserve">  Generators</t>
  </si>
  <si>
    <t xml:space="preserve">  Balance of Plant - Electrical</t>
  </si>
  <si>
    <t xml:space="preserve">  Balance of Plant - Mechanical</t>
  </si>
  <si>
    <t xml:space="preserve">  Main Power Transformers</t>
  </si>
  <si>
    <t xml:space="preserve">  Switchyard and Interconnection</t>
  </si>
  <si>
    <t xml:space="preserve">  Transmission Line</t>
  </si>
  <si>
    <t xml:space="preserve">  Equipment Subtotal</t>
  </si>
  <si>
    <t>Installation/Labor</t>
  </si>
  <si>
    <t xml:space="preserve"> Turbines</t>
  </si>
  <si>
    <t xml:space="preserve"> Generators</t>
  </si>
  <si>
    <t xml:space="preserve"> Balance of Plant Electrical</t>
  </si>
  <si>
    <t xml:space="preserve"> Balance of Plant Mechanical</t>
  </si>
  <si>
    <t xml:space="preserve"> Main Power Transformers</t>
  </si>
  <si>
    <t xml:space="preserve"> Switchyard and Interconnection</t>
  </si>
  <si>
    <t xml:space="preserve"> Transmission Lines</t>
  </si>
  <si>
    <t xml:space="preserve"> Installation/Labor Subtotal</t>
  </si>
  <si>
    <t xml:space="preserve"> Mitigation</t>
  </si>
  <si>
    <t xml:space="preserve"> Licensing, Permitting and Interconnection Agreement</t>
  </si>
  <si>
    <t xml:space="preserve"> Engineering and Other Professional Services</t>
  </si>
  <si>
    <t xml:space="preserve"> Insurance</t>
  </si>
  <si>
    <t xml:space="preserve"> Other Development </t>
  </si>
  <si>
    <t>Subtotal</t>
  </si>
  <si>
    <t>Personnel and Labor</t>
  </si>
  <si>
    <t xml:space="preserve"> Supplies, Tools, Vehicles, etc.</t>
  </si>
  <si>
    <t xml:space="preserve"> Taxes and Duties</t>
  </si>
  <si>
    <t xml:space="preserve"> Regulatory Compliance</t>
  </si>
  <si>
    <t xml:space="preserve"> Rents/Leases</t>
  </si>
  <si>
    <t xml:space="preserve"> Replacement Parts</t>
  </si>
  <si>
    <t xml:space="preserve"> Subtotal</t>
  </si>
  <si>
    <t>Total (without property taxes and debt financing)</t>
  </si>
  <si>
    <t>Water for power, hydraulic expenses, electric expenses, rent, misc.</t>
  </si>
  <si>
    <t>Assigned 100% to utilities based on description</t>
  </si>
  <si>
    <t>Biomass</t>
  </si>
  <si>
    <t>Feedstock handling equipment</t>
  </si>
  <si>
    <t>Turbines, boilers, and air quality control equipment</t>
  </si>
  <si>
    <t>Other equipment</t>
  </si>
  <si>
    <t>Construction Labor</t>
  </si>
  <si>
    <t>Professional Services (legal, engineering, development, etc.)</t>
  </si>
  <si>
    <t>Chemicals (including ammonia)</t>
  </si>
  <si>
    <t>Water</t>
  </si>
  <si>
    <t>Solids/Ash Disposal</t>
  </si>
  <si>
    <t>Solar Thermal</t>
  </si>
  <si>
    <t xml:space="preserve">    Construction (concrete rebar, equip, roads and site prep)</t>
  </si>
  <si>
    <t>Mapping based on JEDI</t>
  </si>
  <si>
    <t xml:space="preserve">    Subtotal</t>
  </si>
  <si>
    <t xml:space="preserve">    Sitework and Infrastructure</t>
  </si>
  <si>
    <t xml:space="preserve">    Field Erection</t>
  </si>
  <si>
    <t xml:space="preserve">    Support Structures</t>
  </si>
  <si>
    <t xml:space="preserve">    Piping</t>
  </si>
  <si>
    <t xml:space="preserve">    Mirrors</t>
  </si>
  <si>
    <t xml:space="preserve">    Heat Collection Elements</t>
  </si>
  <si>
    <t xml:space="preserve">    Thermal Energy Storage Tanks</t>
  </si>
  <si>
    <t xml:space="preserve">    Heat Exchangers</t>
  </si>
  <si>
    <t xml:space="preserve">    Heat Transfer System Equipment</t>
  </si>
  <si>
    <t xml:space="preserve">    Heat Transfer and Storage Fluids</t>
  </si>
  <si>
    <t xml:space="preserve">    Steam Turbines &amp; Generators</t>
  </si>
  <si>
    <t xml:space="preserve">    Misc. Electrical and Solar Equipment (pumps, motors, drive, etc.)</t>
  </si>
  <si>
    <t xml:space="preserve">    Water Treatment</t>
  </si>
  <si>
    <t xml:space="preserve">    Metal Support Structure</t>
  </si>
  <si>
    <t xml:space="preserve">    Interconnection Piping</t>
  </si>
  <si>
    <t xml:space="preserve">    Electronics &amp; Controls</t>
  </si>
  <si>
    <t xml:space="preserve">    Balance of Plant</t>
  </si>
  <si>
    <t xml:space="preserve">    Freight &amp; Transportation</t>
  </si>
  <si>
    <t xml:space="preserve">    Engineering &amp; Project Management</t>
  </si>
  <si>
    <t xml:space="preserve">    Misc. Costs (permitting, licensing, legal)</t>
  </si>
  <si>
    <t xml:space="preserve"> Sales tax</t>
  </si>
  <si>
    <t xml:space="preserve">  Operations</t>
  </si>
  <si>
    <t>EI assumption</t>
  </si>
  <si>
    <t xml:space="preserve">  Power Plant Maintenance</t>
  </si>
  <si>
    <t xml:space="preserve">  Field Maintenance</t>
  </si>
  <si>
    <t xml:space="preserve">  Personnel Subtotal</t>
  </si>
  <si>
    <t xml:space="preserve">  Water</t>
  </si>
  <si>
    <t>JEDI</t>
  </si>
  <si>
    <t xml:space="preserve">  Water Treatment (Chemicals)</t>
  </si>
  <si>
    <t>EI assumption; more detailed than JEDI</t>
  </si>
  <si>
    <t xml:space="preserve">  Misc. Services</t>
  </si>
  <si>
    <t xml:space="preserve">  Field Parts and Materials and Plant Equip</t>
  </si>
  <si>
    <t xml:space="preserve">  Misc. Supplies &amp; Equipment</t>
  </si>
  <si>
    <t>Geothermal</t>
  </si>
  <si>
    <t>Drilling</t>
  </si>
  <si>
    <t>Site preparation</t>
  </si>
  <si>
    <t>Rig operator and drilling services</t>
  </si>
  <si>
    <t>Cement and cement additives</t>
  </si>
  <si>
    <t>Petroleum</t>
  </si>
  <si>
    <t>Bits and stabilizers</t>
  </si>
  <si>
    <t>Mud and detergents</t>
  </si>
  <si>
    <t>Casing and wellhead</t>
  </si>
  <si>
    <t>Worker housing</t>
  </si>
  <si>
    <t>Professional services (engineers, geologists, supervisors, etc.)</t>
  </si>
  <si>
    <t>50% assigned in JEDI; 100% here</t>
  </si>
  <si>
    <t>Other</t>
  </si>
  <si>
    <t>Engineering and design</t>
  </si>
  <si>
    <t>Mechanical equipment (turbines, generators, pumps, condensers, heat exchangers)</t>
  </si>
  <si>
    <t>Permitting and environmental assessment</t>
  </si>
  <si>
    <t>Additional civil works (i.e., roads)</t>
  </si>
  <si>
    <t>Steam Turbine Maintenance</t>
  </si>
  <si>
    <t>Materials and Contract Services</t>
  </si>
  <si>
    <t>Adminsitrative and General</t>
  </si>
  <si>
    <t>Catalyst replacement, ammonia, limestone, water, ash disposal, FGD waste disposal, and water discharge treatment cost</t>
  </si>
  <si>
    <t>Water likely to be biggest cost; 100% assigned to utilities</t>
  </si>
  <si>
    <t>Turbine Equipment</t>
  </si>
  <si>
    <t xml:space="preserve">    Nacelle/Drivetrain</t>
  </si>
  <si>
    <t>Offshore Wind JEDI</t>
  </si>
  <si>
    <t xml:space="preserve">    Blades</t>
  </si>
  <si>
    <t xml:space="preserve">    Towers</t>
  </si>
  <si>
    <t xml:space="preserve">    Ground Transportation (to project staging area/port)</t>
  </si>
  <si>
    <t xml:space="preserve">    Warranty Cost</t>
  </si>
  <si>
    <t xml:space="preserve">    Turbine Equipment Total</t>
  </si>
  <si>
    <t>Materials and Other Equipment</t>
  </si>
  <si>
    <t xml:space="preserve">    Piling, anchors, mooring</t>
  </si>
  <si>
    <t xml:space="preserve">    Foundation (including anchors or alternatives for fixed bottom types only)</t>
  </si>
  <si>
    <t xml:space="preserve">    Substructure</t>
  </si>
  <si>
    <t xml:space="preserve">    Project Collection System</t>
  </si>
  <si>
    <t xml:space="preserve">    HV Cable (project site to point of grid interconnection)</t>
  </si>
  <si>
    <t xml:space="preserve">    Onshore substation (formerly converter station)</t>
  </si>
  <si>
    <t xml:space="preserve">    Offshore substation (formerly substation)</t>
  </si>
  <si>
    <t xml:space="preserve">    Materials and Other Equipment Total</t>
  </si>
  <si>
    <t>Labor Installation</t>
  </si>
  <si>
    <t xml:space="preserve">    Substructure  </t>
  </si>
  <si>
    <t xml:space="preserve">    Erection/Installation</t>
  </si>
  <si>
    <t xml:space="preserve">    Project Collection  </t>
  </si>
  <si>
    <t xml:space="preserve">    Grid Interconnection (including substation)</t>
  </si>
  <si>
    <t xml:space="preserve">    Labor Installation Total</t>
  </si>
  <si>
    <t>Insurance During Construction</t>
  </si>
  <si>
    <t xml:space="preserve">    CAR/Third Party liability/business interuption, etc.</t>
  </si>
  <si>
    <t>Development Services/Other</t>
  </si>
  <si>
    <t xml:space="preserve">    Public Relations</t>
  </si>
  <si>
    <t xml:space="preserve">    Ports and Staging</t>
  </si>
  <si>
    <t xml:space="preserve">    Air Transportation (personnel or materials)</t>
  </si>
  <si>
    <t xml:space="preserve">    Marine Transportation (personnel or materials)</t>
  </si>
  <si>
    <t xml:space="preserve">    Erection/Installation (equipment services)</t>
  </si>
  <si>
    <t xml:space="preserve">    Decomissioning Bonding</t>
  </si>
  <si>
    <t xml:space="preserve">    Development Services/Other Total</t>
  </si>
  <si>
    <t>Construction Financing (AFUDC)</t>
  </si>
  <si>
    <t xml:space="preserve">    Interest During Construction</t>
  </si>
  <si>
    <t xml:space="preserve">    Due Diligence Costs</t>
  </si>
  <si>
    <t xml:space="preserve">    Reserve Accounts (MRA/DSRA)</t>
  </si>
  <si>
    <t xml:space="preserve">    Bank Fees</t>
  </si>
  <si>
    <t xml:space="preserve">    Construction Financing Total</t>
  </si>
  <si>
    <t>Other Miscellaneous</t>
  </si>
  <si>
    <t>Subtotal (all costs without taxes)</t>
  </si>
  <si>
    <t>Total Construction Cost</t>
  </si>
  <si>
    <t xml:space="preserve">    Technician Salaries</t>
  </si>
  <si>
    <t xml:space="preserve">    Monitoring &amp; Daily Operation Staff and Other Craft Labor</t>
  </si>
  <si>
    <t xml:space="preserve">    Administrative</t>
  </si>
  <si>
    <t xml:space="preserve">    Labor Total</t>
  </si>
  <si>
    <t xml:space="preserve">    Water Transport</t>
  </si>
  <si>
    <t xml:space="preserve">    Site Facilities</t>
  </si>
  <si>
    <t xml:space="preserve">    Machinery and Equipment</t>
  </si>
  <si>
    <t xml:space="preserve">    Subcontractors</t>
  </si>
  <si>
    <t xml:space="preserve">    Corrective Maintenance Parts</t>
  </si>
  <si>
    <t xml:space="preserve">    Materials and Services Subtotal</t>
  </si>
  <si>
    <t>Total Operational Cost</t>
  </si>
  <si>
    <t>SUMMARY</t>
  </si>
  <si>
    <t>total</t>
  </si>
  <si>
    <t>percent</t>
  </si>
  <si>
    <t>EPC</t>
  </si>
  <si>
    <t>Developer overhead</t>
  </si>
  <si>
    <t>contingency</t>
  </si>
  <si>
    <t>transmission line</t>
  </si>
  <si>
    <t>interconnection fee</t>
  </si>
  <si>
    <t>permitting fee</t>
  </si>
  <si>
    <t>sale tax</t>
  </si>
  <si>
    <t>epc overhead</t>
  </si>
  <si>
    <t xml:space="preserve">install labor </t>
  </si>
  <si>
    <t>electrical bos</t>
  </si>
  <si>
    <t>structural bos</t>
  </si>
  <si>
    <t>bidirectional inverter</t>
  </si>
  <si>
    <t>solar inverter</t>
  </si>
  <si>
    <t>lithiomion battery</t>
  </si>
  <si>
    <t>pv module</t>
  </si>
  <si>
    <t>The difference in costs between the non-CCS and CCS versions of plant types is shown below (2012 $)</t>
  </si>
  <si>
    <t>See EPS file elec/CCaMC for underlying calculations.</t>
  </si>
  <si>
    <t>CCS CAPEX</t>
  </si>
  <si>
    <t xml:space="preserve">Non-CCS CAPEX </t>
  </si>
  <si>
    <t>Additional CCS Fixed O&amp;M</t>
  </si>
  <si>
    <t>Non-CCS Fixed O&amp;M</t>
  </si>
  <si>
    <t>Additional CCS Variable O&amp;M</t>
  </si>
  <si>
    <t>Non-CCS Variable O&amp;M</t>
  </si>
  <si>
    <t>CAPEX Breakdown</t>
  </si>
  <si>
    <t>Supporting boiler</t>
  </si>
  <si>
    <t>Higher desulphurisation</t>
  </si>
  <si>
    <t>Other related equipment</t>
  </si>
  <si>
    <t>OPEX Breakdown</t>
  </si>
  <si>
    <t>Boiler fuel</t>
  </si>
  <si>
    <t>*not included in O&amp;M total</t>
  </si>
  <si>
    <t>Other boiler O&amp;M costs</t>
  </si>
  <si>
    <t>*variable</t>
  </si>
  <si>
    <t>Amine</t>
  </si>
  <si>
    <t>NaOH</t>
  </si>
  <si>
    <t>*fixed</t>
  </si>
  <si>
    <t>CAPEX breakdown for non-CCS Components</t>
  </si>
  <si>
    <t>CAPEX breakdown for CCS Components</t>
  </si>
  <si>
    <t>*assumes same portion of cost for construction as non-CCS components</t>
  </si>
  <si>
    <t>Fixed O&amp;M breakdown for non-CCS Components</t>
  </si>
  <si>
    <t>Fixed O&amp;M breakdown for CCS Components</t>
  </si>
  <si>
    <t>Variable O&amp;M breakdown for non-CCS Components</t>
  </si>
  <si>
    <t>Variable O&amp;M breakdown for CCS Components</t>
  </si>
  <si>
    <t>Validation checks</t>
  </si>
  <si>
    <t>Child-factor groups sum to 1 (per file/context/parent; rate-file reroutes excluded)</t>
  </si>
  <si>
    <t>SoESCaOMCbIC-capital.csv | biomass | ISIC 01T03</t>
  </si>
  <si>
    <t>SoESCaOMCbIC-capital.csv | biomass | ISIC 07T08</t>
  </si>
  <si>
    <t>SoESCaOMCbIC-capital.csv | biomass | ISIC 30</t>
  </si>
  <si>
    <t>SoESCaOMCbIC-capital.csv | biomass | ISIC 49T53</t>
  </si>
  <si>
    <t>SoESCaOMCbIC-capital.csv | biomass | ISIC 69T82</t>
  </si>
  <si>
    <t>SoESCaOMCbIC-capital.csv | biomass | ISIC 90T96</t>
  </si>
  <si>
    <t>SoESCaOMCbIC-capital.csv | biomass w CCS | ISIC 01T03</t>
  </si>
  <si>
    <t>SoESCaOMCbIC-capital.csv | biomass w CCS | ISIC 07T08</t>
  </si>
  <si>
    <t>SoESCaOMCbIC-capital.csv | biomass w CCS | ISIC 30</t>
  </si>
  <si>
    <t>SoESCaOMCbIC-capital.csv | biomass w CCS | ISIC 49T53</t>
  </si>
  <si>
    <t>SoESCaOMCbIC-capital.csv | biomass w CCS | ISIC 69T82</t>
  </si>
  <si>
    <t>SoESCaOMCbIC-capital.csv | biomass w CCS | ISIC 90T96</t>
  </si>
  <si>
    <t>SoESCaOMCbIC-capital.csv | crude oil | ISIC 01T03</t>
  </si>
  <si>
    <t>SoESCaOMCbIC-capital.csv | crude oil | ISIC 07T08</t>
  </si>
  <si>
    <t>SoESCaOMCbIC-capital.csv | crude oil | ISIC 30</t>
  </si>
  <si>
    <t>SoESCaOMCbIC-capital.csv | crude oil | ISIC 49T53</t>
  </si>
  <si>
    <t>SoESCaOMCbIC-capital.csv | crude oil | ISIC 69T82</t>
  </si>
  <si>
    <t>SoESCaOMCbIC-capital.csv | crude oil | ISIC 90T96</t>
  </si>
  <si>
    <t>SoESCaOMCbIC-capital.csv | geothermal | ISIC 01T03</t>
  </si>
  <si>
    <t>SoESCaOMCbIC-capital.csv | geothermal | ISIC 07T08</t>
  </si>
  <si>
    <t>SoESCaOMCbIC-capital.csv | geothermal | ISIC 30</t>
  </si>
  <si>
    <t>SoESCaOMCbIC-capital.csv | geothermal | ISIC 49T53</t>
  </si>
  <si>
    <t>SoESCaOMCbIC-capital.csv | geothermal | ISIC 69T82</t>
  </si>
  <si>
    <t>SoESCaOMCbIC-capital.csv | geothermal | ISIC 90T96</t>
  </si>
  <si>
    <t>SoESCaOMCbIC-capital.csv | hard coal | ISIC 01T03</t>
  </si>
  <si>
    <t>SoESCaOMCbIC-capital.csv | hard coal | ISIC 07T08</t>
  </si>
  <si>
    <t>SoESCaOMCbIC-capital.csv | hard coal | ISIC 30</t>
  </si>
  <si>
    <t>SoESCaOMCbIC-capital.csv | hard coal | ISIC 49T53</t>
  </si>
  <si>
    <t>SoESCaOMCbIC-capital.csv | hard coal | ISIC 69T82</t>
  </si>
  <si>
    <t>SoESCaOMCbIC-capital.csv | hard coal | ISIC 90T96</t>
  </si>
  <si>
    <t>SoESCaOMCbIC-capital.csv | hard coal w CCS | ISIC 01T03</t>
  </si>
  <si>
    <t>SoESCaOMCbIC-capital.csv | hard coal w CCS | ISIC 07T08</t>
  </si>
  <si>
    <t>SoESCaOMCbIC-capital.csv | hard coal w CCS | ISIC 30</t>
  </si>
  <si>
    <t>SoESCaOMCbIC-capital.csv | hard coal w CCS | ISIC 49T53</t>
  </si>
  <si>
    <t>SoESCaOMCbIC-capital.csv | hard coal w CCS | ISIC 69T82</t>
  </si>
  <si>
    <t>SoESCaOMCbIC-capital.csv | hard coal w CCS | ISIC 90T96</t>
  </si>
  <si>
    <t>SoESCaOMCbIC-capital.csv | heavy or residual fuel oil | ISIC 01T03</t>
  </si>
  <si>
    <t>SoESCaOMCbIC-capital.csv | heavy or residual fuel oil | ISIC 07T08</t>
  </si>
  <si>
    <t>SoESCaOMCbIC-capital.csv | heavy or residual fuel oil | ISIC 30</t>
  </si>
  <si>
    <t>SoESCaOMCbIC-capital.csv | heavy or residual fuel oil | ISIC 49T53</t>
  </si>
  <si>
    <t>SoESCaOMCbIC-capital.csv | heavy or residual fuel oil | ISIC 69T82</t>
  </si>
  <si>
    <t>SoESCaOMCbIC-capital.csv | heavy or residual fuel oil | ISIC 90T96</t>
  </si>
  <si>
    <t>SoESCaOMCbIC-capital.csv | hydro | ISIC 01T03</t>
  </si>
  <si>
    <t>SoESCaOMCbIC-capital.csv | hydro | ISIC 07T08</t>
  </si>
  <si>
    <t>SoESCaOMCbIC-capital.csv | hydro | ISIC 30</t>
  </si>
  <si>
    <t>SoESCaOMCbIC-capital.csv | hydro | ISIC 49T53</t>
  </si>
  <si>
    <t>SoESCaOMCbIC-capital.csv | hydro | ISIC 69T82</t>
  </si>
  <si>
    <t>SoESCaOMCbIC-capital.csv | hydro | ISIC 90T96</t>
  </si>
  <si>
    <t>SoESCaOMCbIC-capital.csv | hydrogen combined cycle | ISIC 01T03</t>
  </si>
  <si>
    <t>SoESCaOMCbIC-capital.csv | hydrogen combined cycle | ISIC 07T08</t>
  </si>
  <si>
    <t>SoESCaOMCbIC-capital.csv | hydrogen combined cycle | ISIC 30</t>
  </si>
  <si>
    <t>SoESCaOMCbIC-capital.csv | hydrogen combined cycle | ISIC 49T53</t>
  </si>
  <si>
    <t>SoESCaOMCbIC-capital.csv | hydrogen combined cycle | ISIC 69T82</t>
  </si>
  <si>
    <t>SoESCaOMCbIC-capital.csv | hydrogen combined cycle | ISIC 90T96</t>
  </si>
  <si>
    <t>SoESCaOMCbIC-capital.csv | hydrogen combustion turbine | ISIC 01T03</t>
  </si>
  <si>
    <t>SoESCaOMCbIC-capital.csv | hydrogen combustion turbine | ISIC 07T08</t>
  </si>
  <si>
    <t>SoESCaOMCbIC-capital.csv | hydrogen combustion turbine | ISIC 30</t>
  </si>
  <si>
    <t>SoESCaOMCbIC-capital.csv | hydrogen combustion turbine | ISIC 49T53</t>
  </si>
  <si>
    <t>SoESCaOMCbIC-capital.csv | hydrogen combustion turbine | ISIC 69T82</t>
  </si>
  <si>
    <t>SoESCaOMCbIC-capital.csv | hydrogen combustion turbine | ISIC 90T96</t>
  </si>
  <si>
    <t>SoESCaOMCbIC-capital.csv | lignite | ISIC 01T03</t>
  </si>
  <si>
    <t>SoESCaOMCbIC-capital.csv | lignite | ISIC 07T08</t>
  </si>
  <si>
    <t>SoESCaOMCbIC-capital.csv | lignite | ISIC 30</t>
  </si>
  <si>
    <t>SoESCaOMCbIC-capital.csv | lignite | ISIC 49T53</t>
  </si>
  <si>
    <t>SoESCaOMCbIC-capital.csv | lignite | ISIC 69T82</t>
  </si>
  <si>
    <t>SoESCaOMCbIC-capital.csv | lignite | ISIC 90T96</t>
  </si>
  <si>
    <t>SoESCaOMCbIC-capital.csv | lignite w CCS | ISIC 01T03</t>
  </si>
  <si>
    <t>SoESCaOMCbIC-capital.csv | lignite w CCS | ISIC 07T08</t>
  </si>
  <si>
    <t>SoESCaOMCbIC-capital.csv | lignite w CCS | ISIC 30</t>
  </si>
  <si>
    <t>SoESCaOMCbIC-capital.csv | lignite w CCS | ISIC 49T53</t>
  </si>
  <si>
    <t>SoESCaOMCbIC-capital.csv | lignite w CCS | ISIC 69T82</t>
  </si>
  <si>
    <t>SoESCaOMCbIC-capital.csv | lignite w CCS | ISIC 90T96</t>
  </si>
  <si>
    <t>SoESCaOMCbIC-capital.csv | municipal solid waste | ISIC 01T03</t>
  </si>
  <si>
    <t>SoESCaOMCbIC-capital.csv | municipal solid waste | ISIC 07T08</t>
  </si>
  <si>
    <t>SoESCaOMCbIC-capital.csv | municipal solid waste | ISIC 30</t>
  </si>
  <si>
    <t>SoESCaOMCbIC-capital.csv | municipal solid waste | ISIC 49T53</t>
  </si>
  <si>
    <t>SoESCaOMCbIC-capital.csv | municipal solid waste | ISIC 69T82</t>
  </si>
  <si>
    <t>SoESCaOMCbIC-capital.csv | municipal solid waste | ISIC 90T96</t>
  </si>
  <si>
    <t>SoESCaOMCbIC-capital.csv | natural gas combined cycle | ISIC 01T03</t>
  </si>
  <si>
    <t>SoESCaOMCbIC-capital.csv | natural gas combined cycle | ISIC 07T08</t>
  </si>
  <si>
    <t>SoESCaOMCbIC-capital.csv | natural gas combined cycle | ISIC 30</t>
  </si>
  <si>
    <t>SoESCaOMCbIC-capital.csv | natural gas combined cycle | ISIC 49T53</t>
  </si>
  <si>
    <t>SoESCaOMCbIC-capital.csv | natural gas combined cycle | ISIC 69T82</t>
  </si>
  <si>
    <t>SoESCaOMCbIC-capital.csv | natural gas combined cycle | ISIC 90T96</t>
  </si>
  <si>
    <t>SoESCaOMCbIC-capital.csv | natural gas combined cycle w C | ISIC 01T03</t>
  </si>
  <si>
    <t>SoESCaOMCbIC-capital.csv | natural gas combined cycle w C | ISIC 07T08</t>
  </si>
  <si>
    <t>SoESCaOMCbIC-capital.csv | natural gas combined cycle w C | ISIC 30</t>
  </si>
  <si>
    <t>SoESCaOMCbIC-capital.csv | natural gas combined cycle w C | ISIC 49T53</t>
  </si>
  <si>
    <t>SoESCaOMCbIC-capital.csv | natural gas combined cycle w C | ISIC 69T82</t>
  </si>
  <si>
    <t>SoESCaOMCbIC-capital.csv | natural gas combined cycle w C | ISIC 90T96</t>
  </si>
  <si>
    <t>SoESCaOMCbIC-capital.csv | natural gas peaker | ISIC 01T03</t>
  </si>
  <si>
    <t>SoESCaOMCbIC-capital.csv | natural gas peaker | ISIC 07T08</t>
  </si>
  <si>
    <t>SoESCaOMCbIC-capital.csv | natural gas peaker | ISIC 30</t>
  </si>
  <si>
    <t>SoESCaOMCbIC-capital.csv | natural gas peaker | ISIC 49T53</t>
  </si>
  <si>
    <t>SoESCaOMCbIC-capital.csv | natural gas peaker | ISIC 69T82</t>
  </si>
  <si>
    <t>SoESCaOMCbIC-capital.csv | natural gas peaker | ISIC 90T96</t>
  </si>
  <si>
    <t>SoESCaOMCbIC-capital.csv | natural gas steam turbine | ISIC 01T03</t>
  </si>
  <si>
    <t>SoESCaOMCbIC-capital.csv | natural gas steam turbine | ISIC 07T08</t>
  </si>
  <si>
    <t>SoESCaOMCbIC-capital.csv | natural gas steam turbine | ISIC 30</t>
  </si>
  <si>
    <t>SoESCaOMCbIC-capital.csv | natural gas steam turbine | ISIC 49T53</t>
  </si>
  <si>
    <t>SoESCaOMCbIC-capital.csv | natural gas steam turbine | ISIC 69T82</t>
  </si>
  <si>
    <t>SoESCaOMCbIC-capital.csv | natural gas steam turbine | ISIC 90T96</t>
  </si>
  <si>
    <t>SoESCaOMCbIC-capital.csv | nuclear | ISIC 01T03</t>
  </si>
  <si>
    <t>SoESCaOMCbIC-capital.csv | nuclear | ISIC 07T08</t>
  </si>
  <si>
    <t>SoESCaOMCbIC-capital.csv | nuclear | ISIC 30</t>
  </si>
  <si>
    <t>SoESCaOMCbIC-capital.csv | nuclear | ISIC 49T53</t>
  </si>
  <si>
    <t>SoESCaOMCbIC-capital.csv | nuclear | ISIC 69T82</t>
  </si>
  <si>
    <t>SoESCaOMCbIC-capital.csv | nuclear | ISIC 90T96</t>
  </si>
  <si>
    <t>SoESCaOMCbIC-capital.csv | offshore wind | ISIC 01T03</t>
  </si>
  <si>
    <t>SoESCaOMCbIC-capital.csv | offshore wind | ISIC 07T08</t>
  </si>
  <si>
    <t>SoESCaOMCbIC-capital.csv | offshore wind | ISIC 30</t>
  </si>
  <si>
    <t>SoESCaOMCbIC-capital.csv | offshore wind | ISIC 49T53</t>
  </si>
  <si>
    <t>SoESCaOMCbIC-capital.csv | offshore wind | ISIC 69T82</t>
  </si>
  <si>
    <t>SoESCaOMCbIC-capital.csv | offshore wind | ISIC 90T96</t>
  </si>
  <si>
    <t>SoESCaOMCbIC-capital.csv | petroleum | ISIC 01T03</t>
  </si>
  <si>
    <t>SoESCaOMCbIC-capital.csv | petroleum | ISIC 07T08</t>
  </si>
  <si>
    <t>SoESCaOMCbIC-capital.csv | petroleum | ISIC 30</t>
  </si>
  <si>
    <t>SoESCaOMCbIC-capital.csv | petroleum | ISIC 49T53</t>
  </si>
  <si>
    <t>SoESCaOMCbIC-capital.csv | petroleum | ISIC 69T82</t>
  </si>
  <si>
    <t>SoESCaOMCbIC-capital.csv | petroleum | ISIC 90T96</t>
  </si>
  <si>
    <t>SoESCaOMCbIC-capital.csv | small modular reactor | ISIC 01T03</t>
  </si>
  <si>
    <t>SoESCaOMCbIC-capital.csv | small modular reactor | ISIC 07T08</t>
  </si>
  <si>
    <t>SoESCaOMCbIC-capital.csv | small modular reactor | ISIC 30</t>
  </si>
  <si>
    <t>SoESCaOMCbIC-capital.csv | small modular reactor | ISIC 49T53</t>
  </si>
  <si>
    <t>SoESCaOMCbIC-capital.csv | small modular reactor | ISIC 69T82</t>
  </si>
  <si>
    <t>SoESCaOMCbIC-capital.csv | small modular reactor | ISIC 90T96</t>
  </si>
  <si>
    <t>SoESCaOMCbIC-capital.csv | solar PV | ISIC 01T03</t>
  </si>
  <si>
    <t>SoESCaOMCbIC-capital.csv | solar PV | ISIC 07T08</t>
  </si>
  <si>
    <t>SoESCaOMCbIC-capital.csv | solar PV | ISIC 30</t>
  </si>
  <si>
    <t>SoESCaOMCbIC-capital.csv | solar PV | ISIC 49T53</t>
  </si>
  <si>
    <t>SoESCaOMCbIC-capital.csv | solar PV | ISIC 69T82</t>
  </si>
  <si>
    <t>SoESCaOMCbIC-capital.csv | solar PV | ISIC 90T96</t>
  </si>
  <si>
    <t>SoESCaOMCbIC-capital.csv | solar thermal | ISIC 01T03</t>
  </si>
  <si>
    <t>SoESCaOMCbIC-capital.csv | solar thermal | ISIC 07T08</t>
  </si>
  <si>
    <t>SoESCaOMCbIC-capital.csv | solar thermal | ISIC 30</t>
  </si>
  <si>
    <t>SoESCaOMCbIC-capital.csv | solar thermal | ISIC 49T53</t>
  </si>
  <si>
    <t>SoESCaOMCbIC-capital.csv | solar thermal | ISIC 69T82</t>
  </si>
  <si>
    <t>SoESCaOMCbIC-capital.csv | solar thermal | ISIC 90T96</t>
  </si>
  <si>
    <t>SoESCaOMCbIC-capital.csv | wind | ISIC 01T03</t>
  </si>
  <si>
    <t>SoESCaOMCbIC-capital.csv | wind | ISIC 07T08</t>
  </si>
  <si>
    <t>SoESCaOMCbIC-capital.csv | wind | ISIC 30</t>
  </si>
  <si>
    <t>SoESCaOMCbIC-capital.csv | wind | ISIC 49T53</t>
  </si>
  <si>
    <t>SoESCaOMCbIC-capital.csv | wind | ISIC 69T82</t>
  </si>
  <si>
    <t>SoESCaOMCbIC-capital.csv | wind | ISIC 90T96</t>
  </si>
  <si>
    <t>SoESCaOMCbIC-fixedOM.csv | biomass | ISIC 01T03</t>
  </si>
  <si>
    <t>SoESCaOMCbIC-fixedOM.csv | biomass | ISIC 07T08</t>
  </si>
  <si>
    <t>SoESCaOMCbIC-fixedOM.csv | biomass | ISIC 30</t>
  </si>
  <si>
    <t>SoESCaOMCbIC-fixedOM.csv | biomass | ISIC 49T53</t>
  </si>
  <si>
    <t>SoESCaOMCbIC-fixedOM.csv | biomass | ISIC 69T82</t>
  </si>
  <si>
    <t>SoESCaOMCbIC-fixedOM.csv | biomass | ISIC 90T96</t>
  </si>
  <si>
    <t>SoESCaOMCbIC-fixedOM.csv | biomass w CCS | ISIC 01T03</t>
  </si>
  <si>
    <t>SoESCaOMCbIC-fixedOM.csv | biomass w CCS | ISIC 07T08</t>
  </si>
  <si>
    <t>SoESCaOMCbIC-fixedOM.csv | biomass w CCS | ISIC 30</t>
  </si>
  <si>
    <t>SoESCaOMCbIC-fixedOM.csv | biomass w CCS | ISIC 49T53</t>
  </si>
  <si>
    <t>SoESCaOMCbIC-fixedOM.csv | biomass w CCS | ISIC 69T82</t>
  </si>
  <si>
    <t>SoESCaOMCbIC-fixedOM.csv | biomass w CCS | ISIC 90T96</t>
  </si>
  <si>
    <t>SoESCaOMCbIC-fixedOM.csv | crude oil | ISIC 01T03</t>
  </si>
  <si>
    <t>SoESCaOMCbIC-fixedOM.csv | crude oil | ISIC 07T08</t>
  </si>
  <si>
    <t>SoESCaOMCbIC-fixedOM.csv | crude oil | ISIC 30</t>
  </si>
  <si>
    <t>SoESCaOMCbIC-fixedOM.csv | crude oil | ISIC 49T53</t>
  </si>
  <si>
    <t>SoESCaOMCbIC-fixedOM.csv | crude oil | ISIC 69T82</t>
  </si>
  <si>
    <t>SoESCaOMCbIC-fixedOM.csv | crude oil | ISIC 90T96</t>
  </si>
  <si>
    <t>SoESCaOMCbIC-fixedOM.csv | geothermal | ISIC 01T03</t>
  </si>
  <si>
    <t>SoESCaOMCbIC-fixedOM.csv | geothermal | ISIC 07T08</t>
  </si>
  <si>
    <t>SoESCaOMCbIC-fixedOM.csv | geothermal | ISIC 30</t>
  </si>
  <si>
    <t>SoESCaOMCbIC-fixedOM.csv | geothermal | ISIC 49T53</t>
  </si>
  <si>
    <t>SoESCaOMCbIC-fixedOM.csv | geothermal | ISIC 69T82</t>
  </si>
  <si>
    <t>SoESCaOMCbIC-fixedOM.csv | geothermal | ISIC 90T96</t>
  </si>
  <si>
    <t>SoESCaOMCbIC-fixedOM.csv | hard coal | ISIC 01T03</t>
  </si>
  <si>
    <t>SoESCaOMCbIC-fixedOM.csv | hard coal | ISIC 07T08</t>
  </si>
  <si>
    <t>SoESCaOMCbIC-fixedOM.csv | hard coal | ISIC 30</t>
  </si>
  <si>
    <t>SoESCaOMCbIC-fixedOM.csv | hard coal | ISIC 49T53</t>
  </si>
  <si>
    <t>SoESCaOMCbIC-fixedOM.csv | hard coal | ISIC 69T82</t>
  </si>
  <si>
    <t>SoESCaOMCbIC-fixedOM.csv | hard coal | ISIC 90T96</t>
  </si>
  <si>
    <t>SoESCaOMCbIC-fixedOM.csv | hard coal w CCS | ISIC 01T03</t>
  </si>
  <si>
    <t>SoESCaOMCbIC-fixedOM.csv | hard coal w CCS | ISIC 07T08</t>
  </si>
  <si>
    <t>SoESCaOMCbIC-fixedOM.csv | hard coal w CCS | ISIC 30</t>
  </si>
  <si>
    <t>SoESCaOMCbIC-fixedOM.csv | hard coal w CCS | ISIC 49T53</t>
  </si>
  <si>
    <t>SoESCaOMCbIC-fixedOM.csv | hard coal w CCS | ISIC 69T82</t>
  </si>
  <si>
    <t>SoESCaOMCbIC-fixedOM.csv | hard coal w CCS | ISIC 90T96</t>
  </si>
  <si>
    <t>SoESCaOMCbIC-fixedOM.csv | heavy or residual fuel oil | ISIC 01T03</t>
  </si>
  <si>
    <t>SoESCaOMCbIC-fixedOM.csv | heavy or residual fuel oil | ISIC 07T08</t>
  </si>
  <si>
    <t>SoESCaOMCbIC-fixedOM.csv | heavy or residual fuel oil | ISIC 30</t>
  </si>
  <si>
    <t>SoESCaOMCbIC-fixedOM.csv | heavy or residual fuel oil | ISIC 49T53</t>
  </si>
  <si>
    <t>SoESCaOMCbIC-fixedOM.csv | heavy or residual fuel oil | ISIC 69T82</t>
  </si>
  <si>
    <t>SoESCaOMCbIC-fixedOM.csv | heavy or residual fuel oil | ISIC 90T96</t>
  </si>
  <si>
    <t>SoESCaOMCbIC-fixedOM.csv | hydro | ISIC 01T03</t>
  </si>
  <si>
    <t>SoESCaOMCbIC-fixedOM.csv | hydro | ISIC 07T08</t>
  </si>
  <si>
    <t>SoESCaOMCbIC-fixedOM.csv | hydro | ISIC 30</t>
  </si>
  <si>
    <t>SoESCaOMCbIC-fixedOM.csv | hydro | ISIC 49T53</t>
  </si>
  <si>
    <t>SoESCaOMCbIC-fixedOM.csv | hydro | ISIC 69T82</t>
  </si>
  <si>
    <t>SoESCaOMCbIC-fixedOM.csv | hydro | ISIC 90T96</t>
  </si>
  <si>
    <t>SoESCaOMCbIC-fixedOM.csv | hydrogen combined cycle | ISIC 01T03</t>
  </si>
  <si>
    <t>SoESCaOMCbIC-fixedOM.csv | hydrogen combined cycle | ISIC 07T08</t>
  </si>
  <si>
    <t>SoESCaOMCbIC-fixedOM.csv | hydrogen combined cycle | ISIC 30</t>
  </si>
  <si>
    <t>SoESCaOMCbIC-fixedOM.csv | hydrogen combined cycle | ISIC 49T53</t>
  </si>
  <si>
    <t>SoESCaOMCbIC-fixedOM.csv | hydrogen combined cycle | ISIC 69T82</t>
  </si>
  <si>
    <t>SoESCaOMCbIC-fixedOM.csv | hydrogen combined cycle | ISIC 90T96</t>
  </si>
  <si>
    <t>SoESCaOMCbIC-fixedOM.csv | hydrogen combustion turbine | ISIC 01T03</t>
  </si>
  <si>
    <t>SoESCaOMCbIC-fixedOM.csv | hydrogen combustion turbine | ISIC 07T08</t>
  </si>
  <si>
    <t>SoESCaOMCbIC-fixedOM.csv | hydrogen combustion turbine | ISIC 30</t>
  </si>
  <si>
    <t>SoESCaOMCbIC-fixedOM.csv | hydrogen combustion turbine | ISIC 49T53</t>
  </si>
  <si>
    <t>SoESCaOMCbIC-fixedOM.csv | hydrogen combustion turbine | ISIC 69T82</t>
  </si>
  <si>
    <t>SoESCaOMCbIC-fixedOM.csv | hydrogen combustion turbine | ISIC 90T96</t>
  </si>
  <si>
    <t>SoESCaOMCbIC-fixedOM.csv | lignite | ISIC 01T03</t>
  </si>
  <si>
    <t>SoESCaOMCbIC-fixedOM.csv | lignite | ISIC 07T08</t>
  </si>
  <si>
    <t>SoESCaOMCbIC-fixedOM.csv | lignite | ISIC 30</t>
  </si>
  <si>
    <t>SoESCaOMCbIC-fixedOM.csv | lignite | ISIC 49T53</t>
  </si>
  <si>
    <t>SoESCaOMCbIC-fixedOM.csv | lignite | ISIC 69T82</t>
  </si>
  <si>
    <t>SoESCaOMCbIC-fixedOM.csv | lignite | ISIC 90T96</t>
  </si>
  <si>
    <t>SoESCaOMCbIC-fixedOM.csv | lignite w CCS | ISIC 01T03</t>
  </si>
  <si>
    <t>SoESCaOMCbIC-fixedOM.csv | lignite w CCS | ISIC 07T08</t>
  </si>
  <si>
    <t>SoESCaOMCbIC-fixedOM.csv | lignite w CCS | ISIC 30</t>
  </si>
  <si>
    <t>SoESCaOMCbIC-fixedOM.csv | lignite w CCS | ISIC 49T53</t>
  </si>
  <si>
    <t>SoESCaOMCbIC-fixedOM.csv | lignite w CCS | ISIC 69T82</t>
  </si>
  <si>
    <t>SoESCaOMCbIC-fixedOM.csv | lignite w CCS | ISIC 90T96</t>
  </si>
  <si>
    <t>SoESCaOMCbIC-fixedOM.csv | municipal solid waste | ISIC 01T03</t>
  </si>
  <si>
    <t>SoESCaOMCbIC-fixedOM.csv | municipal solid waste | ISIC 07T08</t>
  </si>
  <si>
    <t>SoESCaOMCbIC-fixedOM.csv | municipal solid waste | ISIC 30</t>
  </si>
  <si>
    <t>SoESCaOMCbIC-fixedOM.csv | municipal solid waste | ISIC 49T53</t>
  </si>
  <si>
    <t>SoESCaOMCbIC-fixedOM.csv | municipal solid waste | ISIC 69T82</t>
  </si>
  <si>
    <t>SoESCaOMCbIC-fixedOM.csv | municipal solid waste | ISIC 90T96</t>
  </si>
  <si>
    <t>SoESCaOMCbIC-fixedOM.csv | natural gas combined cycle | ISIC 01T03</t>
  </si>
  <si>
    <t>SoESCaOMCbIC-fixedOM.csv | natural gas combined cycle | ISIC 07T08</t>
  </si>
  <si>
    <t>SoESCaOMCbIC-fixedOM.csv | natural gas combined cycle | ISIC 30</t>
  </si>
  <si>
    <t>SoESCaOMCbIC-fixedOM.csv | natural gas combined cycle | ISIC 49T53</t>
  </si>
  <si>
    <t>SoESCaOMCbIC-fixedOM.csv | natural gas combined cycle | ISIC 69T82</t>
  </si>
  <si>
    <t>SoESCaOMCbIC-fixedOM.csv | natural gas combined cycle | ISIC 90T96</t>
  </si>
  <si>
    <t>SoESCaOMCbIC-fixedOM.csv | natural gas combined cycle w C | ISIC 01T03</t>
  </si>
  <si>
    <t>SoESCaOMCbIC-fixedOM.csv | natural gas combined cycle w C | ISIC 07T08</t>
  </si>
  <si>
    <t>SoESCaOMCbIC-fixedOM.csv | natural gas combined cycle w C | ISIC 30</t>
  </si>
  <si>
    <t>SoESCaOMCbIC-fixedOM.csv | natural gas combined cycle w C | ISIC 49T53</t>
  </si>
  <si>
    <t>SoESCaOMCbIC-fixedOM.csv | natural gas combined cycle w C | ISIC 69T82</t>
  </si>
  <si>
    <t>SoESCaOMCbIC-fixedOM.csv | natural gas combined cycle w C | ISIC 90T96</t>
  </si>
  <si>
    <t>SoESCaOMCbIC-fixedOM.csv | natural gas peaker | ISIC 01T03</t>
  </si>
  <si>
    <t>SoESCaOMCbIC-fixedOM.csv | natural gas peaker | ISIC 07T08</t>
  </si>
  <si>
    <t>SoESCaOMCbIC-fixedOM.csv | natural gas peaker | ISIC 30</t>
  </si>
  <si>
    <t>SoESCaOMCbIC-fixedOM.csv | natural gas peaker | ISIC 49T53</t>
  </si>
  <si>
    <t>SoESCaOMCbIC-fixedOM.csv | natural gas peaker | ISIC 69T82</t>
  </si>
  <si>
    <t>SoESCaOMCbIC-fixedOM.csv | natural gas peaker | ISIC 90T96</t>
  </si>
  <si>
    <t>SoESCaOMCbIC-fixedOM.csv | natural gas steam turbine | ISIC 01T03</t>
  </si>
  <si>
    <t>SoESCaOMCbIC-fixedOM.csv | natural gas steam turbine | ISIC 07T08</t>
  </si>
  <si>
    <t>SoESCaOMCbIC-fixedOM.csv | natural gas steam turbine | ISIC 30</t>
  </si>
  <si>
    <t>SoESCaOMCbIC-fixedOM.csv | natural gas steam turbine | ISIC 49T53</t>
  </si>
  <si>
    <t>SoESCaOMCbIC-fixedOM.csv | natural gas steam turbine | ISIC 69T82</t>
  </si>
  <si>
    <t>SoESCaOMCbIC-fixedOM.csv | natural gas steam turbine | ISIC 90T96</t>
  </si>
  <si>
    <t>SoESCaOMCbIC-fixedOM.csv | nuclear | ISIC 01T03</t>
  </si>
  <si>
    <t>SoESCaOMCbIC-fixedOM.csv | nuclear | ISIC 07T08</t>
  </si>
  <si>
    <t>SoESCaOMCbIC-fixedOM.csv | nuclear | ISIC 30</t>
  </si>
  <si>
    <t>SoESCaOMCbIC-fixedOM.csv | nuclear | ISIC 49T53</t>
  </si>
  <si>
    <t>SoESCaOMCbIC-fixedOM.csv | nuclear | ISIC 69T82</t>
  </si>
  <si>
    <t>SoESCaOMCbIC-fixedOM.csv | nuclear | ISIC 90T96</t>
  </si>
  <si>
    <t>SoESCaOMCbIC-fixedOM.csv | offshore wind | ISIC 01T03</t>
  </si>
  <si>
    <t>SoESCaOMCbIC-fixedOM.csv | offshore wind | ISIC 07T08</t>
  </si>
  <si>
    <t>SoESCaOMCbIC-fixedOM.csv | offshore wind | ISIC 30</t>
  </si>
  <si>
    <t>SoESCaOMCbIC-fixedOM.csv | offshore wind | ISIC 49T53</t>
  </si>
  <si>
    <t>SoESCaOMCbIC-fixedOM.csv | offshore wind | ISIC 69T82</t>
  </si>
  <si>
    <t>SoESCaOMCbIC-fixedOM.csv | offshore wind | ISIC 90T96</t>
  </si>
  <si>
    <t>SoESCaOMCbIC-fixedOM.csv | petroleum | ISIC 01T03</t>
  </si>
  <si>
    <t>SoESCaOMCbIC-fixedOM.csv | petroleum | ISIC 07T08</t>
  </si>
  <si>
    <t>SoESCaOMCbIC-fixedOM.csv | petroleum | ISIC 30</t>
  </si>
  <si>
    <t>SoESCaOMCbIC-fixedOM.csv | petroleum | ISIC 49T53</t>
  </si>
  <si>
    <t>SoESCaOMCbIC-fixedOM.csv | petroleum | ISIC 69T82</t>
  </si>
  <si>
    <t>SoESCaOMCbIC-fixedOM.csv | petroleum | ISIC 90T96</t>
  </si>
  <si>
    <t>SoESCaOMCbIC-fixedOM.csv | small modular reactor | ISIC 01T03</t>
  </si>
  <si>
    <t>SoESCaOMCbIC-fixedOM.csv | small modular reactor | ISIC 07T08</t>
  </si>
  <si>
    <t>SoESCaOMCbIC-fixedOM.csv | small modular reactor | ISIC 30</t>
  </si>
  <si>
    <t>SoESCaOMCbIC-fixedOM.csv | small modular reactor | ISIC 49T53</t>
  </si>
  <si>
    <t>SoESCaOMCbIC-fixedOM.csv | small modular reactor | ISIC 69T82</t>
  </si>
  <si>
    <t>SoESCaOMCbIC-fixedOM.csv | small modular reactor | ISIC 90T96</t>
  </si>
  <si>
    <t>SoESCaOMCbIC-fixedOM.csv | solar PV | ISIC 01T03</t>
  </si>
  <si>
    <t>SoESCaOMCbIC-fixedOM.csv | solar PV | ISIC 07T08</t>
  </si>
  <si>
    <t>SoESCaOMCbIC-fixedOM.csv | solar PV | ISIC 30</t>
  </si>
  <si>
    <t>SoESCaOMCbIC-fixedOM.csv | solar PV | ISIC 49T53</t>
  </si>
  <si>
    <t>SoESCaOMCbIC-fixedOM.csv | solar PV | ISIC 69T82</t>
  </si>
  <si>
    <t>SoESCaOMCbIC-fixedOM.csv | solar PV | ISIC 90T96</t>
  </si>
  <si>
    <t>SoESCaOMCbIC-fixedOM.csv | solar thermal | ISIC 01T03</t>
  </si>
  <si>
    <t>SoESCaOMCbIC-fixedOM.csv | solar thermal | ISIC 07T08</t>
  </si>
  <si>
    <t>SoESCaOMCbIC-fixedOM.csv | solar thermal | ISIC 30</t>
  </si>
  <si>
    <t>SoESCaOMCbIC-fixedOM.csv | solar thermal | ISIC 49T53</t>
  </si>
  <si>
    <t>SoESCaOMCbIC-fixedOM.csv | solar thermal | ISIC 69T82</t>
  </si>
  <si>
    <t>SoESCaOMCbIC-fixedOM.csv | solar thermal | ISIC 90T96</t>
  </si>
  <si>
    <t>SoESCaOMCbIC-fixedOM.csv | wind | ISIC 01T03</t>
  </si>
  <si>
    <t>SoESCaOMCbIC-fixedOM.csv | wind | ISIC 07T08</t>
  </si>
  <si>
    <t>SoESCaOMCbIC-fixedOM.csv | wind | ISIC 30</t>
  </si>
  <si>
    <t>SoESCaOMCbIC-fixedOM.csv | wind | ISIC 49T53</t>
  </si>
  <si>
    <t>SoESCaOMCbIC-fixedOM.csv | wind | ISIC 69T82</t>
  </si>
  <si>
    <t>SoESCaOMCbIC-fixedOM.csv | wind | ISIC 90T96</t>
  </si>
  <si>
    <t>SoESCaOMCbIC-variableOM.csv | biomass | ISIC 01T03</t>
  </si>
  <si>
    <t>SoESCaOMCbIC-variableOM.csv | biomass | ISIC 07T08</t>
  </si>
  <si>
    <t>SoESCaOMCbIC-variableOM.csv | biomass | ISIC 30</t>
  </si>
  <si>
    <t>SoESCaOMCbIC-variableOM.csv | biomass | ISIC 49T53</t>
  </si>
  <si>
    <t>SoESCaOMCbIC-variableOM.csv | biomass | ISIC 69T82</t>
  </si>
  <si>
    <t>SoESCaOMCbIC-variableOM.csv | biomass | ISIC 90T96</t>
  </si>
  <si>
    <t>SoESCaOMCbIC-variableOM.csv | biomass w CCS | ISIC 01T03</t>
  </si>
  <si>
    <t>SoESCaOMCbIC-variableOM.csv | biomass w CCS | ISIC 07T08</t>
  </si>
  <si>
    <t>SoESCaOMCbIC-variableOM.csv | biomass w CCS | ISIC 30</t>
  </si>
  <si>
    <t>SoESCaOMCbIC-variableOM.csv | biomass w CCS | ISIC 49T53</t>
  </si>
  <si>
    <t>SoESCaOMCbIC-variableOM.csv | biomass w CCS | ISIC 69T82</t>
  </si>
  <si>
    <t>SoESCaOMCbIC-variableOM.csv | biomass w CCS | ISIC 90T96</t>
  </si>
  <si>
    <t>SoESCaOMCbIC-variableOM.csv | crude oil | ISIC 01T03</t>
  </si>
  <si>
    <t>SoESCaOMCbIC-variableOM.csv | crude oil | ISIC 07T08</t>
  </si>
  <si>
    <t>SoESCaOMCbIC-variableOM.csv | crude oil | ISIC 30</t>
  </si>
  <si>
    <t>SoESCaOMCbIC-variableOM.csv | crude oil | ISIC 49T53</t>
  </si>
  <si>
    <t>SoESCaOMCbIC-variableOM.csv | crude oil | ISIC 69T82</t>
  </si>
  <si>
    <t>SoESCaOMCbIC-variableOM.csv | crude oil | ISIC 90T96</t>
  </si>
  <si>
    <t>SoESCaOMCbIC-variableOM.csv | geothermal | ISIC 01T03</t>
  </si>
  <si>
    <t>SoESCaOMCbIC-variableOM.csv | geothermal | ISIC 07T08</t>
  </si>
  <si>
    <t>SoESCaOMCbIC-variableOM.csv | geothermal | ISIC 30</t>
  </si>
  <si>
    <t>SoESCaOMCbIC-variableOM.csv | geothermal | ISIC 49T53</t>
  </si>
  <si>
    <t>SoESCaOMCbIC-variableOM.csv | geothermal | ISIC 69T82</t>
  </si>
  <si>
    <t>SoESCaOMCbIC-variableOM.csv | geothermal | ISIC 90T96</t>
  </si>
  <si>
    <t>SoESCaOMCbIC-variableOM.csv | hard coal | ISIC 01T03</t>
  </si>
  <si>
    <t>SoESCaOMCbIC-variableOM.csv | hard coal | ISIC 07T08</t>
  </si>
  <si>
    <t>SoESCaOMCbIC-variableOM.csv | hard coal | ISIC 30</t>
  </si>
  <si>
    <t>SoESCaOMCbIC-variableOM.csv | hard coal | ISIC 49T53</t>
  </si>
  <si>
    <t>SoESCaOMCbIC-variableOM.csv | hard coal | ISIC 69T82</t>
  </si>
  <si>
    <t>SoESCaOMCbIC-variableOM.csv | hard coal | ISIC 90T96</t>
  </si>
  <si>
    <t>SoESCaOMCbIC-variableOM.csv | hard coal w CCS | ISIC 01T03</t>
  </si>
  <si>
    <t>SoESCaOMCbIC-variableOM.csv | hard coal w CCS | ISIC 07T08</t>
  </si>
  <si>
    <t>SoESCaOMCbIC-variableOM.csv | hard coal w CCS | ISIC 30</t>
  </si>
  <si>
    <t>SoESCaOMCbIC-variableOM.csv | hard coal w CCS | ISIC 49T53</t>
  </si>
  <si>
    <t>SoESCaOMCbIC-variableOM.csv | hard coal w CCS | ISIC 69T82</t>
  </si>
  <si>
    <t>SoESCaOMCbIC-variableOM.csv | hard coal w CCS | ISIC 90T96</t>
  </si>
  <si>
    <t>SoESCaOMCbIC-variableOM.csv | heavy or residual fuel oil | ISIC 01T03</t>
  </si>
  <si>
    <t>SoESCaOMCbIC-variableOM.csv | heavy or residual fuel oil | ISIC 07T08</t>
  </si>
  <si>
    <t>SoESCaOMCbIC-variableOM.csv | heavy or residual fuel oil | ISIC 30</t>
  </si>
  <si>
    <t>SoESCaOMCbIC-variableOM.csv | heavy or residual fuel oil | ISIC 49T53</t>
  </si>
  <si>
    <t>SoESCaOMCbIC-variableOM.csv | heavy or residual fuel oil | ISIC 69T82</t>
  </si>
  <si>
    <t>SoESCaOMCbIC-variableOM.csv | heavy or residual fuel oil | ISIC 90T96</t>
  </si>
  <si>
    <t>SoESCaOMCbIC-variableOM.csv | hydro | ISIC 01T03</t>
  </si>
  <si>
    <t>SoESCaOMCbIC-variableOM.csv | hydro | ISIC 07T08</t>
  </si>
  <si>
    <t>SoESCaOMCbIC-variableOM.csv | hydro | ISIC 30</t>
  </si>
  <si>
    <t>SoESCaOMCbIC-variableOM.csv | hydro | ISIC 49T53</t>
  </si>
  <si>
    <t>SoESCaOMCbIC-variableOM.csv | hydro | ISIC 69T82</t>
  </si>
  <si>
    <t>SoESCaOMCbIC-variableOM.csv | hydro | ISIC 90T96</t>
  </si>
  <si>
    <t>SoESCaOMCbIC-variableOM.csv | hydrogen combined cycle | ISIC 01T03</t>
  </si>
  <si>
    <t>SoESCaOMCbIC-variableOM.csv | hydrogen combined cycle | ISIC 07T08</t>
  </si>
  <si>
    <t>SoESCaOMCbIC-variableOM.csv | hydrogen combined cycle | ISIC 30</t>
  </si>
  <si>
    <t>SoESCaOMCbIC-variableOM.csv | hydrogen combined cycle | ISIC 49T53</t>
  </si>
  <si>
    <t>SoESCaOMCbIC-variableOM.csv | hydrogen combined cycle | ISIC 69T82</t>
  </si>
  <si>
    <t>SoESCaOMCbIC-variableOM.csv | hydrogen combined cycle | ISIC 90T96</t>
  </si>
  <si>
    <t>SoESCaOMCbIC-variableOM.csv | hydrogen combustion turbine | ISIC 01T03</t>
  </si>
  <si>
    <t>SoESCaOMCbIC-variableOM.csv | hydrogen combustion turbine | ISIC 07T08</t>
  </si>
  <si>
    <t>SoESCaOMCbIC-variableOM.csv | hydrogen combustion turbine | ISIC 30</t>
  </si>
  <si>
    <t>SoESCaOMCbIC-variableOM.csv | hydrogen combustion turbine | ISIC 49T53</t>
  </si>
  <si>
    <t>SoESCaOMCbIC-variableOM.csv | hydrogen combustion turbine | ISIC 69T82</t>
  </si>
  <si>
    <t>SoESCaOMCbIC-variableOM.csv | hydrogen combustion turbine | ISIC 90T96</t>
  </si>
  <si>
    <t>SoESCaOMCbIC-variableOM.csv | lignite | ISIC 01T03</t>
  </si>
  <si>
    <t>SoESCaOMCbIC-variableOM.csv | lignite | ISIC 07T08</t>
  </si>
  <si>
    <t>SoESCaOMCbIC-variableOM.csv | lignite | ISIC 30</t>
  </si>
  <si>
    <t>SoESCaOMCbIC-variableOM.csv | lignite | ISIC 49T53</t>
  </si>
  <si>
    <t>SoESCaOMCbIC-variableOM.csv | lignite | ISIC 69T82</t>
  </si>
  <si>
    <t>SoESCaOMCbIC-variableOM.csv | lignite | ISIC 90T96</t>
  </si>
  <si>
    <t>SoESCaOMCbIC-variableOM.csv | lignite w CCS | ISIC 01T03</t>
  </si>
  <si>
    <t>SoESCaOMCbIC-variableOM.csv | lignite w CCS | ISIC 07T08</t>
  </si>
  <si>
    <t>SoESCaOMCbIC-variableOM.csv | lignite w CCS | ISIC 30</t>
  </si>
  <si>
    <t>SoESCaOMCbIC-variableOM.csv | lignite w CCS | ISIC 49T53</t>
  </si>
  <si>
    <t>SoESCaOMCbIC-variableOM.csv | lignite w CCS | ISIC 69T82</t>
  </si>
  <si>
    <t>SoESCaOMCbIC-variableOM.csv | lignite w CCS | ISIC 90T96</t>
  </si>
  <si>
    <t>SoESCaOMCbIC-variableOM.csv | municipal solid waste | ISIC 01T03</t>
  </si>
  <si>
    <t>SoESCaOMCbIC-variableOM.csv | municipal solid waste | ISIC 07T08</t>
  </si>
  <si>
    <t>SoESCaOMCbIC-variableOM.csv | municipal solid waste | ISIC 30</t>
  </si>
  <si>
    <t>SoESCaOMCbIC-variableOM.csv | municipal solid waste | ISIC 49T53</t>
  </si>
  <si>
    <t>SoESCaOMCbIC-variableOM.csv | municipal solid waste | ISIC 69T82</t>
  </si>
  <si>
    <t>SoESCaOMCbIC-variableOM.csv | municipal solid waste | ISIC 90T96</t>
  </si>
  <si>
    <t>SoESCaOMCbIC-variableOM.csv | natural gas combined cycle | ISIC 01T03</t>
  </si>
  <si>
    <t>SoESCaOMCbIC-variableOM.csv | natural gas combined cycle | ISIC 07T08</t>
  </si>
  <si>
    <t>SoESCaOMCbIC-variableOM.csv | natural gas combined cycle | ISIC 30</t>
  </si>
  <si>
    <t>SoESCaOMCbIC-variableOM.csv | natural gas combined cycle | ISIC 49T53</t>
  </si>
  <si>
    <t>SoESCaOMCbIC-variableOM.csv | natural gas combined cycle | ISIC 69T82</t>
  </si>
  <si>
    <t>SoESCaOMCbIC-variableOM.csv | natural gas combined cycle | ISIC 90T96</t>
  </si>
  <si>
    <t>SoESCaOMCbIC-variableOM.csv | natural gas combined cycle w C | ISIC 01T03</t>
  </si>
  <si>
    <t>SoESCaOMCbIC-variableOM.csv | natural gas combined cycle w C | ISIC 07T08</t>
  </si>
  <si>
    <t>SoESCaOMCbIC-variableOM.csv | natural gas combined cycle w C | ISIC 30</t>
  </si>
  <si>
    <t>SoESCaOMCbIC-variableOM.csv | natural gas combined cycle w C | ISIC 49T53</t>
  </si>
  <si>
    <t>SoESCaOMCbIC-variableOM.csv | natural gas combined cycle w C | ISIC 69T82</t>
  </si>
  <si>
    <t>SoESCaOMCbIC-variableOM.csv | natural gas combined cycle w C | ISIC 90T96</t>
  </si>
  <si>
    <t>SoESCaOMCbIC-variableOM.csv | natural gas peaker | ISIC 01T03</t>
  </si>
  <si>
    <t>SoESCaOMCbIC-variableOM.csv | natural gas peaker | ISIC 07T08</t>
  </si>
  <si>
    <t>SoESCaOMCbIC-variableOM.csv | natural gas peaker | ISIC 30</t>
  </si>
  <si>
    <t>SoESCaOMCbIC-variableOM.csv | natural gas peaker | ISIC 49T53</t>
  </si>
  <si>
    <t>SoESCaOMCbIC-variableOM.csv | natural gas peaker | ISIC 69T82</t>
  </si>
  <si>
    <t>SoESCaOMCbIC-variableOM.csv | natural gas peaker | ISIC 90T96</t>
  </si>
  <si>
    <t>SoESCaOMCbIC-variableOM.csv | natural gas steam turbine | ISIC 01T03</t>
  </si>
  <si>
    <t>SoESCaOMCbIC-variableOM.csv | natural gas steam turbine | ISIC 07T08</t>
  </si>
  <si>
    <t>SoESCaOMCbIC-variableOM.csv | natural gas steam turbine | ISIC 30</t>
  </si>
  <si>
    <t>SoESCaOMCbIC-variableOM.csv | natural gas steam turbine | ISIC 49T53</t>
  </si>
  <si>
    <t>SoESCaOMCbIC-variableOM.csv | natural gas steam turbine | ISIC 69T82</t>
  </si>
  <si>
    <t>SoESCaOMCbIC-variableOM.csv | natural gas steam turbine | ISIC 90T96</t>
  </si>
  <si>
    <t>SoESCaOMCbIC-variableOM.csv | nuclear | ISIC 01T03</t>
  </si>
  <si>
    <t>SoESCaOMCbIC-variableOM.csv | nuclear | ISIC 07T08</t>
  </si>
  <si>
    <t>SoESCaOMCbIC-variableOM.csv | nuclear | ISIC 30</t>
  </si>
  <si>
    <t>SoESCaOMCbIC-variableOM.csv | nuclear | ISIC 49T53</t>
  </si>
  <si>
    <t>SoESCaOMCbIC-variableOM.csv | nuclear | ISIC 69T82</t>
  </si>
  <si>
    <t>SoESCaOMCbIC-variableOM.csv | nuclear | ISIC 90T96</t>
  </si>
  <si>
    <t>SoESCaOMCbIC-variableOM.csv | offshore wind | ISIC 01T03</t>
  </si>
  <si>
    <t>SoESCaOMCbIC-variableOM.csv | offshore wind | ISIC 07T08</t>
  </si>
  <si>
    <t>SoESCaOMCbIC-variableOM.csv | offshore wind | ISIC 30</t>
  </si>
  <si>
    <t>SoESCaOMCbIC-variableOM.csv | offshore wind | ISIC 49T53</t>
  </si>
  <si>
    <t>SoESCaOMCbIC-variableOM.csv | offshore wind | ISIC 69T82</t>
  </si>
  <si>
    <t>SoESCaOMCbIC-variableOM.csv | offshore wind | ISIC 90T96</t>
  </si>
  <si>
    <t>SoESCaOMCbIC-variableOM.csv | petroleum | ISIC 01T03</t>
  </si>
  <si>
    <t>SoESCaOMCbIC-variableOM.csv | petroleum | ISIC 07T08</t>
  </si>
  <si>
    <t>SoESCaOMCbIC-variableOM.csv | petroleum | ISIC 30</t>
  </si>
  <si>
    <t>SoESCaOMCbIC-variableOM.csv | petroleum | ISIC 49T53</t>
  </si>
  <si>
    <t>SoESCaOMCbIC-variableOM.csv | petroleum | ISIC 69T82</t>
  </si>
  <si>
    <t>SoESCaOMCbIC-variableOM.csv | petroleum | ISIC 90T96</t>
  </si>
  <si>
    <t>SoESCaOMCbIC-variableOM.csv | small modular reactor | ISIC 01T03</t>
  </si>
  <si>
    <t>SoESCaOMCbIC-variableOM.csv | small modular reactor | ISIC 07T08</t>
  </si>
  <si>
    <t>SoESCaOMCbIC-variableOM.csv | small modular reactor | ISIC 30</t>
  </si>
  <si>
    <t>SoESCaOMCbIC-variableOM.csv | small modular reactor | ISIC 49T53</t>
  </si>
  <si>
    <t>SoESCaOMCbIC-variableOM.csv | small modular reactor | ISIC 69T82</t>
  </si>
  <si>
    <t>SoESCaOMCbIC-variableOM.csv | small modular reactor | ISIC 90T96</t>
  </si>
  <si>
    <t>SoESCaOMCbIC-variableOM.csv | solar PV | ISIC 01T03</t>
  </si>
  <si>
    <t>SoESCaOMCbIC-variableOM.csv | solar PV | ISIC 07T08</t>
  </si>
  <si>
    <t>SoESCaOMCbIC-variableOM.csv | solar PV | ISIC 30</t>
  </si>
  <si>
    <t>SoESCaOMCbIC-variableOM.csv | solar PV | ISIC 49T53</t>
  </si>
  <si>
    <t>SoESCaOMCbIC-variableOM.csv | solar PV | ISIC 69T82</t>
  </si>
  <si>
    <t>SoESCaOMCbIC-variableOM.csv | solar PV | ISIC 90T96</t>
  </si>
  <si>
    <t>SoESCaOMCbIC-variableOM.csv | solar thermal | ISIC 01T03</t>
  </si>
  <si>
    <t>SoESCaOMCbIC-variableOM.csv | solar thermal | ISIC 07T08</t>
  </si>
  <si>
    <t>SoESCaOMCbIC-variableOM.csv | solar thermal | ISIC 30</t>
  </si>
  <si>
    <t>SoESCaOMCbIC-variableOM.csv | solar thermal | ISIC 49T53</t>
  </si>
  <si>
    <t>SoESCaOMCbIC-variableOM.csv | solar thermal | ISIC 69T82</t>
  </si>
  <si>
    <t>SoESCaOMCbIC-variableOM.csv | solar thermal | ISIC 90T96</t>
  </si>
  <si>
    <t>SoESCaOMCbIC-variableOM.csv | wind | ISIC 01T03</t>
  </si>
  <si>
    <t>SoESCaOMCbIC-variableOM.csv | wind | ISIC 07T08</t>
  </si>
  <si>
    <t>SoESCaOMCbIC-variableOM.csv | wind | ISIC 30</t>
  </si>
  <si>
    <t>SoESCaOMCbIC-variableOM.csv | wind | ISIC 49T53</t>
  </si>
  <si>
    <t>SoESCaOMCbIC-variableOM.csv | wind | ISIC 69T82</t>
  </si>
  <si>
    <t>SoESCaOMCbIC-variableOM.csv | wind | ISIC 90T96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</si>
</sst>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&quot;$&quot;#,##0"/>
    <numFmt numFmtId="165" formatCode="0.0%"/>
    <numFmt numFmtId="167" formatCode="0.000000000000000000%"/>
    <numFmt numFmtId="168" formatCode="0.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1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i/>
      <sz val="10"/>
      <name val="Arial"/>
      <family val="2"/>
    </font>
    <font>
      <sz val="11"/>
      <color indexed="8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/>
    <xf numFmtId="0" fontId="2" fillId="2" borderId="0"/>
    <xf numFmtId="0" fontId="9" fillId="0" borderId="0"/>
  </cellStyleXfs>
  <cellXfs count="131">
    <xf numFmtId="0" fontId="0" fillId="0" borderId="0" xfId="0"/>
    <xf numFmtId="1" fontId="5" fillId="0" borderId="5" xfId="0" applyNumberFormat="1" applyFont="1" applyBorder="1"/>
    <xf numFmtId="1" fontId="6" fillId="0" borderId="6" xfId="0" applyNumberFormat="1" applyFont="1" applyBorder="1" applyAlignment="1">
      <alignment horizontal="center"/>
    </xf>
    <xf numFmtId="1" fontId="6" fillId="0" borderId="7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1" fontId="7" fillId="0" borderId="5" xfId="0" applyNumberFormat="1" applyFont="1" applyBorder="1"/>
    <xf numFmtId="0" fontId="0" fillId="0" borderId="8" xfId="0" applyBorder="1"/>
    <xf numFmtId="1" fontId="8" fillId="0" borderId="5" xfId="0" applyNumberFormat="1" applyFont="1" applyBorder="1"/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/>
    <xf numFmtId="1" fontId="5" fillId="0" borderId="1" xfId="0" quotePrefix="1" applyNumberFormat="1" applyFont="1" applyBorder="1" applyAlignment="1">
      <alignment horizontal="left"/>
    </xf>
    <xf numFmtId="1" fontId="0" fillId="0" borderId="2" xfId="0" applyNumberFormat="1" applyBorder="1"/>
    <xf numFmtId="164" fontId="0" fillId="0" borderId="2" xfId="0" applyNumberFormat="1" applyBorder="1" applyAlignment="1">
      <alignment horizontal="center" vertical="center"/>
    </xf>
    <xf numFmtId="0" fontId="0" fillId="0" borderId="4" xfId="0" applyBorder="1"/>
    <xf numFmtId="165" fontId="0" fillId="0" borderId="6" xfId="1" applyNumberFormat="1" applyFont="1" applyBorder="1"/>
    <xf numFmtId="0" fontId="9" fillId="0" borderId="8" xfId="3" applyBorder="1"/>
    <xf numFmtId="1" fontId="8" fillId="0" borderId="14" xfId="0" applyNumberFormat="1" applyFont="1" applyBorder="1"/>
    <xf numFmtId="165" fontId="0" fillId="0" borderId="9" xfId="1" applyNumberFormat="1" applyFont="1" applyBorder="1"/>
    <xf numFmtId="0" fontId="9" fillId="0" borderId="11" xfId="3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6" xfId="0" applyNumberFormat="1" applyBorder="1"/>
    <xf numFmtId="0" fontId="0" fillId="0" borderId="14" xfId="0" applyBorder="1"/>
    <xf numFmtId="0" fontId="0" fillId="0" borderId="9" xfId="0" applyBorder="1"/>
    <xf numFmtId="0" fontId="0" fillId="0" borderId="10" xfId="0" applyBorder="1"/>
    <xf numFmtId="10" fontId="0" fillId="0" borderId="6" xfId="1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" fontId="10" fillId="0" borderId="5" xfId="0" applyNumberFormat="1" applyFont="1" applyBorder="1"/>
    <xf numFmtId="1" fontId="7" fillId="0" borderId="15" xfId="0" applyNumberFormat="1" applyFont="1" applyBorder="1"/>
    <xf numFmtId="10" fontId="0" fillId="0" borderId="12" xfId="1" applyNumberFormat="1" applyFon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0" fontId="9" fillId="0" borderId="16" xfId="3" applyBorder="1"/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" fontId="8" fillId="0" borderId="5" xfId="0" quotePrefix="1" applyNumberFormat="1" applyFont="1" applyBorder="1" applyAlignment="1">
      <alignment horizontal="left"/>
    </xf>
    <xf numFmtId="0" fontId="0" fillId="0" borderId="6" xfId="0" applyBorder="1" applyAlignment="1">
      <alignment horizontal="center"/>
    </xf>
    <xf numFmtId="1" fontId="8" fillId="0" borderId="14" xfId="0" quotePrefix="1" applyNumberFormat="1" applyFont="1" applyBorder="1" applyAlignment="1">
      <alignment horizontal="left"/>
    </xf>
    <xf numFmtId="9" fontId="0" fillId="0" borderId="9" xfId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165" fontId="11" fillId="0" borderId="6" xfId="1" applyNumberFormat="1" applyFon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1" fontId="8" fillId="0" borderId="14" xfId="0" applyNumberFormat="1" applyFont="1" applyBorder="1" applyAlignment="1">
      <alignment horizontal="left" wrapText="1"/>
    </xf>
    <xf numFmtId="165" fontId="0" fillId="0" borderId="9" xfId="1" applyNumberFormat="1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0" fontId="9" fillId="0" borderId="4" xfId="3" applyBorder="1"/>
    <xf numFmtId="9" fontId="0" fillId="0" borderId="9" xfId="0" applyNumberFormat="1" applyBorder="1"/>
    <xf numFmtId="1" fontId="6" fillId="0" borderId="2" xfId="0" applyNumberFormat="1" applyFont="1" applyBorder="1" applyAlignment="1">
      <alignment horizontal="center"/>
    </xf>
    <xf numFmtId="165" fontId="8" fillId="0" borderId="6" xfId="1" applyNumberFormat="1" applyFont="1" applyBorder="1"/>
    <xf numFmtId="0" fontId="9" fillId="0" borderId="20" xfId="3" applyBorder="1"/>
    <xf numFmtId="1" fontId="8" fillId="0" borderId="15" xfId="0" applyNumberFormat="1" applyFont="1" applyBorder="1"/>
    <xf numFmtId="165" fontId="8" fillId="0" borderId="12" xfId="1" applyNumberFormat="1" applyFont="1" applyBorder="1"/>
    <xf numFmtId="0" fontId="0" fillId="0" borderId="12" xfId="0" applyBorder="1"/>
    <xf numFmtId="0" fontId="0" fillId="0" borderId="2" xfId="0" applyBorder="1"/>
    <xf numFmtId="9" fontId="0" fillId="0" borderId="12" xfId="0" applyNumberFormat="1" applyBorder="1"/>
    <xf numFmtId="1" fontId="8" fillId="0" borderId="21" xfId="0" applyNumberFormat="1" applyFont="1" applyBorder="1"/>
    <xf numFmtId="0" fontId="0" fillId="0" borderId="22" xfId="0" applyBorder="1"/>
    <xf numFmtId="0" fontId="9" fillId="0" borderId="23" xfId="3" applyBorder="1"/>
    <xf numFmtId="0" fontId="9" fillId="0" borderId="0" xfId="3"/>
    <xf numFmtId="165" fontId="0" fillId="0" borderId="12" xfId="1" applyNumberFormat="1" applyFont="1" applyBorder="1"/>
    <xf numFmtId="0" fontId="0" fillId="0" borderId="15" xfId="0" applyBorder="1"/>
    <xf numFmtId="0" fontId="9" fillId="0" borderId="24" xfId="3" applyBorder="1"/>
    <xf numFmtId="9" fontId="0" fillId="0" borderId="6" xfId="1" applyFont="1" applyBorder="1"/>
    <xf numFmtId="9" fontId="0" fillId="0" borderId="9" xfId="1" applyFont="1" applyBorder="1"/>
    <xf numFmtId="0" fontId="3" fillId="0" borderId="0" xfId="0" applyFont="1"/>
    <xf numFmtId="0" fontId="0" fillId="0" borderId="16" xfId="0" applyBorder="1"/>
    <xf numFmtId="0" fontId="0" fillId="0" borderId="7" xfId="0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2" fillId="0" borderId="6" xfId="2" applyFont="1" applyFill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3" fillId="4" borderId="0" xfId="0" applyFont="1" applyFill="1"/>
    <xf numFmtId="0" fontId="0" fillId="0" borderId="0" xfId="0" applyAlignment="1">
      <alignment horizontal="left"/>
    </xf>
    <xf numFmtId="165" fontId="0" fillId="0" borderId="0" xfId="1" applyNumberFormat="1" applyFont="1"/>
    <xf numFmtId="10" fontId="0" fillId="0" borderId="0" xfId="1" applyNumberFormat="1" applyFont="1"/>
    <xf numFmtId="0" fontId="3" fillId="0" borderId="4" xfId="0" applyFont="1" applyBorder="1" applyAlignment="1">
      <alignment horizontal="center"/>
    </xf>
    <xf numFmtId="0" fontId="13" fillId="0" borderId="5" xfId="0" applyFont="1" applyBorder="1"/>
    <xf numFmtId="0" fontId="13" fillId="0" borderId="15" xfId="0" applyFont="1" applyBorder="1"/>
    <xf numFmtId="0" fontId="13" fillId="0" borderId="14" xfId="0" applyFont="1" applyBorder="1"/>
    <xf numFmtId="0" fontId="14" fillId="0" borderId="5" xfId="0" applyFont="1" applyBorder="1"/>
    <xf numFmtId="0" fontId="0" fillId="0" borderId="25" xfId="0" applyBorder="1"/>
    <xf numFmtId="0" fontId="0" fillId="0" borderId="26" xfId="0" applyBorder="1"/>
    <xf numFmtId="0" fontId="0" fillId="0" borderId="6" xfId="0" applyBorder="1" applyAlignment="1">
      <alignment horizontal="left" vertical="center"/>
    </xf>
    <xf numFmtId="1" fontId="5" fillId="0" borderId="1" xfId="0" applyNumberFormat="1" applyFont="1" applyBorder="1"/>
    <xf numFmtId="164" fontId="0" fillId="0" borderId="6" xfId="0" applyNumberForma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" fontId="5" fillId="0" borderId="17" xfId="0" quotePrefix="1" applyNumberFormat="1" applyFont="1" applyBorder="1" applyAlignment="1">
      <alignment horizontal="left"/>
    </xf>
    <xf numFmtId="0" fontId="0" fillId="0" borderId="18" xfId="0" applyBorder="1"/>
    <xf numFmtId="0" fontId="9" fillId="0" borderId="19" xfId="3" applyBorder="1"/>
    <xf numFmtId="0" fontId="13" fillId="0" borderId="1" xfId="0" applyFont="1" applyBorder="1"/>
    <xf numFmtId="167" fontId="0" fillId="0" borderId="0" xfId="0" applyNumberFormat="1"/>
    <xf numFmtId="167" fontId="0" fillId="0" borderId="6" xfId="0" applyNumberFormat="1" applyBorder="1"/>
    <xf numFmtId="165" fontId="0" fillId="0" borderId="2" xfId="1" applyNumberFormat="1" applyFont="1" applyBorder="1"/>
    <xf numFmtId="167" fontId="0" fillId="0" borderId="2" xfId="0" applyNumberFormat="1" applyBorder="1"/>
    <xf numFmtId="0" fontId="0" fillId="0" borderId="2" xfId="1" applyNumberFormat="1" applyFont="1" applyBorder="1"/>
    <xf numFmtId="0" fontId="13" fillId="0" borderId="14" xfId="0" applyFont="1" applyBorder="1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9" fillId="0" borderId="0" xfId="3" applyAlignment="1">
      <alignment vertical="center" wrapText="1"/>
    </xf>
    <xf numFmtId="0" fontId="0" fillId="0" borderId="0" xfId="0" applyAlignment="1">
      <alignment horizontal="right"/>
    </xf>
    <xf numFmtId="9" fontId="0" fillId="0" borderId="0" xfId="1" applyFont="1"/>
    <xf numFmtId="9" fontId="0" fillId="0" borderId="0" xfId="0" applyNumberFormat="1"/>
    <xf numFmtId="9" fontId="3" fillId="0" borderId="0" xfId="1" applyFont="1"/>
    <xf numFmtId="0" fontId="3" fillId="5" borderId="0" xfId="0" applyFont="1" applyFill="1"/>
    <xf numFmtId="0" fontId="0" fillId="5" borderId="0" xfId="0" applyFill="1"/>
    <xf numFmtId="165" fontId="8" fillId="6" borderId="6" xfId="1" applyNumberFormat="1" applyFont="1" applyFill="1" applyBorder="1"/>
    <xf numFmtId="1" fontId="0" fillId="6" borderId="2" xfId="0" applyNumberFormat="1" applyFill="1" applyBorder="1"/>
    <xf numFmtId="165" fontId="0" fillId="6" borderId="6" xfId="1" applyNumberFormat="1" applyFont="1" applyFill="1" applyBorder="1"/>
    <xf numFmtId="0" fontId="3" fillId="0" borderId="27" xfId="0" applyFont="1" applyBorder="1"/>
    <xf numFmtId="0" fontId="0" fillId="0" borderId="27" xfId="0" applyBorder="1"/>
    <xf numFmtId="1" fontId="8" fillId="0" borderId="0" xfId="0" applyNumberFormat="1" applyFont="1"/>
    <xf numFmtId="1" fontId="5" fillId="0" borderId="0" xfId="0" quotePrefix="1" applyNumberFormat="1" applyFont="1" applyAlignment="1">
      <alignment horizontal="left"/>
    </xf>
    <xf numFmtId="1" fontId="0" fillId="0" borderId="0" xfId="0" applyNumberFormat="1"/>
    <xf numFmtId="0" fontId="15" fillId="0" borderId="0" xfId="0" applyFont="1"/>
    <xf numFmtId="6" fontId="0" fillId="0" borderId="0" xfId="0" applyNumberFormat="1"/>
    <xf numFmtId="168" fontId="0" fillId="0" borderId="0" xfId="0" applyNumberFormat="1"/>
    <xf numFmtId="0" fontId="16" fillId="0" borderId="0" xfId="0" applyFont="1"/>
    <xf numFmtId="0" fontId="17" fillId="0" borderId="0" xfId="0" applyFont="1"/>
    <xf numFmtId="0" fontId="4" fillId="3" borderId="17" xfId="0" applyFont="1" applyFill="1" applyBorder="1" applyAlignment="1">
      <alignment horizontal="center"/>
    </xf>
    <xf numFmtId="0" fontId="0" fillId="0" borderId="26" xfId="0" applyBorder="1"/>
    <xf numFmtId="0" fontId="0" fillId="0" borderId="28" xfId="0" applyBorder="1"/>
    <xf numFmtId="0" fontId="4" fillId="3" borderId="1" xfId="0" applyFont="1" applyFill="1" applyBorder="1" applyAlignment="1">
      <alignment horizontal="center"/>
    </xf>
    <xf numFmtId="0" fontId="0" fillId="0" borderId="29" xfId="0" applyBorder="1"/>
    <xf numFmtId="0" fontId="0" fillId="0" borderId="30" xfId="0" applyBorder="1"/>
  </cellXfs>
  <cellStyles count="4">
    <cellStyle name="Bad" xfId="2" builtinId="27"/>
    <cellStyle name="Hyperlink" xfId="3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</xdr:colOff>
      <xdr:row>2</xdr:row>
      <xdr:rowOff>31750</xdr:rowOff>
    </xdr:from>
    <xdr:to>
      <xdr:col>9</xdr:col>
      <xdr:colOff>355600</xdr:colOff>
      <xdr:row>54</xdr:row>
      <xdr:rowOff>36902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2647"/>
        <a:stretch>
          <a:fillRect/>
        </a:stretch>
      </xdr:blipFill>
      <xdr:spPr>
        <a:xfrm>
          <a:off x="6350" y="400050"/>
          <a:ext cx="5835650" cy="958095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9</xdr:col>
      <xdr:colOff>414867</xdr:colOff>
      <xdr:row>2</xdr:row>
      <xdr:rowOff>6350</xdr:rowOff>
    </xdr:from>
    <xdr:to>
      <xdr:col>14</xdr:col>
      <xdr:colOff>317664</xdr:colOff>
      <xdr:row>55</xdr:row>
      <xdr:rowOff>51719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0972"/>
        <a:stretch>
          <a:fillRect/>
        </a:stretch>
      </xdr:blipFill>
      <xdr:spPr>
        <a:xfrm>
          <a:off x="5901267" y="374650"/>
          <a:ext cx="2950797" cy="980531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1.eere.energy.gov/water/pdfs/doewater-00662.pdf" TargetMode="External"/><Relationship Id="rId3" Type="http://schemas.openxmlformats.org/officeDocument/2006/relationships/hyperlink" Target="https://www.nrel.gov/analysis/jedi/wind.html" TargetMode="External"/><Relationship Id="rId7" Type="http://schemas.openxmlformats.org/officeDocument/2006/relationships/hyperlink" Target="https://www.eia.gov/analysis/studies/powerplants/capitalcost/pdf/capital_cost_AEO2020.pdf" TargetMode="External"/><Relationship Id="rId2" Type="http://schemas.openxmlformats.org/officeDocument/2006/relationships/hyperlink" Target="https://www.world-nuclear.org/information-library/economic-aspects/economics-of-nuclear-power.aspx" TargetMode="External"/><Relationship Id="rId1" Type="http://schemas.openxmlformats.org/officeDocument/2006/relationships/hyperlink" Target="https://www.nrel.gov/analysis/jedi/coal.html" TargetMode="External"/><Relationship Id="rId6" Type="http://schemas.openxmlformats.org/officeDocument/2006/relationships/hyperlink" Target="https://www.nrel.gov/analysis/jedi/international.html" TargetMode="External"/><Relationship Id="rId11" Type="http://schemas.openxmlformats.org/officeDocument/2006/relationships/hyperlink" Target="https://www.nrel.gov/analysis/jedi/international.html" TargetMode="External"/><Relationship Id="rId5" Type="http://schemas.openxmlformats.org/officeDocument/2006/relationships/hyperlink" Target="https://www.nrel.gov/analysis/jedi/conventional-hydro.html" TargetMode="External"/><Relationship Id="rId10" Type="http://schemas.openxmlformats.org/officeDocument/2006/relationships/hyperlink" Target="https://www.nrel.gov/analysis/jedi/wind.html" TargetMode="External"/><Relationship Id="rId4" Type="http://schemas.openxmlformats.org/officeDocument/2006/relationships/hyperlink" Target="https://www.nrel.gov/analysis/jedi/natural-gas.html" TargetMode="External"/><Relationship Id="rId9" Type="http://schemas.openxmlformats.org/officeDocument/2006/relationships/hyperlink" Target="https://www.nrel.gov/analysis/jedi/csp.html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world-nuclear.org/information-library/economic-aspects/economics-of-nuclear-power.aspx" TargetMode="External"/><Relationship Id="rId21" Type="http://schemas.openxmlformats.org/officeDocument/2006/relationships/hyperlink" Target="https://www.nrel.gov/analysis/jedi/natural-gas.html" TargetMode="External"/><Relationship Id="rId42" Type="http://schemas.openxmlformats.org/officeDocument/2006/relationships/hyperlink" Target="https://www.nrel.gov/analysis/jedi/conventional-hydro.html" TargetMode="External"/><Relationship Id="rId47" Type="http://schemas.openxmlformats.org/officeDocument/2006/relationships/hyperlink" Target="https://www.nrel.gov/analysis/jedi/conventional-hydro.html" TargetMode="External"/><Relationship Id="rId63" Type="http://schemas.openxmlformats.org/officeDocument/2006/relationships/hyperlink" Target="https://www.nrel.gov/analysis/jedi/csp.html" TargetMode="External"/><Relationship Id="rId68" Type="http://schemas.openxmlformats.org/officeDocument/2006/relationships/hyperlink" Target="https://www.nrel.gov/analysis/jedi/csp.html" TargetMode="External"/><Relationship Id="rId84" Type="http://schemas.openxmlformats.org/officeDocument/2006/relationships/hyperlink" Target="https://www.nrel.gov/analysis/jedi/csp.html" TargetMode="External"/><Relationship Id="rId89" Type="http://schemas.openxmlformats.org/officeDocument/2006/relationships/hyperlink" Target="https://www.nrel.gov/analysis/jedi/csp.html" TargetMode="External"/><Relationship Id="rId16" Type="http://schemas.openxmlformats.org/officeDocument/2006/relationships/hyperlink" Target="https://www.nrel.gov/analysis/jedi/coal.html" TargetMode="External"/><Relationship Id="rId107" Type="http://schemas.openxmlformats.org/officeDocument/2006/relationships/hyperlink" Target="https://www.eia.gov/analysis/studies/powerplants/capitalcost/pdf/capital_cost_AEO2020.pdf" TargetMode="External"/><Relationship Id="rId11" Type="http://schemas.openxmlformats.org/officeDocument/2006/relationships/hyperlink" Target="https://www.nrel.gov/analysis/jedi/international.html" TargetMode="External"/><Relationship Id="rId32" Type="http://schemas.openxmlformats.org/officeDocument/2006/relationships/hyperlink" Target="https://www.nei.org/CorporateSite/media/filefolder/resources/reports-and-briefs/nuclear-costs-context-201810.pdf" TargetMode="External"/><Relationship Id="rId37" Type="http://schemas.openxmlformats.org/officeDocument/2006/relationships/hyperlink" Target="https://www.nrel.gov/analysis/jedi/conventional-hydro.html" TargetMode="External"/><Relationship Id="rId53" Type="http://schemas.openxmlformats.org/officeDocument/2006/relationships/hyperlink" Target="https://www.nrel.gov/analysis/jedi/international.html" TargetMode="External"/><Relationship Id="rId58" Type="http://schemas.openxmlformats.org/officeDocument/2006/relationships/hyperlink" Target="https://www.nrel.gov/analysis/jedi/international.html" TargetMode="External"/><Relationship Id="rId74" Type="http://schemas.openxmlformats.org/officeDocument/2006/relationships/hyperlink" Target="https://www.nrel.gov/analysis/jedi/csp.html" TargetMode="External"/><Relationship Id="rId79" Type="http://schemas.openxmlformats.org/officeDocument/2006/relationships/hyperlink" Target="https://www.nrel.gov/analysis/jedi/csp.html" TargetMode="External"/><Relationship Id="rId102" Type="http://schemas.openxmlformats.org/officeDocument/2006/relationships/hyperlink" Target="https://www.nrel.gov/analysis/jedi/international.html" TargetMode="External"/><Relationship Id="rId5" Type="http://schemas.openxmlformats.org/officeDocument/2006/relationships/hyperlink" Target="https://www.nrel.gov/docs/fy19osti/72399.pdf,%20Figure%2028" TargetMode="External"/><Relationship Id="rId90" Type="http://schemas.openxmlformats.org/officeDocument/2006/relationships/hyperlink" Target="https://www.nrel.gov/analysis/jedi/csp.html" TargetMode="External"/><Relationship Id="rId95" Type="http://schemas.openxmlformats.org/officeDocument/2006/relationships/hyperlink" Target="https://www.nrel.gov/analysis/jedi/international.html" TargetMode="External"/><Relationship Id="rId22" Type="http://schemas.openxmlformats.org/officeDocument/2006/relationships/hyperlink" Target="https://www.nrel.gov/analysis/jedi/natural-gas.html" TargetMode="External"/><Relationship Id="rId27" Type="http://schemas.openxmlformats.org/officeDocument/2006/relationships/hyperlink" Target="https://www.world-nuclear.org/information-library/economic-aspects/economics-of-nuclear-power.aspx" TargetMode="External"/><Relationship Id="rId43" Type="http://schemas.openxmlformats.org/officeDocument/2006/relationships/hyperlink" Target="https://www.nrel.gov/analysis/jedi/conventional-hydro.html" TargetMode="External"/><Relationship Id="rId48" Type="http://schemas.openxmlformats.org/officeDocument/2006/relationships/hyperlink" Target="https://www.nrel.gov/analysis/jedi/conventional-hydro.html" TargetMode="External"/><Relationship Id="rId64" Type="http://schemas.openxmlformats.org/officeDocument/2006/relationships/hyperlink" Target="https://www.nrel.gov/analysis/jedi/csp.html" TargetMode="External"/><Relationship Id="rId69" Type="http://schemas.openxmlformats.org/officeDocument/2006/relationships/hyperlink" Target="https://www.nrel.gov/analysis/jedi/csp.html" TargetMode="External"/><Relationship Id="rId80" Type="http://schemas.openxmlformats.org/officeDocument/2006/relationships/hyperlink" Target="https://www.nrel.gov/analysis/jedi/csp.html" TargetMode="External"/><Relationship Id="rId85" Type="http://schemas.openxmlformats.org/officeDocument/2006/relationships/hyperlink" Target="https://www.nrel.gov/analysis/jedi/csp.html" TargetMode="External"/><Relationship Id="rId12" Type="http://schemas.openxmlformats.org/officeDocument/2006/relationships/hyperlink" Target="https://www.nrel.gov/analysis/jedi/international.html" TargetMode="External"/><Relationship Id="rId17" Type="http://schemas.openxmlformats.org/officeDocument/2006/relationships/hyperlink" Target="https://www.nrel.gov/analysis/jedi/coal.html" TargetMode="External"/><Relationship Id="rId33" Type="http://schemas.openxmlformats.org/officeDocument/2006/relationships/hyperlink" Target="https://www.eia.gov/analysis/studies/powerplants/capitalcost/pdf/capital_cost_AEO2020.pdf" TargetMode="External"/><Relationship Id="rId38" Type="http://schemas.openxmlformats.org/officeDocument/2006/relationships/hyperlink" Target="https://www.nrel.gov/analysis/jedi/conventional-hydro.html" TargetMode="External"/><Relationship Id="rId59" Type="http://schemas.openxmlformats.org/officeDocument/2006/relationships/hyperlink" Target="https://www.nrel.gov/analysis/jedi/international.html" TargetMode="External"/><Relationship Id="rId103" Type="http://schemas.openxmlformats.org/officeDocument/2006/relationships/hyperlink" Target="https://www.nrel.gov/analysis/jedi/international.html" TargetMode="External"/><Relationship Id="rId108" Type="http://schemas.openxmlformats.org/officeDocument/2006/relationships/hyperlink" Target="https://www.eia.gov/analysis/studies/powerplants/capitalcost/pdf/capital_cost_AEO2020.pdf" TargetMode="External"/><Relationship Id="rId54" Type="http://schemas.openxmlformats.org/officeDocument/2006/relationships/hyperlink" Target="https://www.nrel.gov/analysis/jedi/international.html" TargetMode="External"/><Relationship Id="rId70" Type="http://schemas.openxmlformats.org/officeDocument/2006/relationships/hyperlink" Target="https://www.nrel.gov/analysis/jedi/csp.html" TargetMode="External"/><Relationship Id="rId75" Type="http://schemas.openxmlformats.org/officeDocument/2006/relationships/hyperlink" Target="https://www.nrel.gov/analysis/jedi/csp.html" TargetMode="External"/><Relationship Id="rId91" Type="http://schemas.openxmlformats.org/officeDocument/2006/relationships/hyperlink" Target="https://www.nrel.gov/analysis/jedi/csp.html" TargetMode="External"/><Relationship Id="rId96" Type="http://schemas.openxmlformats.org/officeDocument/2006/relationships/hyperlink" Target="https://www.nrel.gov/analysis/jedi/international.html" TargetMode="External"/><Relationship Id="rId1" Type="http://schemas.openxmlformats.org/officeDocument/2006/relationships/hyperlink" Target="https://www.nrel.gov/docs/fy19osti/72399.pdf,%20Figure%2028" TargetMode="External"/><Relationship Id="rId6" Type="http://schemas.openxmlformats.org/officeDocument/2006/relationships/hyperlink" Target="https://www.nrel.gov/docs/fy19osti/72399.pdf,%20Figure%2028" TargetMode="External"/><Relationship Id="rId15" Type="http://schemas.openxmlformats.org/officeDocument/2006/relationships/hyperlink" Target="https://www.nrel.gov/analysis/jedi/coal.html" TargetMode="External"/><Relationship Id="rId23" Type="http://schemas.openxmlformats.org/officeDocument/2006/relationships/hyperlink" Target="https://www.world-nuclear.org/information-library/economic-aspects/economics-of-nuclear-power.aspx" TargetMode="External"/><Relationship Id="rId28" Type="http://schemas.openxmlformats.org/officeDocument/2006/relationships/hyperlink" Target="https://www.world-nuclear.org/information-library/economic-aspects/economics-of-nuclear-power.aspx" TargetMode="External"/><Relationship Id="rId36" Type="http://schemas.openxmlformats.org/officeDocument/2006/relationships/hyperlink" Target="https://www.nrel.gov/analysis/jedi/conventional-hydro.html" TargetMode="External"/><Relationship Id="rId49" Type="http://schemas.openxmlformats.org/officeDocument/2006/relationships/hyperlink" Target="https://www1.eere.energy.gov/water/pdfs/doewater-00662.pdf" TargetMode="External"/><Relationship Id="rId57" Type="http://schemas.openxmlformats.org/officeDocument/2006/relationships/hyperlink" Target="https://www.nrel.gov/analysis/jedi/international.html" TargetMode="External"/><Relationship Id="rId106" Type="http://schemas.openxmlformats.org/officeDocument/2006/relationships/hyperlink" Target="https://www.eia.gov/analysis/studies/powerplants/capitalcost/pdf/capital_cost_AEO2020.pdf" TargetMode="External"/><Relationship Id="rId10" Type="http://schemas.openxmlformats.org/officeDocument/2006/relationships/hyperlink" Target="https://www.nrel.gov/docs/fy19osti/72399.pdf,%20Figure%2028" TargetMode="External"/><Relationship Id="rId31" Type="http://schemas.openxmlformats.org/officeDocument/2006/relationships/hyperlink" Target="https://www.world-nuclear.org/information-library/economic-aspects/economics-of-nuclear-power.aspx" TargetMode="External"/><Relationship Id="rId44" Type="http://schemas.openxmlformats.org/officeDocument/2006/relationships/hyperlink" Target="https://www.nrel.gov/analysis/jedi/conventional-hydro.html" TargetMode="External"/><Relationship Id="rId52" Type="http://schemas.openxmlformats.org/officeDocument/2006/relationships/hyperlink" Target="https://www.nrel.gov/analysis/jedi/international.html" TargetMode="External"/><Relationship Id="rId60" Type="http://schemas.openxmlformats.org/officeDocument/2006/relationships/hyperlink" Target="https://www.nrel.gov/analysis/jedi/csp.html" TargetMode="External"/><Relationship Id="rId65" Type="http://schemas.openxmlformats.org/officeDocument/2006/relationships/hyperlink" Target="https://www.nrel.gov/analysis/jedi/csp.html" TargetMode="External"/><Relationship Id="rId73" Type="http://schemas.openxmlformats.org/officeDocument/2006/relationships/hyperlink" Target="https://www.nrel.gov/analysis/jedi/csp.html" TargetMode="External"/><Relationship Id="rId78" Type="http://schemas.openxmlformats.org/officeDocument/2006/relationships/hyperlink" Target="https://www.nrel.gov/analysis/jedi/csp.html" TargetMode="External"/><Relationship Id="rId81" Type="http://schemas.openxmlformats.org/officeDocument/2006/relationships/hyperlink" Target="https://www.nrel.gov/analysis/jedi/csp.html" TargetMode="External"/><Relationship Id="rId86" Type="http://schemas.openxmlformats.org/officeDocument/2006/relationships/hyperlink" Target="https://www.nrel.gov/analysis/jedi/csp.html" TargetMode="External"/><Relationship Id="rId94" Type="http://schemas.openxmlformats.org/officeDocument/2006/relationships/hyperlink" Target="https://www.nrel.gov/analysis/jedi/international.html" TargetMode="External"/><Relationship Id="rId99" Type="http://schemas.openxmlformats.org/officeDocument/2006/relationships/hyperlink" Target="https://www.nrel.gov/analysis/jedi/international.html" TargetMode="External"/><Relationship Id="rId101" Type="http://schemas.openxmlformats.org/officeDocument/2006/relationships/hyperlink" Target="https://www.nrel.gov/analysis/jedi/international.html" TargetMode="External"/><Relationship Id="rId4" Type="http://schemas.openxmlformats.org/officeDocument/2006/relationships/hyperlink" Target="https://www.nrel.gov/docs/fy19osti/72399.pdf,%20Figure%2028" TargetMode="External"/><Relationship Id="rId9" Type="http://schemas.openxmlformats.org/officeDocument/2006/relationships/hyperlink" Target="https://www.nrel.gov/docs/fy19osti/72399.pdf,%20Figure%2028" TargetMode="External"/><Relationship Id="rId13" Type="http://schemas.openxmlformats.org/officeDocument/2006/relationships/hyperlink" Target="https://www.nrel.gov/analysis/jedi/coal.html" TargetMode="External"/><Relationship Id="rId18" Type="http://schemas.openxmlformats.org/officeDocument/2006/relationships/hyperlink" Target="https://www.nrel.gov/analysis/jedi/coal.html" TargetMode="External"/><Relationship Id="rId39" Type="http://schemas.openxmlformats.org/officeDocument/2006/relationships/hyperlink" Target="https://www.nrel.gov/analysis/jedi/conventional-hydro.html" TargetMode="External"/><Relationship Id="rId109" Type="http://schemas.openxmlformats.org/officeDocument/2006/relationships/hyperlink" Target="https://www.eia.gov/analysis/studies/powerplants/capitalcost/pdf/capital_cost_AEO2020.pdf" TargetMode="External"/><Relationship Id="rId34" Type="http://schemas.openxmlformats.org/officeDocument/2006/relationships/hyperlink" Target="https://www.nrel.gov/analysis/jedi/conventional-hydro.html" TargetMode="External"/><Relationship Id="rId50" Type="http://schemas.openxmlformats.org/officeDocument/2006/relationships/hyperlink" Target="https://www.nrel.gov/analysis/jedi/international.html" TargetMode="External"/><Relationship Id="rId55" Type="http://schemas.openxmlformats.org/officeDocument/2006/relationships/hyperlink" Target="https://www.nrel.gov/analysis/jedi/international.html" TargetMode="External"/><Relationship Id="rId76" Type="http://schemas.openxmlformats.org/officeDocument/2006/relationships/hyperlink" Target="https://www.nrel.gov/analysis/jedi/csp.html" TargetMode="External"/><Relationship Id="rId97" Type="http://schemas.openxmlformats.org/officeDocument/2006/relationships/hyperlink" Target="https://www.nrel.gov/analysis/jedi/international.html" TargetMode="External"/><Relationship Id="rId104" Type="http://schemas.openxmlformats.org/officeDocument/2006/relationships/hyperlink" Target="https://www.nrel.gov/analysis/jedi/international.html" TargetMode="External"/><Relationship Id="rId7" Type="http://schemas.openxmlformats.org/officeDocument/2006/relationships/hyperlink" Target="https://www.nrel.gov/docs/fy19osti/72399.pdf,%20Figure%2028" TargetMode="External"/><Relationship Id="rId71" Type="http://schemas.openxmlformats.org/officeDocument/2006/relationships/hyperlink" Target="https://www.nrel.gov/analysis/jedi/csp.html" TargetMode="External"/><Relationship Id="rId92" Type="http://schemas.openxmlformats.org/officeDocument/2006/relationships/hyperlink" Target="https://www.nrel.gov/analysis/jedi/international.html" TargetMode="External"/><Relationship Id="rId2" Type="http://schemas.openxmlformats.org/officeDocument/2006/relationships/hyperlink" Target="https://www.nrel.gov/docs/fy19osti/72399.pdf,%20Figure%2028" TargetMode="External"/><Relationship Id="rId29" Type="http://schemas.openxmlformats.org/officeDocument/2006/relationships/hyperlink" Target="https://www.world-nuclear.org/information-library/economic-aspects/economics-of-nuclear-power.aspx" TargetMode="External"/><Relationship Id="rId24" Type="http://schemas.openxmlformats.org/officeDocument/2006/relationships/hyperlink" Target="https://www.world-nuclear.org/information-library/economic-aspects/economics-of-nuclear-power.aspx" TargetMode="External"/><Relationship Id="rId40" Type="http://schemas.openxmlformats.org/officeDocument/2006/relationships/hyperlink" Target="https://www.nrel.gov/analysis/jedi/conventional-hydro.html" TargetMode="External"/><Relationship Id="rId45" Type="http://schemas.openxmlformats.org/officeDocument/2006/relationships/hyperlink" Target="https://www.nrel.gov/analysis/jedi/conventional-hydro.html" TargetMode="External"/><Relationship Id="rId66" Type="http://schemas.openxmlformats.org/officeDocument/2006/relationships/hyperlink" Target="https://www.nrel.gov/analysis/jedi/csp.html" TargetMode="External"/><Relationship Id="rId87" Type="http://schemas.openxmlformats.org/officeDocument/2006/relationships/hyperlink" Target="https://www.nrel.gov/analysis/jedi/csp.html" TargetMode="External"/><Relationship Id="rId61" Type="http://schemas.openxmlformats.org/officeDocument/2006/relationships/hyperlink" Target="https://www.nrel.gov/analysis/jedi/csp.html" TargetMode="External"/><Relationship Id="rId82" Type="http://schemas.openxmlformats.org/officeDocument/2006/relationships/hyperlink" Target="https://www.nrel.gov/analysis/jedi/csp.html" TargetMode="External"/><Relationship Id="rId19" Type="http://schemas.openxmlformats.org/officeDocument/2006/relationships/hyperlink" Target="https://www.nrel.gov/analysis/jedi/coal.html" TargetMode="External"/><Relationship Id="rId14" Type="http://schemas.openxmlformats.org/officeDocument/2006/relationships/hyperlink" Target="https://www.nrel.gov/analysis/jedi/coal.html" TargetMode="External"/><Relationship Id="rId30" Type="http://schemas.openxmlformats.org/officeDocument/2006/relationships/hyperlink" Target="https://www.world-nuclear.org/information-library/economic-aspects/economics-of-nuclear-power.aspx" TargetMode="External"/><Relationship Id="rId35" Type="http://schemas.openxmlformats.org/officeDocument/2006/relationships/hyperlink" Target="https://www.nrel.gov/analysis/jedi/conventional-hydro.html" TargetMode="External"/><Relationship Id="rId56" Type="http://schemas.openxmlformats.org/officeDocument/2006/relationships/hyperlink" Target="https://www.nrel.gov/analysis/jedi/international.html" TargetMode="External"/><Relationship Id="rId77" Type="http://schemas.openxmlformats.org/officeDocument/2006/relationships/hyperlink" Target="https://www.nrel.gov/analysis/jedi/csp.html" TargetMode="External"/><Relationship Id="rId100" Type="http://schemas.openxmlformats.org/officeDocument/2006/relationships/hyperlink" Target="https://www.nrel.gov/analysis/jedi/international.html" TargetMode="External"/><Relationship Id="rId105" Type="http://schemas.openxmlformats.org/officeDocument/2006/relationships/hyperlink" Target="https://www.eia.gov/analysis/studies/powerplants/capitalcost/pdf/capital_cost_AEO2020.pdf" TargetMode="External"/><Relationship Id="rId8" Type="http://schemas.openxmlformats.org/officeDocument/2006/relationships/hyperlink" Target="https://www.nrel.gov/docs/fy19osti/72399.pdf,%20Figure%2028" TargetMode="External"/><Relationship Id="rId51" Type="http://schemas.openxmlformats.org/officeDocument/2006/relationships/hyperlink" Target="https://www.nrel.gov/analysis/jedi/international.html" TargetMode="External"/><Relationship Id="rId72" Type="http://schemas.openxmlformats.org/officeDocument/2006/relationships/hyperlink" Target="https://www.nrel.gov/analysis/jedi/csp.html" TargetMode="External"/><Relationship Id="rId93" Type="http://schemas.openxmlformats.org/officeDocument/2006/relationships/hyperlink" Target="https://www.nrel.gov/analysis/jedi/international.html" TargetMode="External"/><Relationship Id="rId98" Type="http://schemas.openxmlformats.org/officeDocument/2006/relationships/hyperlink" Target="https://www.nrel.gov/analysis/jedi/international.html" TargetMode="External"/><Relationship Id="rId3" Type="http://schemas.openxmlformats.org/officeDocument/2006/relationships/hyperlink" Target="https://www.nrel.gov/docs/fy19osti/72399.pdf,%20Figure%2028" TargetMode="External"/><Relationship Id="rId25" Type="http://schemas.openxmlformats.org/officeDocument/2006/relationships/hyperlink" Target="https://www.world-nuclear.org/information-library/economic-aspects/economics-of-nuclear-power.aspx" TargetMode="External"/><Relationship Id="rId46" Type="http://schemas.openxmlformats.org/officeDocument/2006/relationships/hyperlink" Target="https://www.nrel.gov/analysis/jedi/conventional-hydro.html" TargetMode="External"/><Relationship Id="rId67" Type="http://schemas.openxmlformats.org/officeDocument/2006/relationships/hyperlink" Target="https://www.nrel.gov/analysis/jedi/csp.html" TargetMode="External"/><Relationship Id="rId20" Type="http://schemas.openxmlformats.org/officeDocument/2006/relationships/hyperlink" Target="https://www.nrel.gov/analysis/jedi/natural-gas.html" TargetMode="External"/><Relationship Id="rId41" Type="http://schemas.openxmlformats.org/officeDocument/2006/relationships/hyperlink" Target="https://www.nrel.gov/analysis/jedi/conventional-hydro.html" TargetMode="External"/><Relationship Id="rId62" Type="http://schemas.openxmlformats.org/officeDocument/2006/relationships/hyperlink" Target="https://www.nrel.gov/analysis/jedi/csp.html" TargetMode="External"/><Relationship Id="rId83" Type="http://schemas.openxmlformats.org/officeDocument/2006/relationships/hyperlink" Target="https://www.nrel.gov/analysis/jedi/csp.html" TargetMode="External"/><Relationship Id="rId88" Type="http://schemas.openxmlformats.org/officeDocument/2006/relationships/hyperlink" Target="https://www.nrel.gov/analysis/jedi/csp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"/>
  <sheetViews>
    <sheetView workbookViewId="0"/>
  </sheetViews>
  <sheetFormatPr defaultRowHeight="15" x14ac:dyDescent="0.25"/>
  <cols>
    <col min="2" max="2" width="61.85546875" customWidth="1"/>
    <col min="3" max="3" width="4.5703125" customWidth="1"/>
    <col min="4" max="4" width="65.7109375" customWidth="1"/>
    <col min="5" max="5" width="5.7109375" customWidth="1"/>
    <col min="6" max="6" width="63.42578125" customWidth="1"/>
    <col min="8" max="8" width="52.85546875" customWidth="1"/>
  </cols>
  <sheetData>
    <row r="1" spans="1:8" x14ac:dyDescent="0.25">
      <c r="A1" s="71" t="s">
        <v>77</v>
      </c>
    </row>
    <row r="3" spans="1:8" x14ac:dyDescent="0.25">
      <c r="A3" s="71" t="s">
        <v>78</v>
      </c>
      <c r="B3" s="77" t="s">
        <v>79</v>
      </c>
      <c r="D3" s="77" t="s">
        <v>80</v>
      </c>
      <c r="F3" s="77" t="s">
        <v>81</v>
      </c>
      <c r="H3" s="77" t="s">
        <v>82</v>
      </c>
    </row>
    <row r="4" spans="1:8" x14ac:dyDescent="0.25">
      <c r="B4" t="s">
        <v>83</v>
      </c>
      <c r="D4" t="s">
        <v>83</v>
      </c>
      <c r="F4" t="s">
        <v>84</v>
      </c>
      <c r="H4" t="s">
        <v>85</v>
      </c>
    </row>
    <row r="5" spans="1:8" x14ac:dyDescent="0.25">
      <c r="B5" s="78">
        <v>2022</v>
      </c>
      <c r="D5" s="78">
        <v>2016</v>
      </c>
      <c r="F5" s="78">
        <v>2020</v>
      </c>
      <c r="H5" s="78">
        <v>2022</v>
      </c>
    </row>
    <row r="6" spans="1:8" x14ac:dyDescent="0.25">
      <c r="B6" t="s">
        <v>86</v>
      </c>
      <c r="D6" t="s">
        <v>87</v>
      </c>
      <c r="F6" t="s">
        <v>88</v>
      </c>
      <c r="H6" t="s">
        <v>89</v>
      </c>
    </row>
    <row r="7" spans="1:8" x14ac:dyDescent="0.25">
      <c r="B7" s="65" t="s">
        <v>90</v>
      </c>
      <c r="D7" s="65" t="s">
        <v>91</v>
      </c>
      <c r="F7" s="56" t="s">
        <v>92</v>
      </c>
      <c r="H7" s="65" t="s">
        <v>93</v>
      </c>
    </row>
    <row r="8" spans="1:8" x14ac:dyDescent="0.25">
      <c r="B8" t="s">
        <v>94</v>
      </c>
      <c r="D8" t="s">
        <v>95</v>
      </c>
      <c r="F8" t="s">
        <v>96</v>
      </c>
      <c r="H8" t="s">
        <v>97</v>
      </c>
    </row>
    <row r="10" spans="1:8" x14ac:dyDescent="0.25">
      <c r="B10" s="77" t="s">
        <v>98</v>
      </c>
      <c r="D10" s="77" t="s">
        <v>99</v>
      </c>
      <c r="F10" s="77" t="s">
        <v>100</v>
      </c>
      <c r="H10" s="77" t="s">
        <v>101</v>
      </c>
    </row>
    <row r="11" spans="1:8" x14ac:dyDescent="0.25">
      <c r="B11" t="s">
        <v>83</v>
      </c>
      <c r="D11" t="s">
        <v>83</v>
      </c>
      <c r="F11" t="s">
        <v>83</v>
      </c>
      <c r="H11" t="s">
        <v>102</v>
      </c>
    </row>
    <row r="12" spans="1:8" x14ac:dyDescent="0.25">
      <c r="B12" s="78">
        <v>2019</v>
      </c>
      <c r="D12" s="78">
        <v>2017</v>
      </c>
      <c r="F12" s="78">
        <v>2016</v>
      </c>
      <c r="H12" s="78"/>
    </row>
    <row r="13" spans="1:8" x14ac:dyDescent="0.25">
      <c r="B13" t="s">
        <v>103</v>
      </c>
      <c r="D13" t="s">
        <v>104</v>
      </c>
      <c r="F13" t="s">
        <v>105</v>
      </c>
    </row>
    <row r="14" spans="1:8" x14ac:dyDescent="0.25">
      <c r="B14" s="65" t="s">
        <v>106</v>
      </c>
      <c r="D14" s="65" t="s">
        <v>107</v>
      </c>
      <c r="F14" s="65" t="s">
        <v>108</v>
      </c>
      <c r="H14" s="65"/>
    </row>
    <row r="15" spans="1:8" x14ac:dyDescent="0.25">
      <c r="B15" t="s">
        <v>95</v>
      </c>
      <c r="D15" t="s">
        <v>95</v>
      </c>
      <c r="F15" t="s">
        <v>95</v>
      </c>
    </row>
    <row r="17" spans="2:6" x14ac:dyDescent="0.25">
      <c r="B17" s="77" t="s">
        <v>109</v>
      </c>
      <c r="D17" s="77" t="s">
        <v>110</v>
      </c>
      <c r="F17" s="77" t="s">
        <v>111</v>
      </c>
    </row>
    <row r="18" spans="2:6" x14ac:dyDescent="0.25">
      <c r="B18" t="s">
        <v>83</v>
      </c>
      <c r="D18" t="s">
        <v>112</v>
      </c>
      <c r="F18" t="s">
        <v>113</v>
      </c>
    </row>
    <row r="19" spans="2:6" x14ac:dyDescent="0.25">
      <c r="B19" s="78">
        <v>2016</v>
      </c>
      <c r="D19" s="78">
        <v>2020</v>
      </c>
      <c r="F19" s="78">
        <v>2003</v>
      </c>
    </row>
    <row r="20" spans="2:6" ht="29.1" customHeight="1" x14ac:dyDescent="0.25">
      <c r="B20" s="103" t="s">
        <v>114</v>
      </c>
      <c r="C20" s="104"/>
      <c r="D20" s="103" t="s">
        <v>115</v>
      </c>
      <c r="E20" s="104"/>
      <c r="F20" s="103" t="s">
        <v>116</v>
      </c>
    </row>
    <row r="21" spans="2:6" ht="29.1" customHeight="1" x14ac:dyDescent="0.25">
      <c r="B21" s="105" t="s">
        <v>117</v>
      </c>
      <c r="C21" s="104"/>
      <c r="D21" s="105" t="s">
        <v>118</v>
      </c>
      <c r="E21" s="104"/>
      <c r="F21" s="105" t="s">
        <v>119</v>
      </c>
    </row>
    <row r="22" spans="2:6" x14ac:dyDescent="0.25">
      <c r="B22" t="s">
        <v>120</v>
      </c>
      <c r="D22" t="s">
        <v>121</v>
      </c>
      <c r="F22" t="s">
        <v>122</v>
      </c>
    </row>
    <row r="24" spans="2:6" x14ac:dyDescent="0.25">
      <c r="B24" s="77" t="s">
        <v>123</v>
      </c>
      <c r="D24" s="77" t="s">
        <v>124</v>
      </c>
      <c r="F24" s="77" t="s">
        <v>125</v>
      </c>
    </row>
    <row r="25" spans="2:6" x14ac:dyDescent="0.25">
      <c r="B25" t="s">
        <v>83</v>
      </c>
      <c r="D25" t="s">
        <v>83</v>
      </c>
      <c r="F25" t="s">
        <v>83</v>
      </c>
    </row>
    <row r="26" spans="2:6" x14ac:dyDescent="0.25">
      <c r="B26" s="78">
        <v>2016</v>
      </c>
      <c r="D26" s="78">
        <v>2017</v>
      </c>
      <c r="F26" s="78">
        <v>2016</v>
      </c>
    </row>
    <row r="27" spans="2:6" x14ac:dyDescent="0.25">
      <c r="B27" t="s">
        <v>126</v>
      </c>
      <c r="D27" t="s">
        <v>127</v>
      </c>
      <c r="F27" t="s">
        <v>114</v>
      </c>
    </row>
    <row r="28" spans="2:6" x14ac:dyDescent="0.25">
      <c r="B28" s="65" t="s">
        <v>128</v>
      </c>
      <c r="D28" s="65" t="s">
        <v>106</v>
      </c>
      <c r="F28" s="65" t="s">
        <v>117</v>
      </c>
    </row>
    <row r="29" spans="2:6" x14ac:dyDescent="0.25">
      <c r="B29" t="s">
        <v>95</v>
      </c>
      <c r="D29" t="s">
        <v>95</v>
      </c>
      <c r="F29" t="s">
        <v>95</v>
      </c>
    </row>
    <row r="33" spans="1:1" x14ac:dyDescent="0.25">
      <c r="A33" s="71" t="s">
        <v>129</v>
      </c>
    </row>
    <row r="34" spans="1:1" x14ac:dyDescent="0.25">
      <c r="A34" t="s">
        <v>130</v>
      </c>
    </row>
    <row r="35" spans="1:1" x14ac:dyDescent="0.25">
      <c r="A35" t="s">
        <v>131</v>
      </c>
    </row>
    <row r="37" spans="1:1" x14ac:dyDescent="0.25">
      <c r="A37" t="s">
        <v>132</v>
      </c>
    </row>
    <row r="38" spans="1:1" x14ac:dyDescent="0.25">
      <c r="A38" t="s">
        <v>133</v>
      </c>
    </row>
    <row r="40" spans="1:1" x14ac:dyDescent="0.25">
      <c r="A40" t="s">
        <v>134</v>
      </c>
    </row>
    <row r="42" spans="1:1" x14ac:dyDescent="0.25">
      <c r="A42" t="s">
        <v>135</v>
      </c>
    </row>
    <row r="44" spans="1:1" x14ac:dyDescent="0.25">
      <c r="A44" s="123" t="s">
        <v>136</v>
      </c>
    </row>
    <row r="45" spans="1:1" x14ac:dyDescent="0.25">
      <c r="A45" t="s">
        <v>137</v>
      </c>
    </row>
    <row r="46" spans="1:1" x14ac:dyDescent="0.25">
      <c r="A46" t="s">
        <v>138</v>
      </c>
    </row>
    <row r="48" spans="1:1" x14ac:dyDescent="0.25">
      <c r="A48" t="s">
        <v>139</v>
      </c>
    </row>
    <row r="49" spans="1:1" x14ac:dyDescent="0.25">
      <c r="A49" t="s">
        <v>140</v>
      </c>
    </row>
  </sheetData>
  <hyperlinks>
    <hyperlink ref="D7" r:id="rId1" xr:uid="{00000000-0004-0000-0000-000000000000}"/>
    <hyperlink ref="F7" r:id="rId2" xr:uid="{00000000-0004-0000-0000-000001000000}"/>
    <hyperlink ref="B14" r:id="rId3" xr:uid="{00000000-0004-0000-0000-000002000000}"/>
    <hyperlink ref="D14" r:id="rId4" xr:uid="{00000000-0004-0000-0000-000003000000}"/>
    <hyperlink ref="F14" r:id="rId5" xr:uid="{00000000-0004-0000-0000-000004000000}"/>
    <hyperlink ref="B21" r:id="rId6" xr:uid="{00000000-0004-0000-0000-000005000000}"/>
    <hyperlink ref="D21" r:id="rId7" xr:uid="{00000000-0004-0000-0000-000006000000}"/>
    <hyperlink ref="F21" r:id="rId8" xr:uid="{00000000-0004-0000-0000-000007000000}"/>
    <hyperlink ref="B28" r:id="rId9" xr:uid="{00000000-0004-0000-0000-000008000000}"/>
    <hyperlink ref="D28" r:id="rId10" xr:uid="{00000000-0004-0000-0000-000009000000}"/>
    <hyperlink ref="F28" r:id="rId11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54"/>
  <sheetViews>
    <sheetView workbookViewId="0"/>
  </sheetViews>
  <sheetFormatPr defaultRowHeight="15" x14ac:dyDescent="0.25"/>
  <cols>
    <col min="1" max="1" width="28" customWidth="1"/>
    <col min="2" max="2" width="30" customWidth="1"/>
    <col min="6" max="6" width="44" customWidth="1"/>
  </cols>
  <sheetData>
    <row r="1" spans="1:7" x14ac:dyDescent="0.25">
      <c r="A1" s="123" t="s">
        <v>141</v>
      </c>
    </row>
    <row r="2" spans="1:7" x14ac:dyDescent="0.25">
      <c r="A2" s="123" t="s">
        <v>142</v>
      </c>
      <c r="B2" s="123" t="s">
        <v>143</v>
      </c>
      <c r="C2" s="123" t="s">
        <v>144</v>
      </c>
      <c r="D2" s="123" t="s">
        <v>145</v>
      </c>
      <c r="E2" s="123" t="s">
        <v>146</v>
      </c>
      <c r="F2" s="123" t="s">
        <v>147</v>
      </c>
      <c r="G2" s="123" t="s">
        <v>148</v>
      </c>
    </row>
    <row r="3" spans="1:7" x14ac:dyDescent="0.25">
      <c r="A3" t="s">
        <v>149</v>
      </c>
      <c r="B3" t="s">
        <v>61</v>
      </c>
      <c r="C3" t="s">
        <v>1</v>
      </c>
      <c r="D3" t="s">
        <v>150</v>
      </c>
      <c r="E3">
        <v>0.94299868264323294</v>
      </c>
      <c r="F3" t="s">
        <v>151</v>
      </c>
      <c r="G3">
        <v>0.94299868264323294</v>
      </c>
    </row>
    <row r="4" spans="1:7" x14ac:dyDescent="0.25">
      <c r="A4" t="s">
        <v>149</v>
      </c>
      <c r="B4" t="s">
        <v>61</v>
      </c>
      <c r="C4" t="s">
        <v>2</v>
      </c>
      <c r="D4" t="s">
        <v>150</v>
      </c>
      <c r="E4">
        <v>4.1765731369656618E-2</v>
      </c>
      <c r="F4" t="s">
        <v>151</v>
      </c>
      <c r="G4">
        <v>4.1765731369656618E-2</v>
      </c>
    </row>
    <row r="5" spans="1:7" x14ac:dyDescent="0.25">
      <c r="A5" t="s">
        <v>149</v>
      </c>
      <c r="B5" t="s">
        <v>61</v>
      </c>
      <c r="C5" t="s">
        <v>3</v>
      </c>
      <c r="D5" t="s">
        <v>150</v>
      </c>
      <c r="E5">
        <v>1.523558598711041E-2</v>
      </c>
      <c r="F5" t="s">
        <v>151</v>
      </c>
      <c r="G5">
        <v>1.523558598711041E-2</v>
      </c>
    </row>
    <row r="6" spans="1:7" x14ac:dyDescent="0.25">
      <c r="A6" t="s">
        <v>149</v>
      </c>
      <c r="B6" t="s">
        <v>61</v>
      </c>
      <c r="C6" t="s">
        <v>6</v>
      </c>
      <c r="D6" t="s">
        <v>152</v>
      </c>
      <c r="E6">
        <v>0.43273688361237522</v>
      </c>
      <c r="F6" t="s">
        <v>151</v>
      </c>
      <c r="G6">
        <v>0.43273688361237522</v>
      </c>
    </row>
    <row r="7" spans="1:7" x14ac:dyDescent="0.25">
      <c r="A7" t="s">
        <v>149</v>
      </c>
      <c r="B7" t="s">
        <v>61</v>
      </c>
      <c r="C7" t="s">
        <v>7</v>
      </c>
      <c r="D7" t="s">
        <v>152</v>
      </c>
      <c r="E7">
        <v>0.56726311638762483</v>
      </c>
      <c r="F7" t="s">
        <v>151</v>
      </c>
      <c r="G7">
        <v>0.56726311638762483</v>
      </c>
    </row>
    <row r="8" spans="1:7" x14ac:dyDescent="0.25">
      <c r="A8" t="s">
        <v>149</v>
      </c>
      <c r="B8" t="s">
        <v>61</v>
      </c>
      <c r="C8" t="s">
        <v>26</v>
      </c>
      <c r="D8" t="s">
        <v>153</v>
      </c>
      <c r="E8">
        <v>0.1171368722490322</v>
      </c>
      <c r="F8" t="s">
        <v>151</v>
      </c>
      <c r="G8">
        <v>0.1171368722490322</v>
      </c>
    </row>
    <row r="9" spans="1:7" x14ac:dyDescent="0.25">
      <c r="A9" t="s">
        <v>149</v>
      </c>
      <c r="B9" t="s">
        <v>61</v>
      </c>
      <c r="C9" t="s">
        <v>27</v>
      </c>
      <c r="D9" t="s">
        <v>153</v>
      </c>
      <c r="E9">
        <v>0.88286312775096776</v>
      </c>
      <c r="F9" t="s">
        <v>151</v>
      </c>
      <c r="G9">
        <v>0.88286312775096776</v>
      </c>
    </row>
    <row r="10" spans="1:7" x14ac:dyDescent="0.25">
      <c r="A10" t="s">
        <v>149</v>
      </c>
      <c r="B10" t="s">
        <v>61</v>
      </c>
      <c r="C10" t="s">
        <v>34</v>
      </c>
      <c r="D10" t="s">
        <v>154</v>
      </c>
      <c r="E10">
        <v>0.45630816353267001</v>
      </c>
      <c r="F10" t="s">
        <v>151</v>
      </c>
      <c r="G10">
        <v>0.45630816353267001</v>
      </c>
    </row>
    <row r="11" spans="1:7" x14ac:dyDescent="0.25">
      <c r="A11" t="s">
        <v>149</v>
      </c>
      <c r="B11" t="s">
        <v>61</v>
      </c>
      <c r="C11" t="s">
        <v>35</v>
      </c>
      <c r="D11" t="s">
        <v>154</v>
      </c>
      <c r="E11">
        <v>4.4370047500516312E-2</v>
      </c>
      <c r="F11" t="s">
        <v>151</v>
      </c>
      <c r="G11">
        <v>4.4370047500516312E-2</v>
      </c>
    </row>
    <row r="12" spans="1:7" x14ac:dyDescent="0.25">
      <c r="A12" t="s">
        <v>149</v>
      </c>
      <c r="B12" t="s">
        <v>61</v>
      </c>
      <c r="C12" t="s">
        <v>36</v>
      </c>
      <c r="D12" t="s">
        <v>154</v>
      </c>
      <c r="E12">
        <v>0.1883750452665103</v>
      </c>
      <c r="F12" t="s">
        <v>151</v>
      </c>
      <c r="G12">
        <v>0.1883750452665103</v>
      </c>
    </row>
    <row r="13" spans="1:7" x14ac:dyDescent="0.25">
      <c r="A13" t="s">
        <v>149</v>
      </c>
      <c r="B13" t="s">
        <v>61</v>
      </c>
      <c r="C13" t="s">
        <v>37</v>
      </c>
      <c r="D13" t="s">
        <v>154</v>
      </c>
      <c r="E13">
        <v>0.22286512267581851</v>
      </c>
      <c r="F13" t="s">
        <v>151</v>
      </c>
      <c r="G13">
        <v>0.22286512267581851</v>
      </c>
    </row>
    <row r="14" spans="1:7" x14ac:dyDescent="0.25">
      <c r="A14" t="s">
        <v>149</v>
      </c>
      <c r="B14" t="s">
        <v>61</v>
      </c>
      <c r="C14" t="s">
        <v>38</v>
      </c>
      <c r="D14" t="s">
        <v>154</v>
      </c>
      <c r="E14">
        <v>8.8081621024484816E-2</v>
      </c>
      <c r="F14" t="s">
        <v>151</v>
      </c>
      <c r="G14">
        <v>8.8081621024484816E-2</v>
      </c>
    </row>
    <row r="15" spans="1:7" x14ac:dyDescent="0.25">
      <c r="A15" t="s">
        <v>149</v>
      </c>
      <c r="B15" t="s">
        <v>61</v>
      </c>
      <c r="C15" t="s">
        <v>45</v>
      </c>
      <c r="D15" t="s">
        <v>155</v>
      </c>
      <c r="E15">
        <v>1</v>
      </c>
      <c r="F15" t="s">
        <v>156</v>
      </c>
      <c r="G15">
        <v>0.72982194479141249</v>
      </c>
    </row>
    <row r="16" spans="1:7" x14ac:dyDescent="0.25">
      <c r="A16" t="s">
        <v>149</v>
      </c>
      <c r="B16" t="s">
        <v>61</v>
      </c>
      <c r="C16" t="s">
        <v>46</v>
      </c>
      <c r="D16" t="s">
        <v>155</v>
      </c>
      <c r="E16">
        <v>0</v>
      </c>
      <c r="F16" t="s">
        <v>156</v>
      </c>
      <c r="G16">
        <v>0.27017805520858751</v>
      </c>
    </row>
    <row r="17" spans="1:7" x14ac:dyDescent="0.25">
      <c r="A17" t="s">
        <v>149</v>
      </c>
      <c r="B17" t="s">
        <v>61</v>
      </c>
      <c r="C17" t="s">
        <v>50</v>
      </c>
      <c r="D17" t="s">
        <v>157</v>
      </c>
      <c r="E17">
        <v>0.42162495143522749</v>
      </c>
      <c r="F17" t="s">
        <v>151</v>
      </c>
      <c r="G17">
        <v>0.42162495143522749</v>
      </c>
    </row>
    <row r="18" spans="1:7" x14ac:dyDescent="0.25">
      <c r="A18" t="s">
        <v>149</v>
      </c>
      <c r="B18" t="s">
        <v>61</v>
      </c>
      <c r="C18" t="s">
        <v>51</v>
      </c>
      <c r="D18" t="s">
        <v>157</v>
      </c>
      <c r="E18">
        <v>0.57837504856477251</v>
      </c>
      <c r="F18" t="s">
        <v>151</v>
      </c>
      <c r="G18">
        <v>0.57837504856477251</v>
      </c>
    </row>
    <row r="19" spans="1:7" x14ac:dyDescent="0.25">
      <c r="A19" t="s">
        <v>149</v>
      </c>
      <c r="B19" t="s">
        <v>72</v>
      </c>
      <c r="C19" t="s">
        <v>1</v>
      </c>
      <c r="D19" t="s">
        <v>150</v>
      </c>
      <c r="E19">
        <v>0.94299868264323294</v>
      </c>
      <c r="F19" t="s">
        <v>151</v>
      </c>
      <c r="G19">
        <v>0.94299868264323294</v>
      </c>
    </row>
    <row r="20" spans="1:7" x14ac:dyDescent="0.25">
      <c r="A20" t="s">
        <v>149</v>
      </c>
      <c r="B20" t="s">
        <v>72</v>
      </c>
      <c r="C20" t="s">
        <v>2</v>
      </c>
      <c r="D20" t="s">
        <v>150</v>
      </c>
      <c r="E20">
        <v>4.1765731369656618E-2</v>
      </c>
      <c r="F20" t="s">
        <v>151</v>
      </c>
      <c r="G20">
        <v>4.1765731369656618E-2</v>
      </c>
    </row>
    <row r="21" spans="1:7" x14ac:dyDescent="0.25">
      <c r="A21" t="s">
        <v>149</v>
      </c>
      <c r="B21" t="s">
        <v>72</v>
      </c>
      <c r="C21" t="s">
        <v>3</v>
      </c>
      <c r="D21" t="s">
        <v>150</v>
      </c>
      <c r="E21">
        <v>1.523558598711041E-2</v>
      </c>
      <c r="F21" t="s">
        <v>151</v>
      </c>
      <c r="G21">
        <v>1.523558598711041E-2</v>
      </c>
    </row>
    <row r="22" spans="1:7" x14ac:dyDescent="0.25">
      <c r="A22" t="s">
        <v>149</v>
      </c>
      <c r="B22" t="s">
        <v>72</v>
      </c>
      <c r="C22" t="s">
        <v>6</v>
      </c>
      <c r="D22" t="s">
        <v>152</v>
      </c>
      <c r="E22">
        <v>0.43273688361237522</v>
      </c>
      <c r="F22" t="s">
        <v>151</v>
      </c>
      <c r="G22">
        <v>0.43273688361237522</v>
      </c>
    </row>
    <row r="23" spans="1:7" x14ac:dyDescent="0.25">
      <c r="A23" t="s">
        <v>149</v>
      </c>
      <c r="B23" t="s">
        <v>72</v>
      </c>
      <c r="C23" t="s">
        <v>7</v>
      </c>
      <c r="D23" t="s">
        <v>152</v>
      </c>
      <c r="E23">
        <v>0.56726311638762483</v>
      </c>
      <c r="F23" t="s">
        <v>151</v>
      </c>
      <c r="G23">
        <v>0.56726311638762483</v>
      </c>
    </row>
    <row r="24" spans="1:7" x14ac:dyDescent="0.25">
      <c r="A24" t="s">
        <v>149</v>
      </c>
      <c r="B24" t="s">
        <v>72</v>
      </c>
      <c r="C24" t="s">
        <v>26</v>
      </c>
      <c r="D24" t="s">
        <v>153</v>
      </c>
      <c r="E24">
        <v>0.1171368722490322</v>
      </c>
      <c r="F24" t="s">
        <v>151</v>
      </c>
      <c r="G24">
        <v>0.1171368722490322</v>
      </c>
    </row>
    <row r="25" spans="1:7" x14ac:dyDescent="0.25">
      <c r="A25" t="s">
        <v>149</v>
      </c>
      <c r="B25" t="s">
        <v>72</v>
      </c>
      <c r="C25" t="s">
        <v>27</v>
      </c>
      <c r="D25" t="s">
        <v>153</v>
      </c>
      <c r="E25">
        <v>0.88286312775096776</v>
      </c>
      <c r="F25" t="s">
        <v>151</v>
      </c>
      <c r="G25">
        <v>0.88286312775096776</v>
      </c>
    </row>
    <row r="26" spans="1:7" x14ac:dyDescent="0.25">
      <c r="A26" t="s">
        <v>149</v>
      </c>
      <c r="B26" t="s">
        <v>72</v>
      </c>
      <c r="C26" t="s">
        <v>34</v>
      </c>
      <c r="D26" t="s">
        <v>154</v>
      </c>
      <c r="E26">
        <v>0.45630816353267001</v>
      </c>
      <c r="F26" t="s">
        <v>151</v>
      </c>
      <c r="G26">
        <v>0.45630816353267001</v>
      </c>
    </row>
    <row r="27" spans="1:7" x14ac:dyDescent="0.25">
      <c r="A27" t="s">
        <v>149</v>
      </c>
      <c r="B27" t="s">
        <v>72</v>
      </c>
      <c r="C27" t="s">
        <v>35</v>
      </c>
      <c r="D27" t="s">
        <v>154</v>
      </c>
      <c r="E27">
        <v>4.4370047500516312E-2</v>
      </c>
      <c r="F27" t="s">
        <v>151</v>
      </c>
      <c r="G27">
        <v>4.4370047500516312E-2</v>
      </c>
    </row>
    <row r="28" spans="1:7" x14ac:dyDescent="0.25">
      <c r="A28" t="s">
        <v>149</v>
      </c>
      <c r="B28" t="s">
        <v>72</v>
      </c>
      <c r="C28" t="s">
        <v>36</v>
      </c>
      <c r="D28" t="s">
        <v>154</v>
      </c>
      <c r="E28">
        <v>0.1883750452665103</v>
      </c>
      <c r="F28" t="s">
        <v>151</v>
      </c>
      <c r="G28">
        <v>0.1883750452665103</v>
      </c>
    </row>
    <row r="29" spans="1:7" x14ac:dyDescent="0.25">
      <c r="A29" t="s">
        <v>149</v>
      </c>
      <c r="B29" t="s">
        <v>72</v>
      </c>
      <c r="C29" t="s">
        <v>37</v>
      </c>
      <c r="D29" t="s">
        <v>154</v>
      </c>
      <c r="E29">
        <v>0.22286512267581851</v>
      </c>
      <c r="F29" t="s">
        <v>151</v>
      </c>
      <c r="G29">
        <v>0.22286512267581851</v>
      </c>
    </row>
    <row r="30" spans="1:7" x14ac:dyDescent="0.25">
      <c r="A30" t="s">
        <v>149</v>
      </c>
      <c r="B30" t="s">
        <v>72</v>
      </c>
      <c r="C30" t="s">
        <v>38</v>
      </c>
      <c r="D30" t="s">
        <v>154</v>
      </c>
      <c r="E30">
        <v>8.8081621024484816E-2</v>
      </c>
      <c r="F30" t="s">
        <v>151</v>
      </c>
      <c r="G30">
        <v>8.8081621024484816E-2</v>
      </c>
    </row>
    <row r="31" spans="1:7" x14ac:dyDescent="0.25">
      <c r="A31" t="s">
        <v>149</v>
      </c>
      <c r="B31" t="s">
        <v>72</v>
      </c>
      <c r="C31" t="s">
        <v>45</v>
      </c>
      <c r="D31" t="s">
        <v>155</v>
      </c>
      <c r="E31">
        <v>1</v>
      </c>
      <c r="F31" t="s">
        <v>156</v>
      </c>
      <c r="G31">
        <v>0.72982194479141249</v>
      </c>
    </row>
    <row r="32" spans="1:7" x14ac:dyDescent="0.25">
      <c r="A32" t="s">
        <v>149</v>
      </c>
      <c r="B32" t="s">
        <v>72</v>
      </c>
      <c r="C32" t="s">
        <v>46</v>
      </c>
      <c r="D32" t="s">
        <v>155</v>
      </c>
      <c r="E32">
        <v>0</v>
      </c>
      <c r="F32" t="s">
        <v>156</v>
      </c>
      <c r="G32">
        <v>0.27017805520858751</v>
      </c>
    </row>
    <row r="33" spans="1:7" x14ac:dyDescent="0.25">
      <c r="A33" t="s">
        <v>149</v>
      </c>
      <c r="B33" t="s">
        <v>72</v>
      </c>
      <c r="C33" t="s">
        <v>50</v>
      </c>
      <c r="D33" t="s">
        <v>157</v>
      </c>
      <c r="E33">
        <v>0.42162495143522749</v>
      </c>
      <c r="F33" t="s">
        <v>151</v>
      </c>
      <c r="G33">
        <v>0.42162495143522749</v>
      </c>
    </row>
    <row r="34" spans="1:7" x14ac:dyDescent="0.25">
      <c r="A34" t="s">
        <v>149</v>
      </c>
      <c r="B34" t="s">
        <v>72</v>
      </c>
      <c r="C34" t="s">
        <v>51</v>
      </c>
      <c r="D34" t="s">
        <v>157</v>
      </c>
      <c r="E34">
        <v>0.57837504856477251</v>
      </c>
      <c r="F34" t="s">
        <v>151</v>
      </c>
      <c r="G34">
        <v>0.57837504856477251</v>
      </c>
    </row>
    <row r="35" spans="1:7" x14ac:dyDescent="0.25">
      <c r="A35" t="s">
        <v>149</v>
      </c>
      <c r="B35" t="s">
        <v>67</v>
      </c>
      <c r="C35" t="s">
        <v>1</v>
      </c>
      <c r="D35" t="s">
        <v>150</v>
      </c>
      <c r="E35">
        <v>0.94299868264323294</v>
      </c>
      <c r="F35" t="s">
        <v>151</v>
      </c>
      <c r="G35">
        <v>0.94299868264323294</v>
      </c>
    </row>
    <row r="36" spans="1:7" x14ac:dyDescent="0.25">
      <c r="A36" t="s">
        <v>149</v>
      </c>
      <c r="B36" t="s">
        <v>67</v>
      </c>
      <c r="C36" t="s">
        <v>2</v>
      </c>
      <c r="D36" t="s">
        <v>150</v>
      </c>
      <c r="E36">
        <v>4.1765731369656618E-2</v>
      </c>
      <c r="F36" t="s">
        <v>151</v>
      </c>
      <c r="G36">
        <v>4.1765731369656618E-2</v>
      </c>
    </row>
    <row r="37" spans="1:7" x14ac:dyDescent="0.25">
      <c r="A37" t="s">
        <v>149</v>
      </c>
      <c r="B37" t="s">
        <v>67</v>
      </c>
      <c r="C37" t="s">
        <v>3</v>
      </c>
      <c r="D37" t="s">
        <v>150</v>
      </c>
      <c r="E37">
        <v>1.523558598711041E-2</v>
      </c>
      <c r="F37" t="s">
        <v>151</v>
      </c>
      <c r="G37">
        <v>1.523558598711041E-2</v>
      </c>
    </row>
    <row r="38" spans="1:7" x14ac:dyDescent="0.25">
      <c r="A38" t="s">
        <v>149</v>
      </c>
      <c r="B38" t="s">
        <v>67</v>
      </c>
      <c r="C38" t="s">
        <v>6</v>
      </c>
      <c r="D38" t="s">
        <v>152</v>
      </c>
      <c r="E38">
        <v>0.43273688361237522</v>
      </c>
      <c r="F38" t="s">
        <v>151</v>
      </c>
      <c r="G38">
        <v>0.43273688361237522</v>
      </c>
    </row>
    <row r="39" spans="1:7" x14ac:dyDescent="0.25">
      <c r="A39" t="s">
        <v>149</v>
      </c>
      <c r="B39" t="s">
        <v>67</v>
      </c>
      <c r="C39" t="s">
        <v>7</v>
      </c>
      <c r="D39" t="s">
        <v>152</v>
      </c>
      <c r="E39">
        <v>0.56726311638762483</v>
      </c>
      <c r="F39" t="s">
        <v>151</v>
      </c>
      <c r="G39">
        <v>0.56726311638762483</v>
      </c>
    </row>
    <row r="40" spans="1:7" x14ac:dyDescent="0.25">
      <c r="A40" t="s">
        <v>149</v>
      </c>
      <c r="B40" t="s">
        <v>67</v>
      </c>
      <c r="C40" t="s">
        <v>26</v>
      </c>
      <c r="D40" t="s">
        <v>153</v>
      </c>
      <c r="E40">
        <v>0.1171368722490322</v>
      </c>
      <c r="F40" t="s">
        <v>151</v>
      </c>
      <c r="G40">
        <v>0.1171368722490322</v>
      </c>
    </row>
    <row r="41" spans="1:7" x14ac:dyDescent="0.25">
      <c r="A41" t="s">
        <v>149</v>
      </c>
      <c r="B41" t="s">
        <v>67</v>
      </c>
      <c r="C41" t="s">
        <v>27</v>
      </c>
      <c r="D41" t="s">
        <v>153</v>
      </c>
      <c r="E41">
        <v>0.88286312775096776</v>
      </c>
      <c r="F41" t="s">
        <v>151</v>
      </c>
      <c r="G41">
        <v>0.88286312775096776</v>
      </c>
    </row>
    <row r="42" spans="1:7" x14ac:dyDescent="0.25">
      <c r="A42" t="s">
        <v>149</v>
      </c>
      <c r="B42" t="s">
        <v>67</v>
      </c>
      <c r="C42" t="s">
        <v>34</v>
      </c>
      <c r="D42" t="s">
        <v>154</v>
      </c>
      <c r="E42">
        <v>0.45630816353267001</v>
      </c>
      <c r="F42" t="s">
        <v>151</v>
      </c>
      <c r="G42">
        <v>0.45630816353267001</v>
      </c>
    </row>
    <row r="43" spans="1:7" x14ac:dyDescent="0.25">
      <c r="A43" t="s">
        <v>149</v>
      </c>
      <c r="B43" t="s">
        <v>67</v>
      </c>
      <c r="C43" t="s">
        <v>35</v>
      </c>
      <c r="D43" t="s">
        <v>154</v>
      </c>
      <c r="E43">
        <v>4.4370047500516312E-2</v>
      </c>
      <c r="F43" t="s">
        <v>151</v>
      </c>
      <c r="G43">
        <v>4.4370047500516312E-2</v>
      </c>
    </row>
    <row r="44" spans="1:7" x14ac:dyDescent="0.25">
      <c r="A44" t="s">
        <v>149</v>
      </c>
      <c r="B44" t="s">
        <v>67</v>
      </c>
      <c r="C44" t="s">
        <v>36</v>
      </c>
      <c r="D44" t="s">
        <v>154</v>
      </c>
      <c r="E44">
        <v>0.1883750452665103</v>
      </c>
      <c r="F44" t="s">
        <v>151</v>
      </c>
      <c r="G44">
        <v>0.1883750452665103</v>
      </c>
    </row>
    <row r="45" spans="1:7" x14ac:dyDescent="0.25">
      <c r="A45" t="s">
        <v>149</v>
      </c>
      <c r="B45" t="s">
        <v>67</v>
      </c>
      <c r="C45" t="s">
        <v>37</v>
      </c>
      <c r="D45" t="s">
        <v>154</v>
      </c>
      <c r="E45">
        <v>0.22286512267581851</v>
      </c>
      <c r="F45" t="s">
        <v>151</v>
      </c>
      <c r="G45">
        <v>0.22286512267581851</v>
      </c>
    </row>
    <row r="46" spans="1:7" x14ac:dyDescent="0.25">
      <c r="A46" t="s">
        <v>149</v>
      </c>
      <c r="B46" t="s">
        <v>67</v>
      </c>
      <c r="C46" t="s">
        <v>38</v>
      </c>
      <c r="D46" t="s">
        <v>154</v>
      </c>
      <c r="E46">
        <v>8.8081621024484816E-2</v>
      </c>
      <c r="F46" t="s">
        <v>151</v>
      </c>
      <c r="G46">
        <v>8.8081621024484816E-2</v>
      </c>
    </row>
    <row r="47" spans="1:7" x14ac:dyDescent="0.25">
      <c r="A47" t="s">
        <v>149</v>
      </c>
      <c r="B47" t="s">
        <v>67</v>
      </c>
      <c r="C47" t="s">
        <v>45</v>
      </c>
      <c r="D47" t="s">
        <v>155</v>
      </c>
      <c r="E47">
        <v>1</v>
      </c>
      <c r="F47" t="s">
        <v>156</v>
      </c>
      <c r="G47">
        <v>0.72982194479141249</v>
      </c>
    </row>
    <row r="48" spans="1:7" x14ac:dyDescent="0.25">
      <c r="A48" t="s">
        <v>149</v>
      </c>
      <c r="B48" t="s">
        <v>67</v>
      </c>
      <c r="C48" t="s">
        <v>46</v>
      </c>
      <c r="D48" t="s">
        <v>155</v>
      </c>
      <c r="E48">
        <v>0</v>
      </c>
      <c r="F48" t="s">
        <v>156</v>
      </c>
      <c r="G48">
        <v>0.27017805520858751</v>
      </c>
    </row>
    <row r="49" spans="1:7" x14ac:dyDescent="0.25">
      <c r="A49" t="s">
        <v>149</v>
      </c>
      <c r="B49" t="s">
        <v>67</v>
      </c>
      <c r="C49" t="s">
        <v>50</v>
      </c>
      <c r="D49" t="s">
        <v>157</v>
      </c>
      <c r="E49">
        <v>0.42162495143522749</v>
      </c>
      <c r="F49" t="s">
        <v>151</v>
      </c>
      <c r="G49">
        <v>0.42162495143522749</v>
      </c>
    </row>
    <row r="50" spans="1:7" x14ac:dyDescent="0.25">
      <c r="A50" t="s">
        <v>149</v>
      </c>
      <c r="B50" t="s">
        <v>67</v>
      </c>
      <c r="C50" t="s">
        <v>51</v>
      </c>
      <c r="D50" t="s">
        <v>157</v>
      </c>
      <c r="E50">
        <v>0.57837504856477251</v>
      </c>
      <c r="F50" t="s">
        <v>151</v>
      </c>
      <c r="G50">
        <v>0.57837504856477251</v>
      </c>
    </row>
    <row r="51" spans="1:7" x14ac:dyDescent="0.25">
      <c r="A51" t="s">
        <v>149</v>
      </c>
      <c r="B51" t="s">
        <v>62</v>
      </c>
      <c r="C51" t="s">
        <v>1</v>
      </c>
      <c r="D51" t="s">
        <v>150</v>
      </c>
      <c r="E51">
        <v>0.94299868264323294</v>
      </c>
      <c r="F51" t="s">
        <v>151</v>
      </c>
      <c r="G51">
        <v>0.94299868264323294</v>
      </c>
    </row>
    <row r="52" spans="1:7" x14ac:dyDescent="0.25">
      <c r="A52" t="s">
        <v>149</v>
      </c>
      <c r="B52" t="s">
        <v>62</v>
      </c>
      <c r="C52" t="s">
        <v>2</v>
      </c>
      <c r="D52" t="s">
        <v>150</v>
      </c>
      <c r="E52">
        <v>4.1765731369656618E-2</v>
      </c>
      <c r="F52" t="s">
        <v>151</v>
      </c>
      <c r="G52">
        <v>4.1765731369656618E-2</v>
      </c>
    </row>
    <row r="53" spans="1:7" x14ac:dyDescent="0.25">
      <c r="A53" t="s">
        <v>149</v>
      </c>
      <c r="B53" t="s">
        <v>62</v>
      </c>
      <c r="C53" t="s">
        <v>3</v>
      </c>
      <c r="D53" t="s">
        <v>150</v>
      </c>
      <c r="E53">
        <v>1.523558598711041E-2</v>
      </c>
      <c r="F53" t="s">
        <v>151</v>
      </c>
      <c r="G53">
        <v>1.523558598711041E-2</v>
      </c>
    </row>
    <row r="54" spans="1:7" x14ac:dyDescent="0.25">
      <c r="A54" t="s">
        <v>149</v>
      </c>
      <c r="B54" t="s">
        <v>62</v>
      </c>
      <c r="C54" t="s">
        <v>6</v>
      </c>
      <c r="D54" t="s">
        <v>152</v>
      </c>
      <c r="E54">
        <v>0.43273688361237522</v>
      </c>
      <c r="F54" t="s">
        <v>151</v>
      </c>
      <c r="G54">
        <v>0.43273688361237522</v>
      </c>
    </row>
    <row r="55" spans="1:7" x14ac:dyDescent="0.25">
      <c r="A55" t="s">
        <v>149</v>
      </c>
      <c r="B55" t="s">
        <v>62</v>
      </c>
      <c r="C55" t="s">
        <v>7</v>
      </c>
      <c r="D55" t="s">
        <v>152</v>
      </c>
      <c r="E55">
        <v>0.56726311638762483</v>
      </c>
      <c r="F55" t="s">
        <v>151</v>
      </c>
      <c r="G55">
        <v>0.56726311638762483</v>
      </c>
    </row>
    <row r="56" spans="1:7" x14ac:dyDescent="0.25">
      <c r="A56" t="s">
        <v>149</v>
      </c>
      <c r="B56" t="s">
        <v>62</v>
      </c>
      <c r="C56" t="s">
        <v>26</v>
      </c>
      <c r="D56" t="s">
        <v>153</v>
      </c>
      <c r="E56">
        <v>0.1171368722490322</v>
      </c>
      <c r="F56" t="s">
        <v>151</v>
      </c>
      <c r="G56">
        <v>0.1171368722490322</v>
      </c>
    </row>
    <row r="57" spans="1:7" x14ac:dyDescent="0.25">
      <c r="A57" t="s">
        <v>149</v>
      </c>
      <c r="B57" t="s">
        <v>62</v>
      </c>
      <c r="C57" t="s">
        <v>27</v>
      </c>
      <c r="D57" t="s">
        <v>153</v>
      </c>
      <c r="E57">
        <v>0.88286312775096776</v>
      </c>
      <c r="F57" t="s">
        <v>151</v>
      </c>
      <c r="G57">
        <v>0.88286312775096776</v>
      </c>
    </row>
    <row r="58" spans="1:7" x14ac:dyDescent="0.25">
      <c r="A58" t="s">
        <v>149</v>
      </c>
      <c r="B58" t="s">
        <v>62</v>
      </c>
      <c r="C58" t="s">
        <v>34</v>
      </c>
      <c r="D58" t="s">
        <v>154</v>
      </c>
      <c r="E58">
        <v>0.45630816353267001</v>
      </c>
      <c r="F58" t="s">
        <v>151</v>
      </c>
      <c r="G58">
        <v>0.45630816353267001</v>
      </c>
    </row>
    <row r="59" spans="1:7" x14ac:dyDescent="0.25">
      <c r="A59" t="s">
        <v>149</v>
      </c>
      <c r="B59" t="s">
        <v>62</v>
      </c>
      <c r="C59" t="s">
        <v>35</v>
      </c>
      <c r="D59" t="s">
        <v>154</v>
      </c>
      <c r="E59">
        <v>4.4370047500516312E-2</v>
      </c>
      <c r="F59" t="s">
        <v>151</v>
      </c>
      <c r="G59">
        <v>4.4370047500516312E-2</v>
      </c>
    </row>
    <row r="60" spans="1:7" x14ac:dyDescent="0.25">
      <c r="A60" t="s">
        <v>149</v>
      </c>
      <c r="B60" t="s">
        <v>62</v>
      </c>
      <c r="C60" t="s">
        <v>36</v>
      </c>
      <c r="D60" t="s">
        <v>154</v>
      </c>
      <c r="E60">
        <v>0.1883750452665103</v>
      </c>
      <c r="F60" t="s">
        <v>151</v>
      </c>
      <c r="G60">
        <v>0.1883750452665103</v>
      </c>
    </row>
    <row r="61" spans="1:7" x14ac:dyDescent="0.25">
      <c r="A61" t="s">
        <v>149</v>
      </c>
      <c r="B61" t="s">
        <v>62</v>
      </c>
      <c r="C61" t="s">
        <v>37</v>
      </c>
      <c r="D61" t="s">
        <v>154</v>
      </c>
      <c r="E61">
        <v>0.22286512267581851</v>
      </c>
      <c r="F61" t="s">
        <v>151</v>
      </c>
      <c r="G61">
        <v>0.22286512267581851</v>
      </c>
    </row>
    <row r="62" spans="1:7" x14ac:dyDescent="0.25">
      <c r="A62" t="s">
        <v>149</v>
      </c>
      <c r="B62" t="s">
        <v>62</v>
      </c>
      <c r="C62" t="s">
        <v>38</v>
      </c>
      <c r="D62" t="s">
        <v>154</v>
      </c>
      <c r="E62">
        <v>8.8081621024484816E-2</v>
      </c>
      <c r="F62" t="s">
        <v>151</v>
      </c>
      <c r="G62">
        <v>8.8081621024484816E-2</v>
      </c>
    </row>
    <row r="63" spans="1:7" x14ac:dyDescent="0.25">
      <c r="A63" t="s">
        <v>149</v>
      </c>
      <c r="B63" t="s">
        <v>62</v>
      </c>
      <c r="C63" t="s">
        <v>45</v>
      </c>
      <c r="D63" t="s">
        <v>155</v>
      </c>
      <c r="E63">
        <v>1</v>
      </c>
      <c r="F63" t="s">
        <v>156</v>
      </c>
      <c r="G63">
        <v>0.72982194479141249</v>
      </c>
    </row>
    <row r="64" spans="1:7" x14ac:dyDescent="0.25">
      <c r="A64" t="s">
        <v>149</v>
      </c>
      <c r="B64" t="s">
        <v>62</v>
      </c>
      <c r="C64" t="s">
        <v>46</v>
      </c>
      <c r="D64" t="s">
        <v>155</v>
      </c>
      <c r="E64">
        <v>0</v>
      </c>
      <c r="F64" t="s">
        <v>156</v>
      </c>
      <c r="G64">
        <v>0.27017805520858751</v>
      </c>
    </row>
    <row r="65" spans="1:7" x14ac:dyDescent="0.25">
      <c r="A65" t="s">
        <v>149</v>
      </c>
      <c r="B65" t="s">
        <v>62</v>
      </c>
      <c r="C65" t="s">
        <v>50</v>
      </c>
      <c r="D65" t="s">
        <v>157</v>
      </c>
      <c r="E65">
        <v>0.42162495143522749</v>
      </c>
      <c r="F65" t="s">
        <v>151</v>
      </c>
      <c r="G65">
        <v>0.42162495143522749</v>
      </c>
    </row>
    <row r="66" spans="1:7" x14ac:dyDescent="0.25">
      <c r="A66" t="s">
        <v>149</v>
      </c>
      <c r="B66" t="s">
        <v>62</v>
      </c>
      <c r="C66" t="s">
        <v>51</v>
      </c>
      <c r="D66" t="s">
        <v>157</v>
      </c>
      <c r="E66">
        <v>0.57837504856477251</v>
      </c>
      <c r="F66" t="s">
        <v>151</v>
      </c>
      <c r="G66">
        <v>0.57837504856477251</v>
      </c>
    </row>
    <row r="67" spans="1:7" x14ac:dyDescent="0.25">
      <c r="A67" t="s">
        <v>149</v>
      </c>
      <c r="B67" t="s">
        <v>53</v>
      </c>
      <c r="C67" t="s">
        <v>1</v>
      </c>
      <c r="D67" t="s">
        <v>150</v>
      </c>
      <c r="E67">
        <v>0.94299868264323294</v>
      </c>
      <c r="F67" t="s">
        <v>151</v>
      </c>
      <c r="G67">
        <v>0.94299868264323294</v>
      </c>
    </row>
    <row r="68" spans="1:7" x14ac:dyDescent="0.25">
      <c r="A68" t="s">
        <v>149</v>
      </c>
      <c r="B68" t="s">
        <v>53</v>
      </c>
      <c r="C68" t="s">
        <v>2</v>
      </c>
      <c r="D68" t="s">
        <v>150</v>
      </c>
      <c r="E68">
        <v>4.1765731369656618E-2</v>
      </c>
      <c r="F68" t="s">
        <v>151</v>
      </c>
      <c r="G68">
        <v>4.1765731369656618E-2</v>
      </c>
    </row>
    <row r="69" spans="1:7" x14ac:dyDescent="0.25">
      <c r="A69" t="s">
        <v>149</v>
      </c>
      <c r="B69" t="s">
        <v>53</v>
      </c>
      <c r="C69" t="s">
        <v>3</v>
      </c>
      <c r="D69" t="s">
        <v>150</v>
      </c>
      <c r="E69">
        <v>1.523558598711041E-2</v>
      </c>
      <c r="F69" t="s">
        <v>151</v>
      </c>
      <c r="G69">
        <v>1.523558598711041E-2</v>
      </c>
    </row>
    <row r="70" spans="1:7" x14ac:dyDescent="0.25">
      <c r="A70" t="s">
        <v>149</v>
      </c>
      <c r="B70" t="s">
        <v>53</v>
      </c>
      <c r="C70" t="s">
        <v>6</v>
      </c>
      <c r="D70" t="s">
        <v>152</v>
      </c>
      <c r="E70">
        <v>0.43273688361237522</v>
      </c>
      <c r="F70" t="s">
        <v>151</v>
      </c>
      <c r="G70">
        <v>0.43273688361237522</v>
      </c>
    </row>
    <row r="71" spans="1:7" x14ac:dyDescent="0.25">
      <c r="A71" t="s">
        <v>149</v>
      </c>
      <c r="B71" t="s">
        <v>53</v>
      </c>
      <c r="C71" t="s">
        <v>7</v>
      </c>
      <c r="D71" t="s">
        <v>152</v>
      </c>
      <c r="E71">
        <v>0.56726311638762483</v>
      </c>
      <c r="F71" t="s">
        <v>151</v>
      </c>
      <c r="G71">
        <v>0.56726311638762483</v>
      </c>
    </row>
    <row r="72" spans="1:7" x14ac:dyDescent="0.25">
      <c r="A72" t="s">
        <v>149</v>
      </c>
      <c r="B72" t="s">
        <v>53</v>
      </c>
      <c r="C72" t="s">
        <v>26</v>
      </c>
      <c r="D72" t="s">
        <v>153</v>
      </c>
      <c r="E72">
        <v>0.1171368722490322</v>
      </c>
      <c r="F72" t="s">
        <v>151</v>
      </c>
      <c r="G72">
        <v>0.1171368722490322</v>
      </c>
    </row>
    <row r="73" spans="1:7" x14ac:dyDescent="0.25">
      <c r="A73" t="s">
        <v>149</v>
      </c>
      <c r="B73" t="s">
        <v>53</v>
      </c>
      <c r="C73" t="s">
        <v>27</v>
      </c>
      <c r="D73" t="s">
        <v>153</v>
      </c>
      <c r="E73">
        <v>0.88286312775096776</v>
      </c>
      <c r="F73" t="s">
        <v>151</v>
      </c>
      <c r="G73">
        <v>0.88286312775096776</v>
      </c>
    </row>
    <row r="74" spans="1:7" x14ac:dyDescent="0.25">
      <c r="A74" t="s">
        <v>149</v>
      </c>
      <c r="B74" t="s">
        <v>53</v>
      </c>
      <c r="C74" t="s">
        <v>34</v>
      </c>
      <c r="D74" t="s">
        <v>154</v>
      </c>
      <c r="E74">
        <v>0.45630816353267001</v>
      </c>
      <c r="F74" t="s">
        <v>151</v>
      </c>
      <c r="G74">
        <v>0.45630816353267001</v>
      </c>
    </row>
    <row r="75" spans="1:7" x14ac:dyDescent="0.25">
      <c r="A75" t="s">
        <v>149</v>
      </c>
      <c r="B75" t="s">
        <v>53</v>
      </c>
      <c r="C75" t="s">
        <v>35</v>
      </c>
      <c r="D75" t="s">
        <v>154</v>
      </c>
      <c r="E75">
        <v>4.4370047500516312E-2</v>
      </c>
      <c r="F75" t="s">
        <v>151</v>
      </c>
      <c r="G75">
        <v>4.4370047500516312E-2</v>
      </c>
    </row>
    <row r="76" spans="1:7" x14ac:dyDescent="0.25">
      <c r="A76" t="s">
        <v>149</v>
      </c>
      <c r="B76" t="s">
        <v>53</v>
      </c>
      <c r="C76" t="s">
        <v>36</v>
      </c>
      <c r="D76" t="s">
        <v>154</v>
      </c>
      <c r="E76">
        <v>0.1883750452665103</v>
      </c>
      <c r="F76" t="s">
        <v>151</v>
      </c>
      <c r="G76">
        <v>0.1883750452665103</v>
      </c>
    </row>
    <row r="77" spans="1:7" x14ac:dyDescent="0.25">
      <c r="A77" t="s">
        <v>149</v>
      </c>
      <c r="B77" t="s">
        <v>53</v>
      </c>
      <c r="C77" t="s">
        <v>37</v>
      </c>
      <c r="D77" t="s">
        <v>154</v>
      </c>
      <c r="E77">
        <v>0.22286512267581851</v>
      </c>
      <c r="F77" t="s">
        <v>151</v>
      </c>
      <c r="G77">
        <v>0.22286512267581851</v>
      </c>
    </row>
    <row r="78" spans="1:7" x14ac:dyDescent="0.25">
      <c r="A78" t="s">
        <v>149</v>
      </c>
      <c r="B78" t="s">
        <v>53</v>
      </c>
      <c r="C78" t="s">
        <v>38</v>
      </c>
      <c r="D78" t="s">
        <v>154</v>
      </c>
      <c r="E78">
        <v>8.8081621024484816E-2</v>
      </c>
      <c r="F78" t="s">
        <v>151</v>
      </c>
      <c r="G78">
        <v>8.8081621024484816E-2</v>
      </c>
    </row>
    <row r="79" spans="1:7" x14ac:dyDescent="0.25">
      <c r="A79" t="s">
        <v>149</v>
      </c>
      <c r="B79" t="s">
        <v>53</v>
      </c>
      <c r="C79" t="s">
        <v>45</v>
      </c>
      <c r="D79" t="s">
        <v>155</v>
      </c>
      <c r="E79">
        <v>1</v>
      </c>
      <c r="F79" t="s">
        <v>156</v>
      </c>
      <c r="G79">
        <v>0.72982194479141249</v>
      </c>
    </row>
    <row r="80" spans="1:7" x14ac:dyDescent="0.25">
      <c r="A80" t="s">
        <v>149</v>
      </c>
      <c r="B80" t="s">
        <v>53</v>
      </c>
      <c r="C80" t="s">
        <v>46</v>
      </c>
      <c r="D80" t="s">
        <v>155</v>
      </c>
      <c r="E80">
        <v>0</v>
      </c>
      <c r="F80" t="s">
        <v>156</v>
      </c>
      <c r="G80">
        <v>0.27017805520858751</v>
      </c>
    </row>
    <row r="81" spans="1:7" x14ac:dyDescent="0.25">
      <c r="A81" t="s">
        <v>149</v>
      </c>
      <c r="B81" t="s">
        <v>53</v>
      </c>
      <c r="C81" t="s">
        <v>50</v>
      </c>
      <c r="D81" t="s">
        <v>157</v>
      </c>
      <c r="E81">
        <v>0.42162495143522749</v>
      </c>
      <c r="F81" t="s">
        <v>151</v>
      </c>
      <c r="G81">
        <v>0.42162495143522749</v>
      </c>
    </row>
    <row r="82" spans="1:7" x14ac:dyDescent="0.25">
      <c r="A82" t="s">
        <v>149</v>
      </c>
      <c r="B82" t="s">
        <v>53</v>
      </c>
      <c r="C82" t="s">
        <v>51</v>
      </c>
      <c r="D82" t="s">
        <v>157</v>
      </c>
      <c r="E82">
        <v>0.57837504856477251</v>
      </c>
      <c r="F82" t="s">
        <v>151</v>
      </c>
      <c r="G82">
        <v>0.57837504856477251</v>
      </c>
    </row>
    <row r="83" spans="1:7" x14ac:dyDescent="0.25">
      <c r="A83" t="s">
        <v>149</v>
      </c>
      <c r="B83" t="s">
        <v>70</v>
      </c>
      <c r="C83" t="s">
        <v>1</v>
      </c>
      <c r="D83" t="s">
        <v>150</v>
      </c>
      <c r="E83">
        <v>0.94299868264323294</v>
      </c>
      <c r="F83" t="s">
        <v>151</v>
      </c>
      <c r="G83">
        <v>0.94299868264323294</v>
      </c>
    </row>
    <row r="84" spans="1:7" x14ac:dyDescent="0.25">
      <c r="A84" t="s">
        <v>149</v>
      </c>
      <c r="B84" t="s">
        <v>70</v>
      </c>
      <c r="C84" t="s">
        <v>2</v>
      </c>
      <c r="D84" t="s">
        <v>150</v>
      </c>
      <c r="E84">
        <v>4.1765731369656618E-2</v>
      </c>
      <c r="F84" t="s">
        <v>151</v>
      </c>
      <c r="G84">
        <v>4.1765731369656618E-2</v>
      </c>
    </row>
    <row r="85" spans="1:7" x14ac:dyDescent="0.25">
      <c r="A85" t="s">
        <v>149</v>
      </c>
      <c r="B85" t="s">
        <v>70</v>
      </c>
      <c r="C85" t="s">
        <v>3</v>
      </c>
      <c r="D85" t="s">
        <v>150</v>
      </c>
      <c r="E85">
        <v>1.523558598711041E-2</v>
      </c>
      <c r="F85" t="s">
        <v>151</v>
      </c>
      <c r="G85">
        <v>1.523558598711041E-2</v>
      </c>
    </row>
    <row r="86" spans="1:7" x14ac:dyDescent="0.25">
      <c r="A86" t="s">
        <v>149</v>
      </c>
      <c r="B86" t="s">
        <v>70</v>
      </c>
      <c r="C86" t="s">
        <v>6</v>
      </c>
      <c r="D86" t="s">
        <v>152</v>
      </c>
      <c r="E86">
        <v>0.43273688361237522</v>
      </c>
      <c r="F86" t="s">
        <v>151</v>
      </c>
      <c r="G86">
        <v>0.43273688361237522</v>
      </c>
    </row>
    <row r="87" spans="1:7" x14ac:dyDescent="0.25">
      <c r="A87" t="s">
        <v>149</v>
      </c>
      <c r="B87" t="s">
        <v>70</v>
      </c>
      <c r="C87" t="s">
        <v>7</v>
      </c>
      <c r="D87" t="s">
        <v>152</v>
      </c>
      <c r="E87">
        <v>0.56726311638762483</v>
      </c>
      <c r="F87" t="s">
        <v>151</v>
      </c>
      <c r="G87">
        <v>0.56726311638762483</v>
      </c>
    </row>
    <row r="88" spans="1:7" x14ac:dyDescent="0.25">
      <c r="A88" t="s">
        <v>149</v>
      </c>
      <c r="B88" t="s">
        <v>70</v>
      </c>
      <c r="C88" t="s">
        <v>26</v>
      </c>
      <c r="D88" t="s">
        <v>153</v>
      </c>
      <c r="E88">
        <v>0.1171368722490322</v>
      </c>
      <c r="F88" t="s">
        <v>151</v>
      </c>
      <c r="G88">
        <v>0.1171368722490322</v>
      </c>
    </row>
    <row r="89" spans="1:7" x14ac:dyDescent="0.25">
      <c r="A89" t="s">
        <v>149</v>
      </c>
      <c r="B89" t="s">
        <v>70</v>
      </c>
      <c r="C89" t="s">
        <v>27</v>
      </c>
      <c r="D89" t="s">
        <v>153</v>
      </c>
      <c r="E89">
        <v>0.88286312775096776</v>
      </c>
      <c r="F89" t="s">
        <v>151</v>
      </c>
      <c r="G89">
        <v>0.88286312775096776</v>
      </c>
    </row>
    <row r="90" spans="1:7" x14ac:dyDescent="0.25">
      <c r="A90" t="s">
        <v>149</v>
      </c>
      <c r="B90" t="s">
        <v>70</v>
      </c>
      <c r="C90" t="s">
        <v>34</v>
      </c>
      <c r="D90" t="s">
        <v>154</v>
      </c>
      <c r="E90">
        <v>0.45630816353267001</v>
      </c>
      <c r="F90" t="s">
        <v>151</v>
      </c>
      <c r="G90">
        <v>0.45630816353267001</v>
      </c>
    </row>
    <row r="91" spans="1:7" x14ac:dyDescent="0.25">
      <c r="A91" t="s">
        <v>149</v>
      </c>
      <c r="B91" t="s">
        <v>70</v>
      </c>
      <c r="C91" t="s">
        <v>35</v>
      </c>
      <c r="D91" t="s">
        <v>154</v>
      </c>
      <c r="E91">
        <v>4.4370047500516312E-2</v>
      </c>
      <c r="F91" t="s">
        <v>151</v>
      </c>
      <c r="G91">
        <v>4.4370047500516312E-2</v>
      </c>
    </row>
    <row r="92" spans="1:7" x14ac:dyDescent="0.25">
      <c r="A92" t="s">
        <v>149</v>
      </c>
      <c r="B92" t="s">
        <v>70</v>
      </c>
      <c r="C92" t="s">
        <v>36</v>
      </c>
      <c r="D92" t="s">
        <v>154</v>
      </c>
      <c r="E92">
        <v>0.1883750452665103</v>
      </c>
      <c r="F92" t="s">
        <v>151</v>
      </c>
      <c r="G92">
        <v>0.1883750452665103</v>
      </c>
    </row>
    <row r="93" spans="1:7" x14ac:dyDescent="0.25">
      <c r="A93" t="s">
        <v>149</v>
      </c>
      <c r="B93" t="s">
        <v>70</v>
      </c>
      <c r="C93" t="s">
        <v>37</v>
      </c>
      <c r="D93" t="s">
        <v>154</v>
      </c>
      <c r="E93">
        <v>0.22286512267581851</v>
      </c>
      <c r="F93" t="s">
        <v>151</v>
      </c>
      <c r="G93">
        <v>0.22286512267581851</v>
      </c>
    </row>
    <row r="94" spans="1:7" x14ac:dyDescent="0.25">
      <c r="A94" t="s">
        <v>149</v>
      </c>
      <c r="B94" t="s">
        <v>70</v>
      </c>
      <c r="C94" t="s">
        <v>38</v>
      </c>
      <c r="D94" t="s">
        <v>154</v>
      </c>
      <c r="E94">
        <v>8.8081621024484816E-2</v>
      </c>
      <c r="F94" t="s">
        <v>151</v>
      </c>
      <c r="G94">
        <v>8.8081621024484816E-2</v>
      </c>
    </row>
    <row r="95" spans="1:7" x14ac:dyDescent="0.25">
      <c r="A95" t="s">
        <v>149</v>
      </c>
      <c r="B95" t="s">
        <v>70</v>
      </c>
      <c r="C95" t="s">
        <v>45</v>
      </c>
      <c r="D95" t="s">
        <v>155</v>
      </c>
      <c r="E95">
        <v>1</v>
      </c>
      <c r="F95" t="s">
        <v>156</v>
      </c>
      <c r="G95">
        <v>0.72982194479141249</v>
      </c>
    </row>
    <row r="96" spans="1:7" x14ac:dyDescent="0.25">
      <c r="A96" t="s">
        <v>149</v>
      </c>
      <c r="B96" t="s">
        <v>70</v>
      </c>
      <c r="C96" t="s">
        <v>46</v>
      </c>
      <c r="D96" t="s">
        <v>155</v>
      </c>
      <c r="E96">
        <v>0</v>
      </c>
      <c r="F96" t="s">
        <v>156</v>
      </c>
      <c r="G96">
        <v>0.27017805520858751</v>
      </c>
    </row>
    <row r="97" spans="1:7" x14ac:dyDescent="0.25">
      <c r="A97" t="s">
        <v>149</v>
      </c>
      <c r="B97" t="s">
        <v>70</v>
      </c>
      <c r="C97" t="s">
        <v>50</v>
      </c>
      <c r="D97" t="s">
        <v>157</v>
      </c>
      <c r="E97">
        <v>0.42162495143522749</v>
      </c>
      <c r="F97" t="s">
        <v>151</v>
      </c>
      <c r="G97">
        <v>0.42162495143522749</v>
      </c>
    </row>
    <row r="98" spans="1:7" x14ac:dyDescent="0.25">
      <c r="A98" t="s">
        <v>149</v>
      </c>
      <c r="B98" t="s">
        <v>70</v>
      </c>
      <c r="C98" t="s">
        <v>51</v>
      </c>
      <c r="D98" t="s">
        <v>157</v>
      </c>
      <c r="E98">
        <v>0.57837504856477251</v>
      </c>
      <c r="F98" t="s">
        <v>151</v>
      </c>
      <c r="G98">
        <v>0.57837504856477251</v>
      </c>
    </row>
    <row r="99" spans="1:7" x14ac:dyDescent="0.25">
      <c r="A99" t="s">
        <v>149</v>
      </c>
      <c r="B99" t="s">
        <v>68</v>
      </c>
      <c r="C99" t="s">
        <v>1</v>
      </c>
      <c r="D99" t="s">
        <v>150</v>
      </c>
      <c r="E99">
        <v>0.94299868264323294</v>
      </c>
      <c r="F99" t="s">
        <v>151</v>
      </c>
      <c r="G99">
        <v>0.94299868264323294</v>
      </c>
    </row>
    <row r="100" spans="1:7" x14ac:dyDescent="0.25">
      <c r="A100" t="s">
        <v>149</v>
      </c>
      <c r="B100" t="s">
        <v>68</v>
      </c>
      <c r="C100" t="s">
        <v>2</v>
      </c>
      <c r="D100" t="s">
        <v>150</v>
      </c>
      <c r="E100">
        <v>4.1765731369656618E-2</v>
      </c>
      <c r="F100" t="s">
        <v>151</v>
      </c>
      <c r="G100">
        <v>4.1765731369656618E-2</v>
      </c>
    </row>
    <row r="101" spans="1:7" x14ac:dyDescent="0.25">
      <c r="A101" t="s">
        <v>149</v>
      </c>
      <c r="B101" t="s">
        <v>68</v>
      </c>
      <c r="C101" t="s">
        <v>3</v>
      </c>
      <c r="D101" t="s">
        <v>150</v>
      </c>
      <c r="E101">
        <v>1.523558598711041E-2</v>
      </c>
      <c r="F101" t="s">
        <v>151</v>
      </c>
      <c r="G101">
        <v>1.523558598711041E-2</v>
      </c>
    </row>
    <row r="102" spans="1:7" x14ac:dyDescent="0.25">
      <c r="A102" t="s">
        <v>149</v>
      </c>
      <c r="B102" t="s">
        <v>68</v>
      </c>
      <c r="C102" t="s">
        <v>6</v>
      </c>
      <c r="D102" t="s">
        <v>152</v>
      </c>
      <c r="E102">
        <v>0.43273688361237522</v>
      </c>
      <c r="F102" t="s">
        <v>151</v>
      </c>
      <c r="G102">
        <v>0.43273688361237522</v>
      </c>
    </row>
    <row r="103" spans="1:7" x14ac:dyDescent="0.25">
      <c r="A103" t="s">
        <v>149</v>
      </c>
      <c r="B103" t="s">
        <v>68</v>
      </c>
      <c r="C103" t="s">
        <v>7</v>
      </c>
      <c r="D103" t="s">
        <v>152</v>
      </c>
      <c r="E103">
        <v>0.56726311638762483</v>
      </c>
      <c r="F103" t="s">
        <v>151</v>
      </c>
      <c r="G103">
        <v>0.56726311638762483</v>
      </c>
    </row>
    <row r="104" spans="1:7" x14ac:dyDescent="0.25">
      <c r="A104" t="s">
        <v>149</v>
      </c>
      <c r="B104" t="s">
        <v>68</v>
      </c>
      <c r="C104" t="s">
        <v>26</v>
      </c>
      <c r="D104" t="s">
        <v>153</v>
      </c>
      <c r="E104">
        <v>0.1171368722490322</v>
      </c>
      <c r="F104" t="s">
        <v>151</v>
      </c>
      <c r="G104">
        <v>0.1171368722490322</v>
      </c>
    </row>
    <row r="105" spans="1:7" x14ac:dyDescent="0.25">
      <c r="A105" t="s">
        <v>149</v>
      </c>
      <c r="B105" t="s">
        <v>68</v>
      </c>
      <c r="C105" t="s">
        <v>27</v>
      </c>
      <c r="D105" t="s">
        <v>153</v>
      </c>
      <c r="E105">
        <v>0.88286312775096776</v>
      </c>
      <c r="F105" t="s">
        <v>151</v>
      </c>
      <c r="G105">
        <v>0.88286312775096776</v>
      </c>
    </row>
    <row r="106" spans="1:7" x14ac:dyDescent="0.25">
      <c r="A106" t="s">
        <v>149</v>
      </c>
      <c r="B106" t="s">
        <v>68</v>
      </c>
      <c r="C106" t="s">
        <v>34</v>
      </c>
      <c r="D106" t="s">
        <v>154</v>
      </c>
      <c r="E106">
        <v>0.45630816353267001</v>
      </c>
      <c r="F106" t="s">
        <v>151</v>
      </c>
      <c r="G106">
        <v>0.45630816353267001</v>
      </c>
    </row>
    <row r="107" spans="1:7" x14ac:dyDescent="0.25">
      <c r="A107" t="s">
        <v>149</v>
      </c>
      <c r="B107" t="s">
        <v>68</v>
      </c>
      <c r="C107" t="s">
        <v>35</v>
      </c>
      <c r="D107" t="s">
        <v>154</v>
      </c>
      <c r="E107">
        <v>4.4370047500516312E-2</v>
      </c>
      <c r="F107" t="s">
        <v>151</v>
      </c>
      <c r="G107">
        <v>4.4370047500516312E-2</v>
      </c>
    </row>
    <row r="108" spans="1:7" x14ac:dyDescent="0.25">
      <c r="A108" t="s">
        <v>149</v>
      </c>
      <c r="B108" t="s">
        <v>68</v>
      </c>
      <c r="C108" t="s">
        <v>36</v>
      </c>
      <c r="D108" t="s">
        <v>154</v>
      </c>
      <c r="E108">
        <v>0.1883750452665103</v>
      </c>
      <c r="F108" t="s">
        <v>151</v>
      </c>
      <c r="G108">
        <v>0.1883750452665103</v>
      </c>
    </row>
    <row r="109" spans="1:7" x14ac:dyDescent="0.25">
      <c r="A109" t="s">
        <v>149</v>
      </c>
      <c r="B109" t="s">
        <v>68</v>
      </c>
      <c r="C109" t="s">
        <v>37</v>
      </c>
      <c r="D109" t="s">
        <v>154</v>
      </c>
      <c r="E109">
        <v>0.22286512267581851</v>
      </c>
      <c r="F109" t="s">
        <v>151</v>
      </c>
      <c r="G109">
        <v>0.22286512267581851</v>
      </c>
    </row>
    <row r="110" spans="1:7" x14ac:dyDescent="0.25">
      <c r="A110" t="s">
        <v>149</v>
      </c>
      <c r="B110" t="s">
        <v>68</v>
      </c>
      <c r="C110" t="s">
        <v>38</v>
      </c>
      <c r="D110" t="s">
        <v>154</v>
      </c>
      <c r="E110">
        <v>8.8081621024484816E-2</v>
      </c>
      <c r="F110" t="s">
        <v>151</v>
      </c>
      <c r="G110">
        <v>8.8081621024484816E-2</v>
      </c>
    </row>
    <row r="111" spans="1:7" x14ac:dyDescent="0.25">
      <c r="A111" t="s">
        <v>149</v>
      </c>
      <c r="B111" t="s">
        <v>68</v>
      </c>
      <c r="C111" t="s">
        <v>45</v>
      </c>
      <c r="D111" t="s">
        <v>155</v>
      </c>
      <c r="E111">
        <v>1</v>
      </c>
      <c r="F111" t="s">
        <v>156</v>
      </c>
      <c r="G111">
        <v>0.72982194479141249</v>
      </c>
    </row>
    <row r="112" spans="1:7" x14ac:dyDescent="0.25">
      <c r="A112" t="s">
        <v>149</v>
      </c>
      <c r="B112" t="s">
        <v>68</v>
      </c>
      <c r="C112" t="s">
        <v>46</v>
      </c>
      <c r="D112" t="s">
        <v>155</v>
      </c>
      <c r="E112">
        <v>0</v>
      </c>
      <c r="F112" t="s">
        <v>156</v>
      </c>
      <c r="G112">
        <v>0.27017805520858751</v>
      </c>
    </row>
    <row r="113" spans="1:7" x14ac:dyDescent="0.25">
      <c r="A113" t="s">
        <v>149</v>
      </c>
      <c r="B113" t="s">
        <v>68</v>
      </c>
      <c r="C113" t="s">
        <v>50</v>
      </c>
      <c r="D113" t="s">
        <v>157</v>
      </c>
      <c r="E113">
        <v>0.42162495143522749</v>
      </c>
      <c r="F113" t="s">
        <v>151</v>
      </c>
      <c r="G113">
        <v>0.42162495143522749</v>
      </c>
    </row>
    <row r="114" spans="1:7" x14ac:dyDescent="0.25">
      <c r="A114" t="s">
        <v>149</v>
      </c>
      <c r="B114" t="s">
        <v>68</v>
      </c>
      <c r="C114" t="s">
        <v>51</v>
      </c>
      <c r="D114" t="s">
        <v>157</v>
      </c>
      <c r="E114">
        <v>0.57837504856477251</v>
      </c>
      <c r="F114" t="s">
        <v>151</v>
      </c>
      <c r="G114">
        <v>0.57837504856477251</v>
      </c>
    </row>
    <row r="115" spans="1:7" x14ac:dyDescent="0.25">
      <c r="A115" t="s">
        <v>149</v>
      </c>
      <c r="B115" t="s">
        <v>57</v>
      </c>
      <c r="C115" t="s">
        <v>1</v>
      </c>
      <c r="D115" t="s">
        <v>150</v>
      </c>
      <c r="E115">
        <v>0.94299868264323294</v>
      </c>
      <c r="F115" t="s">
        <v>151</v>
      </c>
      <c r="G115">
        <v>0.94299868264323294</v>
      </c>
    </row>
    <row r="116" spans="1:7" x14ac:dyDescent="0.25">
      <c r="A116" t="s">
        <v>149</v>
      </c>
      <c r="B116" t="s">
        <v>57</v>
      </c>
      <c r="C116" t="s">
        <v>2</v>
      </c>
      <c r="D116" t="s">
        <v>150</v>
      </c>
      <c r="E116">
        <v>4.1765731369656618E-2</v>
      </c>
      <c r="F116" t="s">
        <v>151</v>
      </c>
      <c r="G116">
        <v>4.1765731369656618E-2</v>
      </c>
    </row>
    <row r="117" spans="1:7" x14ac:dyDescent="0.25">
      <c r="A117" t="s">
        <v>149</v>
      </c>
      <c r="B117" t="s">
        <v>57</v>
      </c>
      <c r="C117" t="s">
        <v>3</v>
      </c>
      <c r="D117" t="s">
        <v>150</v>
      </c>
      <c r="E117">
        <v>1.523558598711041E-2</v>
      </c>
      <c r="F117" t="s">
        <v>151</v>
      </c>
      <c r="G117">
        <v>1.523558598711041E-2</v>
      </c>
    </row>
    <row r="118" spans="1:7" x14ac:dyDescent="0.25">
      <c r="A118" t="s">
        <v>149</v>
      </c>
      <c r="B118" t="s">
        <v>57</v>
      </c>
      <c r="C118" t="s">
        <v>6</v>
      </c>
      <c r="D118" t="s">
        <v>152</v>
      </c>
      <c r="E118">
        <v>0.43273688361237522</v>
      </c>
      <c r="F118" t="s">
        <v>151</v>
      </c>
      <c r="G118">
        <v>0.43273688361237522</v>
      </c>
    </row>
    <row r="119" spans="1:7" x14ac:dyDescent="0.25">
      <c r="A119" t="s">
        <v>149</v>
      </c>
      <c r="B119" t="s">
        <v>57</v>
      </c>
      <c r="C119" t="s">
        <v>7</v>
      </c>
      <c r="D119" t="s">
        <v>152</v>
      </c>
      <c r="E119">
        <v>0.56726311638762483</v>
      </c>
      <c r="F119" t="s">
        <v>151</v>
      </c>
      <c r="G119">
        <v>0.56726311638762483</v>
      </c>
    </row>
    <row r="120" spans="1:7" x14ac:dyDescent="0.25">
      <c r="A120" t="s">
        <v>149</v>
      </c>
      <c r="B120" t="s">
        <v>57</v>
      </c>
      <c r="C120" t="s">
        <v>26</v>
      </c>
      <c r="D120" t="s">
        <v>153</v>
      </c>
      <c r="E120">
        <v>0.1171368722490322</v>
      </c>
      <c r="F120" t="s">
        <v>151</v>
      </c>
      <c r="G120">
        <v>0.1171368722490322</v>
      </c>
    </row>
    <row r="121" spans="1:7" x14ac:dyDescent="0.25">
      <c r="A121" t="s">
        <v>149</v>
      </c>
      <c r="B121" t="s">
        <v>57</v>
      </c>
      <c r="C121" t="s">
        <v>27</v>
      </c>
      <c r="D121" t="s">
        <v>153</v>
      </c>
      <c r="E121">
        <v>0.88286312775096776</v>
      </c>
      <c r="F121" t="s">
        <v>151</v>
      </c>
      <c r="G121">
        <v>0.88286312775096776</v>
      </c>
    </row>
    <row r="122" spans="1:7" x14ac:dyDescent="0.25">
      <c r="A122" t="s">
        <v>149</v>
      </c>
      <c r="B122" t="s">
        <v>57</v>
      </c>
      <c r="C122" t="s">
        <v>34</v>
      </c>
      <c r="D122" t="s">
        <v>154</v>
      </c>
      <c r="E122">
        <v>0.45630816353267001</v>
      </c>
      <c r="F122" t="s">
        <v>151</v>
      </c>
      <c r="G122">
        <v>0.45630816353267001</v>
      </c>
    </row>
    <row r="123" spans="1:7" x14ac:dyDescent="0.25">
      <c r="A123" t="s">
        <v>149</v>
      </c>
      <c r="B123" t="s">
        <v>57</v>
      </c>
      <c r="C123" t="s">
        <v>35</v>
      </c>
      <c r="D123" t="s">
        <v>154</v>
      </c>
      <c r="E123">
        <v>4.4370047500516312E-2</v>
      </c>
      <c r="F123" t="s">
        <v>151</v>
      </c>
      <c r="G123">
        <v>4.4370047500516312E-2</v>
      </c>
    </row>
    <row r="124" spans="1:7" x14ac:dyDescent="0.25">
      <c r="A124" t="s">
        <v>149</v>
      </c>
      <c r="B124" t="s">
        <v>57</v>
      </c>
      <c r="C124" t="s">
        <v>36</v>
      </c>
      <c r="D124" t="s">
        <v>154</v>
      </c>
      <c r="E124">
        <v>0.1883750452665103</v>
      </c>
      <c r="F124" t="s">
        <v>151</v>
      </c>
      <c r="G124">
        <v>0.1883750452665103</v>
      </c>
    </row>
    <row r="125" spans="1:7" x14ac:dyDescent="0.25">
      <c r="A125" t="s">
        <v>149</v>
      </c>
      <c r="B125" t="s">
        <v>57</v>
      </c>
      <c r="C125" t="s">
        <v>37</v>
      </c>
      <c r="D125" t="s">
        <v>154</v>
      </c>
      <c r="E125">
        <v>0.22286512267581851</v>
      </c>
      <c r="F125" t="s">
        <v>151</v>
      </c>
      <c r="G125">
        <v>0.22286512267581851</v>
      </c>
    </row>
    <row r="126" spans="1:7" x14ac:dyDescent="0.25">
      <c r="A126" t="s">
        <v>149</v>
      </c>
      <c r="B126" t="s">
        <v>57</v>
      </c>
      <c r="C126" t="s">
        <v>38</v>
      </c>
      <c r="D126" t="s">
        <v>154</v>
      </c>
      <c r="E126">
        <v>8.8081621024484816E-2</v>
      </c>
      <c r="F126" t="s">
        <v>151</v>
      </c>
      <c r="G126">
        <v>8.8081621024484816E-2</v>
      </c>
    </row>
    <row r="127" spans="1:7" x14ac:dyDescent="0.25">
      <c r="A127" t="s">
        <v>149</v>
      </c>
      <c r="B127" t="s">
        <v>57</v>
      </c>
      <c r="C127" t="s">
        <v>45</v>
      </c>
      <c r="D127" t="s">
        <v>155</v>
      </c>
      <c r="E127">
        <v>1</v>
      </c>
      <c r="F127" t="s">
        <v>156</v>
      </c>
      <c r="G127">
        <v>0.72982194479141249</v>
      </c>
    </row>
    <row r="128" spans="1:7" x14ac:dyDescent="0.25">
      <c r="A128" t="s">
        <v>149</v>
      </c>
      <c r="B128" t="s">
        <v>57</v>
      </c>
      <c r="C128" t="s">
        <v>46</v>
      </c>
      <c r="D128" t="s">
        <v>155</v>
      </c>
      <c r="E128">
        <v>0</v>
      </c>
      <c r="F128" t="s">
        <v>156</v>
      </c>
      <c r="G128">
        <v>0.27017805520858751</v>
      </c>
    </row>
    <row r="129" spans="1:7" x14ac:dyDescent="0.25">
      <c r="A129" t="s">
        <v>149</v>
      </c>
      <c r="B129" t="s">
        <v>57</v>
      </c>
      <c r="C129" t="s">
        <v>50</v>
      </c>
      <c r="D129" t="s">
        <v>157</v>
      </c>
      <c r="E129">
        <v>0.42162495143522749</v>
      </c>
      <c r="F129" t="s">
        <v>151</v>
      </c>
      <c r="G129">
        <v>0.42162495143522749</v>
      </c>
    </row>
    <row r="130" spans="1:7" x14ac:dyDescent="0.25">
      <c r="A130" t="s">
        <v>149</v>
      </c>
      <c r="B130" t="s">
        <v>57</v>
      </c>
      <c r="C130" t="s">
        <v>51</v>
      </c>
      <c r="D130" t="s">
        <v>157</v>
      </c>
      <c r="E130">
        <v>0.57837504856477251</v>
      </c>
      <c r="F130" t="s">
        <v>151</v>
      </c>
      <c r="G130">
        <v>0.57837504856477251</v>
      </c>
    </row>
    <row r="131" spans="1:7" x14ac:dyDescent="0.25">
      <c r="A131" t="s">
        <v>149</v>
      </c>
      <c r="B131" t="s">
        <v>76</v>
      </c>
      <c r="C131" t="s">
        <v>1</v>
      </c>
      <c r="D131" t="s">
        <v>150</v>
      </c>
      <c r="E131">
        <v>0.94299868264323294</v>
      </c>
      <c r="F131" t="s">
        <v>151</v>
      </c>
      <c r="G131">
        <v>0.94299868264323294</v>
      </c>
    </row>
    <row r="132" spans="1:7" x14ac:dyDescent="0.25">
      <c r="A132" t="s">
        <v>149</v>
      </c>
      <c r="B132" t="s">
        <v>76</v>
      </c>
      <c r="C132" t="s">
        <v>2</v>
      </c>
      <c r="D132" t="s">
        <v>150</v>
      </c>
      <c r="E132">
        <v>4.1765731369656618E-2</v>
      </c>
      <c r="F132" t="s">
        <v>151</v>
      </c>
      <c r="G132">
        <v>4.1765731369656618E-2</v>
      </c>
    </row>
    <row r="133" spans="1:7" x14ac:dyDescent="0.25">
      <c r="A133" t="s">
        <v>149</v>
      </c>
      <c r="B133" t="s">
        <v>76</v>
      </c>
      <c r="C133" t="s">
        <v>3</v>
      </c>
      <c r="D133" t="s">
        <v>150</v>
      </c>
      <c r="E133">
        <v>1.523558598711041E-2</v>
      </c>
      <c r="F133" t="s">
        <v>151</v>
      </c>
      <c r="G133">
        <v>1.523558598711041E-2</v>
      </c>
    </row>
    <row r="134" spans="1:7" x14ac:dyDescent="0.25">
      <c r="A134" t="s">
        <v>149</v>
      </c>
      <c r="B134" t="s">
        <v>76</v>
      </c>
      <c r="C134" t="s">
        <v>6</v>
      </c>
      <c r="D134" t="s">
        <v>152</v>
      </c>
      <c r="E134">
        <v>0.43273688361237522</v>
      </c>
      <c r="F134" t="s">
        <v>151</v>
      </c>
      <c r="G134">
        <v>0.43273688361237522</v>
      </c>
    </row>
    <row r="135" spans="1:7" x14ac:dyDescent="0.25">
      <c r="A135" t="s">
        <v>149</v>
      </c>
      <c r="B135" t="s">
        <v>76</v>
      </c>
      <c r="C135" t="s">
        <v>7</v>
      </c>
      <c r="D135" t="s">
        <v>152</v>
      </c>
      <c r="E135">
        <v>0.56726311638762483</v>
      </c>
      <c r="F135" t="s">
        <v>151</v>
      </c>
      <c r="G135">
        <v>0.56726311638762483</v>
      </c>
    </row>
    <row r="136" spans="1:7" x14ac:dyDescent="0.25">
      <c r="A136" t="s">
        <v>149</v>
      </c>
      <c r="B136" t="s">
        <v>76</v>
      </c>
      <c r="C136" t="s">
        <v>26</v>
      </c>
      <c r="D136" t="s">
        <v>153</v>
      </c>
      <c r="E136">
        <v>0.1171368722490322</v>
      </c>
      <c r="F136" t="s">
        <v>151</v>
      </c>
      <c r="G136">
        <v>0.1171368722490322</v>
      </c>
    </row>
    <row r="137" spans="1:7" x14ac:dyDescent="0.25">
      <c r="A137" t="s">
        <v>149</v>
      </c>
      <c r="B137" t="s">
        <v>76</v>
      </c>
      <c r="C137" t="s">
        <v>27</v>
      </c>
      <c r="D137" t="s">
        <v>153</v>
      </c>
      <c r="E137">
        <v>0.88286312775096776</v>
      </c>
      <c r="F137" t="s">
        <v>151</v>
      </c>
      <c r="G137">
        <v>0.88286312775096776</v>
      </c>
    </row>
    <row r="138" spans="1:7" x14ac:dyDescent="0.25">
      <c r="A138" t="s">
        <v>149</v>
      </c>
      <c r="B138" t="s">
        <v>76</v>
      </c>
      <c r="C138" t="s">
        <v>34</v>
      </c>
      <c r="D138" t="s">
        <v>154</v>
      </c>
      <c r="E138">
        <v>0.45630816353267001</v>
      </c>
      <c r="F138" t="s">
        <v>151</v>
      </c>
      <c r="G138">
        <v>0.45630816353267001</v>
      </c>
    </row>
    <row r="139" spans="1:7" x14ac:dyDescent="0.25">
      <c r="A139" t="s">
        <v>149</v>
      </c>
      <c r="B139" t="s">
        <v>76</v>
      </c>
      <c r="C139" t="s">
        <v>35</v>
      </c>
      <c r="D139" t="s">
        <v>154</v>
      </c>
      <c r="E139">
        <v>4.4370047500516312E-2</v>
      </c>
      <c r="F139" t="s">
        <v>151</v>
      </c>
      <c r="G139">
        <v>4.4370047500516312E-2</v>
      </c>
    </row>
    <row r="140" spans="1:7" x14ac:dyDescent="0.25">
      <c r="A140" t="s">
        <v>149</v>
      </c>
      <c r="B140" t="s">
        <v>76</v>
      </c>
      <c r="C140" t="s">
        <v>36</v>
      </c>
      <c r="D140" t="s">
        <v>154</v>
      </c>
      <c r="E140">
        <v>0.1883750452665103</v>
      </c>
      <c r="F140" t="s">
        <v>151</v>
      </c>
      <c r="G140">
        <v>0.1883750452665103</v>
      </c>
    </row>
    <row r="141" spans="1:7" x14ac:dyDescent="0.25">
      <c r="A141" t="s">
        <v>149</v>
      </c>
      <c r="B141" t="s">
        <v>76</v>
      </c>
      <c r="C141" t="s">
        <v>37</v>
      </c>
      <c r="D141" t="s">
        <v>154</v>
      </c>
      <c r="E141">
        <v>0.22286512267581851</v>
      </c>
      <c r="F141" t="s">
        <v>151</v>
      </c>
      <c r="G141">
        <v>0.22286512267581851</v>
      </c>
    </row>
    <row r="142" spans="1:7" x14ac:dyDescent="0.25">
      <c r="A142" t="s">
        <v>149</v>
      </c>
      <c r="B142" t="s">
        <v>76</v>
      </c>
      <c r="C142" t="s">
        <v>38</v>
      </c>
      <c r="D142" t="s">
        <v>154</v>
      </c>
      <c r="E142">
        <v>8.8081621024484816E-2</v>
      </c>
      <c r="F142" t="s">
        <v>151</v>
      </c>
      <c r="G142">
        <v>8.8081621024484816E-2</v>
      </c>
    </row>
    <row r="143" spans="1:7" x14ac:dyDescent="0.25">
      <c r="A143" t="s">
        <v>149</v>
      </c>
      <c r="B143" t="s">
        <v>76</v>
      </c>
      <c r="C143" t="s">
        <v>45</v>
      </c>
      <c r="D143" t="s">
        <v>155</v>
      </c>
      <c r="E143">
        <v>1</v>
      </c>
      <c r="F143" t="s">
        <v>156</v>
      </c>
      <c r="G143">
        <v>0.72982194479141249</v>
      </c>
    </row>
    <row r="144" spans="1:7" x14ac:dyDescent="0.25">
      <c r="A144" t="s">
        <v>149</v>
      </c>
      <c r="B144" t="s">
        <v>76</v>
      </c>
      <c r="C144" t="s">
        <v>46</v>
      </c>
      <c r="D144" t="s">
        <v>155</v>
      </c>
      <c r="E144">
        <v>0</v>
      </c>
      <c r="F144" t="s">
        <v>156</v>
      </c>
      <c r="G144">
        <v>0.27017805520858751</v>
      </c>
    </row>
    <row r="145" spans="1:7" x14ac:dyDescent="0.25">
      <c r="A145" t="s">
        <v>149</v>
      </c>
      <c r="B145" t="s">
        <v>76</v>
      </c>
      <c r="C145" t="s">
        <v>50</v>
      </c>
      <c r="D145" t="s">
        <v>157</v>
      </c>
      <c r="E145">
        <v>0.42162495143522749</v>
      </c>
      <c r="F145" t="s">
        <v>151</v>
      </c>
      <c r="G145">
        <v>0.42162495143522749</v>
      </c>
    </row>
    <row r="146" spans="1:7" x14ac:dyDescent="0.25">
      <c r="A146" t="s">
        <v>149</v>
      </c>
      <c r="B146" t="s">
        <v>76</v>
      </c>
      <c r="C146" t="s">
        <v>51</v>
      </c>
      <c r="D146" t="s">
        <v>157</v>
      </c>
      <c r="E146">
        <v>0.57837504856477251</v>
      </c>
      <c r="F146" t="s">
        <v>151</v>
      </c>
      <c r="G146">
        <v>0.57837504856477251</v>
      </c>
    </row>
    <row r="147" spans="1:7" x14ac:dyDescent="0.25">
      <c r="A147" t="s">
        <v>149</v>
      </c>
      <c r="B147" t="s">
        <v>75</v>
      </c>
      <c r="C147" t="s">
        <v>1</v>
      </c>
      <c r="D147" t="s">
        <v>150</v>
      </c>
      <c r="E147">
        <v>0.94299868264323294</v>
      </c>
      <c r="F147" t="s">
        <v>151</v>
      </c>
      <c r="G147">
        <v>0.94299868264323294</v>
      </c>
    </row>
    <row r="148" spans="1:7" x14ac:dyDescent="0.25">
      <c r="A148" t="s">
        <v>149</v>
      </c>
      <c r="B148" t="s">
        <v>75</v>
      </c>
      <c r="C148" t="s">
        <v>2</v>
      </c>
      <c r="D148" t="s">
        <v>150</v>
      </c>
      <c r="E148">
        <v>4.1765731369656618E-2</v>
      </c>
      <c r="F148" t="s">
        <v>151</v>
      </c>
      <c r="G148">
        <v>4.1765731369656618E-2</v>
      </c>
    </row>
    <row r="149" spans="1:7" x14ac:dyDescent="0.25">
      <c r="A149" t="s">
        <v>149</v>
      </c>
      <c r="B149" t="s">
        <v>75</v>
      </c>
      <c r="C149" t="s">
        <v>3</v>
      </c>
      <c r="D149" t="s">
        <v>150</v>
      </c>
      <c r="E149">
        <v>1.523558598711041E-2</v>
      </c>
      <c r="F149" t="s">
        <v>151</v>
      </c>
      <c r="G149">
        <v>1.523558598711041E-2</v>
      </c>
    </row>
    <row r="150" spans="1:7" x14ac:dyDescent="0.25">
      <c r="A150" t="s">
        <v>149</v>
      </c>
      <c r="B150" t="s">
        <v>75</v>
      </c>
      <c r="C150" t="s">
        <v>6</v>
      </c>
      <c r="D150" t="s">
        <v>152</v>
      </c>
      <c r="E150">
        <v>0.43273688361237522</v>
      </c>
      <c r="F150" t="s">
        <v>151</v>
      </c>
      <c r="G150">
        <v>0.43273688361237522</v>
      </c>
    </row>
    <row r="151" spans="1:7" x14ac:dyDescent="0.25">
      <c r="A151" t="s">
        <v>149</v>
      </c>
      <c r="B151" t="s">
        <v>75</v>
      </c>
      <c r="C151" t="s">
        <v>7</v>
      </c>
      <c r="D151" t="s">
        <v>152</v>
      </c>
      <c r="E151">
        <v>0.56726311638762483</v>
      </c>
      <c r="F151" t="s">
        <v>151</v>
      </c>
      <c r="G151">
        <v>0.56726311638762483</v>
      </c>
    </row>
    <row r="152" spans="1:7" x14ac:dyDescent="0.25">
      <c r="A152" t="s">
        <v>149</v>
      </c>
      <c r="B152" t="s">
        <v>75</v>
      </c>
      <c r="C152" t="s">
        <v>26</v>
      </c>
      <c r="D152" t="s">
        <v>153</v>
      </c>
      <c r="E152">
        <v>0.1171368722490322</v>
      </c>
      <c r="F152" t="s">
        <v>151</v>
      </c>
      <c r="G152">
        <v>0.1171368722490322</v>
      </c>
    </row>
    <row r="153" spans="1:7" x14ac:dyDescent="0.25">
      <c r="A153" t="s">
        <v>149</v>
      </c>
      <c r="B153" t="s">
        <v>75</v>
      </c>
      <c r="C153" t="s">
        <v>27</v>
      </c>
      <c r="D153" t="s">
        <v>153</v>
      </c>
      <c r="E153">
        <v>0.88286312775096776</v>
      </c>
      <c r="F153" t="s">
        <v>151</v>
      </c>
      <c r="G153">
        <v>0.88286312775096776</v>
      </c>
    </row>
    <row r="154" spans="1:7" x14ac:dyDescent="0.25">
      <c r="A154" t="s">
        <v>149</v>
      </c>
      <c r="B154" t="s">
        <v>75</v>
      </c>
      <c r="C154" t="s">
        <v>34</v>
      </c>
      <c r="D154" t="s">
        <v>154</v>
      </c>
      <c r="E154">
        <v>0.45630816353267001</v>
      </c>
      <c r="F154" t="s">
        <v>151</v>
      </c>
      <c r="G154">
        <v>0.45630816353267001</v>
      </c>
    </row>
    <row r="155" spans="1:7" x14ac:dyDescent="0.25">
      <c r="A155" t="s">
        <v>149</v>
      </c>
      <c r="B155" t="s">
        <v>75</v>
      </c>
      <c r="C155" t="s">
        <v>35</v>
      </c>
      <c r="D155" t="s">
        <v>154</v>
      </c>
      <c r="E155">
        <v>4.4370047500516312E-2</v>
      </c>
      <c r="F155" t="s">
        <v>151</v>
      </c>
      <c r="G155">
        <v>4.4370047500516312E-2</v>
      </c>
    </row>
    <row r="156" spans="1:7" x14ac:dyDescent="0.25">
      <c r="A156" t="s">
        <v>149</v>
      </c>
      <c r="B156" t="s">
        <v>75</v>
      </c>
      <c r="C156" t="s">
        <v>36</v>
      </c>
      <c r="D156" t="s">
        <v>154</v>
      </c>
      <c r="E156">
        <v>0.1883750452665103</v>
      </c>
      <c r="F156" t="s">
        <v>151</v>
      </c>
      <c r="G156">
        <v>0.1883750452665103</v>
      </c>
    </row>
    <row r="157" spans="1:7" x14ac:dyDescent="0.25">
      <c r="A157" t="s">
        <v>149</v>
      </c>
      <c r="B157" t="s">
        <v>75</v>
      </c>
      <c r="C157" t="s">
        <v>37</v>
      </c>
      <c r="D157" t="s">
        <v>154</v>
      </c>
      <c r="E157">
        <v>0.22286512267581851</v>
      </c>
      <c r="F157" t="s">
        <v>151</v>
      </c>
      <c r="G157">
        <v>0.22286512267581851</v>
      </c>
    </row>
    <row r="158" spans="1:7" x14ac:dyDescent="0.25">
      <c r="A158" t="s">
        <v>149</v>
      </c>
      <c r="B158" t="s">
        <v>75</v>
      </c>
      <c r="C158" t="s">
        <v>38</v>
      </c>
      <c r="D158" t="s">
        <v>154</v>
      </c>
      <c r="E158">
        <v>8.8081621024484816E-2</v>
      </c>
      <c r="F158" t="s">
        <v>151</v>
      </c>
      <c r="G158">
        <v>8.8081621024484816E-2</v>
      </c>
    </row>
    <row r="159" spans="1:7" x14ac:dyDescent="0.25">
      <c r="A159" t="s">
        <v>149</v>
      </c>
      <c r="B159" t="s">
        <v>75</v>
      </c>
      <c r="C159" t="s">
        <v>45</v>
      </c>
      <c r="D159" t="s">
        <v>155</v>
      </c>
      <c r="E159">
        <v>1</v>
      </c>
      <c r="F159" t="s">
        <v>156</v>
      </c>
      <c r="G159">
        <v>0.72982194479141249</v>
      </c>
    </row>
    <row r="160" spans="1:7" x14ac:dyDescent="0.25">
      <c r="A160" t="s">
        <v>149</v>
      </c>
      <c r="B160" t="s">
        <v>75</v>
      </c>
      <c r="C160" t="s">
        <v>46</v>
      </c>
      <c r="D160" t="s">
        <v>155</v>
      </c>
      <c r="E160">
        <v>0</v>
      </c>
      <c r="F160" t="s">
        <v>156</v>
      </c>
      <c r="G160">
        <v>0.27017805520858751</v>
      </c>
    </row>
    <row r="161" spans="1:7" x14ac:dyDescent="0.25">
      <c r="A161" t="s">
        <v>149</v>
      </c>
      <c r="B161" t="s">
        <v>75</v>
      </c>
      <c r="C161" t="s">
        <v>50</v>
      </c>
      <c r="D161" t="s">
        <v>157</v>
      </c>
      <c r="E161">
        <v>0.42162495143522749</v>
      </c>
      <c r="F161" t="s">
        <v>151</v>
      </c>
      <c r="G161">
        <v>0.42162495143522749</v>
      </c>
    </row>
    <row r="162" spans="1:7" x14ac:dyDescent="0.25">
      <c r="A162" t="s">
        <v>149</v>
      </c>
      <c r="B162" t="s">
        <v>75</v>
      </c>
      <c r="C162" t="s">
        <v>51</v>
      </c>
      <c r="D162" t="s">
        <v>157</v>
      </c>
      <c r="E162">
        <v>0.57837504856477251</v>
      </c>
      <c r="F162" t="s">
        <v>151</v>
      </c>
      <c r="G162">
        <v>0.57837504856477251</v>
      </c>
    </row>
    <row r="163" spans="1:7" x14ac:dyDescent="0.25">
      <c r="A163" t="s">
        <v>149</v>
      </c>
      <c r="B163" t="s">
        <v>65</v>
      </c>
      <c r="C163" t="s">
        <v>1</v>
      </c>
      <c r="D163" t="s">
        <v>150</v>
      </c>
      <c r="E163">
        <v>0.94299868264323294</v>
      </c>
      <c r="F163" t="s">
        <v>151</v>
      </c>
      <c r="G163">
        <v>0.94299868264323294</v>
      </c>
    </row>
    <row r="164" spans="1:7" x14ac:dyDescent="0.25">
      <c r="A164" t="s">
        <v>149</v>
      </c>
      <c r="B164" t="s">
        <v>65</v>
      </c>
      <c r="C164" t="s">
        <v>2</v>
      </c>
      <c r="D164" t="s">
        <v>150</v>
      </c>
      <c r="E164">
        <v>4.1765731369656618E-2</v>
      </c>
      <c r="F164" t="s">
        <v>151</v>
      </c>
      <c r="G164">
        <v>4.1765731369656618E-2</v>
      </c>
    </row>
    <row r="165" spans="1:7" x14ac:dyDescent="0.25">
      <c r="A165" t="s">
        <v>149</v>
      </c>
      <c r="B165" t="s">
        <v>65</v>
      </c>
      <c r="C165" t="s">
        <v>3</v>
      </c>
      <c r="D165" t="s">
        <v>150</v>
      </c>
      <c r="E165">
        <v>1.523558598711041E-2</v>
      </c>
      <c r="F165" t="s">
        <v>151</v>
      </c>
      <c r="G165">
        <v>1.523558598711041E-2</v>
      </c>
    </row>
    <row r="166" spans="1:7" x14ac:dyDescent="0.25">
      <c r="A166" t="s">
        <v>149</v>
      </c>
      <c r="B166" t="s">
        <v>65</v>
      </c>
      <c r="C166" t="s">
        <v>6</v>
      </c>
      <c r="D166" t="s">
        <v>152</v>
      </c>
      <c r="E166">
        <v>0.43273688361237522</v>
      </c>
      <c r="F166" t="s">
        <v>151</v>
      </c>
      <c r="G166">
        <v>0.43273688361237522</v>
      </c>
    </row>
    <row r="167" spans="1:7" x14ac:dyDescent="0.25">
      <c r="A167" t="s">
        <v>149</v>
      </c>
      <c r="B167" t="s">
        <v>65</v>
      </c>
      <c r="C167" t="s">
        <v>7</v>
      </c>
      <c r="D167" t="s">
        <v>152</v>
      </c>
      <c r="E167">
        <v>0.56726311638762483</v>
      </c>
      <c r="F167" t="s">
        <v>151</v>
      </c>
      <c r="G167">
        <v>0.56726311638762483</v>
      </c>
    </row>
    <row r="168" spans="1:7" x14ac:dyDescent="0.25">
      <c r="A168" t="s">
        <v>149</v>
      </c>
      <c r="B168" t="s">
        <v>65</v>
      </c>
      <c r="C168" t="s">
        <v>26</v>
      </c>
      <c r="D168" t="s">
        <v>153</v>
      </c>
      <c r="E168">
        <v>0.1171368722490322</v>
      </c>
      <c r="F168" t="s">
        <v>151</v>
      </c>
      <c r="G168">
        <v>0.1171368722490322</v>
      </c>
    </row>
    <row r="169" spans="1:7" x14ac:dyDescent="0.25">
      <c r="A169" t="s">
        <v>149</v>
      </c>
      <c r="B169" t="s">
        <v>65</v>
      </c>
      <c r="C169" t="s">
        <v>27</v>
      </c>
      <c r="D169" t="s">
        <v>153</v>
      </c>
      <c r="E169">
        <v>0.88286312775096776</v>
      </c>
      <c r="F169" t="s">
        <v>151</v>
      </c>
      <c r="G169">
        <v>0.88286312775096776</v>
      </c>
    </row>
    <row r="170" spans="1:7" x14ac:dyDescent="0.25">
      <c r="A170" t="s">
        <v>149</v>
      </c>
      <c r="B170" t="s">
        <v>65</v>
      </c>
      <c r="C170" t="s">
        <v>34</v>
      </c>
      <c r="D170" t="s">
        <v>154</v>
      </c>
      <c r="E170">
        <v>0.45630816353267001</v>
      </c>
      <c r="F170" t="s">
        <v>151</v>
      </c>
      <c r="G170">
        <v>0.45630816353267001</v>
      </c>
    </row>
    <row r="171" spans="1:7" x14ac:dyDescent="0.25">
      <c r="A171" t="s">
        <v>149</v>
      </c>
      <c r="B171" t="s">
        <v>65</v>
      </c>
      <c r="C171" t="s">
        <v>35</v>
      </c>
      <c r="D171" t="s">
        <v>154</v>
      </c>
      <c r="E171">
        <v>4.4370047500516312E-2</v>
      </c>
      <c r="F171" t="s">
        <v>151</v>
      </c>
      <c r="G171">
        <v>4.4370047500516312E-2</v>
      </c>
    </row>
    <row r="172" spans="1:7" x14ac:dyDescent="0.25">
      <c r="A172" t="s">
        <v>149</v>
      </c>
      <c r="B172" t="s">
        <v>65</v>
      </c>
      <c r="C172" t="s">
        <v>36</v>
      </c>
      <c r="D172" t="s">
        <v>154</v>
      </c>
      <c r="E172">
        <v>0.1883750452665103</v>
      </c>
      <c r="F172" t="s">
        <v>151</v>
      </c>
      <c r="G172">
        <v>0.1883750452665103</v>
      </c>
    </row>
    <row r="173" spans="1:7" x14ac:dyDescent="0.25">
      <c r="A173" t="s">
        <v>149</v>
      </c>
      <c r="B173" t="s">
        <v>65</v>
      </c>
      <c r="C173" t="s">
        <v>37</v>
      </c>
      <c r="D173" t="s">
        <v>154</v>
      </c>
      <c r="E173">
        <v>0.22286512267581851</v>
      </c>
      <c r="F173" t="s">
        <v>151</v>
      </c>
      <c r="G173">
        <v>0.22286512267581851</v>
      </c>
    </row>
    <row r="174" spans="1:7" x14ac:dyDescent="0.25">
      <c r="A174" t="s">
        <v>149</v>
      </c>
      <c r="B174" t="s">
        <v>65</v>
      </c>
      <c r="C174" t="s">
        <v>38</v>
      </c>
      <c r="D174" t="s">
        <v>154</v>
      </c>
      <c r="E174">
        <v>8.8081621024484816E-2</v>
      </c>
      <c r="F174" t="s">
        <v>151</v>
      </c>
      <c r="G174">
        <v>8.8081621024484816E-2</v>
      </c>
    </row>
    <row r="175" spans="1:7" x14ac:dyDescent="0.25">
      <c r="A175" t="s">
        <v>149</v>
      </c>
      <c r="B175" t="s">
        <v>65</v>
      </c>
      <c r="C175" t="s">
        <v>45</v>
      </c>
      <c r="D175" t="s">
        <v>155</v>
      </c>
      <c r="E175">
        <v>1</v>
      </c>
      <c r="F175" t="s">
        <v>156</v>
      </c>
      <c r="G175">
        <v>0.72982194479141249</v>
      </c>
    </row>
    <row r="176" spans="1:7" x14ac:dyDescent="0.25">
      <c r="A176" t="s">
        <v>149</v>
      </c>
      <c r="B176" t="s">
        <v>65</v>
      </c>
      <c r="C176" t="s">
        <v>46</v>
      </c>
      <c r="D176" t="s">
        <v>155</v>
      </c>
      <c r="E176">
        <v>0</v>
      </c>
      <c r="F176" t="s">
        <v>156</v>
      </c>
      <c r="G176">
        <v>0.27017805520858751</v>
      </c>
    </row>
    <row r="177" spans="1:7" x14ac:dyDescent="0.25">
      <c r="A177" t="s">
        <v>149</v>
      </c>
      <c r="B177" t="s">
        <v>65</v>
      </c>
      <c r="C177" t="s">
        <v>50</v>
      </c>
      <c r="D177" t="s">
        <v>157</v>
      </c>
      <c r="E177">
        <v>0.42162495143522749</v>
      </c>
      <c r="F177" t="s">
        <v>151</v>
      </c>
      <c r="G177">
        <v>0.42162495143522749</v>
      </c>
    </row>
    <row r="178" spans="1:7" x14ac:dyDescent="0.25">
      <c r="A178" t="s">
        <v>149</v>
      </c>
      <c r="B178" t="s">
        <v>65</v>
      </c>
      <c r="C178" t="s">
        <v>51</v>
      </c>
      <c r="D178" t="s">
        <v>157</v>
      </c>
      <c r="E178">
        <v>0.57837504856477251</v>
      </c>
      <c r="F178" t="s">
        <v>151</v>
      </c>
      <c r="G178">
        <v>0.57837504856477251</v>
      </c>
    </row>
    <row r="179" spans="1:7" x14ac:dyDescent="0.25">
      <c r="A179" t="s">
        <v>149</v>
      </c>
      <c r="B179" t="s">
        <v>73</v>
      </c>
      <c r="C179" t="s">
        <v>1</v>
      </c>
      <c r="D179" t="s">
        <v>150</v>
      </c>
      <c r="E179">
        <v>0.94299868264323294</v>
      </c>
      <c r="F179" t="s">
        <v>151</v>
      </c>
      <c r="G179">
        <v>0.94299868264323294</v>
      </c>
    </row>
    <row r="180" spans="1:7" x14ac:dyDescent="0.25">
      <c r="A180" t="s">
        <v>149</v>
      </c>
      <c r="B180" t="s">
        <v>73</v>
      </c>
      <c r="C180" t="s">
        <v>2</v>
      </c>
      <c r="D180" t="s">
        <v>150</v>
      </c>
      <c r="E180">
        <v>4.1765731369656618E-2</v>
      </c>
      <c r="F180" t="s">
        <v>151</v>
      </c>
      <c r="G180">
        <v>4.1765731369656618E-2</v>
      </c>
    </row>
    <row r="181" spans="1:7" x14ac:dyDescent="0.25">
      <c r="A181" t="s">
        <v>149</v>
      </c>
      <c r="B181" t="s">
        <v>73</v>
      </c>
      <c r="C181" t="s">
        <v>3</v>
      </c>
      <c r="D181" t="s">
        <v>150</v>
      </c>
      <c r="E181">
        <v>1.523558598711041E-2</v>
      </c>
      <c r="F181" t="s">
        <v>151</v>
      </c>
      <c r="G181">
        <v>1.523558598711041E-2</v>
      </c>
    </row>
    <row r="182" spans="1:7" x14ac:dyDescent="0.25">
      <c r="A182" t="s">
        <v>149</v>
      </c>
      <c r="B182" t="s">
        <v>73</v>
      </c>
      <c r="C182" t="s">
        <v>6</v>
      </c>
      <c r="D182" t="s">
        <v>152</v>
      </c>
      <c r="E182">
        <v>0.43273688361237522</v>
      </c>
      <c r="F182" t="s">
        <v>151</v>
      </c>
      <c r="G182">
        <v>0.43273688361237522</v>
      </c>
    </row>
    <row r="183" spans="1:7" x14ac:dyDescent="0.25">
      <c r="A183" t="s">
        <v>149</v>
      </c>
      <c r="B183" t="s">
        <v>73</v>
      </c>
      <c r="C183" t="s">
        <v>7</v>
      </c>
      <c r="D183" t="s">
        <v>152</v>
      </c>
      <c r="E183">
        <v>0.56726311638762483</v>
      </c>
      <c r="F183" t="s">
        <v>151</v>
      </c>
      <c r="G183">
        <v>0.56726311638762483</v>
      </c>
    </row>
    <row r="184" spans="1:7" x14ac:dyDescent="0.25">
      <c r="A184" t="s">
        <v>149</v>
      </c>
      <c r="B184" t="s">
        <v>73</v>
      </c>
      <c r="C184" t="s">
        <v>26</v>
      </c>
      <c r="D184" t="s">
        <v>153</v>
      </c>
      <c r="E184">
        <v>0.1171368722490322</v>
      </c>
      <c r="F184" t="s">
        <v>151</v>
      </c>
      <c r="G184">
        <v>0.1171368722490322</v>
      </c>
    </row>
    <row r="185" spans="1:7" x14ac:dyDescent="0.25">
      <c r="A185" t="s">
        <v>149</v>
      </c>
      <c r="B185" t="s">
        <v>73</v>
      </c>
      <c r="C185" t="s">
        <v>27</v>
      </c>
      <c r="D185" t="s">
        <v>153</v>
      </c>
      <c r="E185">
        <v>0.88286312775096776</v>
      </c>
      <c r="F185" t="s">
        <v>151</v>
      </c>
      <c r="G185">
        <v>0.88286312775096776</v>
      </c>
    </row>
    <row r="186" spans="1:7" x14ac:dyDescent="0.25">
      <c r="A186" t="s">
        <v>149</v>
      </c>
      <c r="B186" t="s">
        <v>73</v>
      </c>
      <c r="C186" t="s">
        <v>34</v>
      </c>
      <c r="D186" t="s">
        <v>154</v>
      </c>
      <c r="E186">
        <v>0.45630816353267001</v>
      </c>
      <c r="F186" t="s">
        <v>151</v>
      </c>
      <c r="G186">
        <v>0.45630816353267001</v>
      </c>
    </row>
    <row r="187" spans="1:7" x14ac:dyDescent="0.25">
      <c r="A187" t="s">
        <v>149</v>
      </c>
      <c r="B187" t="s">
        <v>73</v>
      </c>
      <c r="C187" t="s">
        <v>35</v>
      </c>
      <c r="D187" t="s">
        <v>154</v>
      </c>
      <c r="E187">
        <v>4.4370047500516312E-2</v>
      </c>
      <c r="F187" t="s">
        <v>151</v>
      </c>
      <c r="G187">
        <v>4.4370047500516312E-2</v>
      </c>
    </row>
    <row r="188" spans="1:7" x14ac:dyDescent="0.25">
      <c r="A188" t="s">
        <v>149</v>
      </c>
      <c r="B188" t="s">
        <v>73</v>
      </c>
      <c r="C188" t="s">
        <v>36</v>
      </c>
      <c r="D188" t="s">
        <v>154</v>
      </c>
      <c r="E188">
        <v>0.1883750452665103</v>
      </c>
      <c r="F188" t="s">
        <v>151</v>
      </c>
      <c r="G188">
        <v>0.1883750452665103</v>
      </c>
    </row>
    <row r="189" spans="1:7" x14ac:dyDescent="0.25">
      <c r="A189" t="s">
        <v>149</v>
      </c>
      <c r="B189" t="s">
        <v>73</v>
      </c>
      <c r="C189" t="s">
        <v>37</v>
      </c>
      <c r="D189" t="s">
        <v>154</v>
      </c>
      <c r="E189">
        <v>0.22286512267581851</v>
      </c>
      <c r="F189" t="s">
        <v>151</v>
      </c>
      <c r="G189">
        <v>0.22286512267581851</v>
      </c>
    </row>
    <row r="190" spans="1:7" x14ac:dyDescent="0.25">
      <c r="A190" t="s">
        <v>149</v>
      </c>
      <c r="B190" t="s">
        <v>73</v>
      </c>
      <c r="C190" t="s">
        <v>38</v>
      </c>
      <c r="D190" t="s">
        <v>154</v>
      </c>
      <c r="E190">
        <v>8.8081621024484816E-2</v>
      </c>
      <c r="F190" t="s">
        <v>151</v>
      </c>
      <c r="G190">
        <v>8.8081621024484816E-2</v>
      </c>
    </row>
    <row r="191" spans="1:7" x14ac:dyDescent="0.25">
      <c r="A191" t="s">
        <v>149</v>
      </c>
      <c r="B191" t="s">
        <v>73</v>
      </c>
      <c r="C191" t="s">
        <v>45</v>
      </c>
      <c r="D191" t="s">
        <v>155</v>
      </c>
      <c r="E191">
        <v>1</v>
      </c>
      <c r="F191" t="s">
        <v>156</v>
      </c>
      <c r="G191">
        <v>0.72982194479141249</v>
      </c>
    </row>
    <row r="192" spans="1:7" x14ac:dyDescent="0.25">
      <c r="A192" t="s">
        <v>149</v>
      </c>
      <c r="B192" t="s">
        <v>73</v>
      </c>
      <c r="C192" t="s">
        <v>46</v>
      </c>
      <c r="D192" t="s">
        <v>155</v>
      </c>
      <c r="E192">
        <v>0</v>
      </c>
      <c r="F192" t="s">
        <v>156</v>
      </c>
      <c r="G192">
        <v>0.27017805520858751</v>
      </c>
    </row>
    <row r="193" spans="1:7" x14ac:dyDescent="0.25">
      <c r="A193" t="s">
        <v>149</v>
      </c>
      <c r="B193" t="s">
        <v>73</v>
      </c>
      <c r="C193" t="s">
        <v>50</v>
      </c>
      <c r="D193" t="s">
        <v>157</v>
      </c>
      <c r="E193">
        <v>0.42162495143522749</v>
      </c>
      <c r="F193" t="s">
        <v>151</v>
      </c>
      <c r="G193">
        <v>0.42162495143522749</v>
      </c>
    </row>
    <row r="194" spans="1:7" x14ac:dyDescent="0.25">
      <c r="A194" t="s">
        <v>149</v>
      </c>
      <c r="B194" t="s">
        <v>73</v>
      </c>
      <c r="C194" t="s">
        <v>51</v>
      </c>
      <c r="D194" t="s">
        <v>157</v>
      </c>
      <c r="E194">
        <v>0.57837504856477251</v>
      </c>
      <c r="F194" t="s">
        <v>151</v>
      </c>
      <c r="G194">
        <v>0.57837504856477251</v>
      </c>
    </row>
    <row r="195" spans="1:7" x14ac:dyDescent="0.25">
      <c r="A195" t="s">
        <v>149</v>
      </c>
      <c r="B195" t="s">
        <v>69</v>
      </c>
      <c r="C195" t="s">
        <v>1</v>
      </c>
      <c r="D195" t="s">
        <v>150</v>
      </c>
      <c r="E195">
        <v>0.94299868264323294</v>
      </c>
      <c r="F195" t="s">
        <v>151</v>
      </c>
      <c r="G195">
        <v>0.94299868264323294</v>
      </c>
    </row>
    <row r="196" spans="1:7" x14ac:dyDescent="0.25">
      <c r="A196" t="s">
        <v>149</v>
      </c>
      <c r="B196" t="s">
        <v>69</v>
      </c>
      <c r="C196" t="s">
        <v>2</v>
      </c>
      <c r="D196" t="s">
        <v>150</v>
      </c>
      <c r="E196">
        <v>4.1765731369656618E-2</v>
      </c>
      <c r="F196" t="s">
        <v>151</v>
      </c>
      <c r="G196">
        <v>4.1765731369656618E-2</v>
      </c>
    </row>
    <row r="197" spans="1:7" x14ac:dyDescent="0.25">
      <c r="A197" t="s">
        <v>149</v>
      </c>
      <c r="B197" t="s">
        <v>69</v>
      </c>
      <c r="C197" t="s">
        <v>3</v>
      </c>
      <c r="D197" t="s">
        <v>150</v>
      </c>
      <c r="E197">
        <v>1.523558598711041E-2</v>
      </c>
      <c r="F197" t="s">
        <v>151</v>
      </c>
      <c r="G197">
        <v>1.523558598711041E-2</v>
      </c>
    </row>
    <row r="198" spans="1:7" x14ac:dyDescent="0.25">
      <c r="A198" t="s">
        <v>149</v>
      </c>
      <c r="B198" t="s">
        <v>69</v>
      </c>
      <c r="C198" t="s">
        <v>6</v>
      </c>
      <c r="D198" t="s">
        <v>152</v>
      </c>
      <c r="E198">
        <v>0.43273688361237522</v>
      </c>
      <c r="F198" t="s">
        <v>151</v>
      </c>
      <c r="G198">
        <v>0.43273688361237522</v>
      </c>
    </row>
    <row r="199" spans="1:7" x14ac:dyDescent="0.25">
      <c r="A199" t="s">
        <v>149</v>
      </c>
      <c r="B199" t="s">
        <v>69</v>
      </c>
      <c r="C199" t="s">
        <v>7</v>
      </c>
      <c r="D199" t="s">
        <v>152</v>
      </c>
      <c r="E199">
        <v>0.56726311638762483</v>
      </c>
      <c r="F199" t="s">
        <v>151</v>
      </c>
      <c r="G199">
        <v>0.56726311638762483</v>
      </c>
    </row>
    <row r="200" spans="1:7" x14ac:dyDescent="0.25">
      <c r="A200" t="s">
        <v>149</v>
      </c>
      <c r="B200" t="s">
        <v>69</v>
      </c>
      <c r="C200" t="s">
        <v>26</v>
      </c>
      <c r="D200" t="s">
        <v>153</v>
      </c>
      <c r="E200">
        <v>0.1171368722490322</v>
      </c>
      <c r="F200" t="s">
        <v>151</v>
      </c>
      <c r="G200">
        <v>0.1171368722490322</v>
      </c>
    </row>
    <row r="201" spans="1:7" x14ac:dyDescent="0.25">
      <c r="A201" t="s">
        <v>149</v>
      </c>
      <c r="B201" t="s">
        <v>69</v>
      </c>
      <c r="C201" t="s">
        <v>27</v>
      </c>
      <c r="D201" t="s">
        <v>153</v>
      </c>
      <c r="E201">
        <v>0.88286312775096776</v>
      </c>
      <c r="F201" t="s">
        <v>151</v>
      </c>
      <c r="G201">
        <v>0.88286312775096776</v>
      </c>
    </row>
    <row r="202" spans="1:7" x14ac:dyDescent="0.25">
      <c r="A202" t="s">
        <v>149</v>
      </c>
      <c r="B202" t="s">
        <v>69</v>
      </c>
      <c r="C202" t="s">
        <v>34</v>
      </c>
      <c r="D202" t="s">
        <v>154</v>
      </c>
      <c r="E202">
        <v>0.45630816353267001</v>
      </c>
      <c r="F202" t="s">
        <v>151</v>
      </c>
      <c r="G202">
        <v>0.45630816353267001</v>
      </c>
    </row>
    <row r="203" spans="1:7" x14ac:dyDescent="0.25">
      <c r="A203" t="s">
        <v>149</v>
      </c>
      <c r="B203" t="s">
        <v>69</v>
      </c>
      <c r="C203" t="s">
        <v>35</v>
      </c>
      <c r="D203" t="s">
        <v>154</v>
      </c>
      <c r="E203">
        <v>4.4370047500516312E-2</v>
      </c>
      <c r="F203" t="s">
        <v>151</v>
      </c>
      <c r="G203">
        <v>4.4370047500516312E-2</v>
      </c>
    </row>
    <row r="204" spans="1:7" x14ac:dyDescent="0.25">
      <c r="A204" t="s">
        <v>149</v>
      </c>
      <c r="B204" t="s">
        <v>69</v>
      </c>
      <c r="C204" t="s">
        <v>36</v>
      </c>
      <c r="D204" t="s">
        <v>154</v>
      </c>
      <c r="E204">
        <v>0.1883750452665103</v>
      </c>
      <c r="F204" t="s">
        <v>151</v>
      </c>
      <c r="G204">
        <v>0.1883750452665103</v>
      </c>
    </row>
    <row r="205" spans="1:7" x14ac:dyDescent="0.25">
      <c r="A205" t="s">
        <v>149</v>
      </c>
      <c r="B205" t="s">
        <v>69</v>
      </c>
      <c r="C205" t="s">
        <v>37</v>
      </c>
      <c r="D205" t="s">
        <v>154</v>
      </c>
      <c r="E205">
        <v>0.22286512267581851</v>
      </c>
      <c r="F205" t="s">
        <v>151</v>
      </c>
      <c r="G205">
        <v>0.22286512267581851</v>
      </c>
    </row>
    <row r="206" spans="1:7" x14ac:dyDescent="0.25">
      <c r="A206" t="s">
        <v>149</v>
      </c>
      <c r="B206" t="s">
        <v>69</v>
      </c>
      <c r="C206" t="s">
        <v>38</v>
      </c>
      <c r="D206" t="s">
        <v>154</v>
      </c>
      <c r="E206">
        <v>8.8081621024484816E-2</v>
      </c>
      <c r="F206" t="s">
        <v>151</v>
      </c>
      <c r="G206">
        <v>8.8081621024484816E-2</v>
      </c>
    </row>
    <row r="207" spans="1:7" x14ac:dyDescent="0.25">
      <c r="A207" t="s">
        <v>149</v>
      </c>
      <c r="B207" t="s">
        <v>69</v>
      </c>
      <c r="C207" t="s">
        <v>45</v>
      </c>
      <c r="D207" t="s">
        <v>155</v>
      </c>
      <c r="E207">
        <v>1</v>
      </c>
      <c r="F207" t="s">
        <v>156</v>
      </c>
      <c r="G207">
        <v>0.72982194479141249</v>
      </c>
    </row>
    <row r="208" spans="1:7" x14ac:dyDescent="0.25">
      <c r="A208" t="s">
        <v>149</v>
      </c>
      <c r="B208" t="s">
        <v>69</v>
      </c>
      <c r="C208" t="s">
        <v>46</v>
      </c>
      <c r="D208" t="s">
        <v>155</v>
      </c>
      <c r="E208">
        <v>0</v>
      </c>
      <c r="F208" t="s">
        <v>156</v>
      </c>
      <c r="G208">
        <v>0.27017805520858751</v>
      </c>
    </row>
    <row r="209" spans="1:7" x14ac:dyDescent="0.25">
      <c r="A209" t="s">
        <v>149</v>
      </c>
      <c r="B209" t="s">
        <v>69</v>
      </c>
      <c r="C209" t="s">
        <v>50</v>
      </c>
      <c r="D209" t="s">
        <v>157</v>
      </c>
      <c r="E209">
        <v>0.42162495143522749</v>
      </c>
      <c r="F209" t="s">
        <v>151</v>
      </c>
      <c r="G209">
        <v>0.42162495143522749</v>
      </c>
    </row>
    <row r="210" spans="1:7" x14ac:dyDescent="0.25">
      <c r="A210" t="s">
        <v>149</v>
      </c>
      <c r="B210" t="s">
        <v>69</v>
      </c>
      <c r="C210" t="s">
        <v>51</v>
      </c>
      <c r="D210" t="s">
        <v>157</v>
      </c>
      <c r="E210">
        <v>0.57837504856477251</v>
      </c>
      <c r="F210" t="s">
        <v>151</v>
      </c>
      <c r="G210">
        <v>0.57837504856477251</v>
      </c>
    </row>
    <row r="211" spans="1:7" x14ac:dyDescent="0.25">
      <c r="A211" t="s">
        <v>149</v>
      </c>
      <c r="B211" t="s">
        <v>55</v>
      </c>
      <c r="C211" t="s">
        <v>1</v>
      </c>
      <c r="D211" t="s">
        <v>150</v>
      </c>
      <c r="E211">
        <v>0.94299868264323294</v>
      </c>
      <c r="F211" t="s">
        <v>151</v>
      </c>
      <c r="G211">
        <v>0.94299868264323294</v>
      </c>
    </row>
    <row r="212" spans="1:7" x14ac:dyDescent="0.25">
      <c r="A212" t="s">
        <v>149</v>
      </c>
      <c r="B212" t="s">
        <v>55</v>
      </c>
      <c r="C212" t="s">
        <v>2</v>
      </c>
      <c r="D212" t="s">
        <v>150</v>
      </c>
      <c r="E212">
        <v>4.1765731369656618E-2</v>
      </c>
      <c r="F212" t="s">
        <v>151</v>
      </c>
      <c r="G212">
        <v>4.1765731369656618E-2</v>
      </c>
    </row>
    <row r="213" spans="1:7" x14ac:dyDescent="0.25">
      <c r="A213" t="s">
        <v>149</v>
      </c>
      <c r="B213" t="s">
        <v>55</v>
      </c>
      <c r="C213" t="s">
        <v>3</v>
      </c>
      <c r="D213" t="s">
        <v>150</v>
      </c>
      <c r="E213">
        <v>1.523558598711041E-2</v>
      </c>
      <c r="F213" t="s">
        <v>151</v>
      </c>
      <c r="G213">
        <v>1.523558598711041E-2</v>
      </c>
    </row>
    <row r="214" spans="1:7" x14ac:dyDescent="0.25">
      <c r="A214" t="s">
        <v>149</v>
      </c>
      <c r="B214" t="s">
        <v>55</v>
      </c>
      <c r="C214" t="s">
        <v>6</v>
      </c>
      <c r="D214" t="s">
        <v>152</v>
      </c>
      <c r="E214">
        <v>0.43273688361237522</v>
      </c>
      <c r="F214" t="s">
        <v>151</v>
      </c>
      <c r="G214">
        <v>0.43273688361237522</v>
      </c>
    </row>
    <row r="215" spans="1:7" x14ac:dyDescent="0.25">
      <c r="A215" t="s">
        <v>149</v>
      </c>
      <c r="B215" t="s">
        <v>55</v>
      </c>
      <c r="C215" t="s">
        <v>7</v>
      </c>
      <c r="D215" t="s">
        <v>152</v>
      </c>
      <c r="E215">
        <v>0.56726311638762483</v>
      </c>
      <c r="F215" t="s">
        <v>151</v>
      </c>
      <c r="G215">
        <v>0.56726311638762483</v>
      </c>
    </row>
    <row r="216" spans="1:7" x14ac:dyDescent="0.25">
      <c r="A216" t="s">
        <v>149</v>
      </c>
      <c r="B216" t="s">
        <v>55</v>
      </c>
      <c r="C216" t="s">
        <v>26</v>
      </c>
      <c r="D216" t="s">
        <v>153</v>
      </c>
      <c r="E216">
        <v>0.1171368722490322</v>
      </c>
      <c r="F216" t="s">
        <v>151</v>
      </c>
      <c r="G216">
        <v>0.1171368722490322</v>
      </c>
    </row>
    <row r="217" spans="1:7" x14ac:dyDescent="0.25">
      <c r="A217" t="s">
        <v>149</v>
      </c>
      <c r="B217" t="s">
        <v>55</v>
      </c>
      <c r="C217" t="s">
        <v>27</v>
      </c>
      <c r="D217" t="s">
        <v>153</v>
      </c>
      <c r="E217">
        <v>0.88286312775096776</v>
      </c>
      <c r="F217" t="s">
        <v>151</v>
      </c>
      <c r="G217">
        <v>0.88286312775096776</v>
      </c>
    </row>
    <row r="218" spans="1:7" x14ac:dyDescent="0.25">
      <c r="A218" t="s">
        <v>149</v>
      </c>
      <c r="B218" t="s">
        <v>55</v>
      </c>
      <c r="C218" t="s">
        <v>34</v>
      </c>
      <c r="D218" t="s">
        <v>154</v>
      </c>
      <c r="E218">
        <v>0.45630816353267001</v>
      </c>
      <c r="F218" t="s">
        <v>151</v>
      </c>
      <c r="G218">
        <v>0.45630816353267001</v>
      </c>
    </row>
    <row r="219" spans="1:7" x14ac:dyDescent="0.25">
      <c r="A219" t="s">
        <v>149</v>
      </c>
      <c r="B219" t="s">
        <v>55</v>
      </c>
      <c r="C219" t="s">
        <v>35</v>
      </c>
      <c r="D219" t="s">
        <v>154</v>
      </c>
      <c r="E219">
        <v>4.4370047500516312E-2</v>
      </c>
      <c r="F219" t="s">
        <v>151</v>
      </c>
      <c r="G219">
        <v>4.4370047500516312E-2</v>
      </c>
    </row>
    <row r="220" spans="1:7" x14ac:dyDescent="0.25">
      <c r="A220" t="s">
        <v>149</v>
      </c>
      <c r="B220" t="s">
        <v>55</v>
      </c>
      <c r="C220" t="s">
        <v>36</v>
      </c>
      <c r="D220" t="s">
        <v>154</v>
      </c>
      <c r="E220">
        <v>0.1883750452665103</v>
      </c>
      <c r="F220" t="s">
        <v>151</v>
      </c>
      <c r="G220">
        <v>0.1883750452665103</v>
      </c>
    </row>
    <row r="221" spans="1:7" x14ac:dyDescent="0.25">
      <c r="A221" t="s">
        <v>149</v>
      </c>
      <c r="B221" t="s">
        <v>55</v>
      </c>
      <c r="C221" t="s">
        <v>37</v>
      </c>
      <c r="D221" t="s">
        <v>154</v>
      </c>
      <c r="E221">
        <v>0.22286512267581851</v>
      </c>
      <c r="F221" t="s">
        <v>151</v>
      </c>
      <c r="G221">
        <v>0.22286512267581851</v>
      </c>
    </row>
    <row r="222" spans="1:7" x14ac:dyDescent="0.25">
      <c r="A222" t="s">
        <v>149</v>
      </c>
      <c r="B222" t="s">
        <v>55</v>
      </c>
      <c r="C222" t="s">
        <v>38</v>
      </c>
      <c r="D222" t="s">
        <v>154</v>
      </c>
      <c r="E222">
        <v>8.8081621024484816E-2</v>
      </c>
      <c r="F222" t="s">
        <v>151</v>
      </c>
      <c r="G222">
        <v>8.8081621024484816E-2</v>
      </c>
    </row>
    <row r="223" spans="1:7" x14ac:dyDescent="0.25">
      <c r="A223" t="s">
        <v>149</v>
      </c>
      <c r="B223" t="s">
        <v>55</v>
      </c>
      <c r="C223" t="s">
        <v>45</v>
      </c>
      <c r="D223" t="s">
        <v>155</v>
      </c>
      <c r="E223">
        <v>1</v>
      </c>
      <c r="F223" t="s">
        <v>156</v>
      </c>
      <c r="G223">
        <v>0.72982194479141249</v>
      </c>
    </row>
    <row r="224" spans="1:7" x14ac:dyDescent="0.25">
      <c r="A224" t="s">
        <v>149</v>
      </c>
      <c r="B224" t="s">
        <v>55</v>
      </c>
      <c r="C224" t="s">
        <v>46</v>
      </c>
      <c r="D224" t="s">
        <v>155</v>
      </c>
      <c r="E224">
        <v>0</v>
      </c>
      <c r="F224" t="s">
        <v>156</v>
      </c>
      <c r="G224">
        <v>0.27017805520858751</v>
      </c>
    </row>
    <row r="225" spans="1:7" x14ac:dyDescent="0.25">
      <c r="A225" t="s">
        <v>149</v>
      </c>
      <c r="B225" t="s">
        <v>55</v>
      </c>
      <c r="C225" t="s">
        <v>50</v>
      </c>
      <c r="D225" t="s">
        <v>157</v>
      </c>
      <c r="E225">
        <v>0.42162495143522749</v>
      </c>
      <c r="F225" t="s">
        <v>151</v>
      </c>
      <c r="G225">
        <v>0.42162495143522749</v>
      </c>
    </row>
    <row r="226" spans="1:7" x14ac:dyDescent="0.25">
      <c r="A226" t="s">
        <v>149</v>
      </c>
      <c r="B226" t="s">
        <v>55</v>
      </c>
      <c r="C226" t="s">
        <v>51</v>
      </c>
      <c r="D226" t="s">
        <v>157</v>
      </c>
      <c r="E226">
        <v>0.57837504856477251</v>
      </c>
      <c r="F226" t="s">
        <v>151</v>
      </c>
      <c r="G226">
        <v>0.57837504856477251</v>
      </c>
    </row>
    <row r="227" spans="1:7" x14ac:dyDescent="0.25">
      <c r="A227" t="s">
        <v>149</v>
      </c>
      <c r="B227" t="s">
        <v>71</v>
      </c>
      <c r="C227" t="s">
        <v>1</v>
      </c>
      <c r="D227" t="s">
        <v>150</v>
      </c>
      <c r="E227">
        <v>0.94299868264323294</v>
      </c>
      <c r="F227" t="s">
        <v>151</v>
      </c>
      <c r="G227">
        <v>0.94299868264323294</v>
      </c>
    </row>
    <row r="228" spans="1:7" x14ac:dyDescent="0.25">
      <c r="A228" t="s">
        <v>149</v>
      </c>
      <c r="B228" t="s">
        <v>71</v>
      </c>
      <c r="C228" t="s">
        <v>2</v>
      </c>
      <c r="D228" t="s">
        <v>150</v>
      </c>
      <c r="E228">
        <v>4.1765731369656618E-2</v>
      </c>
      <c r="F228" t="s">
        <v>151</v>
      </c>
      <c r="G228">
        <v>4.1765731369656618E-2</v>
      </c>
    </row>
    <row r="229" spans="1:7" x14ac:dyDescent="0.25">
      <c r="A229" t="s">
        <v>149</v>
      </c>
      <c r="B229" t="s">
        <v>71</v>
      </c>
      <c r="C229" t="s">
        <v>3</v>
      </c>
      <c r="D229" t="s">
        <v>150</v>
      </c>
      <c r="E229">
        <v>1.523558598711041E-2</v>
      </c>
      <c r="F229" t="s">
        <v>151</v>
      </c>
      <c r="G229">
        <v>1.523558598711041E-2</v>
      </c>
    </row>
    <row r="230" spans="1:7" x14ac:dyDescent="0.25">
      <c r="A230" t="s">
        <v>149</v>
      </c>
      <c r="B230" t="s">
        <v>71</v>
      </c>
      <c r="C230" t="s">
        <v>6</v>
      </c>
      <c r="D230" t="s">
        <v>152</v>
      </c>
      <c r="E230">
        <v>0.43273688361237522</v>
      </c>
      <c r="F230" t="s">
        <v>151</v>
      </c>
      <c r="G230">
        <v>0.43273688361237522</v>
      </c>
    </row>
    <row r="231" spans="1:7" x14ac:dyDescent="0.25">
      <c r="A231" t="s">
        <v>149</v>
      </c>
      <c r="B231" t="s">
        <v>71</v>
      </c>
      <c r="C231" t="s">
        <v>7</v>
      </c>
      <c r="D231" t="s">
        <v>152</v>
      </c>
      <c r="E231">
        <v>0.56726311638762483</v>
      </c>
      <c r="F231" t="s">
        <v>151</v>
      </c>
      <c r="G231">
        <v>0.56726311638762483</v>
      </c>
    </row>
    <row r="232" spans="1:7" x14ac:dyDescent="0.25">
      <c r="A232" t="s">
        <v>149</v>
      </c>
      <c r="B232" t="s">
        <v>71</v>
      </c>
      <c r="C232" t="s">
        <v>26</v>
      </c>
      <c r="D232" t="s">
        <v>153</v>
      </c>
      <c r="E232">
        <v>0.1171368722490322</v>
      </c>
      <c r="F232" t="s">
        <v>151</v>
      </c>
      <c r="G232">
        <v>0.1171368722490322</v>
      </c>
    </row>
    <row r="233" spans="1:7" x14ac:dyDescent="0.25">
      <c r="A233" t="s">
        <v>149</v>
      </c>
      <c r="B233" t="s">
        <v>71</v>
      </c>
      <c r="C233" t="s">
        <v>27</v>
      </c>
      <c r="D233" t="s">
        <v>153</v>
      </c>
      <c r="E233">
        <v>0.88286312775096776</v>
      </c>
      <c r="F233" t="s">
        <v>151</v>
      </c>
      <c r="G233">
        <v>0.88286312775096776</v>
      </c>
    </row>
    <row r="234" spans="1:7" x14ac:dyDescent="0.25">
      <c r="A234" t="s">
        <v>149</v>
      </c>
      <c r="B234" t="s">
        <v>71</v>
      </c>
      <c r="C234" t="s">
        <v>34</v>
      </c>
      <c r="D234" t="s">
        <v>154</v>
      </c>
      <c r="E234">
        <v>0.45630816353267001</v>
      </c>
      <c r="F234" t="s">
        <v>151</v>
      </c>
      <c r="G234">
        <v>0.45630816353267001</v>
      </c>
    </row>
    <row r="235" spans="1:7" x14ac:dyDescent="0.25">
      <c r="A235" t="s">
        <v>149</v>
      </c>
      <c r="B235" t="s">
        <v>71</v>
      </c>
      <c r="C235" t="s">
        <v>35</v>
      </c>
      <c r="D235" t="s">
        <v>154</v>
      </c>
      <c r="E235">
        <v>4.4370047500516312E-2</v>
      </c>
      <c r="F235" t="s">
        <v>151</v>
      </c>
      <c r="G235">
        <v>4.4370047500516312E-2</v>
      </c>
    </row>
    <row r="236" spans="1:7" x14ac:dyDescent="0.25">
      <c r="A236" t="s">
        <v>149</v>
      </c>
      <c r="B236" t="s">
        <v>71</v>
      </c>
      <c r="C236" t="s">
        <v>36</v>
      </c>
      <c r="D236" t="s">
        <v>154</v>
      </c>
      <c r="E236">
        <v>0.1883750452665103</v>
      </c>
      <c r="F236" t="s">
        <v>151</v>
      </c>
      <c r="G236">
        <v>0.1883750452665103</v>
      </c>
    </row>
    <row r="237" spans="1:7" x14ac:dyDescent="0.25">
      <c r="A237" t="s">
        <v>149</v>
      </c>
      <c r="B237" t="s">
        <v>71</v>
      </c>
      <c r="C237" t="s">
        <v>37</v>
      </c>
      <c r="D237" t="s">
        <v>154</v>
      </c>
      <c r="E237">
        <v>0.22286512267581851</v>
      </c>
      <c r="F237" t="s">
        <v>151</v>
      </c>
      <c r="G237">
        <v>0.22286512267581851</v>
      </c>
    </row>
    <row r="238" spans="1:7" x14ac:dyDescent="0.25">
      <c r="A238" t="s">
        <v>149</v>
      </c>
      <c r="B238" t="s">
        <v>71</v>
      </c>
      <c r="C238" t="s">
        <v>38</v>
      </c>
      <c r="D238" t="s">
        <v>154</v>
      </c>
      <c r="E238">
        <v>8.8081621024484816E-2</v>
      </c>
      <c r="F238" t="s">
        <v>151</v>
      </c>
      <c r="G238">
        <v>8.8081621024484816E-2</v>
      </c>
    </row>
    <row r="239" spans="1:7" x14ac:dyDescent="0.25">
      <c r="A239" t="s">
        <v>149</v>
      </c>
      <c r="B239" t="s">
        <v>71</v>
      </c>
      <c r="C239" t="s">
        <v>45</v>
      </c>
      <c r="D239" t="s">
        <v>155</v>
      </c>
      <c r="E239">
        <v>1</v>
      </c>
      <c r="F239" t="s">
        <v>156</v>
      </c>
      <c r="G239">
        <v>0.72982194479141249</v>
      </c>
    </row>
    <row r="240" spans="1:7" x14ac:dyDescent="0.25">
      <c r="A240" t="s">
        <v>149</v>
      </c>
      <c r="B240" t="s">
        <v>71</v>
      </c>
      <c r="C240" t="s">
        <v>46</v>
      </c>
      <c r="D240" t="s">
        <v>155</v>
      </c>
      <c r="E240">
        <v>0</v>
      </c>
      <c r="F240" t="s">
        <v>156</v>
      </c>
      <c r="G240">
        <v>0.27017805520858751</v>
      </c>
    </row>
    <row r="241" spans="1:7" x14ac:dyDescent="0.25">
      <c r="A241" t="s">
        <v>149</v>
      </c>
      <c r="B241" t="s">
        <v>71</v>
      </c>
      <c r="C241" t="s">
        <v>50</v>
      </c>
      <c r="D241" t="s">
        <v>157</v>
      </c>
      <c r="E241">
        <v>0.42162495143522749</v>
      </c>
      <c r="F241" t="s">
        <v>151</v>
      </c>
      <c r="G241">
        <v>0.42162495143522749</v>
      </c>
    </row>
    <row r="242" spans="1:7" x14ac:dyDescent="0.25">
      <c r="A242" t="s">
        <v>149</v>
      </c>
      <c r="B242" t="s">
        <v>71</v>
      </c>
      <c r="C242" t="s">
        <v>51</v>
      </c>
      <c r="D242" t="s">
        <v>157</v>
      </c>
      <c r="E242">
        <v>0.57837504856477251</v>
      </c>
      <c r="F242" t="s">
        <v>151</v>
      </c>
      <c r="G242">
        <v>0.57837504856477251</v>
      </c>
    </row>
    <row r="243" spans="1:7" x14ac:dyDescent="0.25">
      <c r="A243" t="s">
        <v>149</v>
      </c>
      <c r="B243" t="s">
        <v>64</v>
      </c>
      <c r="C243" t="s">
        <v>1</v>
      </c>
      <c r="D243" t="s">
        <v>150</v>
      </c>
      <c r="E243">
        <v>0.94299868264323294</v>
      </c>
      <c r="F243" t="s">
        <v>151</v>
      </c>
      <c r="G243">
        <v>0.94299868264323294</v>
      </c>
    </row>
    <row r="244" spans="1:7" x14ac:dyDescent="0.25">
      <c r="A244" t="s">
        <v>149</v>
      </c>
      <c r="B244" t="s">
        <v>64</v>
      </c>
      <c r="C244" t="s">
        <v>2</v>
      </c>
      <c r="D244" t="s">
        <v>150</v>
      </c>
      <c r="E244">
        <v>4.1765731369656618E-2</v>
      </c>
      <c r="F244" t="s">
        <v>151</v>
      </c>
      <c r="G244">
        <v>4.1765731369656618E-2</v>
      </c>
    </row>
    <row r="245" spans="1:7" x14ac:dyDescent="0.25">
      <c r="A245" t="s">
        <v>149</v>
      </c>
      <c r="B245" t="s">
        <v>64</v>
      </c>
      <c r="C245" t="s">
        <v>3</v>
      </c>
      <c r="D245" t="s">
        <v>150</v>
      </c>
      <c r="E245">
        <v>1.523558598711041E-2</v>
      </c>
      <c r="F245" t="s">
        <v>151</v>
      </c>
      <c r="G245">
        <v>1.523558598711041E-2</v>
      </c>
    </row>
    <row r="246" spans="1:7" x14ac:dyDescent="0.25">
      <c r="A246" t="s">
        <v>149</v>
      </c>
      <c r="B246" t="s">
        <v>64</v>
      </c>
      <c r="C246" t="s">
        <v>6</v>
      </c>
      <c r="D246" t="s">
        <v>152</v>
      </c>
      <c r="E246">
        <v>0.43273688361237522</v>
      </c>
      <c r="F246" t="s">
        <v>151</v>
      </c>
      <c r="G246">
        <v>0.43273688361237522</v>
      </c>
    </row>
    <row r="247" spans="1:7" x14ac:dyDescent="0.25">
      <c r="A247" t="s">
        <v>149</v>
      </c>
      <c r="B247" t="s">
        <v>64</v>
      </c>
      <c r="C247" t="s">
        <v>7</v>
      </c>
      <c r="D247" t="s">
        <v>152</v>
      </c>
      <c r="E247">
        <v>0.56726311638762483</v>
      </c>
      <c r="F247" t="s">
        <v>151</v>
      </c>
      <c r="G247">
        <v>0.56726311638762483</v>
      </c>
    </row>
    <row r="248" spans="1:7" x14ac:dyDescent="0.25">
      <c r="A248" t="s">
        <v>149</v>
      </c>
      <c r="B248" t="s">
        <v>64</v>
      </c>
      <c r="C248" t="s">
        <v>26</v>
      </c>
      <c r="D248" t="s">
        <v>153</v>
      </c>
      <c r="E248">
        <v>0.1171368722490322</v>
      </c>
      <c r="F248" t="s">
        <v>151</v>
      </c>
      <c r="G248">
        <v>0.1171368722490322</v>
      </c>
    </row>
    <row r="249" spans="1:7" x14ac:dyDescent="0.25">
      <c r="A249" t="s">
        <v>149</v>
      </c>
      <c r="B249" t="s">
        <v>64</v>
      </c>
      <c r="C249" t="s">
        <v>27</v>
      </c>
      <c r="D249" t="s">
        <v>153</v>
      </c>
      <c r="E249">
        <v>0.88286312775096776</v>
      </c>
      <c r="F249" t="s">
        <v>151</v>
      </c>
      <c r="G249">
        <v>0.88286312775096776</v>
      </c>
    </row>
    <row r="250" spans="1:7" x14ac:dyDescent="0.25">
      <c r="A250" t="s">
        <v>149</v>
      </c>
      <c r="B250" t="s">
        <v>64</v>
      </c>
      <c r="C250" t="s">
        <v>34</v>
      </c>
      <c r="D250" t="s">
        <v>154</v>
      </c>
      <c r="E250">
        <v>0.45630816353267001</v>
      </c>
      <c r="F250" t="s">
        <v>151</v>
      </c>
      <c r="G250">
        <v>0.45630816353267001</v>
      </c>
    </row>
    <row r="251" spans="1:7" x14ac:dyDescent="0.25">
      <c r="A251" t="s">
        <v>149</v>
      </c>
      <c r="B251" t="s">
        <v>64</v>
      </c>
      <c r="C251" t="s">
        <v>35</v>
      </c>
      <c r="D251" t="s">
        <v>154</v>
      </c>
      <c r="E251">
        <v>4.4370047500516312E-2</v>
      </c>
      <c r="F251" t="s">
        <v>151</v>
      </c>
      <c r="G251">
        <v>4.4370047500516312E-2</v>
      </c>
    </row>
    <row r="252" spans="1:7" x14ac:dyDescent="0.25">
      <c r="A252" t="s">
        <v>149</v>
      </c>
      <c r="B252" t="s">
        <v>64</v>
      </c>
      <c r="C252" t="s">
        <v>36</v>
      </c>
      <c r="D252" t="s">
        <v>154</v>
      </c>
      <c r="E252">
        <v>0.1883750452665103</v>
      </c>
      <c r="F252" t="s">
        <v>151</v>
      </c>
      <c r="G252">
        <v>0.1883750452665103</v>
      </c>
    </row>
    <row r="253" spans="1:7" x14ac:dyDescent="0.25">
      <c r="A253" t="s">
        <v>149</v>
      </c>
      <c r="B253" t="s">
        <v>64</v>
      </c>
      <c r="C253" t="s">
        <v>37</v>
      </c>
      <c r="D253" t="s">
        <v>154</v>
      </c>
      <c r="E253">
        <v>0.22286512267581851</v>
      </c>
      <c r="F253" t="s">
        <v>151</v>
      </c>
      <c r="G253">
        <v>0.22286512267581851</v>
      </c>
    </row>
    <row r="254" spans="1:7" x14ac:dyDescent="0.25">
      <c r="A254" t="s">
        <v>149</v>
      </c>
      <c r="B254" t="s">
        <v>64</v>
      </c>
      <c r="C254" t="s">
        <v>38</v>
      </c>
      <c r="D254" t="s">
        <v>154</v>
      </c>
      <c r="E254">
        <v>8.8081621024484816E-2</v>
      </c>
      <c r="F254" t="s">
        <v>151</v>
      </c>
      <c r="G254">
        <v>8.8081621024484816E-2</v>
      </c>
    </row>
    <row r="255" spans="1:7" x14ac:dyDescent="0.25">
      <c r="A255" t="s">
        <v>149</v>
      </c>
      <c r="B255" t="s">
        <v>64</v>
      </c>
      <c r="C255" t="s">
        <v>45</v>
      </c>
      <c r="D255" t="s">
        <v>155</v>
      </c>
      <c r="E255">
        <v>1</v>
      </c>
      <c r="F255" t="s">
        <v>156</v>
      </c>
      <c r="G255">
        <v>0.72982194479141249</v>
      </c>
    </row>
    <row r="256" spans="1:7" x14ac:dyDescent="0.25">
      <c r="A256" t="s">
        <v>149</v>
      </c>
      <c r="B256" t="s">
        <v>64</v>
      </c>
      <c r="C256" t="s">
        <v>46</v>
      </c>
      <c r="D256" t="s">
        <v>155</v>
      </c>
      <c r="E256">
        <v>0</v>
      </c>
      <c r="F256" t="s">
        <v>156</v>
      </c>
      <c r="G256">
        <v>0.27017805520858751</v>
      </c>
    </row>
    <row r="257" spans="1:7" x14ac:dyDescent="0.25">
      <c r="A257" t="s">
        <v>149</v>
      </c>
      <c r="B257" t="s">
        <v>64</v>
      </c>
      <c r="C257" t="s">
        <v>50</v>
      </c>
      <c r="D257" t="s">
        <v>157</v>
      </c>
      <c r="E257">
        <v>0.42162495143522749</v>
      </c>
      <c r="F257" t="s">
        <v>151</v>
      </c>
      <c r="G257">
        <v>0.42162495143522749</v>
      </c>
    </row>
    <row r="258" spans="1:7" x14ac:dyDescent="0.25">
      <c r="A258" t="s">
        <v>149</v>
      </c>
      <c r="B258" t="s">
        <v>64</v>
      </c>
      <c r="C258" t="s">
        <v>51</v>
      </c>
      <c r="D258" t="s">
        <v>157</v>
      </c>
      <c r="E258">
        <v>0.57837504856477251</v>
      </c>
      <c r="F258" t="s">
        <v>151</v>
      </c>
      <c r="G258">
        <v>0.57837504856477251</v>
      </c>
    </row>
    <row r="259" spans="1:7" x14ac:dyDescent="0.25">
      <c r="A259" t="s">
        <v>149</v>
      </c>
      <c r="B259" t="s">
        <v>54</v>
      </c>
      <c r="C259" t="s">
        <v>1</v>
      </c>
      <c r="D259" t="s">
        <v>150</v>
      </c>
      <c r="E259">
        <v>0.94299868264323294</v>
      </c>
      <c r="F259" t="s">
        <v>151</v>
      </c>
      <c r="G259">
        <v>0.94299868264323294</v>
      </c>
    </row>
    <row r="260" spans="1:7" x14ac:dyDescent="0.25">
      <c r="A260" t="s">
        <v>149</v>
      </c>
      <c r="B260" t="s">
        <v>54</v>
      </c>
      <c r="C260" t="s">
        <v>2</v>
      </c>
      <c r="D260" t="s">
        <v>150</v>
      </c>
      <c r="E260">
        <v>4.1765731369656618E-2</v>
      </c>
      <c r="F260" t="s">
        <v>151</v>
      </c>
      <c r="G260">
        <v>4.1765731369656618E-2</v>
      </c>
    </row>
    <row r="261" spans="1:7" x14ac:dyDescent="0.25">
      <c r="A261" t="s">
        <v>149</v>
      </c>
      <c r="B261" t="s">
        <v>54</v>
      </c>
      <c r="C261" t="s">
        <v>3</v>
      </c>
      <c r="D261" t="s">
        <v>150</v>
      </c>
      <c r="E261">
        <v>1.523558598711041E-2</v>
      </c>
      <c r="F261" t="s">
        <v>151</v>
      </c>
      <c r="G261">
        <v>1.523558598711041E-2</v>
      </c>
    </row>
    <row r="262" spans="1:7" x14ac:dyDescent="0.25">
      <c r="A262" t="s">
        <v>149</v>
      </c>
      <c r="B262" t="s">
        <v>54</v>
      </c>
      <c r="C262" t="s">
        <v>6</v>
      </c>
      <c r="D262" t="s">
        <v>152</v>
      </c>
      <c r="E262">
        <v>0.43273688361237522</v>
      </c>
      <c r="F262" t="s">
        <v>151</v>
      </c>
      <c r="G262">
        <v>0.43273688361237522</v>
      </c>
    </row>
    <row r="263" spans="1:7" x14ac:dyDescent="0.25">
      <c r="A263" t="s">
        <v>149</v>
      </c>
      <c r="B263" t="s">
        <v>54</v>
      </c>
      <c r="C263" t="s">
        <v>7</v>
      </c>
      <c r="D263" t="s">
        <v>152</v>
      </c>
      <c r="E263">
        <v>0.56726311638762483</v>
      </c>
      <c r="F263" t="s">
        <v>151</v>
      </c>
      <c r="G263">
        <v>0.56726311638762483</v>
      </c>
    </row>
    <row r="264" spans="1:7" x14ac:dyDescent="0.25">
      <c r="A264" t="s">
        <v>149</v>
      </c>
      <c r="B264" t="s">
        <v>54</v>
      </c>
      <c r="C264" t="s">
        <v>26</v>
      </c>
      <c r="D264" t="s">
        <v>153</v>
      </c>
      <c r="E264">
        <v>0.1171368722490322</v>
      </c>
      <c r="F264" t="s">
        <v>151</v>
      </c>
      <c r="G264">
        <v>0.1171368722490322</v>
      </c>
    </row>
    <row r="265" spans="1:7" x14ac:dyDescent="0.25">
      <c r="A265" t="s">
        <v>149</v>
      </c>
      <c r="B265" t="s">
        <v>54</v>
      </c>
      <c r="C265" t="s">
        <v>27</v>
      </c>
      <c r="D265" t="s">
        <v>153</v>
      </c>
      <c r="E265">
        <v>0.88286312775096776</v>
      </c>
      <c r="F265" t="s">
        <v>151</v>
      </c>
      <c r="G265">
        <v>0.88286312775096776</v>
      </c>
    </row>
    <row r="266" spans="1:7" x14ac:dyDescent="0.25">
      <c r="A266" t="s">
        <v>149</v>
      </c>
      <c r="B266" t="s">
        <v>54</v>
      </c>
      <c r="C266" t="s">
        <v>34</v>
      </c>
      <c r="D266" t="s">
        <v>154</v>
      </c>
      <c r="E266">
        <v>0.45630816353267001</v>
      </c>
      <c r="F266" t="s">
        <v>151</v>
      </c>
      <c r="G266">
        <v>0.45630816353267001</v>
      </c>
    </row>
    <row r="267" spans="1:7" x14ac:dyDescent="0.25">
      <c r="A267" t="s">
        <v>149</v>
      </c>
      <c r="B267" t="s">
        <v>54</v>
      </c>
      <c r="C267" t="s">
        <v>35</v>
      </c>
      <c r="D267" t="s">
        <v>154</v>
      </c>
      <c r="E267">
        <v>4.4370047500516312E-2</v>
      </c>
      <c r="F267" t="s">
        <v>151</v>
      </c>
      <c r="G267">
        <v>4.4370047500516312E-2</v>
      </c>
    </row>
    <row r="268" spans="1:7" x14ac:dyDescent="0.25">
      <c r="A268" t="s">
        <v>149</v>
      </c>
      <c r="B268" t="s">
        <v>54</v>
      </c>
      <c r="C268" t="s">
        <v>36</v>
      </c>
      <c r="D268" t="s">
        <v>154</v>
      </c>
      <c r="E268">
        <v>0.1883750452665103</v>
      </c>
      <c r="F268" t="s">
        <v>151</v>
      </c>
      <c r="G268">
        <v>0.1883750452665103</v>
      </c>
    </row>
    <row r="269" spans="1:7" x14ac:dyDescent="0.25">
      <c r="A269" t="s">
        <v>149</v>
      </c>
      <c r="B269" t="s">
        <v>54</v>
      </c>
      <c r="C269" t="s">
        <v>37</v>
      </c>
      <c r="D269" t="s">
        <v>154</v>
      </c>
      <c r="E269">
        <v>0.22286512267581851</v>
      </c>
      <c r="F269" t="s">
        <v>151</v>
      </c>
      <c r="G269">
        <v>0.22286512267581851</v>
      </c>
    </row>
    <row r="270" spans="1:7" x14ac:dyDescent="0.25">
      <c r="A270" t="s">
        <v>149</v>
      </c>
      <c r="B270" t="s">
        <v>54</v>
      </c>
      <c r="C270" t="s">
        <v>38</v>
      </c>
      <c r="D270" t="s">
        <v>154</v>
      </c>
      <c r="E270">
        <v>8.8081621024484816E-2</v>
      </c>
      <c r="F270" t="s">
        <v>151</v>
      </c>
      <c r="G270">
        <v>8.8081621024484816E-2</v>
      </c>
    </row>
    <row r="271" spans="1:7" x14ac:dyDescent="0.25">
      <c r="A271" t="s">
        <v>149</v>
      </c>
      <c r="B271" t="s">
        <v>54</v>
      </c>
      <c r="C271" t="s">
        <v>45</v>
      </c>
      <c r="D271" t="s">
        <v>155</v>
      </c>
      <c r="E271">
        <v>1</v>
      </c>
      <c r="F271" t="s">
        <v>156</v>
      </c>
      <c r="G271">
        <v>0.72982194479141249</v>
      </c>
    </row>
    <row r="272" spans="1:7" x14ac:dyDescent="0.25">
      <c r="A272" t="s">
        <v>149</v>
      </c>
      <c r="B272" t="s">
        <v>54</v>
      </c>
      <c r="C272" t="s">
        <v>46</v>
      </c>
      <c r="D272" t="s">
        <v>155</v>
      </c>
      <c r="E272">
        <v>0</v>
      </c>
      <c r="F272" t="s">
        <v>156</v>
      </c>
      <c r="G272">
        <v>0.27017805520858751</v>
      </c>
    </row>
    <row r="273" spans="1:7" x14ac:dyDescent="0.25">
      <c r="A273" t="s">
        <v>149</v>
      </c>
      <c r="B273" t="s">
        <v>54</v>
      </c>
      <c r="C273" t="s">
        <v>50</v>
      </c>
      <c r="D273" t="s">
        <v>157</v>
      </c>
      <c r="E273">
        <v>0.42162495143522749</v>
      </c>
      <c r="F273" t="s">
        <v>151</v>
      </c>
      <c r="G273">
        <v>0.42162495143522749</v>
      </c>
    </row>
    <row r="274" spans="1:7" x14ac:dyDescent="0.25">
      <c r="A274" t="s">
        <v>149</v>
      </c>
      <c r="B274" t="s">
        <v>54</v>
      </c>
      <c r="C274" t="s">
        <v>51</v>
      </c>
      <c r="D274" t="s">
        <v>157</v>
      </c>
      <c r="E274">
        <v>0.57837504856477251</v>
      </c>
      <c r="F274" t="s">
        <v>151</v>
      </c>
      <c r="G274">
        <v>0.57837504856477251</v>
      </c>
    </row>
    <row r="275" spans="1:7" x14ac:dyDescent="0.25">
      <c r="A275" t="s">
        <v>149</v>
      </c>
      <c r="B275" t="s">
        <v>56</v>
      </c>
      <c r="C275" t="s">
        <v>1</v>
      </c>
      <c r="D275" t="s">
        <v>150</v>
      </c>
      <c r="E275">
        <v>0.94299868264323294</v>
      </c>
      <c r="F275" t="s">
        <v>151</v>
      </c>
      <c r="G275">
        <v>0.94299868264323294</v>
      </c>
    </row>
    <row r="276" spans="1:7" x14ac:dyDescent="0.25">
      <c r="A276" t="s">
        <v>149</v>
      </c>
      <c r="B276" t="s">
        <v>56</v>
      </c>
      <c r="C276" t="s">
        <v>2</v>
      </c>
      <c r="D276" t="s">
        <v>150</v>
      </c>
      <c r="E276">
        <v>4.1765731369656618E-2</v>
      </c>
      <c r="F276" t="s">
        <v>151</v>
      </c>
      <c r="G276">
        <v>4.1765731369656618E-2</v>
      </c>
    </row>
    <row r="277" spans="1:7" x14ac:dyDescent="0.25">
      <c r="A277" t="s">
        <v>149</v>
      </c>
      <c r="B277" t="s">
        <v>56</v>
      </c>
      <c r="C277" t="s">
        <v>3</v>
      </c>
      <c r="D277" t="s">
        <v>150</v>
      </c>
      <c r="E277">
        <v>1.523558598711041E-2</v>
      </c>
      <c r="F277" t="s">
        <v>151</v>
      </c>
      <c r="G277">
        <v>1.523558598711041E-2</v>
      </c>
    </row>
    <row r="278" spans="1:7" x14ac:dyDescent="0.25">
      <c r="A278" t="s">
        <v>149</v>
      </c>
      <c r="B278" t="s">
        <v>56</v>
      </c>
      <c r="C278" t="s">
        <v>6</v>
      </c>
      <c r="D278" t="s">
        <v>152</v>
      </c>
      <c r="E278">
        <v>0.43273688361237522</v>
      </c>
      <c r="F278" t="s">
        <v>151</v>
      </c>
      <c r="G278">
        <v>0.43273688361237522</v>
      </c>
    </row>
    <row r="279" spans="1:7" x14ac:dyDescent="0.25">
      <c r="A279" t="s">
        <v>149</v>
      </c>
      <c r="B279" t="s">
        <v>56</v>
      </c>
      <c r="C279" t="s">
        <v>7</v>
      </c>
      <c r="D279" t="s">
        <v>152</v>
      </c>
      <c r="E279">
        <v>0.56726311638762483</v>
      </c>
      <c r="F279" t="s">
        <v>151</v>
      </c>
      <c r="G279">
        <v>0.56726311638762483</v>
      </c>
    </row>
    <row r="280" spans="1:7" x14ac:dyDescent="0.25">
      <c r="A280" t="s">
        <v>149</v>
      </c>
      <c r="B280" t="s">
        <v>56</v>
      </c>
      <c r="C280" t="s">
        <v>26</v>
      </c>
      <c r="D280" t="s">
        <v>153</v>
      </c>
      <c r="E280">
        <v>0.1171368722490322</v>
      </c>
      <c r="F280" t="s">
        <v>151</v>
      </c>
      <c r="G280">
        <v>0.1171368722490322</v>
      </c>
    </row>
    <row r="281" spans="1:7" x14ac:dyDescent="0.25">
      <c r="A281" t="s">
        <v>149</v>
      </c>
      <c r="B281" t="s">
        <v>56</v>
      </c>
      <c r="C281" t="s">
        <v>27</v>
      </c>
      <c r="D281" t="s">
        <v>153</v>
      </c>
      <c r="E281">
        <v>0.88286312775096776</v>
      </c>
      <c r="F281" t="s">
        <v>151</v>
      </c>
      <c r="G281">
        <v>0.88286312775096776</v>
      </c>
    </row>
    <row r="282" spans="1:7" x14ac:dyDescent="0.25">
      <c r="A282" t="s">
        <v>149</v>
      </c>
      <c r="B282" t="s">
        <v>56</v>
      </c>
      <c r="C282" t="s">
        <v>34</v>
      </c>
      <c r="D282" t="s">
        <v>154</v>
      </c>
      <c r="E282">
        <v>0.45630816353267001</v>
      </c>
      <c r="F282" t="s">
        <v>151</v>
      </c>
      <c r="G282">
        <v>0.45630816353267001</v>
      </c>
    </row>
    <row r="283" spans="1:7" x14ac:dyDescent="0.25">
      <c r="A283" t="s">
        <v>149</v>
      </c>
      <c r="B283" t="s">
        <v>56</v>
      </c>
      <c r="C283" t="s">
        <v>35</v>
      </c>
      <c r="D283" t="s">
        <v>154</v>
      </c>
      <c r="E283">
        <v>4.4370047500516312E-2</v>
      </c>
      <c r="F283" t="s">
        <v>151</v>
      </c>
      <c r="G283">
        <v>4.4370047500516312E-2</v>
      </c>
    </row>
    <row r="284" spans="1:7" x14ac:dyDescent="0.25">
      <c r="A284" t="s">
        <v>149</v>
      </c>
      <c r="B284" t="s">
        <v>56</v>
      </c>
      <c r="C284" t="s">
        <v>36</v>
      </c>
      <c r="D284" t="s">
        <v>154</v>
      </c>
      <c r="E284">
        <v>0.1883750452665103</v>
      </c>
      <c r="F284" t="s">
        <v>151</v>
      </c>
      <c r="G284">
        <v>0.1883750452665103</v>
      </c>
    </row>
    <row r="285" spans="1:7" x14ac:dyDescent="0.25">
      <c r="A285" t="s">
        <v>149</v>
      </c>
      <c r="B285" t="s">
        <v>56</v>
      </c>
      <c r="C285" t="s">
        <v>37</v>
      </c>
      <c r="D285" t="s">
        <v>154</v>
      </c>
      <c r="E285">
        <v>0.22286512267581851</v>
      </c>
      <c r="F285" t="s">
        <v>151</v>
      </c>
      <c r="G285">
        <v>0.22286512267581851</v>
      </c>
    </row>
    <row r="286" spans="1:7" x14ac:dyDescent="0.25">
      <c r="A286" t="s">
        <v>149</v>
      </c>
      <c r="B286" t="s">
        <v>56</v>
      </c>
      <c r="C286" t="s">
        <v>38</v>
      </c>
      <c r="D286" t="s">
        <v>154</v>
      </c>
      <c r="E286">
        <v>8.8081621024484816E-2</v>
      </c>
      <c r="F286" t="s">
        <v>151</v>
      </c>
      <c r="G286">
        <v>8.8081621024484816E-2</v>
      </c>
    </row>
    <row r="287" spans="1:7" x14ac:dyDescent="0.25">
      <c r="A287" t="s">
        <v>149</v>
      </c>
      <c r="B287" t="s">
        <v>56</v>
      </c>
      <c r="C287" t="s">
        <v>45</v>
      </c>
      <c r="D287" t="s">
        <v>155</v>
      </c>
      <c r="E287">
        <v>1</v>
      </c>
      <c r="F287" t="s">
        <v>156</v>
      </c>
      <c r="G287">
        <v>0.72982194479141249</v>
      </c>
    </row>
    <row r="288" spans="1:7" x14ac:dyDescent="0.25">
      <c r="A288" t="s">
        <v>149</v>
      </c>
      <c r="B288" t="s">
        <v>56</v>
      </c>
      <c r="C288" t="s">
        <v>46</v>
      </c>
      <c r="D288" t="s">
        <v>155</v>
      </c>
      <c r="E288">
        <v>0</v>
      </c>
      <c r="F288" t="s">
        <v>156</v>
      </c>
      <c r="G288">
        <v>0.27017805520858751</v>
      </c>
    </row>
    <row r="289" spans="1:7" x14ac:dyDescent="0.25">
      <c r="A289" t="s">
        <v>149</v>
      </c>
      <c r="B289" t="s">
        <v>56</v>
      </c>
      <c r="C289" t="s">
        <v>50</v>
      </c>
      <c r="D289" t="s">
        <v>157</v>
      </c>
      <c r="E289">
        <v>0.42162495143522749</v>
      </c>
      <c r="F289" t="s">
        <v>151</v>
      </c>
      <c r="G289">
        <v>0.42162495143522749</v>
      </c>
    </row>
    <row r="290" spans="1:7" x14ac:dyDescent="0.25">
      <c r="A290" t="s">
        <v>149</v>
      </c>
      <c r="B290" t="s">
        <v>56</v>
      </c>
      <c r="C290" t="s">
        <v>51</v>
      </c>
      <c r="D290" t="s">
        <v>157</v>
      </c>
      <c r="E290">
        <v>0.57837504856477251</v>
      </c>
      <c r="F290" t="s">
        <v>151</v>
      </c>
      <c r="G290">
        <v>0.57837504856477251</v>
      </c>
    </row>
    <row r="291" spans="1:7" x14ac:dyDescent="0.25">
      <c r="A291" t="s">
        <v>149</v>
      </c>
      <c r="B291" t="s">
        <v>66</v>
      </c>
      <c r="C291" t="s">
        <v>1</v>
      </c>
      <c r="D291" t="s">
        <v>150</v>
      </c>
      <c r="E291">
        <v>0.94299868264323294</v>
      </c>
      <c r="F291" t="s">
        <v>151</v>
      </c>
      <c r="G291">
        <v>0.94299868264323294</v>
      </c>
    </row>
    <row r="292" spans="1:7" x14ac:dyDescent="0.25">
      <c r="A292" t="s">
        <v>149</v>
      </c>
      <c r="B292" t="s">
        <v>66</v>
      </c>
      <c r="C292" t="s">
        <v>2</v>
      </c>
      <c r="D292" t="s">
        <v>150</v>
      </c>
      <c r="E292">
        <v>4.1765731369656618E-2</v>
      </c>
      <c r="F292" t="s">
        <v>151</v>
      </c>
      <c r="G292">
        <v>4.1765731369656618E-2</v>
      </c>
    </row>
    <row r="293" spans="1:7" x14ac:dyDescent="0.25">
      <c r="A293" t="s">
        <v>149</v>
      </c>
      <c r="B293" t="s">
        <v>66</v>
      </c>
      <c r="C293" t="s">
        <v>3</v>
      </c>
      <c r="D293" t="s">
        <v>150</v>
      </c>
      <c r="E293">
        <v>1.523558598711041E-2</v>
      </c>
      <c r="F293" t="s">
        <v>151</v>
      </c>
      <c r="G293">
        <v>1.523558598711041E-2</v>
      </c>
    </row>
    <row r="294" spans="1:7" x14ac:dyDescent="0.25">
      <c r="A294" t="s">
        <v>149</v>
      </c>
      <c r="B294" t="s">
        <v>66</v>
      </c>
      <c r="C294" t="s">
        <v>6</v>
      </c>
      <c r="D294" t="s">
        <v>152</v>
      </c>
      <c r="E294">
        <v>0.43273688361237522</v>
      </c>
      <c r="F294" t="s">
        <v>151</v>
      </c>
      <c r="G294">
        <v>0.43273688361237522</v>
      </c>
    </row>
    <row r="295" spans="1:7" x14ac:dyDescent="0.25">
      <c r="A295" t="s">
        <v>149</v>
      </c>
      <c r="B295" t="s">
        <v>66</v>
      </c>
      <c r="C295" t="s">
        <v>7</v>
      </c>
      <c r="D295" t="s">
        <v>152</v>
      </c>
      <c r="E295">
        <v>0.56726311638762483</v>
      </c>
      <c r="F295" t="s">
        <v>151</v>
      </c>
      <c r="G295">
        <v>0.56726311638762483</v>
      </c>
    </row>
    <row r="296" spans="1:7" x14ac:dyDescent="0.25">
      <c r="A296" t="s">
        <v>149</v>
      </c>
      <c r="B296" t="s">
        <v>66</v>
      </c>
      <c r="C296" t="s">
        <v>26</v>
      </c>
      <c r="D296" t="s">
        <v>153</v>
      </c>
      <c r="E296">
        <v>0.1171368722490322</v>
      </c>
      <c r="F296" t="s">
        <v>151</v>
      </c>
      <c r="G296">
        <v>0.1171368722490322</v>
      </c>
    </row>
    <row r="297" spans="1:7" x14ac:dyDescent="0.25">
      <c r="A297" t="s">
        <v>149</v>
      </c>
      <c r="B297" t="s">
        <v>66</v>
      </c>
      <c r="C297" t="s">
        <v>27</v>
      </c>
      <c r="D297" t="s">
        <v>153</v>
      </c>
      <c r="E297">
        <v>0.88286312775096776</v>
      </c>
      <c r="F297" t="s">
        <v>151</v>
      </c>
      <c r="G297">
        <v>0.88286312775096776</v>
      </c>
    </row>
    <row r="298" spans="1:7" x14ac:dyDescent="0.25">
      <c r="A298" t="s">
        <v>149</v>
      </c>
      <c r="B298" t="s">
        <v>66</v>
      </c>
      <c r="C298" t="s">
        <v>34</v>
      </c>
      <c r="D298" t="s">
        <v>154</v>
      </c>
      <c r="E298">
        <v>0.45630816353267001</v>
      </c>
      <c r="F298" t="s">
        <v>151</v>
      </c>
      <c r="G298">
        <v>0.45630816353267001</v>
      </c>
    </row>
    <row r="299" spans="1:7" x14ac:dyDescent="0.25">
      <c r="A299" t="s">
        <v>149</v>
      </c>
      <c r="B299" t="s">
        <v>66</v>
      </c>
      <c r="C299" t="s">
        <v>35</v>
      </c>
      <c r="D299" t="s">
        <v>154</v>
      </c>
      <c r="E299">
        <v>4.4370047500516312E-2</v>
      </c>
      <c r="F299" t="s">
        <v>151</v>
      </c>
      <c r="G299">
        <v>4.4370047500516312E-2</v>
      </c>
    </row>
    <row r="300" spans="1:7" x14ac:dyDescent="0.25">
      <c r="A300" t="s">
        <v>149</v>
      </c>
      <c r="B300" t="s">
        <v>66</v>
      </c>
      <c r="C300" t="s">
        <v>36</v>
      </c>
      <c r="D300" t="s">
        <v>154</v>
      </c>
      <c r="E300">
        <v>0.1883750452665103</v>
      </c>
      <c r="F300" t="s">
        <v>151</v>
      </c>
      <c r="G300">
        <v>0.1883750452665103</v>
      </c>
    </row>
    <row r="301" spans="1:7" x14ac:dyDescent="0.25">
      <c r="A301" t="s">
        <v>149</v>
      </c>
      <c r="B301" t="s">
        <v>66</v>
      </c>
      <c r="C301" t="s">
        <v>37</v>
      </c>
      <c r="D301" t="s">
        <v>154</v>
      </c>
      <c r="E301">
        <v>0.22286512267581851</v>
      </c>
      <c r="F301" t="s">
        <v>151</v>
      </c>
      <c r="G301">
        <v>0.22286512267581851</v>
      </c>
    </row>
    <row r="302" spans="1:7" x14ac:dyDescent="0.25">
      <c r="A302" t="s">
        <v>149</v>
      </c>
      <c r="B302" t="s">
        <v>66</v>
      </c>
      <c r="C302" t="s">
        <v>38</v>
      </c>
      <c r="D302" t="s">
        <v>154</v>
      </c>
      <c r="E302">
        <v>8.8081621024484816E-2</v>
      </c>
      <c r="F302" t="s">
        <v>151</v>
      </c>
      <c r="G302">
        <v>8.8081621024484816E-2</v>
      </c>
    </row>
    <row r="303" spans="1:7" x14ac:dyDescent="0.25">
      <c r="A303" t="s">
        <v>149</v>
      </c>
      <c r="B303" t="s">
        <v>66</v>
      </c>
      <c r="C303" t="s">
        <v>45</v>
      </c>
      <c r="D303" t="s">
        <v>155</v>
      </c>
      <c r="E303">
        <v>1</v>
      </c>
      <c r="F303" t="s">
        <v>156</v>
      </c>
      <c r="G303">
        <v>0.72982194479141249</v>
      </c>
    </row>
    <row r="304" spans="1:7" x14ac:dyDescent="0.25">
      <c r="A304" t="s">
        <v>149</v>
      </c>
      <c r="B304" t="s">
        <v>66</v>
      </c>
      <c r="C304" t="s">
        <v>46</v>
      </c>
      <c r="D304" t="s">
        <v>155</v>
      </c>
      <c r="E304">
        <v>0</v>
      </c>
      <c r="F304" t="s">
        <v>156</v>
      </c>
      <c r="G304">
        <v>0.27017805520858751</v>
      </c>
    </row>
    <row r="305" spans="1:7" x14ac:dyDescent="0.25">
      <c r="A305" t="s">
        <v>149</v>
      </c>
      <c r="B305" t="s">
        <v>66</v>
      </c>
      <c r="C305" t="s">
        <v>50</v>
      </c>
      <c r="D305" t="s">
        <v>157</v>
      </c>
      <c r="E305">
        <v>0.42162495143522749</v>
      </c>
      <c r="F305" t="s">
        <v>151</v>
      </c>
      <c r="G305">
        <v>0.42162495143522749</v>
      </c>
    </row>
    <row r="306" spans="1:7" x14ac:dyDescent="0.25">
      <c r="A306" t="s">
        <v>149</v>
      </c>
      <c r="B306" t="s">
        <v>66</v>
      </c>
      <c r="C306" t="s">
        <v>51</v>
      </c>
      <c r="D306" t="s">
        <v>157</v>
      </c>
      <c r="E306">
        <v>0.57837504856477251</v>
      </c>
      <c r="F306" t="s">
        <v>151</v>
      </c>
      <c r="G306">
        <v>0.57837504856477251</v>
      </c>
    </row>
    <row r="307" spans="1:7" x14ac:dyDescent="0.25">
      <c r="A307" t="s">
        <v>149</v>
      </c>
      <c r="B307" t="s">
        <v>63</v>
      </c>
      <c r="C307" t="s">
        <v>1</v>
      </c>
      <c r="D307" t="s">
        <v>150</v>
      </c>
      <c r="E307">
        <v>0.94299868264323294</v>
      </c>
      <c r="F307" t="s">
        <v>151</v>
      </c>
      <c r="G307">
        <v>0.94299868264323294</v>
      </c>
    </row>
    <row r="308" spans="1:7" x14ac:dyDescent="0.25">
      <c r="A308" t="s">
        <v>149</v>
      </c>
      <c r="B308" t="s">
        <v>63</v>
      </c>
      <c r="C308" t="s">
        <v>2</v>
      </c>
      <c r="D308" t="s">
        <v>150</v>
      </c>
      <c r="E308">
        <v>4.1765731369656618E-2</v>
      </c>
      <c r="F308" t="s">
        <v>151</v>
      </c>
      <c r="G308">
        <v>4.1765731369656618E-2</v>
      </c>
    </row>
    <row r="309" spans="1:7" x14ac:dyDescent="0.25">
      <c r="A309" t="s">
        <v>149</v>
      </c>
      <c r="B309" t="s">
        <v>63</v>
      </c>
      <c r="C309" t="s">
        <v>3</v>
      </c>
      <c r="D309" t="s">
        <v>150</v>
      </c>
      <c r="E309">
        <v>1.523558598711041E-2</v>
      </c>
      <c r="F309" t="s">
        <v>151</v>
      </c>
      <c r="G309">
        <v>1.523558598711041E-2</v>
      </c>
    </row>
    <row r="310" spans="1:7" x14ac:dyDescent="0.25">
      <c r="A310" t="s">
        <v>149</v>
      </c>
      <c r="B310" t="s">
        <v>63</v>
      </c>
      <c r="C310" t="s">
        <v>6</v>
      </c>
      <c r="D310" t="s">
        <v>152</v>
      </c>
      <c r="E310">
        <v>0.43273688361237522</v>
      </c>
      <c r="F310" t="s">
        <v>151</v>
      </c>
      <c r="G310">
        <v>0.43273688361237522</v>
      </c>
    </row>
    <row r="311" spans="1:7" x14ac:dyDescent="0.25">
      <c r="A311" t="s">
        <v>149</v>
      </c>
      <c r="B311" t="s">
        <v>63</v>
      </c>
      <c r="C311" t="s">
        <v>7</v>
      </c>
      <c r="D311" t="s">
        <v>152</v>
      </c>
      <c r="E311">
        <v>0.56726311638762483</v>
      </c>
      <c r="F311" t="s">
        <v>151</v>
      </c>
      <c r="G311">
        <v>0.56726311638762483</v>
      </c>
    </row>
    <row r="312" spans="1:7" x14ac:dyDescent="0.25">
      <c r="A312" t="s">
        <v>149</v>
      </c>
      <c r="B312" t="s">
        <v>63</v>
      </c>
      <c r="C312" t="s">
        <v>26</v>
      </c>
      <c r="D312" t="s">
        <v>153</v>
      </c>
      <c r="E312">
        <v>0.1171368722490322</v>
      </c>
      <c r="F312" t="s">
        <v>151</v>
      </c>
      <c r="G312">
        <v>0.1171368722490322</v>
      </c>
    </row>
    <row r="313" spans="1:7" x14ac:dyDescent="0.25">
      <c r="A313" t="s">
        <v>149</v>
      </c>
      <c r="B313" t="s">
        <v>63</v>
      </c>
      <c r="C313" t="s">
        <v>27</v>
      </c>
      <c r="D313" t="s">
        <v>153</v>
      </c>
      <c r="E313">
        <v>0.88286312775096776</v>
      </c>
      <c r="F313" t="s">
        <v>151</v>
      </c>
      <c r="G313">
        <v>0.88286312775096776</v>
      </c>
    </row>
    <row r="314" spans="1:7" x14ac:dyDescent="0.25">
      <c r="A314" t="s">
        <v>149</v>
      </c>
      <c r="B314" t="s">
        <v>63</v>
      </c>
      <c r="C314" t="s">
        <v>34</v>
      </c>
      <c r="D314" t="s">
        <v>154</v>
      </c>
      <c r="E314">
        <v>0.45630816353267001</v>
      </c>
      <c r="F314" t="s">
        <v>151</v>
      </c>
      <c r="G314">
        <v>0.45630816353267001</v>
      </c>
    </row>
    <row r="315" spans="1:7" x14ac:dyDescent="0.25">
      <c r="A315" t="s">
        <v>149</v>
      </c>
      <c r="B315" t="s">
        <v>63</v>
      </c>
      <c r="C315" t="s">
        <v>35</v>
      </c>
      <c r="D315" t="s">
        <v>154</v>
      </c>
      <c r="E315">
        <v>4.4370047500516312E-2</v>
      </c>
      <c r="F315" t="s">
        <v>151</v>
      </c>
      <c r="G315">
        <v>4.4370047500516312E-2</v>
      </c>
    </row>
    <row r="316" spans="1:7" x14ac:dyDescent="0.25">
      <c r="A316" t="s">
        <v>149</v>
      </c>
      <c r="B316" t="s">
        <v>63</v>
      </c>
      <c r="C316" t="s">
        <v>36</v>
      </c>
      <c r="D316" t="s">
        <v>154</v>
      </c>
      <c r="E316">
        <v>0.1883750452665103</v>
      </c>
      <c r="F316" t="s">
        <v>151</v>
      </c>
      <c r="G316">
        <v>0.1883750452665103</v>
      </c>
    </row>
    <row r="317" spans="1:7" x14ac:dyDescent="0.25">
      <c r="A317" t="s">
        <v>149</v>
      </c>
      <c r="B317" t="s">
        <v>63</v>
      </c>
      <c r="C317" t="s">
        <v>37</v>
      </c>
      <c r="D317" t="s">
        <v>154</v>
      </c>
      <c r="E317">
        <v>0.22286512267581851</v>
      </c>
      <c r="F317" t="s">
        <v>151</v>
      </c>
      <c r="G317">
        <v>0.22286512267581851</v>
      </c>
    </row>
    <row r="318" spans="1:7" x14ac:dyDescent="0.25">
      <c r="A318" t="s">
        <v>149</v>
      </c>
      <c r="B318" t="s">
        <v>63</v>
      </c>
      <c r="C318" t="s">
        <v>38</v>
      </c>
      <c r="D318" t="s">
        <v>154</v>
      </c>
      <c r="E318">
        <v>8.8081621024484816E-2</v>
      </c>
      <c r="F318" t="s">
        <v>151</v>
      </c>
      <c r="G318">
        <v>8.8081621024484816E-2</v>
      </c>
    </row>
    <row r="319" spans="1:7" x14ac:dyDescent="0.25">
      <c r="A319" t="s">
        <v>149</v>
      </c>
      <c r="B319" t="s">
        <v>63</v>
      </c>
      <c r="C319" t="s">
        <v>45</v>
      </c>
      <c r="D319" t="s">
        <v>155</v>
      </c>
      <c r="E319">
        <v>1</v>
      </c>
      <c r="F319" t="s">
        <v>156</v>
      </c>
      <c r="G319">
        <v>0.72982194479141249</v>
      </c>
    </row>
    <row r="320" spans="1:7" x14ac:dyDescent="0.25">
      <c r="A320" t="s">
        <v>149</v>
      </c>
      <c r="B320" t="s">
        <v>63</v>
      </c>
      <c r="C320" t="s">
        <v>46</v>
      </c>
      <c r="D320" t="s">
        <v>155</v>
      </c>
      <c r="E320">
        <v>0</v>
      </c>
      <c r="F320" t="s">
        <v>156</v>
      </c>
      <c r="G320">
        <v>0.27017805520858751</v>
      </c>
    </row>
    <row r="321" spans="1:7" x14ac:dyDescent="0.25">
      <c r="A321" t="s">
        <v>149</v>
      </c>
      <c r="B321" t="s">
        <v>63</v>
      </c>
      <c r="C321" t="s">
        <v>50</v>
      </c>
      <c r="D321" t="s">
        <v>157</v>
      </c>
      <c r="E321">
        <v>0.42162495143522749</v>
      </c>
      <c r="F321" t="s">
        <v>151</v>
      </c>
      <c r="G321">
        <v>0.42162495143522749</v>
      </c>
    </row>
    <row r="322" spans="1:7" x14ac:dyDescent="0.25">
      <c r="A322" t="s">
        <v>149</v>
      </c>
      <c r="B322" t="s">
        <v>63</v>
      </c>
      <c r="C322" t="s">
        <v>51</v>
      </c>
      <c r="D322" t="s">
        <v>157</v>
      </c>
      <c r="E322">
        <v>0.57837504856477251</v>
      </c>
      <c r="F322" t="s">
        <v>151</v>
      </c>
      <c r="G322">
        <v>0.57837504856477251</v>
      </c>
    </row>
    <row r="323" spans="1:7" x14ac:dyDescent="0.25">
      <c r="A323" t="s">
        <v>149</v>
      </c>
      <c r="B323" t="s">
        <v>74</v>
      </c>
      <c r="C323" t="s">
        <v>1</v>
      </c>
      <c r="D323" t="s">
        <v>150</v>
      </c>
      <c r="E323">
        <v>0.94299868264323294</v>
      </c>
      <c r="F323" t="s">
        <v>151</v>
      </c>
      <c r="G323">
        <v>0.94299868264323294</v>
      </c>
    </row>
    <row r="324" spans="1:7" x14ac:dyDescent="0.25">
      <c r="A324" t="s">
        <v>149</v>
      </c>
      <c r="B324" t="s">
        <v>74</v>
      </c>
      <c r="C324" t="s">
        <v>2</v>
      </c>
      <c r="D324" t="s">
        <v>150</v>
      </c>
      <c r="E324">
        <v>4.1765731369656618E-2</v>
      </c>
      <c r="F324" t="s">
        <v>151</v>
      </c>
      <c r="G324">
        <v>4.1765731369656618E-2</v>
      </c>
    </row>
    <row r="325" spans="1:7" x14ac:dyDescent="0.25">
      <c r="A325" t="s">
        <v>149</v>
      </c>
      <c r="B325" t="s">
        <v>74</v>
      </c>
      <c r="C325" t="s">
        <v>3</v>
      </c>
      <c r="D325" t="s">
        <v>150</v>
      </c>
      <c r="E325">
        <v>1.523558598711041E-2</v>
      </c>
      <c r="F325" t="s">
        <v>151</v>
      </c>
      <c r="G325">
        <v>1.523558598711041E-2</v>
      </c>
    </row>
    <row r="326" spans="1:7" x14ac:dyDescent="0.25">
      <c r="A326" t="s">
        <v>149</v>
      </c>
      <c r="B326" t="s">
        <v>74</v>
      </c>
      <c r="C326" t="s">
        <v>6</v>
      </c>
      <c r="D326" t="s">
        <v>152</v>
      </c>
      <c r="E326">
        <v>0.43273688361237522</v>
      </c>
      <c r="F326" t="s">
        <v>151</v>
      </c>
      <c r="G326">
        <v>0.43273688361237522</v>
      </c>
    </row>
    <row r="327" spans="1:7" x14ac:dyDescent="0.25">
      <c r="A327" t="s">
        <v>149</v>
      </c>
      <c r="B327" t="s">
        <v>74</v>
      </c>
      <c r="C327" t="s">
        <v>7</v>
      </c>
      <c r="D327" t="s">
        <v>152</v>
      </c>
      <c r="E327">
        <v>0.56726311638762483</v>
      </c>
      <c r="F327" t="s">
        <v>151</v>
      </c>
      <c r="G327">
        <v>0.56726311638762483</v>
      </c>
    </row>
    <row r="328" spans="1:7" x14ac:dyDescent="0.25">
      <c r="A328" t="s">
        <v>149</v>
      </c>
      <c r="B328" t="s">
        <v>74</v>
      </c>
      <c r="C328" t="s">
        <v>26</v>
      </c>
      <c r="D328" t="s">
        <v>153</v>
      </c>
      <c r="E328">
        <v>0.1171368722490322</v>
      </c>
      <c r="F328" t="s">
        <v>151</v>
      </c>
      <c r="G328">
        <v>0.1171368722490322</v>
      </c>
    </row>
    <row r="329" spans="1:7" x14ac:dyDescent="0.25">
      <c r="A329" t="s">
        <v>149</v>
      </c>
      <c r="B329" t="s">
        <v>74</v>
      </c>
      <c r="C329" t="s">
        <v>27</v>
      </c>
      <c r="D329" t="s">
        <v>153</v>
      </c>
      <c r="E329">
        <v>0.88286312775096776</v>
      </c>
      <c r="F329" t="s">
        <v>151</v>
      </c>
      <c r="G329">
        <v>0.88286312775096776</v>
      </c>
    </row>
    <row r="330" spans="1:7" x14ac:dyDescent="0.25">
      <c r="A330" t="s">
        <v>149</v>
      </c>
      <c r="B330" t="s">
        <v>74</v>
      </c>
      <c r="C330" t="s">
        <v>34</v>
      </c>
      <c r="D330" t="s">
        <v>154</v>
      </c>
      <c r="E330">
        <v>0.45630816353267001</v>
      </c>
      <c r="F330" t="s">
        <v>151</v>
      </c>
      <c r="G330">
        <v>0.45630816353267001</v>
      </c>
    </row>
    <row r="331" spans="1:7" x14ac:dyDescent="0.25">
      <c r="A331" t="s">
        <v>149</v>
      </c>
      <c r="B331" t="s">
        <v>74</v>
      </c>
      <c r="C331" t="s">
        <v>35</v>
      </c>
      <c r="D331" t="s">
        <v>154</v>
      </c>
      <c r="E331">
        <v>4.4370047500516312E-2</v>
      </c>
      <c r="F331" t="s">
        <v>151</v>
      </c>
      <c r="G331">
        <v>4.4370047500516312E-2</v>
      </c>
    </row>
    <row r="332" spans="1:7" x14ac:dyDescent="0.25">
      <c r="A332" t="s">
        <v>149</v>
      </c>
      <c r="B332" t="s">
        <v>74</v>
      </c>
      <c r="C332" t="s">
        <v>36</v>
      </c>
      <c r="D332" t="s">
        <v>154</v>
      </c>
      <c r="E332">
        <v>0.1883750452665103</v>
      </c>
      <c r="F332" t="s">
        <v>151</v>
      </c>
      <c r="G332">
        <v>0.1883750452665103</v>
      </c>
    </row>
    <row r="333" spans="1:7" x14ac:dyDescent="0.25">
      <c r="A333" t="s">
        <v>149</v>
      </c>
      <c r="B333" t="s">
        <v>74</v>
      </c>
      <c r="C333" t="s">
        <v>37</v>
      </c>
      <c r="D333" t="s">
        <v>154</v>
      </c>
      <c r="E333">
        <v>0.22286512267581851</v>
      </c>
      <c r="F333" t="s">
        <v>151</v>
      </c>
      <c r="G333">
        <v>0.22286512267581851</v>
      </c>
    </row>
    <row r="334" spans="1:7" x14ac:dyDescent="0.25">
      <c r="A334" t="s">
        <v>149</v>
      </c>
      <c r="B334" t="s">
        <v>74</v>
      </c>
      <c r="C334" t="s">
        <v>38</v>
      </c>
      <c r="D334" t="s">
        <v>154</v>
      </c>
      <c r="E334">
        <v>8.8081621024484816E-2</v>
      </c>
      <c r="F334" t="s">
        <v>151</v>
      </c>
      <c r="G334">
        <v>8.8081621024484816E-2</v>
      </c>
    </row>
    <row r="335" spans="1:7" x14ac:dyDescent="0.25">
      <c r="A335" t="s">
        <v>149</v>
      </c>
      <c r="B335" t="s">
        <v>74</v>
      </c>
      <c r="C335" t="s">
        <v>45</v>
      </c>
      <c r="D335" t="s">
        <v>155</v>
      </c>
      <c r="E335">
        <v>1</v>
      </c>
      <c r="F335" t="s">
        <v>156</v>
      </c>
      <c r="G335">
        <v>0.72982194479141249</v>
      </c>
    </row>
    <row r="336" spans="1:7" x14ac:dyDescent="0.25">
      <c r="A336" t="s">
        <v>149</v>
      </c>
      <c r="B336" t="s">
        <v>74</v>
      </c>
      <c r="C336" t="s">
        <v>46</v>
      </c>
      <c r="D336" t="s">
        <v>155</v>
      </c>
      <c r="E336">
        <v>0</v>
      </c>
      <c r="F336" t="s">
        <v>156</v>
      </c>
      <c r="G336">
        <v>0.27017805520858751</v>
      </c>
    </row>
    <row r="337" spans="1:7" x14ac:dyDescent="0.25">
      <c r="A337" t="s">
        <v>149</v>
      </c>
      <c r="B337" t="s">
        <v>74</v>
      </c>
      <c r="C337" t="s">
        <v>50</v>
      </c>
      <c r="D337" t="s">
        <v>157</v>
      </c>
      <c r="E337">
        <v>0.42162495143522749</v>
      </c>
      <c r="F337" t="s">
        <v>151</v>
      </c>
      <c r="G337">
        <v>0.42162495143522749</v>
      </c>
    </row>
    <row r="338" spans="1:7" x14ac:dyDescent="0.25">
      <c r="A338" t="s">
        <v>149</v>
      </c>
      <c r="B338" t="s">
        <v>74</v>
      </c>
      <c r="C338" t="s">
        <v>51</v>
      </c>
      <c r="D338" t="s">
        <v>157</v>
      </c>
      <c r="E338">
        <v>0.57837504856477251</v>
      </c>
      <c r="F338" t="s">
        <v>151</v>
      </c>
      <c r="G338">
        <v>0.57837504856477251</v>
      </c>
    </row>
    <row r="339" spans="1:7" x14ac:dyDescent="0.25">
      <c r="A339" t="s">
        <v>149</v>
      </c>
      <c r="B339" t="s">
        <v>59</v>
      </c>
      <c r="C339" t="s">
        <v>1</v>
      </c>
      <c r="D339" t="s">
        <v>150</v>
      </c>
      <c r="E339">
        <v>0.94299868264323294</v>
      </c>
      <c r="F339" t="s">
        <v>151</v>
      </c>
      <c r="G339">
        <v>0.94299868264323294</v>
      </c>
    </row>
    <row r="340" spans="1:7" x14ac:dyDescent="0.25">
      <c r="A340" t="s">
        <v>149</v>
      </c>
      <c r="B340" t="s">
        <v>59</v>
      </c>
      <c r="C340" t="s">
        <v>2</v>
      </c>
      <c r="D340" t="s">
        <v>150</v>
      </c>
      <c r="E340">
        <v>4.1765731369656618E-2</v>
      </c>
      <c r="F340" t="s">
        <v>151</v>
      </c>
      <c r="G340">
        <v>4.1765731369656618E-2</v>
      </c>
    </row>
    <row r="341" spans="1:7" x14ac:dyDescent="0.25">
      <c r="A341" t="s">
        <v>149</v>
      </c>
      <c r="B341" t="s">
        <v>59</v>
      </c>
      <c r="C341" t="s">
        <v>3</v>
      </c>
      <c r="D341" t="s">
        <v>150</v>
      </c>
      <c r="E341">
        <v>1.523558598711041E-2</v>
      </c>
      <c r="F341" t="s">
        <v>151</v>
      </c>
      <c r="G341">
        <v>1.523558598711041E-2</v>
      </c>
    </row>
    <row r="342" spans="1:7" x14ac:dyDescent="0.25">
      <c r="A342" t="s">
        <v>149</v>
      </c>
      <c r="B342" t="s">
        <v>59</v>
      </c>
      <c r="C342" t="s">
        <v>6</v>
      </c>
      <c r="D342" t="s">
        <v>152</v>
      </c>
      <c r="E342">
        <v>0.43273688361237522</v>
      </c>
      <c r="F342" t="s">
        <v>151</v>
      </c>
      <c r="G342">
        <v>0.43273688361237522</v>
      </c>
    </row>
    <row r="343" spans="1:7" x14ac:dyDescent="0.25">
      <c r="A343" t="s">
        <v>149</v>
      </c>
      <c r="B343" t="s">
        <v>59</v>
      </c>
      <c r="C343" t="s">
        <v>7</v>
      </c>
      <c r="D343" t="s">
        <v>152</v>
      </c>
      <c r="E343">
        <v>0.56726311638762483</v>
      </c>
      <c r="F343" t="s">
        <v>151</v>
      </c>
      <c r="G343">
        <v>0.56726311638762483</v>
      </c>
    </row>
    <row r="344" spans="1:7" x14ac:dyDescent="0.25">
      <c r="A344" t="s">
        <v>149</v>
      </c>
      <c r="B344" t="s">
        <v>59</v>
      </c>
      <c r="C344" t="s">
        <v>26</v>
      </c>
      <c r="D344" t="s">
        <v>153</v>
      </c>
      <c r="E344">
        <v>0.1171368722490322</v>
      </c>
      <c r="F344" t="s">
        <v>151</v>
      </c>
      <c r="G344">
        <v>0.1171368722490322</v>
      </c>
    </row>
    <row r="345" spans="1:7" x14ac:dyDescent="0.25">
      <c r="A345" t="s">
        <v>149</v>
      </c>
      <c r="B345" t="s">
        <v>59</v>
      </c>
      <c r="C345" t="s">
        <v>27</v>
      </c>
      <c r="D345" t="s">
        <v>153</v>
      </c>
      <c r="E345">
        <v>0.88286312775096776</v>
      </c>
      <c r="F345" t="s">
        <v>151</v>
      </c>
      <c r="G345">
        <v>0.88286312775096776</v>
      </c>
    </row>
    <row r="346" spans="1:7" x14ac:dyDescent="0.25">
      <c r="A346" t="s">
        <v>149</v>
      </c>
      <c r="B346" t="s">
        <v>59</v>
      </c>
      <c r="C346" t="s">
        <v>34</v>
      </c>
      <c r="D346" t="s">
        <v>154</v>
      </c>
      <c r="E346">
        <v>0.45630816353267001</v>
      </c>
      <c r="F346" t="s">
        <v>151</v>
      </c>
      <c r="G346">
        <v>0.45630816353267001</v>
      </c>
    </row>
    <row r="347" spans="1:7" x14ac:dyDescent="0.25">
      <c r="A347" t="s">
        <v>149</v>
      </c>
      <c r="B347" t="s">
        <v>59</v>
      </c>
      <c r="C347" t="s">
        <v>35</v>
      </c>
      <c r="D347" t="s">
        <v>154</v>
      </c>
      <c r="E347">
        <v>4.4370047500516312E-2</v>
      </c>
      <c r="F347" t="s">
        <v>151</v>
      </c>
      <c r="G347">
        <v>4.4370047500516312E-2</v>
      </c>
    </row>
    <row r="348" spans="1:7" x14ac:dyDescent="0.25">
      <c r="A348" t="s">
        <v>149</v>
      </c>
      <c r="B348" t="s">
        <v>59</v>
      </c>
      <c r="C348" t="s">
        <v>36</v>
      </c>
      <c r="D348" t="s">
        <v>154</v>
      </c>
      <c r="E348">
        <v>0.1883750452665103</v>
      </c>
      <c r="F348" t="s">
        <v>151</v>
      </c>
      <c r="G348">
        <v>0.1883750452665103</v>
      </c>
    </row>
    <row r="349" spans="1:7" x14ac:dyDescent="0.25">
      <c r="A349" t="s">
        <v>149</v>
      </c>
      <c r="B349" t="s">
        <v>59</v>
      </c>
      <c r="C349" t="s">
        <v>37</v>
      </c>
      <c r="D349" t="s">
        <v>154</v>
      </c>
      <c r="E349">
        <v>0.22286512267581851</v>
      </c>
      <c r="F349" t="s">
        <v>151</v>
      </c>
      <c r="G349">
        <v>0.22286512267581851</v>
      </c>
    </row>
    <row r="350" spans="1:7" x14ac:dyDescent="0.25">
      <c r="A350" t="s">
        <v>149</v>
      </c>
      <c r="B350" t="s">
        <v>59</v>
      </c>
      <c r="C350" t="s">
        <v>38</v>
      </c>
      <c r="D350" t="s">
        <v>154</v>
      </c>
      <c r="E350">
        <v>8.8081621024484816E-2</v>
      </c>
      <c r="F350" t="s">
        <v>151</v>
      </c>
      <c r="G350">
        <v>8.8081621024484816E-2</v>
      </c>
    </row>
    <row r="351" spans="1:7" x14ac:dyDescent="0.25">
      <c r="A351" t="s">
        <v>149</v>
      </c>
      <c r="B351" t="s">
        <v>59</v>
      </c>
      <c r="C351" t="s">
        <v>45</v>
      </c>
      <c r="D351" t="s">
        <v>155</v>
      </c>
      <c r="E351">
        <v>1</v>
      </c>
      <c r="F351" t="s">
        <v>156</v>
      </c>
      <c r="G351">
        <v>0.72982194479141249</v>
      </c>
    </row>
    <row r="352" spans="1:7" x14ac:dyDescent="0.25">
      <c r="A352" t="s">
        <v>149</v>
      </c>
      <c r="B352" t="s">
        <v>59</v>
      </c>
      <c r="C352" t="s">
        <v>46</v>
      </c>
      <c r="D352" t="s">
        <v>155</v>
      </c>
      <c r="E352">
        <v>0</v>
      </c>
      <c r="F352" t="s">
        <v>156</v>
      </c>
      <c r="G352">
        <v>0.27017805520858751</v>
      </c>
    </row>
    <row r="353" spans="1:7" x14ac:dyDescent="0.25">
      <c r="A353" t="s">
        <v>149</v>
      </c>
      <c r="B353" t="s">
        <v>59</v>
      </c>
      <c r="C353" t="s">
        <v>50</v>
      </c>
      <c r="D353" t="s">
        <v>157</v>
      </c>
      <c r="E353">
        <v>0.42162495143522749</v>
      </c>
      <c r="F353" t="s">
        <v>151</v>
      </c>
      <c r="G353">
        <v>0.42162495143522749</v>
      </c>
    </row>
    <row r="354" spans="1:7" x14ac:dyDescent="0.25">
      <c r="A354" t="s">
        <v>149</v>
      </c>
      <c r="B354" t="s">
        <v>59</v>
      </c>
      <c r="C354" t="s">
        <v>51</v>
      </c>
      <c r="D354" t="s">
        <v>157</v>
      </c>
      <c r="E354">
        <v>0.57837504856477251</v>
      </c>
      <c r="F354" t="s">
        <v>151</v>
      </c>
      <c r="G354">
        <v>0.57837504856477251</v>
      </c>
    </row>
    <row r="355" spans="1:7" x14ac:dyDescent="0.25">
      <c r="A355" t="s">
        <v>149</v>
      </c>
      <c r="B355" t="s">
        <v>60</v>
      </c>
      <c r="C355" t="s">
        <v>1</v>
      </c>
      <c r="D355" t="s">
        <v>150</v>
      </c>
      <c r="E355">
        <v>0.94299868264323294</v>
      </c>
      <c r="F355" t="s">
        <v>151</v>
      </c>
      <c r="G355">
        <v>0.94299868264323294</v>
      </c>
    </row>
    <row r="356" spans="1:7" x14ac:dyDescent="0.25">
      <c r="A356" t="s">
        <v>149</v>
      </c>
      <c r="B356" t="s">
        <v>60</v>
      </c>
      <c r="C356" t="s">
        <v>2</v>
      </c>
      <c r="D356" t="s">
        <v>150</v>
      </c>
      <c r="E356">
        <v>4.1765731369656618E-2</v>
      </c>
      <c r="F356" t="s">
        <v>151</v>
      </c>
      <c r="G356">
        <v>4.1765731369656618E-2</v>
      </c>
    </row>
    <row r="357" spans="1:7" x14ac:dyDescent="0.25">
      <c r="A357" t="s">
        <v>149</v>
      </c>
      <c r="B357" t="s">
        <v>60</v>
      </c>
      <c r="C357" t="s">
        <v>3</v>
      </c>
      <c r="D357" t="s">
        <v>150</v>
      </c>
      <c r="E357">
        <v>1.523558598711041E-2</v>
      </c>
      <c r="F357" t="s">
        <v>151</v>
      </c>
      <c r="G357">
        <v>1.523558598711041E-2</v>
      </c>
    </row>
    <row r="358" spans="1:7" x14ac:dyDescent="0.25">
      <c r="A358" t="s">
        <v>149</v>
      </c>
      <c r="B358" t="s">
        <v>60</v>
      </c>
      <c r="C358" t="s">
        <v>6</v>
      </c>
      <c r="D358" t="s">
        <v>152</v>
      </c>
      <c r="E358">
        <v>0.43273688361237522</v>
      </c>
      <c r="F358" t="s">
        <v>151</v>
      </c>
      <c r="G358">
        <v>0.43273688361237522</v>
      </c>
    </row>
    <row r="359" spans="1:7" x14ac:dyDescent="0.25">
      <c r="A359" t="s">
        <v>149</v>
      </c>
      <c r="B359" t="s">
        <v>60</v>
      </c>
      <c r="C359" t="s">
        <v>7</v>
      </c>
      <c r="D359" t="s">
        <v>152</v>
      </c>
      <c r="E359">
        <v>0.56726311638762483</v>
      </c>
      <c r="F359" t="s">
        <v>151</v>
      </c>
      <c r="G359">
        <v>0.56726311638762483</v>
      </c>
    </row>
    <row r="360" spans="1:7" x14ac:dyDescent="0.25">
      <c r="A360" t="s">
        <v>149</v>
      </c>
      <c r="B360" t="s">
        <v>60</v>
      </c>
      <c r="C360" t="s">
        <v>26</v>
      </c>
      <c r="D360" t="s">
        <v>153</v>
      </c>
      <c r="E360">
        <v>0.1171368722490322</v>
      </c>
      <c r="F360" t="s">
        <v>151</v>
      </c>
      <c r="G360">
        <v>0.1171368722490322</v>
      </c>
    </row>
    <row r="361" spans="1:7" x14ac:dyDescent="0.25">
      <c r="A361" t="s">
        <v>149</v>
      </c>
      <c r="B361" t="s">
        <v>60</v>
      </c>
      <c r="C361" t="s">
        <v>27</v>
      </c>
      <c r="D361" t="s">
        <v>153</v>
      </c>
      <c r="E361">
        <v>0.88286312775096776</v>
      </c>
      <c r="F361" t="s">
        <v>151</v>
      </c>
      <c r="G361">
        <v>0.88286312775096776</v>
      </c>
    </row>
    <row r="362" spans="1:7" x14ac:dyDescent="0.25">
      <c r="A362" t="s">
        <v>149</v>
      </c>
      <c r="B362" t="s">
        <v>60</v>
      </c>
      <c r="C362" t="s">
        <v>34</v>
      </c>
      <c r="D362" t="s">
        <v>154</v>
      </c>
      <c r="E362">
        <v>0.45630816353267001</v>
      </c>
      <c r="F362" t="s">
        <v>151</v>
      </c>
      <c r="G362">
        <v>0.45630816353267001</v>
      </c>
    </row>
    <row r="363" spans="1:7" x14ac:dyDescent="0.25">
      <c r="A363" t="s">
        <v>149</v>
      </c>
      <c r="B363" t="s">
        <v>60</v>
      </c>
      <c r="C363" t="s">
        <v>35</v>
      </c>
      <c r="D363" t="s">
        <v>154</v>
      </c>
      <c r="E363">
        <v>4.4370047500516312E-2</v>
      </c>
      <c r="F363" t="s">
        <v>151</v>
      </c>
      <c r="G363">
        <v>4.4370047500516312E-2</v>
      </c>
    </row>
    <row r="364" spans="1:7" x14ac:dyDescent="0.25">
      <c r="A364" t="s">
        <v>149</v>
      </c>
      <c r="B364" t="s">
        <v>60</v>
      </c>
      <c r="C364" t="s">
        <v>36</v>
      </c>
      <c r="D364" t="s">
        <v>154</v>
      </c>
      <c r="E364">
        <v>0.1883750452665103</v>
      </c>
      <c r="F364" t="s">
        <v>151</v>
      </c>
      <c r="G364">
        <v>0.1883750452665103</v>
      </c>
    </row>
    <row r="365" spans="1:7" x14ac:dyDescent="0.25">
      <c r="A365" t="s">
        <v>149</v>
      </c>
      <c r="B365" t="s">
        <v>60</v>
      </c>
      <c r="C365" t="s">
        <v>37</v>
      </c>
      <c r="D365" t="s">
        <v>154</v>
      </c>
      <c r="E365">
        <v>0.22286512267581851</v>
      </c>
      <c r="F365" t="s">
        <v>151</v>
      </c>
      <c r="G365">
        <v>0.22286512267581851</v>
      </c>
    </row>
    <row r="366" spans="1:7" x14ac:dyDescent="0.25">
      <c r="A366" t="s">
        <v>149</v>
      </c>
      <c r="B366" t="s">
        <v>60</v>
      </c>
      <c r="C366" t="s">
        <v>38</v>
      </c>
      <c r="D366" t="s">
        <v>154</v>
      </c>
      <c r="E366">
        <v>8.8081621024484816E-2</v>
      </c>
      <c r="F366" t="s">
        <v>151</v>
      </c>
      <c r="G366">
        <v>8.8081621024484816E-2</v>
      </c>
    </row>
    <row r="367" spans="1:7" x14ac:dyDescent="0.25">
      <c r="A367" t="s">
        <v>149</v>
      </c>
      <c r="B367" t="s">
        <v>60</v>
      </c>
      <c r="C367" t="s">
        <v>45</v>
      </c>
      <c r="D367" t="s">
        <v>155</v>
      </c>
      <c r="E367">
        <v>1</v>
      </c>
      <c r="F367" t="s">
        <v>156</v>
      </c>
      <c r="G367">
        <v>0.72982194479141249</v>
      </c>
    </row>
    <row r="368" spans="1:7" x14ac:dyDescent="0.25">
      <c r="A368" t="s">
        <v>149</v>
      </c>
      <c r="B368" t="s">
        <v>60</v>
      </c>
      <c r="C368" t="s">
        <v>46</v>
      </c>
      <c r="D368" t="s">
        <v>155</v>
      </c>
      <c r="E368">
        <v>0</v>
      </c>
      <c r="F368" t="s">
        <v>156</v>
      </c>
      <c r="G368">
        <v>0.27017805520858751</v>
      </c>
    </row>
    <row r="369" spans="1:7" x14ac:dyDescent="0.25">
      <c r="A369" t="s">
        <v>149</v>
      </c>
      <c r="B369" t="s">
        <v>60</v>
      </c>
      <c r="C369" t="s">
        <v>50</v>
      </c>
      <c r="D369" t="s">
        <v>157</v>
      </c>
      <c r="E369">
        <v>0.42162495143522749</v>
      </c>
      <c r="F369" t="s">
        <v>151</v>
      </c>
      <c r="G369">
        <v>0.42162495143522749</v>
      </c>
    </row>
    <row r="370" spans="1:7" x14ac:dyDescent="0.25">
      <c r="A370" t="s">
        <v>149</v>
      </c>
      <c r="B370" t="s">
        <v>60</v>
      </c>
      <c r="C370" t="s">
        <v>51</v>
      </c>
      <c r="D370" t="s">
        <v>157</v>
      </c>
      <c r="E370">
        <v>0.57837504856477251</v>
      </c>
      <c r="F370" t="s">
        <v>151</v>
      </c>
      <c r="G370">
        <v>0.57837504856477251</v>
      </c>
    </row>
    <row r="371" spans="1:7" x14ac:dyDescent="0.25">
      <c r="A371" t="s">
        <v>149</v>
      </c>
      <c r="B371" t="s">
        <v>58</v>
      </c>
      <c r="C371" t="s">
        <v>1</v>
      </c>
      <c r="D371" t="s">
        <v>150</v>
      </c>
      <c r="E371">
        <v>0.94299868264323294</v>
      </c>
      <c r="F371" t="s">
        <v>151</v>
      </c>
      <c r="G371">
        <v>0.94299868264323294</v>
      </c>
    </row>
    <row r="372" spans="1:7" x14ac:dyDescent="0.25">
      <c r="A372" t="s">
        <v>149</v>
      </c>
      <c r="B372" t="s">
        <v>58</v>
      </c>
      <c r="C372" t="s">
        <v>2</v>
      </c>
      <c r="D372" t="s">
        <v>150</v>
      </c>
      <c r="E372">
        <v>4.1765731369656618E-2</v>
      </c>
      <c r="F372" t="s">
        <v>151</v>
      </c>
      <c r="G372">
        <v>4.1765731369656618E-2</v>
      </c>
    </row>
    <row r="373" spans="1:7" x14ac:dyDescent="0.25">
      <c r="A373" t="s">
        <v>149</v>
      </c>
      <c r="B373" t="s">
        <v>58</v>
      </c>
      <c r="C373" t="s">
        <v>3</v>
      </c>
      <c r="D373" t="s">
        <v>150</v>
      </c>
      <c r="E373">
        <v>1.523558598711041E-2</v>
      </c>
      <c r="F373" t="s">
        <v>151</v>
      </c>
      <c r="G373">
        <v>1.523558598711041E-2</v>
      </c>
    </row>
    <row r="374" spans="1:7" x14ac:dyDescent="0.25">
      <c r="A374" t="s">
        <v>149</v>
      </c>
      <c r="B374" t="s">
        <v>58</v>
      </c>
      <c r="C374" t="s">
        <v>6</v>
      </c>
      <c r="D374" t="s">
        <v>152</v>
      </c>
      <c r="E374">
        <v>0.43273688361237522</v>
      </c>
      <c r="F374" t="s">
        <v>151</v>
      </c>
      <c r="G374">
        <v>0.43273688361237522</v>
      </c>
    </row>
    <row r="375" spans="1:7" x14ac:dyDescent="0.25">
      <c r="A375" t="s">
        <v>149</v>
      </c>
      <c r="B375" t="s">
        <v>58</v>
      </c>
      <c r="C375" t="s">
        <v>7</v>
      </c>
      <c r="D375" t="s">
        <v>152</v>
      </c>
      <c r="E375">
        <v>0.56726311638762483</v>
      </c>
      <c r="F375" t="s">
        <v>151</v>
      </c>
      <c r="G375">
        <v>0.56726311638762483</v>
      </c>
    </row>
    <row r="376" spans="1:7" x14ac:dyDescent="0.25">
      <c r="A376" t="s">
        <v>149</v>
      </c>
      <c r="B376" t="s">
        <v>58</v>
      </c>
      <c r="C376" t="s">
        <v>26</v>
      </c>
      <c r="D376" t="s">
        <v>153</v>
      </c>
      <c r="E376">
        <v>0.1171368722490322</v>
      </c>
      <c r="F376" t="s">
        <v>151</v>
      </c>
      <c r="G376">
        <v>0.1171368722490322</v>
      </c>
    </row>
    <row r="377" spans="1:7" x14ac:dyDescent="0.25">
      <c r="A377" t="s">
        <v>149</v>
      </c>
      <c r="B377" t="s">
        <v>58</v>
      </c>
      <c r="C377" t="s">
        <v>27</v>
      </c>
      <c r="D377" t="s">
        <v>153</v>
      </c>
      <c r="E377">
        <v>0.88286312775096776</v>
      </c>
      <c r="F377" t="s">
        <v>151</v>
      </c>
      <c r="G377">
        <v>0.88286312775096776</v>
      </c>
    </row>
    <row r="378" spans="1:7" x14ac:dyDescent="0.25">
      <c r="A378" t="s">
        <v>149</v>
      </c>
      <c r="B378" t="s">
        <v>58</v>
      </c>
      <c r="C378" t="s">
        <v>34</v>
      </c>
      <c r="D378" t="s">
        <v>154</v>
      </c>
      <c r="E378">
        <v>0.45630816353267001</v>
      </c>
      <c r="F378" t="s">
        <v>151</v>
      </c>
      <c r="G378">
        <v>0.45630816353267001</v>
      </c>
    </row>
    <row r="379" spans="1:7" x14ac:dyDescent="0.25">
      <c r="A379" t="s">
        <v>149</v>
      </c>
      <c r="B379" t="s">
        <v>58</v>
      </c>
      <c r="C379" t="s">
        <v>35</v>
      </c>
      <c r="D379" t="s">
        <v>154</v>
      </c>
      <c r="E379">
        <v>4.4370047500516312E-2</v>
      </c>
      <c r="F379" t="s">
        <v>151</v>
      </c>
      <c r="G379">
        <v>4.4370047500516312E-2</v>
      </c>
    </row>
    <row r="380" spans="1:7" x14ac:dyDescent="0.25">
      <c r="A380" t="s">
        <v>149</v>
      </c>
      <c r="B380" t="s">
        <v>58</v>
      </c>
      <c r="C380" t="s">
        <v>36</v>
      </c>
      <c r="D380" t="s">
        <v>154</v>
      </c>
      <c r="E380">
        <v>0.1883750452665103</v>
      </c>
      <c r="F380" t="s">
        <v>151</v>
      </c>
      <c r="G380">
        <v>0.1883750452665103</v>
      </c>
    </row>
    <row r="381" spans="1:7" x14ac:dyDescent="0.25">
      <c r="A381" t="s">
        <v>149</v>
      </c>
      <c r="B381" t="s">
        <v>58</v>
      </c>
      <c r="C381" t="s">
        <v>37</v>
      </c>
      <c r="D381" t="s">
        <v>154</v>
      </c>
      <c r="E381">
        <v>0.22286512267581851</v>
      </c>
      <c r="F381" t="s">
        <v>151</v>
      </c>
      <c r="G381">
        <v>0.22286512267581851</v>
      </c>
    </row>
    <row r="382" spans="1:7" x14ac:dyDescent="0.25">
      <c r="A382" t="s">
        <v>149</v>
      </c>
      <c r="B382" t="s">
        <v>58</v>
      </c>
      <c r="C382" t="s">
        <v>38</v>
      </c>
      <c r="D382" t="s">
        <v>154</v>
      </c>
      <c r="E382">
        <v>8.8081621024484816E-2</v>
      </c>
      <c r="F382" t="s">
        <v>151</v>
      </c>
      <c r="G382">
        <v>8.8081621024484816E-2</v>
      </c>
    </row>
    <row r="383" spans="1:7" x14ac:dyDescent="0.25">
      <c r="A383" t="s">
        <v>149</v>
      </c>
      <c r="B383" t="s">
        <v>58</v>
      </c>
      <c r="C383" t="s">
        <v>45</v>
      </c>
      <c r="D383" t="s">
        <v>155</v>
      </c>
      <c r="E383">
        <v>1</v>
      </c>
      <c r="F383" t="s">
        <v>156</v>
      </c>
      <c r="G383">
        <v>0.72982194479141249</v>
      </c>
    </row>
    <row r="384" spans="1:7" x14ac:dyDescent="0.25">
      <c r="A384" t="s">
        <v>149</v>
      </c>
      <c r="B384" t="s">
        <v>58</v>
      </c>
      <c r="C384" t="s">
        <v>46</v>
      </c>
      <c r="D384" t="s">
        <v>155</v>
      </c>
      <c r="E384">
        <v>0</v>
      </c>
      <c r="F384" t="s">
        <v>156</v>
      </c>
      <c r="G384">
        <v>0.27017805520858751</v>
      </c>
    </row>
    <row r="385" spans="1:7" x14ac:dyDescent="0.25">
      <c r="A385" t="s">
        <v>149</v>
      </c>
      <c r="B385" t="s">
        <v>58</v>
      </c>
      <c r="C385" t="s">
        <v>50</v>
      </c>
      <c r="D385" t="s">
        <v>157</v>
      </c>
      <c r="E385">
        <v>0.42162495143522749</v>
      </c>
      <c r="F385" t="s">
        <v>151</v>
      </c>
      <c r="G385">
        <v>0.42162495143522749</v>
      </c>
    </row>
    <row r="386" spans="1:7" x14ac:dyDescent="0.25">
      <c r="A386" t="s">
        <v>149</v>
      </c>
      <c r="B386" t="s">
        <v>58</v>
      </c>
      <c r="C386" t="s">
        <v>51</v>
      </c>
      <c r="D386" t="s">
        <v>157</v>
      </c>
      <c r="E386">
        <v>0.57837504856477251</v>
      </c>
      <c r="F386" t="s">
        <v>151</v>
      </c>
      <c r="G386">
        <v>0.57837504856477251</v>
      </c>
    </row>
    <row r="387" spans="1:7" x14ac:dyDescent="0.25">
      <c r="A387" t="s">
        <v>158</v>
      </c>
      <c r="B387" t="s">
        <v>61</v>
      </c>
      <c r="C387" t="s">
        <v>1</v>
      </c>
      <c r="D387" t="s">
        <v>150</v>
      </c>
      <c r="E387">
        <v>0.94299868264323294</v>
      </c>
      <c r="F387" t="s">
        <v>151</v>
      </c>
      <c r="G387">
        <v>0.94299868264323294</v>
      </c>
    </row>
    <row r="388" spans="1:7" x14ac:dyDescent="0.25">
      <c r="A388" t="s">
        <v>158</v>
      </c>
      <c r="B388" t="s">
        <v>61</v>
      </c>
      <c r="C388" t="s">
        <v>2</v>
      </c>
      <c r="D388" t="s">
        <v>150</v>
      </c>
      <c r="E388">
        <v>4.1765731369656618E-2</v>
      </c>
      <c r="F388" t="s">
        <v>151</v>
      </c>
      <c r="G388">
        <v>4.1765731369656618E-2</v>
      </c>
    </row>
    <row r="389" spans="1:7" x14ac:dyDescent="0.25">
      <c r="A389" t="s">
        <v>158</v>
      </c>
      <c r="B389" t="s">
        <v>61</v>
      </c>
      <c r="C389" t="s">
        <v>3</v>
      </c>
      <c r="D389" t="s">
        <v>150</v>
      </c>
      <c r="E389">
        <v>1.523558598711041E-2</v>
      </c>
      <c r="F389" t="s">
        <v>151</v>
      </c>
      <c r="G389">
        <v>1.523558598711041E-2</v>
      </c>
    </row>
    <row r="390" spans="1:7" x14ac:dyDescent="0.25">
      <c r="A390" t="s">
        <v>158</v>
      </c>
      <c r="B390" t="s">
        <v>61</v>
      </c>
      <c r="C390" t="s">
        <v>6</v>
      </c>
      <c r="D390" t="s">
        <v>152</v>
      </c>
      <c r="E390">
        <v>0.43273688361237522</v>
      </c>
      <c r="F390" t="s">
        <v>151</v>
      </c>
      <c r="G390">
        <v>0.43273688361237522</v>
      </c>
    </row>
    <row r="391" spans="1:7" x14ac:dyDescent="0.25">
      <c r="A391" t="s">
        <v>158</v>
      </c>
      <c r="B391" t="s">
        <v>61</v>
      </c>
      <c r="C391" t="s">
        <v>7</v>
      </c>
      <c r="D391" t="s">
        <v>152</v>
      </c>
      <c r="E391">
        <v>0.56726311638762483</v>
      </c>
      <c r="F391" t="s">
        <v>151</v>
      </c>
      <c r="G391">
        <v>0.56726311638762483</v>
      </c>
    </row>
    <row r="392" spans="1:7" x14ac:dyDescent="0.25">
      <c r="A392" t="s">
        <v>158</v>
      </c>
      <c r="B392" t="s">
        <v>61</v>
      </c>
      <c r="C392" t="s">
        <v>26</v>
      </c>
      <c r="D392" t="s">
        <v>153</v>
      </c>
      <c r="E392">
        <v>0.1171368722490322</v>
      </c>
      <c r="F392" t="s">
        <v>151</v>
      </c>
      <c r="G392">
        <v>0.1171368722490322</v>
      </c>
    </row>
    <row r="393" spans="1:7" x14ac:dyDescent="0.25">
      <c r="A393" t="s">
        <v>158</v>
      </c>
      <c r="B393" t="s">
        <v>61</v>
      </c>
      <c r="C393" t="s">
        <v>27</v>
      </c>
      <c r="D393" t="s">
        <v>153</v>
      </c>
      <c r="E393">
        <v>0.88286312775096776</v>
      </c>
      <c r="F393" t="s">
        <v>151</v>
      </c>
      <c r="G393">
        <v>0.88286312775096776</v>
      </c>
    </row>
    <row r="394" spans="1:7" x14ac:dyDescent="0.25">
      <c r="A394" t="s">
        <v>158</v>
      </c>
      <c r="B394" t="s">
        <v>61</v>
      </c>
      <c r="C394" t="s">
        <v>34</v>
      </c>
      <c r="D394" t="s">
        <v>154</v>
      </c>
      <c r="E394">
        <v>0.45630816353267001</v>
      </c>
      <c r="F394" t="s">
        <v>151</v>
      </c>
      <c r="G394">
        <v>0.45630816353267001</v>
      </c>
    </row>
    <row r="395" spans="1:7" x14ac:dyDescent="0.25">
      <c r="A395" t="s">
        <v>158</v>
      </c>
      <c r="B395" t="s">
        <v>61</v>
      </c>
      <c r="C395" t="s">
        <v>35</v>
      </c>
      <c r="D395" t="s">
        <v>154</v>
      </c>
      <c r="E395">
        <v>4.4370047500516312E-2</v>
      </c>
      <c r="F395" t="s">
        <v>151</v>
      </c>
      <c r="G395">
        <v>4.4370047500516312E-2</v>
      </c>
    </row>
    <row r="396" spans="1:7" x14ac:dyDescent="0.25">
      <c r="A396" t="s">
        <v>158</v>
      </c>
      <c r="B396" t="s">
        <v>61</v>
      </c>
      <c r="C396" t="s">
        <v>36</v>
      </c>
      <c r="D396" t="s">
        <v>154</v>
      </c>
      <c r="E396">
        <v>0.1883750452665103</v>
      </c>
      <c r="F396" t="s">
        <v>151</v>
      </c>
      <c r="G396">
        <v>0.1883750452665103</v>
      </c>
    </row>
    <row r="397" spans="1:7" x14ac:dyDescent="0.25">
      <c r="A397" t="s">
        <v>158</v>
      </c>
      <c r="B397" t="s">
        <v>61</v>
      </c>
      <c r="C397" t="s">
        <v>37</v>
      </c>
      <c r="D397" t="s">
        <v>154</v>
      </c>
      <c r="E397">
        <v>0.22286512267581851</v>
      </c>
      <c r="F397" t="s">
        <v>151</v>
      </c>
      <c r="G397">
        <v>0.22286512267581851</v>
      </c>
    </row>
    <row r="398" spans="1:7" x14ac:dyDescent="0.25">
      <c r="A398" t="s">
        <v>158</v>
      </c>
      <c r="B398" t="s">
        <v>61</v>
      </c>
      <c r="C398" t="s">
        <v>38</v>
      </c>
      <c r="D398" t="s">
        <v>154</v>
      </c>
      <c r="E398">
        <v>8.8081621024484816E-2</v>
      </c>
      <c r="F398" t="s">
        <v>151</v>
      </c>
      <c r="G398">
        <v>8.8081621024484816E-2</v>
      </c>
    </row>
    <row r="399" spans="1:7" x14ac:dyDescent="0.25">
      <c r="A399" t="s">
        <v>158</v>
      </c>
      <c r="B399" t="s">
        <v>61</v>
      </c>
      <c r="C399" t="s">
        <v>45</v>
      </c>
      <c r="D399" t="s">
        <v>155</v>
      </c>
      <c r="E399">
        <v>1</v>
      </c>
      <c r="F399" t="s">
        <v>156</v>
      </c>
      <c r="G399">
        <v>0.72982194479141249</v>
      </c>
    </row>
    <row r="400" spans="1:7" x14ac:dyDescent="0.25">
      <c r="A400" t="s">
        <v>158</v>
      </c>
      <c r="B400" t="s">
        <v>61</v>
      </c>
      <c r="C400" t="s">
        <v>46</v>
      </c>
      <c r="D400" t="s">
        <v>155</v>
      </c>
      <c r="E400">
        <v>0</v>
      </c>
      <c r="F400" t="s">
        <v>156</v>
      </c>
      <c r="G400">
        <v>0.27017805520858751</v>
      </c>
    </row>
    <row r="401" spans="1:7" x14ac:dyDescent="0.25">
      <c r="A401" t="s">
        <v>158</v>
      </c>
      <c r="B401" t="s">
        <v>61</v>
      </c>
      <c r="C401" t="s">
        <v>50</v>
      </c>
      <c r="D401" t="s">
        <v>157</v>
      </c>
      <c r="E401">
        <v>0.42162495143522749</v>
      </c>
      <c r="F401" t="s">
        <v>151</v>
      </c>
      <c r="G401">
        <v>0.42162495143522749</v>
      </c>
    </row>
    <row r="402" spans="1:7" x14ac:dyDescent="0.25">
      <c r="A402" t="s">
        <v>158</v>
      </c>
      <c r="B402" t="s">
        <v>61</v>
      </c>
      <c r="C402" t="s">
        <v>51</v>
      </c>
      <c r="D402" t="s">
        <v>157</v>
      </c>
      <c r="E402">
        <v>0.57837504856477251</v>
      </c>
      <c r="F402" t="s">
        <v>151</v>
      </c>
      <c r="G402">
        <v>0.57837504856477251</v>
      </c>
    </row>
    <row r="403" spans="1:7" x14ac:dyDescent="0.25">
      <c r="A403" t="s">
        <v>158</v>
      </c>
      <c r="B403" t="s">
        <v>72</v>
      </c>
      <c r="C403" t="s">
        <v>1</v>
      </c>
      <c r="D403" t="s">
        <v>150</v>
      </c>
      <c r="E403">
        <v>0.94299868264323294</v>
      </c>
      <c r="F403" t="s">
        <v>151</v>
      </c>
      <c r="G403">
        <v>0.94299868264323294</v>
      </c>
    </row>
    <row r="404" spans="1:7" x14ac:dyDescent="0.25">
      <c r="A404" t="s">
        <v>158</v>
      </c>
      <c r="B404" t="s">
        <v>72</v>
      </c>
      <c r="C404" t="s">
        <v>2</v>
      </c>
      <c r="D404" t="s">
        <v>150</v>
      </c>
      <c r="E404">
        <v>4.1765731369656618E-2</v>
      </c>
      <c r="F404" t="s">
        <v>151</v>
      </c>
      <c r="G404">
        <v>4.1765731369656618E-2</v>
      </c>
    </row>
    <row r="405" spans="1:7" x14ac:dyDescent="0.25">
      <c r="A405" t="s">
        <v>158</v>
      </c>
      <c r="B405" t="s">
        <v>72</v>
      </c>
      <c r="C405" t="s">
        <v>3</v>
      </c>
      <c r="D405" t="s">
        <v>150</v>
      </c>
      <c r="E405">
        <v>1.523558598711041E-2</v>
      </c>
      <c r="F405" t="s">
        <v>151</v>
      </c>
      <c r="G405">
        <v>1.523558598711041E-2</v>
      </c>
    </row>
    <row r="406" spans="1:7" x14ac:dyDescent="0.25">
      <c r="A406" t="s">
        <v>158</v>
      </c>
      <c r="B406" t="s">
        <v>72</v>
      </c>
      <c r="C406" t="s">
        <v>6</v>
      </c>
      <c r="D406" t="s">
        <v>152</v>
      </c>
      <c r="E406">
        <v>0.43273688361237522</v>
      </c>
      <c r="F406" t="s">
        <v>151</v>
      </c>
      <c r="G406">
        <v>0.43273688361237522</v>
      </c>
    </row>
    <row r="407" spans="1:7" x14ac:dyDescent="0.25">
      <c r="A407" t="s">
        <v>158</v>
      </c>
      <c r="B407" t="s">
        <v>72</v>
      </c>
      <c r="C407" t="s">
        <v>7</v>
      </c>
      <c r="D407" t="s">
        <v>152</v>
      </c>
      <c r="E407">
        <v>0.56726311638762483</v>
      </c>
      <c r="F407" t="s">
        <v>151</v>
      </c>
      <c r="G407">
        <v>0.56726311638762483</v>
      </c>
    </row>
    <row r="408" spans="1:7" x14ac:dyDescent="0.25">
      <c r="A408" t="s">
        <v>158</v>
      </c>
      <c r="B408" t="s">
        <v>72</v>
      </c>
      <c r="C408" t="s">
        <v>26</v>
      </c>
      <c r="D408" t="s">
        <v>153</v>
      </c>
      <c r="E408">
        <v>0.1171368722490322</v>
      </c>
      <c r="F408" t="s">
        <v>151</v>
      </c>
      <c r="G408">
        <v>0.1171368722490322</v>
      </c>
    </row>
    <row r="409" spans="1:7" x14ac:dyDescent="0.25">
      <c r="A409" t="s">
        <v>158</v>
      </c>
      <c r="B409" t="s">
        <v>72</v>
      </c>
      <c r="C409" t="s">
        <v>27</v>
      </c>
      <c r="D409" t="s">
        <v>153</v>
      </c>
      <c r="E409">
        <v>0.88286312775096776</v>
      </c>
      <c r="F409" t="s">
        <v>151</v>
      </c>
      <c r="G409">
        <v>0.88286312775096776</v>
      </c>
    </row>
    <row r="410" spans="1:7" x14ac:dyDescent="0.25">
      <c r="A410" t="s">
        <v>158</v>
      </c>
      <c r="B410" t="s">
        <v>72</v>
      </c>
      <c r="C410" t="s">
        <v>34</v>
      </c>
      <c r="D410" t="s">
        <v>154</v>
      </c>
      <c r="E410">
        <v>0.45630816353267001</v>
      </c>
      <c r="F410" t="s">
        <v>151</v>
      </c>
      <c r="G410">
        <v>0.45630816353267001</v>
      </c>
    </row>
    <row r="411" spans="1:7" x14ac:dyDescent="0.25">
      <c r="A411" t="s">
        <v>158</v>
      </c>
      <c r="B411" t="s">
        <v>72</v>
      </c>
      <c r="C411" t="s">
        <v>35</v>
      </c>
      <c r="D411" t="s">
        <v>154</v>
      </c>
      <c r="E411">
        <v>4.4370047500516312E-2</v>
      </c>
      <c r="F411" t="s">
        <v>151</v>
      </c>
      <c r="G411">
        <v>4.4370047500516312E-2</v>
      </c>
    </row>
    <row r="412" spans="1:7" x14ac:dyDescent="0.25">
      <c r="A412" t="s">
        <v>158</v>
      </c>
      <c r="B412" t="s">
        <v>72</v>
      </c>
      <c r="C412" t="s">
        <v>36</v>
      </c>
      <c r="D412" t="s">
        <v>154</v>
      </c>
      <c r="E412">
        <v>0.1883750452665103</v>
      </c>
      <c r="F412" t="s">
        <v>151</v>
      </c>
      <c r="G412">
        <v>0.1883750452665103</v>
      </c>
    </row>
    <row r="413" spans="1:7" x14ac:dyDescent="0.25">
      <c r="A413" t="s">
        <v>158</v>
      </c>
      <c r="B413" t="s">
        <v>72</v>
      </c>
      <c r="C413" t="s">
        <v>37</v>
      </c>
      <c r="D413" t="s">
        <v>154</v>
      </c>
      <c r="E413">
        <v>0.22286512267581851</v>
      </c>
      <c r="F413" t="s">
        <v>151</v>
      </c>
      <c r="G413">
        <v>0.22286512267581851</v>
      </c>
    </row>
    <row r="414" spans="1:7" x14ac:dyDescent="0.25">
      <c r="A414" t="s">
        <v>158</v>
      </c>
      <c r="B414" t="s">
        <v>72</v>
      </c>
      <c r="C414" t="s">
        <v>38</v>
      </c>
      <c r="D414" t="s">
        <v>154</v>
      </c>
      <c r="E414">
        <v>8.8081621024484816E-2</v>
      </c>
      <c r="F414" t="s">
        <v>151</v>
      </c>
      <c r="G414">
        <v>8.8081621024484816E-2</v>
      </c>
    </row>
    <row r="415" spans="1:7" x14ac:dyDescent="0.25">
      <c r="A415" t="s">
        <v>158</v>
      </c>
      <c r="B415" t="s">
        <v>72</v>
      </c>
      <c r="C415" t="s">
        <v>45</v>
      </c>
      <c r="D415" t="s">
        <v>155</v>
      </c>
      <c r="E415">
        <v>1</v>
      </c>
      <c r="F415" t="s">
        <v>156</v>
      </c>
      <c r="G415">
        <v>0.72982194479141249</v>
      </c>
    </row>
    <row r="416" spans="1:7" x14ac:dyDescent="0.25">
      <c r="A416" t="s">
        <v>158</v>
      </c>
      <c r="B416" t="s">
        <v>72</v>
      </c>
      <c r="C416" t="s">
        <v>46</v>
      </c>
      <c r="D416" t="s">
        <v>155</v>
      </c>
      <c r="E416">
        <v>0</v>
      </c>
      <c r="F416" t="s">
        <v>156</v>
      </c>
      <c r="G416">
        <v>0.27017805520858751</v>
      </c>
    </row>
    <row r="417" spans="1:7" x14ac:dyDescent="0.25">
      <c r="A417" t="s">
        <v>158</v>
      </c>
      <c r="B417" t="s">
        <v>72</v>
      </c>
      <c r="C417" t="s">
        <v>50</v>
      </c>
      <c r="D417" t="s">
        <v>157</v>
      </c>
      <c r="E417">
        <v>0.42162495143522749</v>
      </c>
      <c r="F417" t="s">
        <v>151</v>
      </c>
      <c r="G417">
        <v>0.42162495143522749</v>
      </c>
    </row>
    <row r="418" spans="1:7" x14ac:dyDescent="0.25">
      <c r="A418" t="s">
        <v>158</v>
      </c>
      <c r="B418" t="s">
        <v>72</v>
      </c>
      <c r="C418" t="s">
        <v>51</v>
      </c>
      <c r="D418" t="s">
        <v>157</v>
      </c>
      <c r="E418">
        <v>0.57837504856477251</v>
      </c>
      <c r="F418" t="s">
        <v>151</v>
      </c>
      <c r="G418">
        <v>0.57837504856477251</v>
      </c>
    </row>
    <row r="419" spans="1:7" x14ac:dyDescent="0.25">
      <c r="A419" t="s">
        <v>158</v>
      </c>
      <c r="B419" t="s">
        <v>67</v>
      </c>
      <c r="C419" t="s">
        <v>1</v>
      </c>
      <c r="D419" t="s">
        <v>150</v>
      </c>
      <c r="E419">
        <v>0.94299868264323294</v>
      </c>
      <c r="F419" t="s">
        <v>151</v>
      </c>
      <c r="G419">
        <v>0.94299868264323294</v>
      </c>
    </row>
    <row r="420" spans="1:7" x14ac:dyDescent="0.25">
      <c r="A420" t="s">
        <v>158</v>
      </c>
      <c r="B420" t="s">
        <v>67</v>
      </c>
      <c r="C420" t="s">
        <v>2</v>
      </c>
      <c r="D420" t="s">
        <v>150</v>
      </c>
      <c r="E420">
        <v>4.1765731369656618E-2</v>
      </c>
      <c r="F420" t="s">
        <v>151</v>
      </c>
      <c r="G420">
        <v>4.1765731369656618E-2</v>
      </c>
    </row>
    <row r="421" spans="1:7" x14ac:dyDescent="0.25">
      <c r="A421" t="s">
        <v>158</v>
      </c>
      <c r="B421" t="s">
        <v>67</v>
      </c>
      <c r="C421" t="s">
        <v>3</v>
      </c>
      <c r="D421" t="s">
        <v>150</v>
      </c>
      <c r="E421">
        <v>1.523558598711041E-2</v>
      </c>
      <c r="F421" t="s">
        <v>151</v>
      </c>
      <c r="G421">
        <v>1.523558598711041E-2</v>
      </c>
    </row>
    <row r="422" spans="1:7" x14ac:dyDescent="0.25">
      <c r="A422" t="s">
        <v>158</v>
      </c>
      <c r="B422" t="s">
        <v>67</v>
      </c>
      <c r="C422" t="s">
        <v>6</v>
      </c>
      <c r="D422" t="s">
        <v>152</v>
      </c>
      <c r="E422">
        <v>0.43273688361237522</v>
      </c>
      <c r="F422" t="s">
        <v>151</v>
      </c>
      <c r="G422">
        <v>0.43273688361237522</v>
      </c>
    </row>
    <row r="423" spans="1:7" x14ac:dyDescent="0.25">
      <c r="A423" t="s">
        <v>158</v>
      </c>
      <c r="B423" t="s">
        <v>67</v>
      </c>
      <c r="C423" t="s">
        <v>7</v>
      </c>
      <c r="D423" t="s">
        <v>152</v>
      </c>
      <c r="E423">
        <v>0.56726311638762483</v>
      </c>
      <c r="F423" t="s">
        <v>151</v>
      </c>
      <c r="G423">
        <v>0.56726311638762483</v>
      </c>
    </row>
    <row r="424" spans="1:7" x14ac:dyDescent="0.25">
      <c r="A424" t="s">
        <v>158</v>
      </c>
      <c r="B424" t="s">
        <v>67</v>
      </c>
      <c r="C424" t="s">
        <v>26</v>
      </c>
      <c r="D424" t="s">
        <v>153</v>
      </c>
      <c r="E424">
        <v>0.1171368722490322</v>
      </c>
      <c r="F424" t="s">
        <v>151</v>
      </c>
      <c r="G424">
        <v>0.1171368722490322</v>
      </c>
    </row>
    <row r="425" spans="1:7" x14ac:dyDescent="0.25">
      <c r="A425" t="s">
        <v>158</v>
      </c>
      <c r="B425" t="s">
        <v>67</v>
      </c>
      <c r="C425" t="s">
        <v>27</v>
      </c>
      <c r="D425" t="s">
        <v>153</v>
      </c>
      <c r="E425">
        <v>0.88286312775096776</v>
      </c>
      <c r="F425" t="s">
        <v>151</v>
      </c>
      <c r="G425">
        <v>0.88286312775096776</v>
      </c>
    </row>
    <row r="426" spans="1:7" x14ac:dyDescent="0.25">
      <c r="A426" t="s">
        <v>158</v>
      </c>
      <c r="B426" t="s">
        <v>67</v>
      </c>
      <c r="C426" t="s">
        <v>34</v>
      </c>
      <c r="D426" t="s">
        <v>154</v>
      </c>
      <c r="E426">
        <v>0.45630816353267001</v>
      </c>
      <c r="F426" t="s">
        <v>151</v>
      </c>
      <c r="G426">
        <v>0.45630816353267001</v>
      </c>
    </row>
    <row r="427" spans="1:7" x14ac:dyDescent="0.25">
      <c r="A427" t="s">
        <v>158</v>
      </c>
      <c r="B427" t="s">
        <v>67</v>
      </c>
      <c r="C427" t="s">
        <v>35</v>
      </c>
      <c r="D427" t="s">
        <v>154</v>
      </c>
      <c r="E427">
        <v>4.4370047500516312E-2</v>
      </c>
      <c r="F427" t="s">
        <v>151</v>
      </c>
      <c r="G427">
        <v>4.4370047500516312E-2</v>
      </c>
    </row>
    <row r="428" spans="1:7" x14ac:dyDescent="0.25">
      <c r="A428" t="s">
        <v>158</v>
      </c>
      <c r="B428" t="s">
        <v>67</v>
      </c>
      <c r="C428" t="s">
        <v>36</v>
      </c>
      <c r="D428" t="s">
        <v>154</v>
      </c>
      <c r="E428">
        <v>0.1883750452665103</v>
      </c>
      <c r="F428" t="s">
        <v>151</v>
      </c>
      <c r="G428">
        <v>0.1883750452665103</v>
      </c>
    </row>
    <row r="429" spans="1:7" x14ac:dyDescent="0.25">
      <c r="A429" t="s">
        <v>158</v>
      </c>
      <c r="B429" t="s">
        <v>67</v>
      </c>
      <c r="C429" t="s">
        <v>37</v>
      </c>
      <c r="D429" t="s">
        <v>154</v>
      </c>
      <c r="E429">
        <v>0.22286512267581851</v>
      </c>
      <c r="F429" t="s">
        <v>151</v>
      </c>
      <c r="G429">
        <v>0.22286512267581851</v>
      </c>
    </row>
    <row r="430" spans="1:7" x14ac:dyDescent="0.25">
      <c r="A430" t="s">
        <v>158</v>
      </c>
      <c r="B430" t="s">
        <v>67</v>
      </c>
      <c r="C430" t="s">
        <v>38</v>
      </c>
      <c r="D430" t="s">
        <v>154</v>
      </c>
      <c r="E430">
        <v>8.8081621024484816E-2</v>
      </c>
      <c r="F430" t="s">
        <v>151</v>
      </c>
      <c r="G430">
        <v>8.8081621024484816E-2</v>
      </c>
    </row>
    <row r="431" spans="1:7" x14ac:dyDescent="0.25">
      <c r="A431" t="s">
        <v>158</v>
      </c>
      <c r="B431" t="s">
        <v>67</v>
      </c>
      <c r="C431" t="s">
        <v>45</v>
      </c>
      <c r="D431" t="s">
        <v>155</v>
      </c>
      <c r="E431">
        <v>1</v>
      </c>
      <c r="F431" t="s">
        <v>156</v>
      </c>
      <c r="G431">
        <v>0.72982194479141249</v>
      </c>
    </row>
    <row r="432" spans="1:7" x14ac:dyDescent="0.25">
      <c r="A432" t="s">
        <v>158</v>
      </c>
      <c r="B432" t="s">
        <v>67</v>
      </c>
      <c r="C432" t="s">
        <v>46</v>
      </c>
      <c r="D432" t="s">
        <v>155</v>
      </c>
      <c r="E432">
        <v>0</v>
      </c>
      <c r="F432" t="s">
        <v>156</v>
      </c>
      <c r="G432">
        <v>0.27017805520858751</v>
      </c>
    </row>
    <row r="433" spans="1:7" x14ac:dyDescent="0.25">
      <c r="A433" t="s">
        <v>158</v>
      </c>
      <c r="B433" t="s">
        <v>67</v>
      </c>
      <c r="C433" t="s">
        <v>50</v>
      </c>
      <c r="D433" t="s">
        <v>157</v>
      </c>
      <c r="E433">
        <v>0.42162495143522749</v>
      </c>
      <c r="F433" t="s">
        <v>151</v>
      </c>
      <c r="G433">
        <v>0.42162495143522749</v>
      </c>
    </row>
    <row r="434" spans="1:7" x14ac:dyDescent="0.25">
      <c r="A434" t="s">
        <v>158</v>
      </c>
      <c r="B434" t="s">
        <v>67</v>
      </c>
      <c r="C434" t="s">
        <v>51</v>
      </c>
      <c r="D434" t="s">
        <v>157</v>
      </c>
      <c r="E434">
        <v>0.57837504856477251</v>
      </c>
      <c r="F434" t="s">
        <v>151</v>
      </c>
      <c r="G434">
        <v>0.57837504856477251</v>
      </c>
    </row>
    <row r="435" spans="1:7" x14ac:dyDescent="0.25">
      <c r="A435" t="s">
        <v>158</v>
      </c>
      <c r="B435" t="s">
        <v>62</v>
      </c>
      <c r="C435" t="s">
        <v>1</v>
      </c>
      <c r="D435" t="s">
        <v>150</v>
      </c>
      <c r="E435">
        <v>0.94299868264323294</v>
      </c>
      <c r="F435" t="s">
        <v>151</v>
      </c>
      <c r="G435">
        <v>0.94299868264323294</v>
      </c>
    </row>
    <row r="436" spans="1:7" x14ac:dyDescent="0.25">
      <c r="A436" t="s">
        <v>158</v>
      </c>
      <c r="B436" t="s">
        <v>62</v>
      </c>
      <c r="C436" t="s">
        <v>2</v>
      </c>
      <c r="D436" t="s">
        <v>150</v>
      </c>
      <c r="E436">
        <v>4.1765731369656618E-2</v>
      </c>
      <c r="F436" t="s">
        <v>151</v>
      </c>
      <c r="G436">
        <v>4.1765731369656618E-2</v>
      </c>
    </row>
    <row r="437" spans="1:7" x14ac:dyDescent="0.25">
      <c r="A437" t="s">
        <v>158</v>
      </c>
      <c r="B437" t="s">
        <v>62</v>
      </c>
      <c r="C437" t="s">
        <v>3</v>
      </c>
      <c r="D437" t="s">
        <v>150</v>
      </c>
      <c r="E437">
        <v>1.523558598711041E-2</v>
      </c>
      <c r="F437" t="s">
        <v>151</v>
      </c>
      <c r="G437">
        <v>1.523558598711041E-2</v>
      </c>
    </row>
    <row r="438" spans="1:7" x14ac:dyDescent="0.25">
      <c r="A438" t="s">
        <v>158</v>
      </c>
      <c r="B438" t="s">
        <v>62</v>
      </c>
      <c r="C438" t="s">
        <v>6</v>
      </c>
      <c r="D438" t="s">
        <v>152</v>
      </c>
      <c r="E438">
        <v>0.43273688361237522</v>
      </c>
      <c r="F438" t="s">
        <v>151</v>
      </c>
      <c r="G438">
        <v>0.43273688361237522</v>
      </c>
    </row>
    <row r="439" spans="1:7" x14ac:dyDescent="0.25">
      <c r="A439" t="s">
        <v>158</v>
      </c>
      <c r="B439" t="s">
        <v>62</v>
      </c>
      <c r="C439" t="s">
        <v>7</v>
      </c>
      <c r="D439" t="s">
        <v>152</v>
      </c>
      <c r="E439">
        <v>0.56726311638762483</v>
      </c>
      <c r="F439" t="s">
        <v>151</v>
      </c>
      <c r="G439">
        <v>0.56726311638762483</v>
      </c>
    </row>
    <row r="440" spans="1:7" x14ac:dyDescent="0.25">
      <c r="A440" t="s">
        <v>158</v>
      </c>
      <c r="B440" t="s">
        <v>62</v>
      </c>
      <c r="C440" t="s">
        <v>26</v>
      </c>
      <c r="D440" t="s">
        <v>153</v>
      </c>
      <c r="E440">
        <v>0.1171368722490322</v>
      </c>
      <c r="F440" t="s">
        <v>151</v>
      </c>
      <c r="G440">
        <v>0.1171368722490322</v>
      </c>
    </row>
    <row r="441" spans="1:7" x14ac:dyDescent="0.25">
      <c r="A441" t="s">
        <v>158</v>
      </c>
      <c r="B441" t="s">
        <v>62</v>
      </c>
      <c r="C441" t="s">
        <v>27</v>
      </c>
      <c r="D441" t="s">
        <v>153</v>
      </c>
      <c r="E441">
        <v>0.88286312775096776</v>
      </c>
      <c r="F441" t="s">
        <v>151</v>
      </c>
      <c r="G441">
        <v>0.88286312775096776</v>
      </c>
    </row>
    <row r="442" spans="1:7" x14ac:dyDescent="0.25">
      <c r="A442" t="s">
        <v>158</v>
      </c>
      <c r="B442" t="s">
        <v>62</v>
      </c>
      <c r="C442" t="s">
        <v>34</v>
      </c>
      <c r="D442" t="s">
        <v>154</v>
      </c>
      <c r="E442">
        <v>0.45630816353267001</v>
      </c>
      <c r="F442" t="s">
        <v>151</v>
      </c>
      <c r="G442">
        <v>0.45630816353267001</v>
      </c>
    </row>
    <row r="443" spans="1:7" x14ac:dyDescent="0.25">
      <c r="A443" t="s">
        <v>158</v>
      </c>
      <c r="B443" t="s">
        <v>62</v>
      </c>
      <c r="C443" t="s">
        <v>35</v>
      </c>
      <c r="D443" t="s">
        <v>154</v>
      </c>
      <c r="E443">
        <v>4.4370047500516312E-2</v>
      </c>
      <c r="F443" t="s">
        <v>151</v>
      </c>
      <c r="G443">
        <v>4.4370047500516312E-2</v>
      </c>
    </row>
    <row r="444" spans="1:7" x14ac:dyDescent="0.25">
      <c r="A444" t="s">
        <v>158</v>
      </c>
      <c r="B444" t="s">
        <v>62</v>
      </c>
      <c r="C444" t="s">
        <v>36</v>
      </c>
      <c r="D444" t="s">
        <v>154</v>
      </c>
      <c r="E444">
        <v>0.1883750452665103</v>
      </c>
      <c r="F444" t="s">
        <v>151</v>
      </c>
      <c r="G444">
        <v>0.1883750452665103</v>
      </c>
    </row>
    <row r="445" spans="1:7" x14ac:dyDescent="0.25">
      <c r="A445" t="s">
        <v>158</v>
      </c>
      <c r="B445" t="s">
        <v>62</v>
      </c>
      <c r="C445" t="s">
        <v>37</v>
      </c>
      <c r="D445" t="s">
        <v>154</v>
      </c>
      <c r="E445">
        <v>0.22286512267581851</v>
      </c>
      <c r="F445" t="s">
        <v>151</v>
      </c>
      <c r="G445">
        <v>0.22286512267581851</v>
      </c>
    </row>
    <row r="446" spans="1:7" x14ac:dyDescent="0.25">
      <c r="A446" t="s">
        <v>158</v>
      </c>
      <c r="B446" t="s">
        <v>62</v>
      </c>
      <c r="C446" t="s">
        <v>38</v>
      </c>
      <c r="D446" t="s">
        <v>154</v>
      </c>
      <c r="E446">
        <v>8.8081621024484816E-2</v>
      </c>
      <c r="F446" t="s">
        <v>151</v>
      </c>
      <c r="G446">
        <v>8.8081621024484816E-2</v>
      </c>
    </row>
    <row r="447" spans="1:7" x14ac:dyDescent="0.25">
      <c r="A447" t="s">
        <v>158</v>
      </c>
      <c r="B447" t="s">
        <v>62</v>
      </c>
      <c r="C447" t="s">
        <v>45</v>
      </c>
      <c r="D447" t="s">
        <v>155</v>
      </c>
      <c r="E447">
        <v>1</v>
      </c>
      <c r="F447" t="s">
        <v>156</v>
      </c>
      <c r="G447">
        <v>0.72982194479141249</v>
      </c>
    </row>
    <row r="448" spans="1:7" x14ac:dyDescent="0.25">
      <c r="A448" t="s">
        <v>158</v>
      </c>
      <c r="B448" t="s">
        <v>62</v>
      </c>
      <c r="C448" t="s">
        <v>46</v>
      </c>
      <c r="D448" t="s">
        <v>155</v>
      </c>
      <c r="E448">
        <v>0</v>
      </c>
      <c r="F448" t="s">
        <v>156</v>
      </c>
      <c r="G448">
        <v>0.27017805520858751</v>
      </c>
    </row>
    <row r="449" spans="1:7" x14ac:dyDescent="0.25">
      <c r="A449" t="s">
        <v>158</v>
      </c>
      <c r="B449" t="s">
        <v>62</v>
      </c>
      <c r="C449" t="s">
        <v>50</v>
      </c>
      <c r="D449" t="s">
        <v>157</v>
      </c>
      <c r="E449">
        <v>0.42162495143522749</v>
      </c>
      <c r="F449" t="s">
        <v>151</v>
      </c>
      <c r="G449">
        <v>0.42162495143522749</v>
      </c>
    </row>
    <row r="450" spans="1:7" x14ac:dyDescent="0.25">
      <c r="A450" t="s">
        <v>158</v>
      </c>
      <c r="B450" t="s">
        <v>62</v>
      </c>
      <c r="C450" t="s">
        <v>51</v>
      </c>
      <c r="D450" t="s">
        <v>157</v>
      </c>
      <c r="E450">
        <v>0.57837504856477251</v>
      </c>
      <c r="F450" t="s">
        <v>151</v>
      </c>
      <c r="G450">
        <v>0.57837504856477251</v>
      </c>
    </row>
    <row r="451" spans="1:7" x14ac:dyDescent="0.25">
      <c r="A451" t="s">
        <v>158</v>
      </c>
      <c r="B451" t="s">
        <v>53</v>
      </c>
      <c r="C451" t="s">
        <v>1</v>
      </c>
      <c r="D451" t="s">
        <v>150</v>
      </c>
      <c r="E451">
        <v>0.94299868264323294</v>
      </c>
      <c r="F451" t="s">
        <v>151</v>
      </c>
      <c r="G451">
        <v>0.94299868264323294</v>
      </c>
    </row>
    <row r="452" spans="1:7" x14ac:dyDescent="0.25">
      <c r="A452" t="s">
        <v>158</v>
      </c>
      <c r="B452" t="s">
        <v>53</v>
      </c>
      <c r="C452" t="s">
        <v>2</v>
      </c>
      <c r="D452" t="s">
        <v>150</v>
      </c>
      <c r="E452">
        <v>4.1765731369656618E-2</v>
      </c>
      <c r="F452" t="s">
        <v>151</v>
      </c>
      <c r="G452">
        <v>4.1765731369656618E-2</v>
      </c>
    </row>
    <row r="453" spans="1:7" x14ac:dyDescent="0.25">
      <c r="A453" t="s">
        <v>158</v>
      </c>
      <c r="B453" t="s">
        <v>53</v>
      </c>
      <c r="C453" t="s">
        <v>3</v>
      </c>
      <c r="D453" t="s">
        <v>150</v>
      </c>
      <c r="E453">
        <v>1.523558598711041E-2</v>
      </c>
      <c r="F453" t="s">
        <v>151</v>
      </c>
      <c r="G453">
        <v>1.523558598711041E-2</v>
      </c>
    </row>
    <row r="454" spans="1:7" x14ac:dyDescent="0.25">
      <c r="A454" t="s">
        <v>158</v>
      </c>
      <c r="B454" t="s">
        <v>53</v>
      </c>
      <c r="C454" t="s">
        <v>6</v>
      </c>
      <c r="D454" t="s">
        <v>152</v>
      </c>
      <c r="E454">
        <v>0.43273688361237522</v>
      </c>
      <c r="F454" t="s">
        <v>151</v>
      </c>
      <c r="G454">
        <v>0.43273688361237522</v>
      </c>
    </row>
    <row r="455" spans="1:7" x14ac:dyDescent="0.25">
      <c r="A455" t="s">
        <v>158</v>
      </c>
      <c r="B455" t="s">
        <v>53</v>
      </c>
      <c r="C455" t="s">
        <v>7</v>
      </c>
      <c r="D455" t="s">
        <v>152</v>
      </c>
      <c r="E455">
        <v>0.56726311638762483</v>
      </c>
      <c r="F455" t="s">
        <v>151</v>
      </c>
      <c r="G455">
        <v>0.56726311638762483</v>
      </c>
    </row>
    <row r="456" spans="1:7" x14ac:dyDescent="0.25">
      <c r="A456" t="s">
        <v>158</v>
      </c>
      <c r="B456" t="s">
        <v>53</v>
      </c>
      <c r="C456" t="s">
        <v>26</v>
      </c>
      <c r="D456" t="s">
        <v>153</v>
      </c>
      <c r="E456">
        <v>0.1171368722490322</v>
      </c>
      <c r="F456" t="s">
        <v>151</v>
      </c>
      <c r="G456">
        <v>0.1171368722490322</v>
      </c>
    </row>
    <row r="457" spans="1:7" x14ac:dyDescent="0.25">
      <c r="A457" t="s">
        <v>158</v>
      </c>
      <c r="B457" t="s">
        <v>53</v>
      </c>
      <c r="C457" t="s">
        <v>27</v>
      </c>
      <c r="D457" t="s">
        <v>153</v>
      </c>
      <c r="E457">
        <v>0.88286312775096776</v>
      </c>
      <c r="F457" t="s">
        <v>151</v>
      </c>
      <c r="G457">
        <v>0.88286312775096776</v>
      </c>
    </row>
    <row r="458" spans="1:7" x14ac:dyDescent="0.25">
      <c r="A458" t="s">
        <v>158</v>
      </c>
      <c r="B458" t="s">
        <v>53</v>
      </c>
      <c r="C458" t="s">
        <v>34</v>
      </c>
      <c r="D458" t="s">
        <v>154</v>
      </c>
      <c r="E458">
        <v>0.45630816353267001</v>
      </c>
      <c r="F458" t="s">
        <v>151</v>
      </c>
      <c r="G458">
        <v>0.45630816353267001</v>
      </c>
    </row>
    <row r="459" spans="1:7" x14ac:dyDescent="0.25">
      <c r="A459" t="s">
        <v>158</v>
      </c>
      <c r="B459" t="s">
        <v>53</v>
      </c>
      <c r="C459" t="s">
        <v>35</v>
      </c>
      <c r="D459" t="s">
        <v>154</v>
      </c>
      <c r="E459">
        <v>4.4370047500516312E-2</v>
      </c>
      <c r="F459" t="s">
        <v>151</v>
      </c>
      <c r="G459">
        <v>4.4370047500516312E-2</v>
      </c>
    </row>
    <row r="460" spans="1:7" x14ac:dyDescent="0.25">
      <c r="A460" t="s">
        <v>158</v>
      </c>
      <c r="B460" t="s">
        <v>53</v>
      </c>
      <c r="C460" t="s">
        <v>36</v>
      </c>
      <c r="D460" t="s">
        <v>154</v>
      </c>
      <c r="E460">
        <v>0.1883750452665103</v>
      </c>
      <c r="F460" t="s">
        <v>151</v>
      </c>
      <c r="G460">
        <v>0.1883750452665103</v>
      </c>
    </row>
    <row r="461" spans="1:7" x14ac:dyDescent="0.25">
      <c r="A461" t="s">
        <v>158</v>
      </c>
      <c r="B461" t="s">
        <v>53</v>
      </c>
      <c r="C461" t="s">
        <v>37</v>
      </c>
      <c r="D461" t="s">
        <v>154</v>
      </c>
      <c r="E461">
        <v>0.22286512267581851</v>
      </c>
      <c r="F461" t="s">
        <v>151</v>
      </c>
      <c r="G461">
        <v>0.22286512267581851</v>
      </c>
    </row>
    <row r="462" spans="1:7" x14ac:dyDescent="0.25">
      <c r="A462" t="s">
        <v>158</v>
      </c>
      <c r="B462" t="s">
        <v>53</v>
      </c>
      <c r="C462" t="s">
        <v>38</v>
      </c>
      <c r="D462" t="s">
        <v>154</v>
      </c>
      <c r="E462">
        <v>8.8081621024484816E-2</v>
      </c>
      <c r="F462" t="s">
        <v>151</v>
      </c>
      <c r="G462">
        <v>8.8081621024484816E-2</v>
      </c>
    </row>
    <row r="463" spans="1:7" x14ac:dyDescent="0.25">
      <c r="A463" t="s">
        <v>158</v>
      </c>
      <c r="B463" t="s">
        <v>53</v>
      </c>
      <c r="C463" t="s">
        <v>45</v>
      </c>
      <c r="D463" t="s">
        <v>155</v>
      </c>
      <c r="E463">
        <v>1</v>
      </c>
      <c r="F463" t="s">
        <v>156</v>
      </c>
      <c r="G463">
        <v>0.72982194479141249</v>
      </c>
    </row>
    <row r="464" spans="1:7" x14ac:dyDescent="0.25">
      <c r="A464" t="s">
        <v>158</v>
      </c>
      <c r="B464" t="s">
        <v>53</v>
      </c>
      <c r="C464" t="s">
        <v>46</v>
      </c>
      <c r="D464" t="s">
        <v>155</v>
      </c>
      <c r="E464">
        <v>0</v>
      </c>
      <c r="F464" t="s">
        <v>156</v>
      </c>
      <c r="G464">
        <v>0.27017805520858751</v>
      </c>
    </row>
    <row r="465" spans="1:7" x14ac:dyDescent="0.25">
      <c r="A465" t="s">
        <v>158</v>
      </c>
      <c r="B465" t="s">
        <v>53</v>
      </c>
      <c r="C465" t="s">
        <v>50</v>
      </c>
      <c r="D465" t="s">
        <v>157</v>
      </c>
      <c r="E465">
        <v>0.42162495143522749</v>
      </c>
      <c r="F465" t="s">
        <v>151</v>
      </c>
      <c r="G465">
        <v>0.42162495143522749</v>
      </c>
    </row>
    <row r="466" spans="1:7" x14ac:dyDescent="0.25">
      <c r="A466" t="s">
        <v>158</v>
      </c>
      <c r="B466" t="s">
        <v>53</v>
      </c>
      <c r="C466" t="s">
        <v>51</v>
      </c>
      <c r="D466" t="s">
        <v>157</v>
      </c>
      <c r="E466">
        <v>0.57837504856477251</v>
      </c>
      <c r="F466" t="s">
        <v>151</v>
      </c>
      <c r="G466">
        <v>0.57837504856477251</v>
      </c>
    </row>
    <row r="467" spans="1:7" x14ac:dyDescent="0.25">
      <c r="A467" t="s">
        <v>158</v>
      </c>
      <c r="B467" t="s">
        <v>70</v>
      </c>
      <c r="C467" t="s">
        <v>1</v>
      </c>
      <c r="D467" t="s">
        <v>150</v>
      </c>
      <c r="E467">
        <v>0.94299868264323294</v>
      </c>
      <c r="F467" t="s">
        <v>151</v>
      </c>
      <c r="G467">
        <v>0.94299868264323294</v>
      </c>
    </row>
    <row r="468" spans="1:7" x14ac:dyDescent="0.25">
      <c r="A468" t="s">
        <v>158</v>
      </c>
      <c r="B468" t="s">
        <v>70</v>
      </c>
      <c r="C468" t="s">
        <v>2</v>
      </c>
      <c r="D468" t="s">
        <v>150</v>
      </c>
      <c r="E468">
        <v>4.1765731369656618E-2</v>
      </c>
      <c r="F468" t="s">
        <v>151</v>
      </c>
      <c r="G468">
        <v>4.1765731369656618E-2</v>
      </c>
    </row>
    <row r="469" spans="1:7" x14ac:dyDescent="0.25">
      <c r="A469" t="s">
        <v>158</v>
      </c>
      <c r="B469" t="s">
        <v>70</v>
      </c>
      <c r="C469" t="s">
        <v>3</v>
      </c>
      <c r="D469" t="s">
        <v>150</v>
      </c>
      <c r="E469">
        <v>1.523558598711041E-2</v>
      </c>
      <c r="F469" t="s">
        <v>151</v>
      </c>
      <c r="G469">
        <v>1.523558598711041E-2</v>
      </c>
    </row>
    <row r="470" spans="1:7" x14ac:dyDescent="0.25">
      <c r="A470" t="s">
        <v>158</v>
      </c>
      <c r="B470" t="s">
        <v>70</v>
      </c>
      <c r="C470" t="s">
        <v>6</v>
      </c>
      <c r="D470" t="s">
        <v>152</v>
      </c>
      <c r="E470">
        <v>0.43273688361237522</v>
      </c>
      <c r="F470" t="s">
        <v>151</v>
      </c>
      <c r="G470">
        <v>0.43273688361237522</v>
      </c>
    </row>
    <row r="471" spans="1:7" x14ac:dyDescent="0.25">
      <c r="A471" t="s">
        <v>158</v>
      </c>
      <c r="B471" t="s">
        <v>70</v>
      </c>
      <c r="C471" t="s">
        <v>7</v>
      </c>
      <c r="D471" t="s">
        <v>152</v>
      </c>
      <c r="E471">
        <v>0.56726311638762483</v>
      </c>
      <c r="F471" t="s">
        <v>151</v>
      </c>
      <c r="G471">
        <v>0.56726311638762483</v>
      </c>
    </row>
    <row r="472" spans="1:7" x14ac:dyDescent="0.25">
      <c r="A472" t="s">
        <v>158</v>
      </c>
      <c r="B472" t="s">
        <v>70</v>
      </c>
      <c r="C472" t="s">
        <v>26</v>
      </c>
      <c r="D472" t="s">
        <v>153</v>
      </c>
      <c r="E472">
        <v>0.1171368722490322</v>
      </c>
      <c r="F472" t="s">
        <v>151</v>
      </c>
      <c r="G472">
        <v>0.1171368722490322</v>
      </c>
    </row>
    <row r="473" spans="1:7" x14ac:dyDescent="0.25">
      <c r="A473" t="s">
        <v>158</v>
      </c>
      <c r="B473" t="s">
        <v>70</v>
      </c>
      <c r="C473" t="s">
        <v>27</v>
      </c>
      <c r="D473" t="s">
        <v>153</v>
      </c>
      <c r="E473">
        <v>0.88286312775096776</v>
      </c>
      <c r="F473" t="s">
        <v>151</v>
      </c>
      <c r="G473">
        <v>0.88286312775096776</v>
      </c>
    </row>
    <row r="474" spans="1:7" x14ac:dyDescent="0.25">
      <c r="A474" t="s">
        <v>158</v>
      </c>
      <c r="B474" t="s">
        <v>70</v>
      </c>
      <c r="C474" t="s">
        <v>34</v>
      </c>
      <c r="D474" t="s">
        <v>154</v>
      </c>
      <c r="E474">
        <v>0.45630816353267001</v>
      </c>
      <c r="F474" t="s">
        <v>151</v>
      </c>
      <c r="G474">
        <v>0.45630816353267001</v>
      </c>
    </row>
    <row r="475" spans="1:7" x14ac:dyDescent="0.25">
      <c r="A475" t="s">
        <v>158</v>
      </c>
      <c r="B475" t="s">
        <v>70</v>
      </c>
      <c r="C475" t="s">
        <v>35</v>
      </c>
      <c r="D475" t="s">
        <v>154</v>
      </c>
      <c r="E475">
        <v>4.4370047500516312E-2</v>
      </c>
      <c r="F475" t="s">
        <v>151</v>
      </c>
      <c r="G475">
        <v>4.4370047500516312E-2</v>
      </c>
    </row>
    <row r="476" spans="1:7" x14ac:dyDescent="0.25">
      <c r="A476" t="s">
        <v>158</v>
      </c>
      <c r="B476" t="s">
        <v>70</v>
      </c>
      <c r="C476" t="s">
        <v>36</v>
      </c>
      <c r="D476" t="s">
        <v>154</v>
      </c>
      <c r="E476">
        <v>0.1883750452665103</v>
      </c>
      <c r="F476" t="s">
        <v>151</v>
      </c>
      <c r="G476">
        <v>0.1883750452665103</v>
      </c>
    </row>
    <row r="477" spans="1:7" x14ac:dyDescent="0.25">
      <c r="A477" t="s">
        <v>158</v>
      </c>
      <c r="B477" t="s">
        <v>70</v>
      </c>
      <c r="C477" t="s">
        <v>37</v>
      </c>
      <c r="D477" t="s">
        <v>154</v>
      </c>
      <c r="E477">
        <v>0.22286512267581851</v>
      </c>
      <c r="F477" t="s">
        <v>151</v>
      </c>
      <c r="G477">
        <v>0.22286512267581851</v>
      </c>
    </row>
    <row r="478" spans="1:7" x14ac:dyDescent="0.25">
      <c r="A478" t="s">
        <v>158</v>
      </c>
      <c r="B478" t="s">
        <v>70</v>
      </c>
      <c r="C478" t="s">
        <v>38</v>
      </c>
      <c r="D478" t="s">
        <v>154</v>
      </c>
      <c r="E478">
        <v>8.8081621024484816E-2</v>
      </c>
      <c r="F478" t="s">
        <v>151</v>
      </c>
      <c r="G478">
        <v>8.8081621024484816E-2</v>
      </c>
    </row>
    <row r="479" spans="1:7" x14ac:dyDescent="0.25">
      <c r="A479" t="s">
        <v>158</v>
      </c>
      <c r="B479" t="s">
        <v>70</v>
      </c>
      <c r="C479" t="s">
        <v>45</v>
      </c>
      <c r="D479" t="s">
        <v>155</v>
      </c>
      <c r="E479">
        <v>1</v>
      </c>
      <c r="F479" t="s">
        <v>156</v>
      </c>
      <c r="G479">
        <v>0.72982194479141249</v>
      </c>
    </row>
    <row r="480" spans="1:7" x14ac:dyDescent="0.25">
      <c r="A480" t="s">
        <v>158</v>
      </c>
      <c r="B480" t="s">
        <v>70</v>
      </c>
      <c r="C480" t="s">
        <v>46</v>
      </c>
      <c r="D480" t="s">
        <v>155</v>
      </c>
      <c r="E480">
        <v>0</v>
      </c>
      <c r="F480" t="s">
        <v>156</v>
      </c>
      <c r="G480">
        <v>0.27017805520858751</v>
      </c>
    </row>
    <row r="481" spans="1:7" x14ac:dyDescent="0.25">
      <c r="A481" t="s">
        <v>158</v>
      </c>
      <c r="B481" t="s">
        <v>70</v>
      </c>
      <c r="C481" t="s">
        <v>50</v>
      </c>
      <c r="D481" t="s">
        <v>157</v>
      </c>
      <c r="E481">
        <v>0.42162495143522749</v>
      </c>
      <c r="F481" t="s">
        <v>151</v>
      </c>
      <c r="G481">
        <v>0.42162495143522749</v>
      </c>
    </row>
    <row r="482" spans="1:7" x14ac:dyDescent="0.25">
      <c r="A482" t="s">
        <v>158</v>
      </c>
      <c r="B482" t="s">
        <v>70</v>
      </c>
      <c r="C482" t="s">
        <v>51</v>
      </c>
      <c r="D482" t="s">
        <v>157</v>
      </c>
      <c r="E482">
        <v>0.57837504856477251</v>
      </c>
      <c r="F482" t="s">
        <v>151</v>
      </c>
      <c r="G482">
        <v>0.57837504856477251</v>
      </c>
    </row>
    <row r="483" spans="1:7" x14ac:dyDescent="0.25">
      <c r="A483" t="s">
        <v>158</v>
      </c>
      <c r="B483" t="s">
        <v>68</v>
      </c>
      <c r="C483" t="s">
        <v>1</v>
      </c>
      <c r="D483" t="s">
        <v>150</v>
      </c>
      <c r="E483">
        <v>0.94299868264323294</v>
      </c>
      <c r="F483" t="s">
        <v>151</v>
      </c>
      <c r="G483">
        <v>0.94299868264323294</v>
      </c>
    </row>
    <row r="484" spans="1:7" x14ac:dyDescent="0.25">
      <c r="A484" t="s">
        <v>158</v>
      </c>
      <c r="B484" t="s">
        <v>68</v>
      </c>
      <c r="C484" t="s">
        <v>2</v>
      </c>
      <c r="D484" t="s">
        <v>150</v>
      </c>
      <c r="E484">
        <v>4.1765731369656618E-2</v>
      </c>
      <c r="F484" t="s">
        <v>151</v>
      </c>
      <c r="G484">
        <v>4.1765731369656618E-2</v>
      </c>
    </row>
    <row r="485" spans="1:7" x14ac:dyDescent="0.25">
      <c r="A485" t="s">
        <v>158</v>
      </c>
      <c r="B485" t="s">
        <v>68</v>
      </c>
      <c r="C485" t="s">
        <v>3</v>
      </c>
      <c r="D485" t="s">
        <v>150</v>
      </c>
      <c r="E485">
        <v>1.523558598711041E-2</v>
      </c>
      <c r="F485" t="s">
        <v>151</v>
      </c>
      <c r="G485">
        <v>1.523558598711041E-2</v>
      </c>
    </row>
    <row r="486" spans="1:7" x14ac:dyDescent="0.25">
      <c r="A486" t="s">
        <v>158</v>
      </c>
      <c r="B486" t="s">
        <v>68</v>
      </c>
      <c r="C486" t="s">
        <v>6</v>
      </c>
      <c r="D486" t="s">
        <v>152</v>
      </c>
      <c r="E486">
        <v>0.43273688361237522</v>
      </c>
      <c r="F486" t="s">
        <v>151</v>
      </c>
      <c r="G486">
        <v>0.43273688361237522</v>
      </c>
    </row>
    <row r="487" spans="1:7" x14ac:dyDescent="0.25">
      <c r="A487" t="s">
        <v>158</v>
      </c>
      <c r="B487" t="s">
        <v>68</v>
      </c>
      <c r="C487" t="s">
        <v>7</v>
      </c>
      <c r="D487" t="s">
        <v>152</v>
      </c>
      <c r="E487">
        <v>0.56726311638762483</v>
      </c>
      <c r="F487" t="s">
        <v>151</v>
      </c>
      <c r="G487">
        <v>0.56726311638762483</v>
      </c>
    </row>
    <row r="488" spans="1:7" x14ac:dyDescent="0.25">
      <c r="A488" t="s">
        <v>158</v>
      </c>
      <c r="B488" t="s">
        <v>68</v>
      </c>
      <c r="C488" t="s">
        <v>26</v>
      </c>
      <c r="D488" t="s">
        <v>153</v>
      </c>
      <c r="E488">
        <v>0.1171368722490322</v>
      </c>
      <c r="F488" t="s">
        <v>151</v>
      </c>
      <c r="G488">
        <v>0.1171368722490322</v>
      </c>
    </row>
    <row r="489" spans="1:7" x14ac:dyDescent="0.25">
      <c r="A489" t="s">
        <v>158</v>
      </c>
      <c r="B489" t="s">
        <v>68</v>
      </c>
      <c r="C489" t="s">
        <v>27</v>
      </c>
      <c r="D489" t="s">
        <v>153</v>
      </c>
      <c r="E489">
        <v>0.88286312775096776</v>
      </c>
      <c r="F489" t="s">
        <v>151</v>
      </c>
      <c r="G489">
        <v>0.88286312775096776</v>
      </c>
    </row>
    <row r="490" spans="1:7" x14ac:dyDescent="0.25">
      <c r="A490" t="s">
        <v>158</v>
      </c>
      <c r="B490" t="s">
        <v>68</v>
      </c>
      <c r="C490" t="s">
        <v>34</v>
      </c>
      <c r="D490" t="s">
        <v>154</v>
      </c>
      <c r="E490">
        <v>0.45630816353267001</v>
      </c>
      <c r="F490" t="s">
        <v>151</v>
      </c>
      <c r="G490">
        <v>0.45630816353267001</v>
      </c>
    </row>
    <row r="491" spans="1:7" x14ac:dyDescent="0.25">
      <c r="A491" t="s">
        <v>158</v>
      </c>
      <c r="B491" t="s">
        <v>68</v>
      </c>
      <c r="C491" t="s">
        <v>35</v>
      </c>
      <c r="D491" t="s">
        <v>154</v>
      </c>
      <c r="E491">
        <v>4.4370047500516312E-2</v>
      </c>
      <c r="F491" t="s">
        <v>151</v>
      </c>
      <c r="G491">
        <v>4.4370047500516312E-2</v>
      </c>
    </row>
    <row r="492" spans="1:7" x14ac:dyDescent="0.25">
      <c r="A492" t="s">
        <v>158</v>
      </c>
      <c r="B492" t="s">
        <v>68</v>
      </c>
      <c r="C492" t="s">
        <v>36</v>
      </c>
      <c r="D492" t="s">
        <v>154</v>
      </c>
      <c r="E492">
        <v>0.1883750452665103</v>
      </c>
      <c r="F492" t="s">
        <v>151</v>
      </c>
      <c r="G492">
        <v>0.1883750452665103</v>
      </c>
    </row>
    <row r="493" spans="1:7" x14ac:dyDescent="0.25">
      <c r="A493" t="s">
        <v>158</v>
      </c>
      <c r="B493" t="s">
        <v>68</v>
      </c>
      <c r="C493" t="s">
        <v>37</v>
      </c>
      <c r="D493" t="s">
        <v>154</v>
      </c>
      <c r="E493">
        <v>0.22286512267581851</v>
      </c>
      <c r="F493" t="s">
        <v>151</v>
      </c>
      <c r="G493">
        <v>0.22286512267581851</v>
      </c>
    </row>
    <row r="494" spans="1:7" x14ac:dyDescent="0.25">
      <c r="A494" t="s">
        <v>158</v>
      </c>
      <c r="B494" t="s">
        <v>68</v>
      </c>
      <c r="C494" t="s">
        <v>38</v>
      </c>
      <c r="D494" t="s">
        <v>154</v>
      </c>
      <c r="E494">
        <v>8.8081621024484816E-2</v>
      </c>
      <c r="F494" t="s">
        <v>151</v>
      </c>
      <c r="G494">
        <v>8.8081621024484816E-2</v>
      </c>
    </row>
    <row r="495" spans="1:7" x14ac:dyDescent="0.25">
      <c r="A495" t="s">
        <v>158</v>
      </c>
      <c r="B495" t="s">
        <v>68</v>
      </c>
      <c r="C495" t="s">
        <v>45</v>
      </c>
      <c r="D495" t="s">
        <v>155</v>
      </c>
      <c r="E495">
        <v>1</v>
      </c>
      <c r="F495" t="s">
        <v>156</v>
      </c>
      <c r="G495">
        <v>0.72982194479141249</v>
      </c>
    </row>
    <row r="496" spans="1:7" x14ac:dyDescent="0.25">
      <c r="A496" t="s">
        <v>158</v>
      </c>
      <c r="B496" t="s">
        <v>68</v>
      </c>
      <c r="C496" t="s">
        <v>46</v>
      </c>
      <c r="D496" t="s">
        <v>155</v>
      </c>
      <c r="E496">
        <v>0</v>
      </c>
      <c r="F496" t="s">
        <v>156</v>
      </c>
      <c r="G496">
        <v>0.27017805520858751</v>
      </c>
    </row>
    <row r="497" spans="1:7" x14ac:dyDescent="0.25">
      <c r="A497" t="s">
        <v>158</v>
      </c>
      <c r="B497" t="s">
        <v>68</v>
      </c>
      <c r="C497" t="s">
        <v>50</v>
      </c>
      <c r="D497" t="s">
        <v>157</v>
      </c>
      <c r="E497">
        <v>0.42162495143522749</v>
      </c>
      <c r="F497" t="s">
        <v>151</v>
      </c>
      <c r="G497">
        <v>0.42162495143522749</v>
      </c>
    </row>
    <row r="498" spans="1:7" x14ac:dyDescent="0.25">
      <c r="A498" t="s">
        <v>158</v>
      </c>
      <c r="B498" t="s">
        <v>68</v>
      </c>
      <c r="C498" t="s">
        <v>51</v>
      </c>
      <c r="D498" t="s">
        <v>157</v>
      </c>
      <c r="E498">
        <v>0.57837504856477251</v>
      </c>
      <c r="F498" t="s">
        <v>151</v>
      </c>
      <c r="G498">
        <v>0.57837504856477251</v>
      </c>
    </row>
    <row r="499" spans="1:7" x14ac:dyDescent="0.25">
      <c r="A499" t="s">
        <v>158</v>
      </c>
      <c r="B499" t="s">
        <v>57</v>
      </c>
      <c r="C499" t="s">
        <v>1</v>
      </c>
      <c r="D499" t="s">
        <v>150</v>
      </c>
      <c r="E499">
        <v>0.94299868264323294</v>
      </c>
      <c r="F499" t="s">
        <v>151</v>
      </c>
      <c r="G499">
        <v>0.94299868264323294</v>
      </c>
    </row>
    <row r="500" spans="1:7" x14ac:dyDescent="0.25">
      <c r="A500" t="s">
        <v>158</v>
      </c>
      <c r="B500" t="s">
        <v>57</v>
      </c>
      <c r="C500" t="s">
        <v>2</v>
      </c>
      <c r="D500" t="s">
        <v>150</v>
      </c>
      <c r="E500">
        <v>4.1765731369656618E-2</v>
      </c>
      <c r="F500" t="s">
        <v>151</v>
      </c>
      <c r="G500">
        <v>4.1765731369656618E-2</v>
      </c>
    </row>
    <row r="501" spans="1:7" x14ac:dyDescent="0.25">
      <c r="A501" t="s">
        <v>158</v>
      </c>
      <c r="B501" t="s">
        <v>57</v>
      </c>
      <c r="C501" t="s">
        <v>3</v>
      </c>
      <c r="D501" t="s">
        <v>150</v>
      </c>
      <c r="E501">
        <v>1.523558598711041E-2</v>
      </c>
      <c r="F501" t="s">
        <v>151</v>
      </c>
      <c r="G501">
        <v>1.523558598711041E-2</v>
      </c>
    </row>
    <row r="502" spans="1:7" x14ac:dyDescent="0.25">
      <c r="A502" t="s">
        <v>158</v>
      </c>
      <c r="B502" t="s">
        <v>57</v>
      </c>
      <c r="C502" t="s">
        <v>6</v>
      </c>
      <c r="D502" t="s">
        <v>152</v>
      </c>
      <c r="E502">
        <v>0.43273688361237522</v>
      </c>
      <c r="F502" t="s">
        <v>151</v>
      </c>
      <c r="G502">
        <v>0.43273688361237522</v>
      </c>
    </row>
    <row r="503" spans="1:7" x14ac:dyDescent="0.25">
      <c r="A503" t="s">
        <v>158</v>
      </c>
      <c r="B503" t="s">
        <v>57</v>
      </c>
      <c r="C503" t="s">
        <v>7</v>
      </c>
      <c r="D503" t="s">
        <v>152</v>
      </c>
      <c r="E503">
        <v>0.56726311638762483</v>
      </c>
      <c r="F503" t="s">
        <v>151</v>
      </c>
      <c r="G503">
        <v>0.56726311638762483</v>
      </c>
    </row>
    <row r="504" spans="1:7" x14ac:dyDescent="0.25">
      <c r="A504" t="s">
        <v>158</v>
      </c>
      <c r="B504" t="s">
        <v>57</v>
      </c>
      <c r="C504" t="s">
        <v>26</v>
      </c>
      <c r="D504" t="s">
        <v>153</v>
      </c>
      <c r="E504">
        <v>0.1171368722490322</v>
      </c>
      <c r="F504" t="s">
        <v>151</v>
      </c>
      <c r="G504">
        <v>0.1171368722490322</v>
      </c>
    </row>
    <row r="505" spans="1:7" x14ac:dyDescent="0.25">
      <c r="A505" t="s">
        <v>158</v>
      </c>
      <c r="B505" t="s">
        <v>57</v>
      </c>
      <c r="C505" t="s">
        <v>27</v>
      </c>
      <c r="D505" t="s">
        <v>153</v>
      </c>
      <c r="E505">
        <v>0.88286312775096776</v>
      </c>
      <c r="F505" t="s">
        <v>151</v>
      </c>
      <c r="G505">
        <v>0.88286312775096776</v>
      </c>
    </row>
    <row r="506" spans="1:7" x14ac:dyDescent="0.25">
      <c r="A506" t="s">
        <v>158</v>
      </c>
      <c r="B506" t="s">
        <v>57</v>
      </c>
      <c r="C506" t="s">
        <v>34</v>
      </c>
      <c r="D506" t="s">
        <v>154</v>
      </c>
      <c r="E506">
        <v>0.45630816353267001</v>
      </c>
      <c r="F506" t="s">
        <v>151</v>
      </c>
      <c r="G506">
        <v>0.45630816353267001</v>
      </c>
    </row>
    <row r="507" spans="1:7" x14ac:dyDescent="0.25">
      <c r="A507" t="s">
        <v>158</v>
      </c>
      <c r="B507" t="s">
        <v>57</v>
      </c>
      <c r="C507" t="s">
        <v>35</v>
      </c>
      <c r="D507" t="s">
        <v>154</v>
      </c>
      <c r="E507">
        <v>4.4370047500516312E-2</v>
      </c>
      <c r="F507" t="s">
        <v>151</v>
      </c>
      <c r="G507">
        <v>4.4370047500516312E-2</v>
      </c>
    </row>
    <row r="508" spans="1:7" x14ac:dyDescent="0.25">
      <c r="A508" t="s">
        <v>158</v>
      </c>
      <c r="B508" t="s">
        <v>57</v>
      </c>
      <c r="C508" t="s">
        <v>36</v>
      </c>
      <c r="D508" t="s">
        <v>154</v>
      </c>
      <c r="E508">
        <v>0.1883750452665103</v>
      </c>
      <c r="F508" t="s">
        <v>151</v>
      </c>
      <c r="G508">
        <v>0.1883750452665103</v>
      </c>
    </row>
    <row r="509" spans="1:7" x14ac:dyDescent="0.25">
      <c r="A509" t="s">
        <v>158</v>
      </c>
      <c r="B509" t="s">
        <v>57</v>
      </c>
      <c r="C509" t="s">
        <v>37</v>
      </c>
      <c r="D509" t="s">
        <v>154</v>
      </c>
      <c r="E509">
        <v>0.22286512267581851</v>
      </c>
      <c r="F509" t="s">
        <v>151</v>
      </c>
      <c r="G509">
        <v>0.22286512267581851</v>
      </c>
    </row>
    <row r="510" spans="1:7" x14ac:dyDescent="0.25">
      <c r="A510" t="s">
        <v>158</v>
      </c>
      <c r="B510" t="s">
        <v>57</v>
      </c>
      <c r="C510" t="s">
        <v>38</v>
      </c>
      <c r="D510" t="s">
        <v>154</v>
      </c>
      <c r="E510">
        <v>8.8081621024484816E-2</v>
      </c>
      <c r="F510" t="s">
        <v>151</v>
      </c>
      <c r="G510">
        <v>8.8081621024484816E-2</v>
      </c>
    </row>
    <row r="511" spans="1:7" x14ac:dyDescent="0.25">
      <c r="A511" t="s">
        <v>158</v>
      </c>
      <c r="B511" t="s">
        <v>57</v>
      </c>
      <c r="C511" t="s">
        <v>45</v>
      </c>
      <c r="D511" t="s">
        <v>155</v>
      </c>
      <c r="E511">
        <v>1</v>
      </c>
      <c r="F511" t="s">
        <v>156</v>
      </c>
      <c r="G511">
        <v>0.72982194479141249</v>
      </c>
    </row>
    <row r="512" spans="1:7" x14ac:dyDescent="0.25">
      <c r="A512" t="s">
        <v>158</v>
      </c>
      <c r="B512" t="s">
        <v>57</v>
      </c>
      <c r="C512" t="s">
        <v>46</v>
      </c>
      <c r="D512" t="s">
        <v>155</v>
      </c>
      <c r="E512">
        <v>0</v>
      </c>
      <c r="F512" t="s">
        <v>156</v>
      </c>
      <c r="G512">
        <v>0.27017805520858751</v>
      </c>
    </row>
    <row r="513" spans="1:7" x14ac:dyDescent="0.25">
      <c r="A513" t="s">
        <v>158</v>
      </c>
      <c r="B513" t="s">
        <v>57</v>
      </c>
      <c r="C513" t="s">
        <v>50</v>
      </c>
      <c r="D513" t="s">
        <v>157</v>
      </c>
      <c r="E513">
        <v>0.42162495143522749</v>
      </c>
      <c r="F513" t="s">
        <v>151</v>
      </c>
      <c r="G513">
        <v>0.42162495143522749</v>
      </c>
    </row>
    <row r="514" spans="1:7" x14ac:dyDescent="0.25">
      <c r="A514" t="s">
        <v>158</v>
      </c>
      <c r="B514" t="s">
        <v>57</v>
      </c>
      <c r="C514" t="s">
        <v>51</v>
      </c>
      <c r="D514" t="s">
        <v>157</v>
      </c>
      <c r="E514">
        <v>0.57837504856477251</v>
      </c>
      <c r="F514" t="s">
        <v>151</v>
      </c>
      <c r="G514">
        <v>0.57837504856477251</v>
      </c>
    </row>
    <row r="515" spans="1:7" x14ac:dyDescent="0.25">
      <c r="A515" t="s">
        <v>158</v>
      </c>
      <c r="B515" t="s">
        <v>76</v>
      </c>
      <c r="C515" t="s">
        <v>1</v>
      </c>
      <c r="D515" t="s">
        <v>150</v>
      </c>
      <c r="E515">
        <v>0.94299868264323294</v>
      </c>
      <c r="F515" t="s">
        <v>151</v>
      </c>
      <c r="G515">
        <v>0.94299868264323294</v>
      </c>
    </row>
    <row r="516" spans="1:7" x14ac:dyDescent="0.25">
      <c r="A516" t="s">
        <v>158</v>
      </c>
      <c r="B516" t="s">
        <v>76</v>
      </c>
      <c r="C516" t="s">
        <v>2</v>
      </c>
      <c r="D516" t="s">
        <v>150</v>
      </c>
      <c r="E516">
        <v>4.1765731369656618E-2</v>
      </c>
      <c r="F516" t="s">
        <v>151</v>
      </c>
      <c r="G516">
        <v>4.1765731369656618E-2</v>
      </c>
    </row>
    <row r="517" spans="1:7" x14ac:dyDescent="0.25">
      <c r="A517" t="s">
        <v>158</v>
      </c>
      <c r="B517" t="s">
        <v>76</v>
      </c>
      <c r="C517" t="s">
        <v>3</v>
      </c>
      <c r="D517" t="s">
        <v>150</v>
      </c>
      <c r="E517">
        <v>1.523558598711041E-2</v>
      </c>
      <c r="F517" t="s">
        <v>151</v>
      </c>
      <c r="G517">
        <v>1.523558598711041E-2</v>
      </c>
    </row>
    <row r="518" spans="1:7" x14ac:dyDescent="0.25">
      <c r="A518" t="s">
        <v>158</v>
      </c>
      <c r="B518" t="s">
        <v>76</v>
      </c>
      <c r="C518" t="s">
        <v>6</v>
      </c>
      <c r="D518" t="s">
        <v>152</v>
      </c>
      <c r="E518">
        <v>0.43273688361237522</v>
      </c>
      <c r="F518" t="s">
        <v>151</v>
      </c>
      <c r="G518">
        <v>0.43273688361237522</v>
      </c>
    </row>
    <row r="519" spans="1:7" x14ac:dyDescent="0.25">
      <c r="A519" t="s">
        <v>158</v>
      </c>
      <c r="B519" t="s">
        <v>76</v>
      </c>
      <c r="C519" t="s">
        <v>7</v>
      </c>
      <c r="D519" t="s">
        <v>152</v>
      </c>
      <c r="E519">
        <v>0.56726311638762483</v>
      </c>
      <c r="F519" t="s">
        <v>151</v>
      </c>
      <c r="G519">
        <v>0.56726311638762483</v>
      </c>
    </row>
    <row r="520" spans="1:7" x14ac:dyDescent="0.25">
      <c r="A520" t="s">
        <v>158</v>
      </c>
      <c r="B520" t="s">
        <v>76</v>
      </c>
      <c r="C520" t="s">
        <v>26</v>
      </c>
      <c r="D520" t="s">
        <v>153</v>
      </c>
      <c r="E520">
        <v>0.1171368722490322</v>
      </c>
      <c r="F520" t="s">
        <v>151</v>
      </c>
      <c r="G520">
        <v>0.1171368722490322</v>
      </c>
    </row>
    <row r="521" spans="1:7" x14ac:dyDescent="0.25">
      <c r="A521" t="s">
        <v>158</v>
      </c>
      <c r="B521" t="s">
        <v>76</v>
      </c>
      <c r="C521" t="s">
        <v>27</v>
      </c>
      <c r="D521" t="s">
        <v>153</v>
      </c>
      <c r="E521">
        <v>0.88286312775096776</v>
      </c>
      <c r="F521" t="s">
        <v>151</v>
      </c>
      <c r="G521">
        <v>0.88286312775096776</v>
      </c>
    </row>
    <row r="522" spans="1:7" x14ac:dyDescent="0.25">
      <c r="A522" t="s">
        <v>158</v>
      </c>
      <c r="B522" t="s">
        <v>76</v>
      </c>
      <c r="C522" t="s">
        <v>34</v>
      </c>
      <c r="D522" t="s">
        <v>154</v>
      </c>
      <c r="E522">
        <v>0.45630816353267001</v>
      </c>
      <c r="F522" t="s">
        <v>151</v>
      </c>
      <c r="G522">
        <v>0.45630816353267001</v>
      </c>
    </row>
    <row r="523" spans="1:7" x14ac:dyDescent="0.25">
      <c r="A523" t="s">
        <v>158</v>
      </c>
      <c r="B523" t="s">
        <v>76</v>
      </c>
      <c r="C523" t="s">
        <v>35</v>
      </c>
      <c r="D523" t="s">
        <v>154</v>
      </c>
      <c r="E523">
        <v>4.4370047500516312E-2</v>
      </c>
      <c r="F523" t="s">
        <v>151</v>
      </c>
      <c r="G523">
        <v>4.4370047500516312E-2</v>
      </c>
    </row>
    <row r="524" spans="1:7" x14ac:dyDescent="0.25">
      <c r="A524" t="s">
        <v>158</v>
      </c>
      <c r="B524" t="s">
        <v>76</v>
      </c>
      <c r="C524" t="s">
        <v>36</v>
      </c>
      <c r="D524" t="s">
        <v>154</v>
      </c>
      <c r="E524">
        <v>0.1883750452665103</v>
      </c>
      <c r="F524" t="s">
        <v>151</v>
      </c>
      <c r="G524">
        <v>0.1883750452665103</v>
      </c>
    </row>
    <row r="525" spans="1:7" x14ac:dyDescent="0.25">
      <c r="A525" t="s">
        <v>158</v>
      </c>
      <c r="B525" t="s">
        <v>76</v>
      </c>
      <c r="C525" t="s">
        <v>37</v>
      </c>
      <c r="D525" t="s">
        <v>154</v>
      </c>
      <c r="E525">
        <v>0.22286512267581851</v>
      </c>
      <c r="F525" t="s">
        <v>151</v>
      </c>
      <c r="G525">
        <v>0.22286512267581851</v>
      </c>
    </row>
    <row r="526" spans="1:7" x14ac:dyDescent="0.25">
      <c r="A526" t="s">
        <v>158</v>
      </c>
      <c r="B526" t="s">
        <v>76</v>
      </c>
      <c r="C526" t="s">
        <v>38</v>
      </c>
      <c r="D526" t="s">
        <v>154</v>
      </c>
      <c r="E526">
        <v>8.8081621024484816E-2</v>
      </c>
      <c r="F526" t="s">
        <v>151</v>
      </c>
      <c r="G526">
        <v>8.8081621024484816E-2</v>
      </c>
    </row>
    <row r="527" spans="1:7" x14ac:dyDescent="0.25">
      <c r="A527" t="s">
        <v>158</v>
      </c>
      <c r="B527" t="s">
        <v>76</v>
      </c>
      <c r="C527" t="s">
        <v>45</v>
      </c>
      <c r="D527" t="s">
        <v>155</v>
      </c>
      <c r="E527">
        <v>1</v>
      </c>
      <c r="F527" t="s">
        <v>156</v>
      </c>
      <c r="G527">
        <v>0.72982194479141249</v>
      </c>
    </row>
    <row r="528" spans="1:7" x14ac:dyDescent="0.25">
      <c r="A528" t="s">
        <v>158</v>
      </c>
      <c r="B528" t="s">
        <v>76</v>
      </c>
      <c r="C528" t="s">
        <v>46</v>
      </c>
      <c r="D528" t="s">
        <v>155</v>
      </c>
      <c r="E528">
        <v>0</v>
      </c>
      <c r="F528" t="s">
        <v>156</v>
      </c>
      <c r="G528">
        <v>0.27017805520858751</v>
      </c>
    </row>
    <row r="529" spans="1:7" x14ac:dyDescent="0.25">
      <c r="A529" t="s">
        <v>158</v>
      </c>
      <c r="B529" t="s">
        <v>76</v>
      </c>
      <c r="C529" t="s">
        <v>50</v>
      </c>
      <c r="D529" t="s">
        <v>157</v>
      </c>
      <c r="E529">
        <v>0.42162495143522749</v>
      </c>
      <c r="F529" t="s">
        <v>151</v>
      </c>
      <c r="G529">
        <v>0.42162495143522749</v>
      </c>
    </row>
    <row r="530" spans="1:7" x14ac:dyDescent="0.25">
      <c r="A530" t="s">
        <v>158</v>
      </c>
      <c r="B530" t="s">
        <v>76</v>
      </c>
      <c r="C530" t="s">
        <v>51</v>
      </c>
      <c r="D530" t="s">
        <v>157</v>
      </c>
      <c r="E530">
        <v>0.57837504856477251</v>
      </c>
      <c r="F530" t="s">
        <v>151</v>
      </c>
      <c r="G530">
        <v>0.57837504856477251</v>
      </c>
    </row>
    <row r="531" spans="1:7" x14ac:dyDescent="0.25">
      <c r="A531" t="s">
        <v>158</v>
      </c>
      <c r="B531" t="s">
        <v>75</v>
      </c>
      <c r="C531" t="s">
        <v>1</v>
      </c>
      <c r="D531" t="s">
        <v>150</v>
      </c>
      <c r="E531">
        <v>0.94299868264323294</v>
      </c>
      <c r="F531" t="s">
        <v>151</v>
      </c>
      <c r="G531">
        <v>0.94299868264323294</v>
      </c>
    </row>
    <row r="532" spans="1:7" x14ac:dyDescent="0.25">
      <c r="A532" t="s">
        <v>158</v>
      </c>
      <c r="B532" t="s">
        <v>75</v>
      </c>
      <c r="C532" t="s">
        <v>2</v>
      </c>
      <c r="D532" t="s">
        <v>150</v>
      </c>
      <c r="E532">
        <v>4.1765731369656618E-2</v>
      </c>
      <c r="F532" t="s">
        <v>151</v>
      </c>
      <c r="G532">
        <v>4.1765731369656618E-2</v>
      </c>
    </row>
    <row r="533" spans="1:7" x14ac:dyDescent="0.25">
      <c r="A533" t="s">
        <v>158</v>
      </c>
      <c r="B533" t="s">
        <v>75</v>
      </c>
      <c r="C533" t="s">
        <v>3</v>
      </c>
      <c r="D533" t="s">
        <v>150</v>
      </c>
      <c r="E533">
        <v>1.523558598711041E-2</v>
      </c>
      <c r="F533" t="s">
        <v>151</v>
      </c>
      <c r="G533">
        <v>1.523558598711041E-2</v>
      </c>
    </row>
    <row r="534" spans="1:7" x14ac:dyDescent="0.25">
      <c r="A534" t="s">
        <v>158</v>
      </c>
      <c r="B534" t="s">
        <v>75</v>
      </c>
      <c r="C534" t="s">
        <v>6</v>
      </c>
      <c r="D534" t="s">
        <v>152</v>
      </c>
      <c r="E534">
        <v>0.43273688361237522</v>
      </c>
      <c r="F534" t="s">
        <v>151</v>
      </c>
      <c r="G534">
        <v>0.43273688361237522</v>
      </c>
    </row>
    <row r="535" spans="1:7" x14ac:dyDescent="0.25">
      <c r="A535" t="s">
        <v>158</v>
      </c>
      <c r="B535" t="s">
        <v>75</v>
      </c>
      <c r="C535" t="s">
        <v>7</v>
      </c>
      <c r="D535" t="s">
        <v>152</v>
      </c>
      <c r="E535">
        <v>0.56726311638762483</v>
      </c>
      <c r="F535" t="s">
        <v>151</v>
      </c>
      <c r="G535">
        <v>0.56726311638762483</v>
      </c>
    </row>
    <row r="536" spans="1:7" x14ac:dyDescent="0.25">
      <c r="A536" t="s">
        <v>158</v>
      </c>
      <c r="B536" t="s">
        <v>75</v>
      </c>
      <c r="C536" t="s">
        <v>26</v>
      </c>
      <c r="D536" t="s">
        <v>153</v>
      </c>
      <c r="E536">
        <v>0.1171368722490322</v>
      </c>
      <c r="F536" t="s">
        <v>151</v>
      </c>
      <c r="G536">
        <v>0.1171368722490322</v>
      </c>
    </row>
    <row r="537" spans="1:7" x14ac:dyDescent="0.25">
      <c r="A537" t="s">
        <v>158</v>
      </c>
      <c r="B537" t="s">
        <v>75</v>
      </c>
      <c r="C537" t="s">
        <v>27</v>
      </c>
      <c r="D537" t="s">
        <v>153</v>
      </c>
      <c r="E537">
        <v>0.88286312775096776</v>
      </c>
      <c r="F537" t="s">
        <v>151</v>
      </c>
      <c r="G537">
        <v>0.88286312775096776</v>
      </c>
    </row>
    <row r="538" spans="1:7" x14ac:dyDescent="0.25">
      <c r="A538" t="s">
        <v>158</v>
      </c>
      <c r="B538" t="s">
        <v>75</v>
      </c>
      <c r="C538" t="s">
        <v>34</v>
      </c>
      <c r="D538" t="s">
        <v>154</v>
      </c>
      <c r="E538">
        <v>0.45630816353267001</v>
      </c>
      <c r="F538" t="s">
        <v>151</v>
      </c>
      <c r="G538">
        <v>0.45630816353267001</v>
      </c>
    </row>
    <row r="539" spans="1:7" x14ac:dyDescent="0.25">
      <c r="A539" t="s">
        <v>158</v>
      </c>
      <c r="B539" t="s">
        <v>75</v>
      </c>
      <c r="C539" t="s">
        <v>35</v>
      </c>
      <c r="D539" t="s">
        <v>154</v>
      </c>
      <c r="E539">
        <v>4.4370047500516312E-2</v>
      </c>
      <c r="F539" t="s">
        <v>151</v>
      </c>
      <c r="G539">
        <v>4.4370047500516312E-2</v>
      </c>
    </row>
    <row r="540" spans="1:7" x14ac:dyDescent="0.25">
      <c r="A540" t="s">
        <v>158</v>
      </c>
      <c r="B540" t="s">
        <v>75</v>
      </c>
      <c r="C540" t="s">
        <v>36</v>
      </c>
      <c r="D540" t="s">
        <v>154</v>
      </c>
      <c r="E540">
        <v>0.1883750452665103</v>
      </c>
      <c r="F540" t="s">
        <v>151</v>
      </c>
      <c r="G540">
        <v>0.1883750452665103</v>
      </c>
    </row>
    <row r="541" spans="1:7" x14ac:dyDescent="0.25">
      <c r="A541" t="s">
        <v>158</v>
      </c>
      <c r="B541" t="s">
        <v>75</v>
      </c>
      <c r="C541" t="s">
        <v>37</v>
      </c>
      <c r="D541" t="s">
        <v>154</v>
      </c>
      <c r="E541">
        <v>0.22286512267581851</v>
      </c>
      <c r="F541" t="s">
        <v>151</v>
      </c>
      <c r="G541">
        <v>0.22286512267581851</v>
      </c>
    </row>
    <row r="542" spans="1:7" x14ac:dyDescent="0.25">
      <c r="A542" t="s">
        <v>158</v>
      </c>
      <c r="B542" t="s">
        <v>75</v>
      </c>
      <c r="C542" t="s">
        <v>38</v>
      </c>
      <c r="D542" t="s">
        <v>154</v>
      </c>
      <c r="E542">
        <v>8.8081621024484816E-2</v>
      </c>
      <c r="F542" t="s">
        <v>151</v>
      </c>
      <c r="G542">
        <v>8.8081621024484816E-2</v>
      </c>
    </row>
    <row r="543" spans="1:7" x14ac:dyDescent="0.25">
      <c r="A543" t="s">
        <v>158</v>
      </c>
      <c r="B543" t="s">
        <v>75</v>
      </c>
      <c r="C543" t="s">
        <v>45</v>
      </c>
      <c r="D543" t="s">
        <v>155</v>
      </c>
      <c r="E543">
        <v>1</v>
      </c>
      <c r="F543" t="s">
        <v>156</v>
      </c>
      <c r="G543">
        <v>0.72982194479141249</v>
      </c>
    </row>
    <row r="544" spans="1:7" x14ac:dyDescent="0.25">
      <c r="A544" t="s">
        <v>158</v>
      </c>
      <c r="B544" t="s">
        <v>75</v>
      </c>
      <c r="C544" t="s">
        <v>46</v>
      </c>
      <c r="D544" t="s">
        <v>155</v>
      </c>
      <c r="E544">
        <v>0</v>
      </c>
      <c r="F544" t="s">
        <v>156</v>
      </c>
      <c r="G544">
        <v>0.27017805520858751</v>
      </c>
    </row>
    <row r="545" spans="1:7" x14ac:dyDescent="0.25">
      <c r="A545" t="s">
        <v>158</v>
      </c>
      <c r="B545" t="s">
        <v>75</v>
      </c>
      <c r="C545" t="s">
        <v>50</v>
      </c>
      <c r="D545" t="s">
        <v>157</v>
      </c>
      <c r="E545">
        <v>0.42162495143522749</v>
      </c>
      <c r="F545" t="s">
        <v>151</v>
      </c>
      <c r="G545">
        <v>0.42162495143522749</v>
      </c>
    </row>
    <row r="546" spans="1:7" x14ac:dyDescent="0.25">
      <c r="A546" t="s">
        <v>158</v>
      </c>
      <c r="B546" t="s">
        <v>75</v>
      </c>
      <c r="C546" t="s">
        <v>51</v>
      </c>
      <c r="D546" t="s">
        <v>157</v>
      </c>
      <c r="E546">
        <v>0.57837504856477251</v>
      </c>
      <c r="F546" t="s">
        <v>151</v>
      </c>
      <c r="G546">
        <v>0.57837504856477251</v>
      </c>
    </row>
    <row r="547" spans="1:7" x14ac:dyDescent="0.25">
      <c r="A547" t="s">
        <v>158</v>
      </c>
      <c r="B547" t="s">
        <v>65</v>
      </c>
      <c r="C547" t="s">
        <v>1</v>
      </c>
      <c r="D547" t="s">
        <v>150</v>
      </c>
      <c r="E547">
        <v>0.94299868264323294</v>
      </c>
      <c r="F547" t="s">
        <v>151</v>
      </c>
      <c r="G547">
        <v>0.94299868264323294</v>
      </c>
    </row>
    <row r="548" spans="1:7" x14ac:dyDescent="0.25">
      <c r="A548" t="s">
        <v>158</v>
      </c>
      <c r="B548" t="s">
        <v>65</v>
      </c>
      <c r="C548" t="s">
        <v>2</v>
      </c>
      <c r="D548" t="s">
        <v>150</v>
      </c>
      <c r="E548">
        <v>4.1765731369656618E-2</v>
      </c>
      <c r="F548" t="s">
        <v>151</v>
      </c>
      <c r="G548">
        <v>4.1765731369656618E-2</v>
      </c>
    </row>
    <row r="549" spans="1:7" x14ac:dyDescent="0.25">
      <c r="A549" t="s">
        <v>158</v>
      </c>
      <c r="B549" t="s">
        <v>65</v>
      </c>
      <c r="C549" t="s">
        <v>3</v>
      </c>
      <c r="D549" t="s">
        <v>150</v>
      </c>
      <c r="E549">
        <v>1.523558598711041E-2</v>
      </c>
      <c r="F549" t="s">
        <v>151</v>
      </c>
      <c r="G549">
        <v>1.523558598711041E-2</v>
      </c>
    </row>
    <row r="550" spans="1:7" x14ac:dyDescent="0.25">
      <c r="A550" t="s">
        <v>158</v>
      </c>
      <c r="B550" t="s">
        <v>65</v>
      </c>
      <c r="C550" t="s">
        <v>6</v>
      </c>
      <c r="D550" t="s">
        <v>152</v>
      </c>
      <c r="E550">
        <v>0.43273688361237522</v>
      </c>
      <c r="F550" t="s">
        <v>151</v>
      </c>
      <c r="G550">
        <v>0.43273688361237522</v>
      </c>
    </row>
    <row r="551" spans="1:7" x14ac:dyDescent="0.25">
      <c r="A551" t="s">
        <v>158</v>
      </c>
      <c r="B551" t="s">
        <v>65</v>
      </c>
      <c r="C551" t="s">
        <v>7</v>
      </c>
      <c r="D551" t="s">
        <v>152</v>
      </c>
      <c r="E551">
        <v>0.56726311638762483</v>
      </c>
      <c r="F551" t="s">
        <v>151</v>
      </c>
      <c r="G551">
        <v>0.56726311638762483</v>
      </c>
    </row>
    <row r="552" spans="1:7" x14ac:dyDescent="0.25">
      <c r="A552" t="s">
        <v>158</v>
      </c>
      <c r="B552" t="s">
        <v>65</v>
      </c>
      <c r="C552" t="s">
        <v>26</v>
      </c>
      <c r="D552" t="s">
        <v>153</v>
      </c>
      <c r="E552">
        <v>0.1171368722490322</v>
      </c>
      <c r="F552" t="s">
        <v>151</v>
      </c>
      <c r="G552">
        <v>0.1171368722490322</v>
      </c>
    </row>
    <row r="553" spans="1:7" x14ac:dyDescent="0.25">
      <c r="A553" t="s">
        <v>158</v>
      </c>
      <c r="B553" t="s">
        <v>65</v>
      </c>
      <c r="C553" t="s">
        <v>27</v>
      </c>
      <c r="D553" t="s">
        <v>153</v>
      </c>
      <c r="E553">
        <v>0.88286312775096776</v>
      </c>
      <c r="F553" t="s">
        <v>151</v>
      </c>
      <c r="G553">
        <v>0.88286312775096776</v>
      </c>
    </row>
    <row r="554" spans="1:7" x14ac:dyDescent="0.25">
      <c r="A554" t="s">
        <v>158</v>
      </c>
      <c r="B554" t="s">
        <v>65</v>
      </c>
      <c r="C554" t="s">
        <v>34</v>
      </c>
      <c r="D554" t="s">
        <v>154</v>
      </c>
      <c r="E554">
        <v>0.45630816353267001</v>
      </c>
      <c r="F554" t="s">
        <v>151</v>
      </c>
      <c r="G554">
        <v>0.45630816353267001</v>
      </c>
    </row>
    <row r="555" spans="1:7" x14ac:dyDescent="0.25">
      <c r="A555" t="s">
        <v>158</v>
      </c>
      <c r="B555" t="s">
        <v>65</v>
      </c>
      <c r="C555" t="s">
        <v>35</v>
      </c>
      <c r="D555" t="s">
        <v>154</v>
      </c>
      <c r="E555">
        <v>4.4370047500516312E-2</v>
      </c>
      <c r="F555" t="s">
        <v>151</v>
      </c>
      <c r="G555">
        <v>4.4370047500516312E-2</v>
      </c>
    </row>
    <row r="556" spans="1:7" x14ac:dyDescent="0.25">
      <c r="A556" t="s">
        <v>158</v>
      </c>
      <c r="B556" t="s">
        <v>65</v>
      </c>
      <c r="C556" t="s">
        <v>36</v>
      </c>
      <c r="D556" t="s">
        <v>154</v>
      </c>
      <c r="E556">
        <v>0.1883750452665103</v>
      </c>
      <c r="F556" t="s">
        <v>151</v>
      </c>
      <c r="G556">
        <v>0.1883750452665103</v>
      </c>
    </row>
    <row r="557" spans="1:7" x14ac:dyDescent="0.25">
      <c r="A557" t="s">
        <v>158</v>
      </c>
      <c r="B557" t="s">
        <v>65</v>
      </c>
      <c r="C557" t="s">
        <v>37</v>
      </c>
      <c r="D557" t="s">
        <v>154</v>
      </c>
      <c r="E557">
        <v>0.22286512267581851</v>
      </c>
      <c r="F557" t="s">
        <v>151</v>
      </c>
      <c r="G557">
        <v>0.22286512267581851</v>
      </c>
    </row>
    <row r="558" spans="1:7" x14ac:dyDescent="0.25">
      <c r="A558" t="s">
        <v>158</v>
      </c>
      <c r="B558" t="s">
        <v>65</v>
      </c>
      <c r="C558" t="s">
        <v>38</v>
      </c>
      <c r="D558" t="s">
        <v>154</v>
      </c>
      <c r="E558">
        <v>8.8081621024484816E-2</v>
      </c>
      <c r="F558" t="s">
        <v>151</v>
      </c>
      <c r="G558">
        <v>8.8081621024484816E-2</v>
      </c>
    </row>
    <row r="559" spans="1:7" x14ac:dyDescent="0.25">
      <c r="A559" t="s">
        <v>158</v>
      </c>
      <c r="B559" t="s">
        <v>65</v>
      </c>
      <c r="C559" t="s">
        <v>45</v>
      </c>
      <c r="D559" t="s">
        <v>155</v>
      </c>
      <c r="E559">
        <v>1</v>
      </c>
      <c r="F559" t="s">
        <v>156</v>
      </c>
      <c r="G559">
        <v>0.72982194479141249</v>
      </c>
    </row>
    <row r="560" spans="1:7" x14ac:dyDescent="0.25">
      <c r="A560" t="s">
        <v>158</v>
      </c>
      <c r="B560" t="s">
        <v>65</v>
      </c>
      <c r="C560" t="s">
        <v>46</v>
      </c>
      <c r="D560" t="s">
        <v>155</v>
      </c>
      <c r="E560">
        <v>0</v>
      </c>
      <c r="F560" t="s">
        <v>156</v>
      </c>
      <c r="G560">
        <v>0.27017805520858751</v>
      </c>
    </row>
    <row r="561" spans="1:7" x14ac:dyDescent="0.25">
      <c r="A561" t="s">
        <v>158</v>
      </c>
      <c r="B561" t="s">
        <v>65</v>
      </c>
      <c r="C561" t="s">
        <v>50</v>
      </c>
      <c r="D561" t="s">
        <v>157</v>
      </c>
      <c r="E561">
        <v>0.42162495143522749</v>
      </c>
      <c r="F561" t="s">
        <v>151</v>
      </c>
      <c r="G561">
        <v>0.42162495143522749</v>
      </c>
    </row>
    <row r="562" spans="1:7" x14ac:dyDescent="0.25">
      <c r="A562" t="s">
        <v>158</v>
      </c>
      <c r="B562" t="s">
        <v>65</v>
      </c>
      <c r="C562" t="s">
        <v>51</v>
      </c>
      <c r="D562" t="s">
        <v>157</v>
      </c>
      <c r="E562">
        <v>0.57837504856477251</v>
      </c>
      <c r="F562" t="s">
        <v>151</v>
      </c>
      <c r="G562">
        <v>0.57837504856477251</v>
      </c>
    </row>
    <row r="563" spans="1:7" x14ac:dyDescent="0.25">
      <c r="A563" t="s">
        <v>158</v>
      </c>
      <c r="B563" t="s">
        <v>73</v>
      </c>
      <c r="C563" t="s">
        <v>1</v>
      </c>
      <c r="D563" t="s">
        <v>150</v>
      </c>
      <c r="E563">
        <v>0.94299868264323294</v>
      </c>
      <c r="F563" t="s">
        <v>151</v>
      </c>
      <c r="G563">
        <v>0.94299868264323294</v>
      </c>
    </row>
    <row r="564" spans="1:7" x14ac:dyDescent="0.25">
      <c r="A564" t="s">
        <v>158</v>
      </c>
      <c r="B564" t="s">
        <v>73</v>
      </c>
      <c r="C564" t="s">
        <v>2</v>
      </c>
      <c r="D564" t="s">
        <v>150</v>
      </c>
      <c r="E564">
        <v>4.1765731369656618E-2</v>
      </c>
      <c r="F564" t="s">
        <v>151</v>
      </c>
      <c r="G564">
        <v>4.1765731369656618E-2</v>
      </c>
    </row>
    <row r="565" spans="1:7" x14ac:dyDescent="0.25">
      <c r="A565" t="s">
        <v>158</v>
      </c>
      <c r="B565" t="s">
        <v>73</v>
      </c>
      <c r="C565" t="s">
        <v>3</v>
      </c>
      <c r="D565" t="s">
        <v>150</v>
      </c>
      <c r="E565">
        <v>1.523558598711041E-2</v>
      </c>
      <c r="F565" t="s">
        <v>151</v>
      </c>
      <c r="G565">
        <v>1.523558598711041E-2</v>
      </c>
    </row>
    <row r="566" spans="1:7" x14ac:dyDescent="0.25">
      <c r="A566" t="s">
        <v>158</v>
      </c>
      <c r="B566" t="s">
        <v>73</v>
      </c>
      <c r="C566" t="s">
        <v>6</v>
      </c>
      <c r="D566" t="s">
        <v>152</v>
      </c>
      <c r="E566">
        <v>0.43273688361237522</v>
      </c>
      <c r="F566" t="s">
        <v>151</v>
      </c>
      <c r="G566">
        <v>0.43273688361237522</v>
      </c>
    </row>
    <row r="567" spans="1:7" x14ac:dyDescent="0.25">
      <c r="A567" t="s">
        <v>158</v>
      </c>
      <c r="B567" t="s">
        <v>73</v>
      </c>
      <c r="C567" t="s">
        <v>7</v>
      </c>
      <c r="D567" t="s">
        <v>152</v>
      </c>
      <c r="E567">
        <v>0.56726311638762483</v>
      </c>
      <c r="F567" t="s">
        <v>151</v>
      </c>
      <c r="G567">
        <v>0.56726311638762483</v>
      </c>
    </row>
    <row r="568" spans="1:7" x14ac:dyDescent="0.25">
      <c r="A568" t="s">
        <v>158</v>
      </c>
      <c r="B568" t="s">
        <v>73</v>
      </c>
      <c r="C568" t="s">
        <v>26</v>
      </c>
      <c r="D568" t="s">
        <v>153</v>
      </c>
      <c r="E568">
        <v>0.1171368722490322</v>
      </c>
      <c r="F568" t="s">
        <v>151</v>
      </c>
      <c r="G568">
        <v>0.1171368722490322</v>
      </c>
    </row>
    <row r="569" spans="1:7" x14ac:dyDescent="0.25">
      <c r="A569" t="s">
        <v>158</v>
      </c>
      <c r="B569" t="s">
        <v>73</v>
      </c>
      <c r="C569" t="s">
        <v>27</v>
      </c>
      <c r="D569" t="s">
        <v>153</v>
      </c>
      <c r="E569">
        <v>0.88286312775096776</v>
      </c>
      <c r="F569" t="s">
        <v>151</v>
      </c>
      <c r="G569">
        <v>0.88286312775096776</v>
      </c>
    </row>
    <row r="570" spans="1:7" x14ac:dyDescent="0.25">
      <c r="A570" t="s">
        <v>158</v>
      </c>
      <c r="B570" t="s">
        <v>73</v>
      </c>
      <c r="C570" t="s">
        <v>34</v>
      </c>
      <c r="D570" t="s">
        <v>154</v>
      </c>
      <c r="E570">
        <v>0.45630816353267001</v>
      </c>
      <c r="F570" t="s">
        <v>151</v>
      </c>
      <c r="G570">
        <v>0.45630816353267001</v>
      </c>
    </row>
    <row r="571" spans="1:7" x14ac:dyDescent="0.25">
      <c r="A571" t="s">
        <v>158</v>
      </c>
      <c r="B571" t="s">
        <v>73</v>
      </c>
      <c r="C571" t="s">
        <v>35</v>
      </c>
      <c r="D571" t="s">
        <v>154</v>
      </c>
      <c r="E571">
        <v>4.4370047500516312E-2</v>
      </c>
      <c r="F571" t="s">
        <v>151</v>
      </c>
      <c r="G571">
        <v>4.4370047500516312E-2</v>
      </c>
    </row>
    <row r="572" spans="1:7" x14ac:dyDescent="0.25">
      <c r="A572" t="s">
        <v>158</v>
      </c>
      <c r="B572" t="s">
        <v>73</v>
      </c>
      <c r="C572" t="s">
        <v>36</v>
      </c>
      <c r="D572" t="s">
        <v>154</v>
      </c>
      <c r="E572">
        <v>0.1883750452665103</v>
      </c>
      <c r="F572" t="s">
        <v>151</v>
      </c>
      <c r="G572">
        <v>0.1883750452665103</v>
      </c>
    </row>
    <row r="573" spans="1:7" x14ac:dyDescent="0.25">
      <c r="A573" t="s">
        <v>158</v>
      </c>
      <c r="B573" t="s">
        <v>73</v>
      </c>
      <c r="C573" t="s">
        <v>37</v>
      </c>
      <c r="D573" t="s">
        <v>154</v>
      </c>
      <c r="E573">
        <v>0.22286512267581851</v>
      </c>
      <c r="F573" t="s">
        <v>151</v>
      </c>
      <c r="G573">
        <v>0.22286512267581851</v>
      </c>
    </row>
    <row r="574" spans="1:7" x14ac:dyDescent="0.25">
      <c r="A574" t="s">
        <v>158</v>
      </c>
      <c r="B574" t="s">
        <v>73</v>
      </c>
      <c r="C574" t="s">
        <v>38</v>
      </c>
      <c r="D574" t="s">
        <v>154</v>
      </c>
      <c r="E574">
        <v>8.8081621024484816E-2</v>
      </c>
      <c r="F574" t="s">
        <v>151</v>
      </c>
      <c r="G574">
        <v>8.8081621024484816E-2</v>
      </c>
    </row>
    <row r="575" spans="1:7" x14ac:dyDescent="0.25">
      <c r="A575" t="s">
        <v>158</v>
      </c>
      <c r="B575" t="s">
        <v>73</v>
      </c>
      <c r="C575" t="s">
        <v>45</v>
      </c>
      <c r="D575" t="s">
        <v>155</v>
      </c>
      <c r="E575">
        <v>1</v>
      </c>
      <c r="F575" t="s">
        <v>156</v>
      </c>
      <c r="G575">
        <v>0.72982194479141249</v>
      </c>
    </row>
    <row r="576" spans="1:7" x14ac:dyDescent="0.25">
      <c r="A576" t="s">
        <v>158</v>
      </c>
      <c r="B576" t="s">
        <v>73</v>
      </c>
      <c r="C576" t="s">
        <v>46</v>
      </c>
      <c r="D576" t="s">
        <v>155</v>
      </c>
      <c r="E576">
        <v>0</v>
      </c>
      <c r="F576" t="s">
        <v>156</v>
      </c>
      <c r="G576">
        <v>0.27017805520858751</v>
      </c>
    </row>
    <row r="577" spans="1:7" x14ac:dyDescent="0.25">
      <c r="A577" t="s">
        <v>158</v>
      </c>
      <c r="B577" t="s">
        <v>73</v>
      </c>
      <c r="C577" t="s">
        <v>50</v>
      </c>
      <c r="D577" t="s">
        <v>157</v>
      </c>
      <c r="E577">
        <v>0.42162495143522749</v>
      </c>
      <c r="F577" t="s">
        <v>151</v>
      </c>
      <c r="G577">
        <v>0.42162495143522749</v>
      </c>
    </row>
    <row r="578" spans="1:7" x14ac:dyDescent="0.25">
      <c r="A578" t="s">
        <v>158</v>
      </c>
      <c r="B578" t="s">
        <v>73</v>
      </c>
      <c r="C578" t="s">
        <v>51</v>
      </c>
      <c r="D578" t="s">
        <v>157</v>
      </c>
      <c r="E578">
        <v>0.57837504856477251</v>
      </c>
      <c r="F578" t="s">
        <v>151</v>
      </c>
      <c r="G578">
        <v>0.57837504856477251</v>
      </c>
    </row>
    <row r="579" spans="1:7" x14ac:dyDescent="0.25">
      <c r="A579" t="s">
        <v>158</v>
      </c>
      <c r="B579" t="s">
        <v>69</v>
      </c>
      <c r="C579" t="s">
        <v>1</v>
      </c>
      <c r="D579" t="s">
        <v>150</v>
      </c>
      <c r="E579">
        <v>0.94299868264323294</v>
      </c>
      <c r="F579" t="s">
        <v>151</v>
      </c>
      <c r="G579">
        <v>0.94299868264323294</v>
      </c>
    </row>
    <row r="580" spans="1:7" x14ac:dyDescent="0.25">
      <c r="A580" t="s">
        <v>158</v>
      </c>
      <c r="B580" t="s">
        <v>69</v>
      </c>
      <c r="C580" t="s">
        <v>2</v>
      </c>
      <c r="D580" t="s">
        <v>150</v>
      </c>
      <c r="E580">
        <v>4.1765731369656618E-2</v>
      </c>
      <c r="F580" t="s">
        <v>151</v>
      </c>
      <c r="G580">
        <v>4.1765731369656618E-2</v>
      </c>
    </row>
    <row r="581" spans="1:7" x14ac:dyDescent="0.25">
      <c r="A581" t="s">
        <v>158</v>
      </c>
      <c r="B581" t="s">
        <v>69</v>
      </c>
      <c r="C581" t="s">
        <v>3</v>
      </c>
      <c r="D581" t="s">
        <v>150</v>
      </c>
      <c r="E581">
        <v>1.523558598711041E-2</v>
      </c>
      <c r="F581" t="s">
        <v>151</v>
      </c>
      <c r="G581">
        <v>1.523558598711041E-2</v>
      </c>
    </row>
    <row r="582" spans="1:7" x14ac:dyDescent="0.25">
      <c r="A582" t="s">
        <v>158</v>
      </c>
      <c r="B582" t="s">
        <v>69</v>
      </c>
      <c r="C582" t="s">
        <v>6</v>
      </c>
      <c r="D582" t="s">
        <v>152</v>
      </c>
      <c r="E582">
        <v>0.43273688361237522</v>
      </c>
      <c r="F582" t="s">
        <v>151</v>
      </c>
      <c r="G582">
        <v>0.43273688361237522</v>
      </c>
    </row>
    <row r="583" spans="1:7" x14ac:dyDescent="0.25">
      <c r="A583" t="s">
        <v>158</v>
      </c>
      <c r="B583" t="s">
        <v>69</v>
      </c>
      <c r="C583" t="s">
        <v>7</v>
      </c>
      <c r="D583" t="s">
        <v>152</v>
      </c>
      <c r="E583">
        <v>0.56726311638762483</v>
      </c>
      <c r="F583" t="s">
        <v>151</v>
      </c>
      <c r="G583">
        <v>0.56726311638762483</v>
      </c>
    </row>
    <row r="584" spans="1:7" x14ac:dyDescent="0.25">
      <c r="A584" t="s">
        <v>158</v>
      </c>
      <c r="B584" t="s">
        <v>69</v>
      </c>
      <c r="C584" t="s">
        <v>26</v>
      </c>
      <c r="D584" t="s">
        <v>153</v>
      </c>
      <c r="E584">
        <v>0.1171368722490322</v>
      </c>
      <c r="F584" t="s">
        <v>151</v>
      </c>
      <c r="G584">
        <v>0.1171368722490322</v>
      </c>
    </row>
    <row r="585" spans="1:7" x14ac:dyDescent="0.25">
      <c r="A585" t="s">
        <v>158</v>
      </c>
      <c r="B585" t="s">
        <v>69</v>
      </c>
      <c r="C585" t="s">
        <v>27</v>
      </c>
      <c r="D585" t="s">
        <v>153</v>
      </c>
      <c r="E585">
        <v>0.88286312775096776</v>
      </c>
      <c r="F585" t="s">
        <v>151</v>
      </c>
      <c r="G585">
        <v>0.88286312775096776</v>
      </c>
    </row>
    <row r="586" spans="1:7" x14ac:dyDescent="0.25">
      <c r="A586" t="s">
        <v>158</v>
      </c>
      <c r="B586" t="s">
        <v>69</v>
      </c>
      <c r="C586" t="s">
        <v>34</v>
      </c>
      <c r="D586" t="s">
        <v>154</v>
      </c>
      <c r="E586">
        <v>0.45630816353267001</v>
      </c>
      <c r="F586" t="s">
        <v>151</v>
      </c>
      <c r="G586">
        <v>0.45630816353267001</v>
      </c>
    </row>
    <row r="587" spans="1:7" x14ac:dyDescent="0.25">
      <c r="A587" t="s">
        <v>158</v>
      </c>
      <c r="B587" t="s">
        <v>69</v>
      </c>
      <c r="C587" t="s">
        <v>35</v>
      </c>
      <c r="D587" t="s">
        <v>154</v>
      </c>
      <c r="E587">
        <v>4.4370047500516312E-2</v>
      </c>
      <c r="F587" t="s">
        <v>151</v>
      </c>
      <c r="G587">
        <v>4.4370047500516312E-2</v>
      </c>
    </row>
    <row r="588" spans="1:7" x14ac:dyDescent="0.25">
      <c r="A588" t="s">
        <v>158</v>
      </c>
      <c r="B588" t="s">
        <v>69</v>
      </c>
      <c r="C588" t="s">
        <v>36</v>
      </c>
      <c r="D588" t="s">
        <v>154</v>
      </c>
      <c r="E588">
        <v>0.1883750452665103</v>
      </c>
      <c r="F588" t="s">
        <v>151</v>
      </c>
      <c r="G588">
        <v>0.1883750452665103</v>
      </c>
    </row>
    <row r="589" spans="1:7" x14ac:dyDescent="0.25">
      <c r="A589" t="s">
        <v>158</v>
      </c>
      <c r="B589" t="s">
        <v>69</v>
      </c>
      <c r="C589" t="s">
        <v>37</v>
      </c>
      <c r="D589" t="s">
        <v>154</v>
      </c>
      <c r="E589">
        <v>0.22286512267581851</v>
      </c>
      <c r="F589" t="s">
        <v>151</v>
      </c>
      <c r="G589">
        <v>0.22286512267581851</v>
      </c>
    </row>
    <row r="590" spans="1:7" x14ac:dyDescent="0.25">
      <c r="A590" t="s">
        <v>158</v>
      </c>
      <c r="B590" t="s">
        <v>69</v>
      </c>
      <c r="C590" t="s">
        <v>38</v>
      </c>
      <c r="D590" t="s">
        <v>154</v>
      </c>
      <c r="E590">
        <v>8.8081621024484816E-2</v>
      </c>
      <c r="F590" t="s">
        <v>151</v>
      </c>
      <c r="G590">
        <v>8.8081621024484816E-2</v>
      </c>
    </row>
    <row r="591" spans="1:7" x14ac:dyDescent="0.25">
      <c r="A591" t="s">
        <v>158</v>
      </c>
      <c r="B591" t="s">
        <v>69</v>
      </c>
      <c r="C591" t="s">
        <v>45</v>
      </c>
      <c r="D591" t="s">
        <v>155</v>
      </c>
      <c r="E591">
        <v>1</v>
      </c>
      <c r="F591" t="s">
        <v>156</v>
      </c>
      <c r="G591">
        <v>0.72982194479141249</v>
      </c>
    </row>
    <row r="592" spans="1:7" x14ac:dyDescent="0.25">
      <c r="A592" t="s">
        <v>158</v>
      </c>
      <c r="B592" t="s">
        <v>69</v>
      </c>
      <c r="C592" t="s">
        <v>46</v>
      </c>
      <c r="D592" t="s">
        <v>155</v>
      </c>
      <c r="E592">
        <v>0</v>
      </c>
      <c r="F592" t="s">
        <v>156</v>
      </c>
      <c r="G592">
        <v>0.27017805520858751</v>
      </c>
    </row>
    <row r="593" spans="1:7" x14ac:dyDescent="0.25">
      <c r="A593" t="s">
        <v>158</v>
      </c>
      <c r="B593" t="s">
        <v>69</v>
      </c>
      <c r="C593" t="s">
        <v>50</v>
      </c>
      <c r="D593" t="s">
        <v>157</v>
      </c>
      <c r="E593">
        <v>0.42162495143522749</v>
      </c>
      <c r="F593" t="s">
        <v>151</v>
      </c>
      <c r="G593">
        <v>0.42162495143522749</v>
      </c>
    </row>
    <row r="594" spans="1:7" x14ac:dyDescent="0.25">
      <c r="A594" t="s">
        <v>158</v>
      </c>
      <c r="B594" t="s">
        <v>69</v>
      </c>
      <c r="C594" t="s">
        <v>51</v>
      </c>
      <c r="D594" t="s">
        <v>157</v>
      </c>
      <c r="E594">
        <v>0.57837504856477251</v>
      </c>
      <c r="F594" t="s">
        <v>151</v>
      </c>
      <c r="G594">
        <v>0.57837504856477251</v>
      </c>
    </row>
    <row r="595" spans="1:7" x14ac:dyDescent="0.25">
      <c r="A595" t="s">
        <v>158</v>
      </c>
      <c r="B595" t="s">
        <v>55</v>
      </c>
      <c r="C595" t="s">
        <v>1</v>
      </c>
      <c r="D595" t="s">
        <v>150</v>
      </c>
      <c r="E595">
        <v>0.94299868264323294</v>
      </c>
      <c r="F595" t="s">
        <v>151</v>
      </c>
      <c r="G595">
        <v>0.94299868264323294</v>
      </c>
    </row>
    <row r="596" spans="1:7" x14ac:dyDescent="0.25">
      <c r="A596" t="s">
        <v>158</v>
      </c>
      <c r="B596" t="s">
        <v>55</v>
      </c>
      <c r="C596" t="s">
        <v>2</v>
      </c>
      <c r="D596" t="s">
        <v>150</v>
      </c>
      <c r="E596">
        <v>4.1765731369656618E-2</v>
      </c>
      <c r="F596" t="s">
        <v>151</v>
      </c>
      <c r="G596">
        <v>4.1765731369656618E-2</v>
      </c>
    </row>
    <row r="597" spans="1:7" x14ac:dyDescent="0.25">
      <c r="A597" t="s">
        <v>158</v>
      </c>
      <c r="B597" t="s">
        <v>55</v>
      </c>
      <c r="C597" t="s">
        <v>3</v>
      </c>
      <c r="D597" t="s">
        <v>150</v>
      </c>
      <c r="E597">
        <v>1.523558598711041E-2</v>
      </c>
      <c r="F597" t="s">
        <v>151</v>
      </c>
      <c r="G597">
        <v>1.523558598711041E-2</v>
      </c>
    </row>
    <row r="598" spans="1:7" x14ac:dyDescent="0.25">
      <c r="A598" t="s">
        <v>158</v>
      </c>
      <c r="B598" t="s">
        <v>55</v>
      </c>
      <c r="C598" t="s">
        <v>6</v>
      </c>
      <c r="D598" t="s">
        <v>152</v>
      </c>
      <c r="E598">
        <v>0.43273688361237522</v>
      </c>
      <c r="F598" t="s">
        <v>151</v>
      </c>
      <c r="G598">
        <v>0.43273688361237522</v>
      </c>
    </row>
    <row r="599" spans="1:7" x14ac:dyDescent="0.25">
      <c r="A599" t="s">
        <v>158</v>
      </c>
      <c r="B599" t="s">
        <v>55</v>
      </c>
      <c r="C599" t="s">
        <v>7</v>
      </c>
      <c r="D599" t="s">
        <v>152</v>
      </c>
      <c r="E599">
        <v>0.56726311638762483</v>
      </c>
      <c r="F599" t="s">
        <v>151</v>
      </c>
      <c r="G599">
        <v>0.56726311638762483</v>
      </c>
    </row>
    <row r="600" spans="1:7" x14ac:dyDescent="0.25">
      <c r="A600" t="s">
        <v>158</v>
      </c>
      <c r="B600" t="s">
        <v>55</v>
      </c>
      <c r="C600" t="s">
        <v>26</v>
      </c>
      <c r="D600" t="s">
        <v>153</v>
      </c>
      <c r="E600">
        <v>0.1171368722490322</v>
      </c>
      <c r="F600" t="s">
        <v>151</v>
      </c>
      <c r="G600">
        <v>0.1171368722490322</v>
      </c>
    </row>
    <row r="601" spans="1:7" x14ac:dyDescent="0.25">
      <c r="A601" t="s">
        <v>158</v>
      </c>
      <c r="B601" t="s">
        <v>55</v>
      </c>
      <c r="C601" t="s">
        <v>27</v>
      </c>
      <c r="D601" t="s">
        <v>153</v>
      </c>
      <c r="E601">
        <v>0.88286312775096776</v>
      </c>
      <c r="F601" t="s">
        <v>151</v>
      </c>
      <c r="G601">
        <v>0.88286312775096776</v>
      </c>
    </row>
    <row r="602" spans="1:7" x14ac:dyDescent="0.25">
      <c r="A602" t="s">
        <v>158</v>
      </c>
      <c r="B602" t="s">
        <v>55</v>
      </c>
      <c r="C602" t="s">
        <v>34</v>
      </c>
      <c r="D602" t="s">
        <v>154</v>
      </c>
      <c r="E602">
        <v>0.45630816353267001</v>
      </c>
      <c r="F602" t="s">
        <v>151</v>
      </c>
      <c r="G602">
        <v>0.45630816353267001</v>
      </c>
    </row>
    <row r="603" spans="1:7" x14ac:dyDescent="0.25">
      <c r="A603" t="s">
        <v>158</v>
      </c>
      <c r="B603" t="s">
        <v>55</v>
      </c>
      <c r="C603" t="s">
        <v>35</v>
      </c>
      <c r="D603" t="s">
        <v>154</v>
      </c>
      <c r="E603">
        <v>4.4370047500516312E-2</v>
      </c>
      <c r="F603" t="s">
        <v>151</v>
      </c>
      <c r="G603">
        <v>4.4370047500516312E-2</v>
      </c>
    </row>
    <row r="604" spans="1:7" x14ac:dyDescent="0.25">
      <c r="A604" t="s">
        <v>158</v>
      </c>
      <c r="B604" t="s">
        <v>55</v>
      </c>
      <c r="C604" t="s">
        <v>36</v>
      </c>
      <c r="D604" t="s">
        <v>154</v>
      </c>
      <c r="E604">
        <v>0.1883750452665103</v>
      </c>
      <c r="F604" t="s">
        <v>151</v>
      </c>
      <c r="G604">
        <v>0.1883750452665103</v>
      </c>
    </row>
    <row r="605" spans="1:7" x14ac:dyDescent="0.25">
      <c r="A605" t="s">
        <v>158</v>
      </c>
      <c r="B605" t="s">
        <v>55</v>
      </c>
      <c r="C605" t="s">
        <v>37</v>
      </c>
      <c r="D605" t="s">
        <v>154</v>
      </c>
      <c r="E605">
        <v>0.22286512267581851</v>
      </c>
      <c r="F605" t="s">
        <v>151</v>
      </c>
      <c r="G605">
        <v>0.22286512267581851</v>
      </c>
    </row>
    <row r="606" spans="1:7" x14ac:dyDescent="0.25">
      <c r="A606" t="s">
        <v>158</v>
      </c>
      <c r="B606" t="s">
        <v>55</v>
      </c>
      <c r="C606" t="s">
        <v>38</v>
      </c>
      <c r="D606" t="s">
        <v>154</v>
      </c>
      <c r="E606">
        <v>8.8081621024484816E-2</v>
      </c>
      <c r="F606" t="s">
        <v>151</v>
      </c>
      <c r="G606">
        <v>8.8081621024484816E-2</v>
      </c>
    </row>
    <row r="607" spans="1:7" x14ac:dyDescent="0.25">
      <c r="A607" t="s">
        <v>158</v>
      </c>
      <c r="B607" t="s">
        <v>55</v>
      </c>
      <c r="C607" t="s">
        <v>45</v>
      </c>
      <c r="D607" t="s">
        <v>155</v>
      </c>
      <c r="E607">
        <v>1</v>
      </c>
      <c r="F607" t="s">
        <v>156</v>
      </c>
      <c r="G607">
        <v>0.72982194479141249</v>
      </c>
    </row>
    <row r="608" spans="1:7" x14ac:dyDescent="0.25">
      <c r="A608" t="s">
        <v>158</v>
      </c>
      <c r="B608" t="s">
        <v>55</v>
      </c>
      <c r="C608" t="s">
        <v>46</v>
      </c>
      <c r="D608" t="s">
        <v>155</v>
      </c>
      <c r="E608">
        <v>0</v>
      </c>
      <c r="F608" t="s">
        <v>156</v>
      </c>
      <c r="G608">
        <v>0.27017805520858751</v>
      </c>
    </row>
    <row r="609" spans="1:7" x14ac:dyDescent="0.25">
      <c r="A609" t="s">
        <v>158</v>
      </c>
      <c r="B609" t="s">
        <v>55</v>
      </c>
      <c r="C609" t="s">
        <v>50</v>
      </c>
      <c r="D609" t="s">
        <v>157</v>
      </c>
      <c r="E609">
        <v>0.42162495143522749</v>
      </c>
      <c r="F609" t="s">
        <v>151</v>
      </c>
      <c r="G609">
        <v>0.42162495143522749</v>
      </c>
    </row>
    <row r="610" spans="1:7" x14ac:dyDescent="0.25">
      <c r="A610" t="s">
        <v>158</v>
      </c>
      <c r="B610" t="s">
        <v>55</v>
      </c>
      <c r="C610" t="s">
        <v>51</v>
      </c>
      <c r="D610" t="s">
        <v>157</v>
      </c>
      <c r="E610">
        <v>0.57837504856477251</v>
      </c>
      <c r="F610" t="s">
        <v>151</v>
      </c>
      <c r="G610">
        <v>0.57837504856477251</v>
      </c>
    </row>
    <row r="611" spans="1:7" x14ac:dyDescent="0.25">
      <c r="A611" t="s">
        <v>158</v>
      </c>
      <c r="B611" t="s">
        <v>71</v>
      </c>
      <c r="C611" t="s">
        <v>1</v>
      </c>
      <c r="D611" t="s">
        <v>150</v>
      </c>
      <c r="E611">
        <v>0.94299868264323294</v>
      </c>
      <c r="F611" t="s">
        <v>151</v>
      </c>
      <c r="G611">
        <v>0.94299868264323294</v>
      </c>
    </row>
    <row r="612" spans="1:7" x14ac:dyDescent="0.25">
      <c r="A612" t="s">
        <v>158</v>
      </c>
      <c r="B612" t="s">
        <v>71</v>
      </c>
      <c r="C612" t="s">
        <v>2</v>
      </c>
      <c r="D612" t="s">
        <v>150</v>
      </c>
      <c r="E612">
        <v>4.1765731369656618E-2</v>
      </c>
      <c r="F612" t="s">
        <v>151</v>
      </c>
      <c r="G612">
        <v>4.1765731369656618E-2</v>
      </c>
    </row>
    <row r="613" spans="1:7" x14ac:dyDescent="0.25">
      <c r="A613" t="s">
        <v>158</v>
      </c>
      <c r="B613" t="s">
        <v>71</v>
      </c>
      <c r="C613" t="s">
        <v>3</v>
      </c>
      <c r="D613" t="s">
        <v>150</v>
      </c>
      <c r="E613">
        <v>1.523558598711041E-2</v>
      </c>
      <c r="F613" t="s">
        <v>151</v>
      </c>
      <c r="G613">
        <v>1.523558598711041E-2</v>
      </c>
    </row>
    <row r="614" spans="1:7" x14ac:dyDescent="0.25">
      <c r="A614" t="s">
        <v>158</v>
      </c>
      <c r="B614" t="s">
        <v>71</v>
      </c>
      <c r="C614" t="s">
        <v>6</v>
      </c>
      <c r="D614" t="s">
        <v>152</v>
      </c>
      <c r="E614">
        <v>0.43273688361237522</v>
      </c>
      <c r="F614" t="s">
        <v>151</v>
      </c>
      <c r="G614">
        <v>0.43273688361237522</v>
      </c>
    </row>
    <row r="615" spans="1:7" x14ac:dyDescent="0.25">
      <c r="A615" t="s">
        <v>158</v>
      </c>
      <c r="B615" t="s">
        <v>71</v>
      </c>
      <c r="C615" t="s">
        <v>7</v>
      </c>
      <c r="D615" t="s">
        <v>152</v>
      </c>
      <c r="E615">
        <v>0.56726311638762483</v>
      </c>
      <c r="F615" t="s">
        <v>151</v>
      </c>
      <c r="G615">
        <v>0.56726311638762483</v>
      </c>
    </row>
    <row r="616" spans="1:7" x14ac:dyDescent="0.25">
      <c r="A616" t="s">
        <v>158</v>
      </c>
      <c r="B616" t="s">
        <v>71</v>
      </c>
      <c r="C616" t="s">
        <v>26</v>
      </c>
      <c r="D616" t="s">
        <v>153</v>
      </c>
      <c r="E616">
        <v>0.1171368722490322</v>
      </c>
      <c r="F616" t="s">
        <v>151</v>
      </c>
      <c r="G616">
        <v>0.1171368722490322</v>
      </c>
    </row>
    <row r="617" spans="1:7" x14ac:dyDescent="0.25">
      <c r="A617" t="s">
        <v>158</v>
      </c>
      <c r="B617" t="s">
        <v>71</v>
      </c>
      <c r="C617" t="s">
        <v>27</v>
      </c>
      <c r="D617" t="s">
        <v>153</v>
      </c>
      <c r="E617">
        <v>0.88286312775096776</v>
      </c>
      <c r="F617" t="s">
        <v>151</v>
      </c>
      <c r="G617">
        <v>0.88286312775096776</v>
      </c>
    </row>
    <row r="618" spans="1:7" x14ac:dyDescent="0.25">
      <c r="A618" t="s">
        <v>158</v>
      </c>
      <c r="B618" t="s">
        <v>71</v>
      </c>
      <c r="C618" t="s">
        <v>34</v>
      </c>
      <c r="D618" t="s">
        <v>154</v>
      </c>
      <c r="E618">
        <v>0.45630816353267001</v>
      </c>
      <c r="F618" t="s">
        <v>151</v>
      </c>
      <c r="G618">
        <v>0.45630816353267001</v>
      </c>
    </row>
    <row r="619" spans="1:7" x14ac:dyDescent="0.25">
      <c r="A619" t="s">
        <v>158</v>
      </c>
      <c r="B619" t="s">
        <v>71</v>
      </c>
      <c r="C619" t="s">
        <v>35</v>
      </c>
      <c r="D619" t="s">
        <v>154</v>
      </c>
      <c r="E619">
        <v>4.4370047500516312E-2</v>
      </c>
      <c r="F619" t="s">
        <v>151</v>
      </c>
      <c r="G619">
        <v>4.4370047500516312E-2</v>
      </c>
    </row>
    <row r="620" spans="1:7" x14ac:dyDescent="0.25">
      <c r="A620" t="s">
        <v>158</v>
      </c>
      <c r="B620" t="s">
        <v>71</v>
      </c>
      <c r="C620" t="s">
        <v>36</v>
      </c>
      <c r="D620" t="s">
        <v>154</v>
      </c>
      <c r="E620">
        <v>0.1883750452665103</v>
      </c>
      <c r="F620" t="s">
        <v>151</v>
      </c>
      <c r="G620">
        <v>0.1883750452665103</v>
      </c>
    </row>
    <row r="621" spans="1:7" x14ac:dyDescent="0.25">
      <c r="A621" t="s">
        <v>158</v>
      </c>
      <c r="B621" t="s">
        <v>71</v>
      </c>
      <c r="C621" t="s">
        <v>37</v>
      </c>
      <c r="D621" t="s">
        <v>154</v>
      </c>
      <c r="E621">
        <v>0.22286512267581851</v>
      </c>
      <c r="F621" t="s">
        <v>151</v>
      </c>
      <c r="G621">
        <v>0.22286512267581851</v>
      </c>
    </row>
    <row r="622" spans="1:7" x14ac:dyDescent="0.25">
      <c r="A622" t="s">
        <v>158</v>
      </c>
      <c r="B622" t="s">
        <v>71</v>
      </c>
      <c r="C622" t="s">
        <v>38</v>
      </c>
      <c r="D622" t="s">
        <v>154</v>
      </c>
      <c r="E622">
        <v>8.8081621024484816E-2</v>
      </c>
      <c r="F622" t="s">
        <v>151</v>
      </c>
      <c r="G622">
        <v>8.8081621024484816E-2</v>
      </c>
    </row>
    <row r="623" spans="1:7" x14ac:dyDescent="0.25">
      <c r="A623" t="s">
        <v>158</v>
      </c>
      <c r="B623" t="s">
        <v>71</v>
      </c>
      <c r="C623" t="s">
        <v>45</v>
      </c>
      <c r="D623" t="s">
        <v>155</v>
      </c>
      <c r="E623">
        <v>1</v>
      </c>
      <c r="F623" t="s">
        <v>156</v>
      </c>
      <c r="G623">
        <v>0.72982194479141249</v>
      </c>
    </row>
    <row r="624" spans="1:7" x14ac:dyDescent="0.25">
      <c r="A624" t="s">
        <v>158</v>
      </c>
      <c r="B624" t="s">
        <v>71</v>
      </c>
      <c r="C624" t="s">
        <v>46</v>
      </c>
      <c r="D624" t="s">
        <v>155</v>
      </c>
      <c r="E624">
        <v>0</v>
      </c>
      <c r="F624" t="s">
        <v>156</v>
      </c>
      <c r="G624">
        <v>0.27017805520858751</v>
      </c>
    </row>
    <row r="625" spans="1:7" x14ac:dyDescent="0.25">
      <c r="A625" t="s">
        <v>158</v>
      </c>
      <c r="B625" t="s">
        <v>71</v>
      </c>
      <c r="C625" t="s">
        <v>50</v>
      </c>
      <c r="D625" t="s">
        <v>157</v>
      </c>
      <c r="E625">
        <v>0.42162495143522749</v>
      </c>
      <c r="F625" t="s">
        <v>151</v>
      </c>
      <c r="G625">
        <v>0.42162495143522749</v>
      </c>
    </row>
    <row r="626" spans="1:7" x14ac:dyDescent="0.25">
      <c r="A626" t="s">
        <v>158</v>
      </c>
      <c r="B626" t="s">
        <v>71</v>
      </c>
      <c r="C626" t="s">
        <v>51</v>
      </c>
      <c r="D626" t="s">
        <v>157</v>
      </c>
      <c r="E626">
        <v>0.57837504856477251</v>
      </c>
      <c r="F626" t="s">
        <v>151</v>
      </c>
      <c r="G626">
        <v>0.57837504856477251</v>
      </c>
    </row>
    <row r="627" spans="1:7" x14ac:dyDescent="0.25">
      <c r="A627" t="s">
        <v>158</v>
      </c>
      <c r="B627" t="s">
        <v>64</v>
      </c>
      <c r="C627" t="s">
        <v>1</v>
      </c>
      <c r="D627" t="s">
        <v>150</v>
      </c>
      <c r="E627">
        <v>0.94299868264323294</v>
      </c>
      <c r="F627" t="s">
        <v>151</v>
      </c>
      <c r="G627">
        <v>0.94299868264323294</v>
      </c>
    </row>
    <row r="628" spans="1:7" x14ac:dyDescent="0.25">
      <c r="A628" t="s">
        <v>158</v>
      </c>
      <c r="B628" t="s">
        <v>64</v>
      </c>
      <c r="C628" t="s">
        <v>2</v>
      </c>
      <c r="D628" t="s">
        <v>150</v>
      </c>
      <c r="E628">
        <v>4.1765731369656618E-2</v>
      </c>
      <c r="F628" t="s">
        <v>151</v>
      </c>
      <c r="G628">
        <v>4.1765731369656618E-2</v>
      </c>
    </row>
    <row r="629" spans="1:7" x14ac:dyDescent="0.25">
      <c r="A629" t="s">
        <v>158</v>
      </c>
      <c r="B629" t="s">
        <v>64</v>
      </c>
      <c r="C629" t="s">
        <v>3</v>
      </c>
      <c r="D629" t="s">
        <v>150</v>
      </c>
      <c r="E629">
        <v>1.523558598711041E-2</v>
      </c>
      <c r="F629" t="s">
        <v>151</v>
      </c>
      <c r="G629">
        <v>1.523558598711041E-2</v>
      </c>
    </row>
    <row r="630" spans="1:7" x14ac:dyDescent="0.25">
      <c r="A630" t="s">
        <v>158</v>
      </c>
      <c r="B630" t="s">
        <v>64</v>
      </c>
      <c r="C630" t="s">
        <v>6</v>
      </c>
      <c r="D630" t="s">
        <v>152</v>
      </c>
      <c r="E630">
        <v>0.43273688361237522</v>
      </c>
      <c r="F630" t="s">
        <v>151</v>
      </c>
      <c r="G630">
        <v>0.43273688361237522</v>
      </c>
    </row>
    <row r="631" spans="1:7" x14ac:dyDescent="0.25">
      <c r="A631" t="s">
        <v>158</v>
      </c>
      <c r="B631" t="s">
        <v>64</v>
      </c>
      <c r="C631" t="s">
        <v>7</v>
      </c>
      <c r="D631" t="s">
        <v>152</v>
      </c>
      <c r="E631">
        <v>0.56726311638762483</v>
      </c>
      <c r="F631" t="s">
        <v>151</v>
      </c>
      <c r="G631">
        <v>0.56726311638762483</v>
      </c>
    </row>
    <row r="632" spans="1:7" x14ac:dyDescent="0.25">
      <c r="A632" t="s">
        <v>158</v>
      </c>
      <c r="B632" t="s">
        <v>64</v>
      </c>
      <c r="C632" t="s">
        <v>26</v>
      </c>
      <c r="D632" t="s">
        <v>153</v>
      </c>
      <c r="E632">
        <v>0.1171368722490322</v>
      </c>
      <c r="F632" t="s">
        <v>151</v>
      </c>
      <c r="G632">
        <v>0.1171368722490322</v>
      </c>
    </row>
    <row r="633" spans="1:7" x14ac:dyDescent="0.25">
      <c r="A633" t="s">
        <v>158</v>
      </c>
      <c r="B633" t="s">
        <v>64</v>
      </c>
      <c r="C633" t="s">
        <v>27</v>
      </c>
      <c r="D633" t="s">
        <v>153</v>
      </c>
      <c r="E633">
        <v>0.88286312775096776</v>
      </c>
      <c r="F633" t="s">
        <v>151</v>
      </c>
      <c r="G633">
        <v>0.88286312775096776</v>
      </c>
    </row>
    <row r="634" spans="1:7" x14ac:dyDescent="0.25">
      <c r="A634" t="s">
        <v>158</v>
      </c>
      <c r="B634" t="s">
        <v>64</v>
      </c>
      <c r="C634" t="s">
        <v>34</v>
      </c>
      <c r="D634" t="s">
        <v>154</v>
      </c>
      <c r="E634">
        <v>0.45630816353267001</v>
      </c>
      <c r="F634" t="s">
        <v>151</v>
      </c>
      <c r="G634">
        <v>0.45630816353267001</v>
      </c>
    </row>
    <row r="635" spans="1:7" x14ac:dyDescent="0.25">
      <c r="A635" t="s">
        <v>158</v>
      </c>
      <c r="B635" t="s">
        <v>64</v>
      </c>
      <c r="C635" t="s">
        <v>35</v>
      </c>
      <c r="D635" t="s">
        <v>154</v>
      </c>
      <c r="E635">
        <v>4.4370047500516312E-2</v>
      </c>
      <c r="F635" t="s">
        <v>151</v>
      </c>
      <c r="G635">
        <v>4.4370047500516312E-2</v>
      </c>
    </row>
    <row r="636" spans="1:7" x14ac:dyDescent="0.25">
      <c r="A636" t="s">
        <v>158</v>
      </c>
      <c r="B636" t="s">
        <v>64</v>
      </c>
      <c r="C636" t="s">
        <v>36</v>
      </c>
      <c r="D636" t="s">
        <v>154</v>
      </c>
      <c r="E636">
        <v>0.1883750452665103</v>
      </c>
      <c r="F636" t="s">
        <v>151</v>
      </c>
      <c r="G636">
        <v>0.1883750452665103</v>
      </c>
    </row>
    <row r="637" spans="1:7" x14ac:dyDescent="0.25">
      <c r="A637" t="s">
        <v>158</v>
      </c>
      <c r="B637" t="s">
        <v>64</v>
      </c>
      <c r="C637" t="s">
        <v>37</v>
      </c>
      <c r="D637" t="s">
        <v>154</v>
      </c>
      <c r="E637">
        <v>0.22286512267581851</v>
      </c>
      <c r="F637" t="s">
        <v>151</v>
      </c>
      <c r="G637">
        <v>0.22286512267581851</v>
      </c>
    </row>
    <row r="638" spans="1:7" x14ac:dyDescent="0.25">
      <c r="A638" t="s">
        <v>158</v>
      </c>
      <c r="B638" t="s">
        <v>64</v>
      </c>
      <c r="C638" t="s">
        <v>38</v>
      </c>
      <c r="D638" t="s">
        <v>154</v>
      </c>
      <c r="E638">
        <v>8.8081621024484816E-2</v>
      </c>
      <c r="F638" t="s">
        <v>151</v>
      </c>
      <c r="G638">
        <v>8.8081621024484816E-2</v>
      </c>
    </row>
    <row r="639" spans="1:7" x14ac:dyDescent="0.25">
      <c r="A639" t="s">
        <v>158</v>
      </c>
      <c r="B639" t="s">
        <v>64</v>
      </c>
      <c r="C639" t="s">
        <v>45</v>
      </c>
      <c r="D639" t="s">
        <v>155</v>
      </c>
      <c r="E639">
        <v>1</v>
      </c>
      <c r="F639" t="s">
        <v>156</v>
      </c>
      <c r="G639">
        <v>0.72982194479141249</v>
      </c>
    </row>
    <row r="640" spans="1:7" x14ac:dyDescent="0.25">
      <c r="A640" t="s">
        <v>158</v>
      </c>
      <c r="B640" t="s">
        <v>64</v>
      </c>
      <c r="C640" t="s">
        <v>46</v>
      </c>
      <c r="D640" t="s">
        <v>155</v>
      </c>
      <c r="E640">
        <v>0</v>
      </c>
      <c r="F640" t="s">
        <v>156</v>
      </c>
      <c r="G640">
        <v>0.27017805520858751</v>
      </c>
    </row>
    <row r="641" spans="1:7" x14ac:dyDescent="0.25">
      <c r="A641" t="s">
        <v>158</v>
      </c>
      <c r="B641" t="s">
        <v>64</v>
      </c>
      <c r="C641" t="s">
        <v>50</v>
      </c>
      <c r="D641" t="s">
        <v>157</v>
      </c>
      <c r="E641">
        <v>0.42162495143522749</v>
      </c>
      <c r="F641" t="s">
        <v>151</v>
      </c>
      <c r="G641">
        <v>0.42162495143522749</v>
      </c>
    </row>
    <row r="642" spans="1:7" x14ac:dyDescent="0.25">
      <c r="A642" t="s">
        <v>158</v>
      </c>
      <c r="B642" t="s">
        <v>64</v>
      </c>
      <c r="C642" t="s">
        <v>51</v>
      </c>
      <c r="D642" t="s">
        <v>157</v>
      </c>
      <c r="E642">
        <v>0.57837504856477251</v>
      </c>
      <c r="F642" t="s">
        <v>151</v>
      </c>
      <c r="G642">
        <v>0.57837504856477251</v>
      </c>
    </row>
    <row r="643" spans="1:7" x14ac:dyDescent="0.25">
      <c r="A643" t="s">
        <v>158</v>
      </c>
      <c r="B643" t="s">
        <v>54</v>
      </c>
      <c r="C643" t="s">
        <v>1</v>
      </c>
      <c r="D643" t="s">
        <v>150</v>
      </c>
      <c r="E643">
        <v>0.94299868264323294</v>
      </c>
      <c r="F643" t="s">
        <v>151</v>
      </c>
      <c r="G643">
        <v>0.94299868264323294</v>
      </c>
    </row>
    <row r="644" spans="1:7" x14ac:dyDescent="0.25">
      <c r="A644" t="s">
        <v>158</v>
      </c>
      <c r="B644" t="s">
        <v>54</v>
      </c>
      <c r="C644" t="s">
        <v>2</v>
      </c>
      <c r="D644" t="s">
        <v>150</v>
      </c>
      <c r="E644">
        <v>4.1765731369656618E-2</v>
      </c>
      <c r="F644" t="s">
        <v>151</v>
      </c>
      <c r="G644">
        <v>4.1765731369656618E-2</v>
      </c>
    </row>
    <row r="645" spans="1:7" x14ac:dyDescent="0.25">
      <c r="A645" t="s">
        <v>158</v>
      </c>
      <c r="B645" t="s">
        <v>54</v>
      </c>
      <c r="C645" t="s">
        <v>3</v>
      </c>
      <c r="D645" t="s">
        <v>150</v>
      </c>
      <c r="E645">
        <v>1.523558598711041E-2</v>
      </c>
      <c r="F645" t="s">
        <v>151</v>
      </c>
      <c r="G645">
        <v>1.523558598711041E-2</v>
      </c>
    </row>
    <row r="646" spans="1:7" x14ac:dyDescent="0.25">
      <c r="A646" t="s">
        <v>158</v>
      </c>
      <c r="B646" t="s">
        <v>54</v>
      </c>
      <c r="C646" t="s">
        <v>6</v>
      </c>
      <c r="D646" t="s">
        <v>152</v>
      </c>
      <c r="E646">
        <v>0.43273688361237522</v>
      </c>
      <c r="F646" t="s">
        <v>151</v>
      </c>
      <c r="G646">
        <v>0.43273688361237522</v>
      </c>
    </row>
    <row r="647" spans="1:7" x14ac:dyDescent="0.25">
      <c r="A647" t="s">
        <v>158</v>
      </c>
      <c r="B647" t="s">
        <v>54</v>
      </c>
      <c r="C647" t="s">
        <v>7</v>
      </c>
      <c r="D647" t="s">
        <v>152</v>
      </c>
      <c r="E647">
        <v>0.56726311638762483</v>
      </c>
      <c r="F647" t="s">
        <v>151</v>
      </c>
      <c r="G647">
        <v>0.56726311638762483</v>
      </c>
    </row>
    <row r="648" spans="1:7" x14ac:dyDescent="0.25">
      <c r="A648" t="s">
        <v>158</v>
      </c>
      <c r="B648" t="s">
        <v>54</v>
      </c>
      <c r="C648" t="s">
        <v>26</v>
      </c>
      <c r="D648" t="s">
        <v>153</v>
      </c>
      <c r="E648">
        <v>0.1171368722490322</v>
      </c>
      <c r="F648" t="s">
        <v>151</v>
      </c>
      <c r="G648">
        <v>0.1171368722490322</v>
      </c>
    </row>
    <row r="649" spans="1:7" x14ac:dyDescent="0.25">
      <c r="A649" t="s">
        <v>158</v>
      </c>
      <c r="B649" t="s">
        <v>54</v>
      </c>
      <c r="C649" t="s">
        <v>27</v>
      </c>
      <c r="D649" t="s">
        <v>153</v>
      </c>
      <c r="E649">
        <v>0.88286312775096776</v>
      </c>
      <c r="F649" t="s">
        <v>151</v>
      </c>
      <c r="G649">
        <v>0.88286312775096776</v>
      </c>
    </row>
    <row r="650" spans="1:7" x14ac:dyDescent="0.25">
      <c r="A650" t="s">
        <v>158</v>
      </c>
      <c r="B650" t="s">
        <v>54</v>
      </c>
      <c r="C650" t="s">
        <v>34</v>
      </c>
      <c r="D650" t="s">
        <v>154</v>
      </c>
      <c r="E650">
        <v>0.45630816353267001</v>
      </c>
      <c r="F650" t="s">
        <v>151</v>
      </c>
      <c r="G650">
        <v>0.45630816353267001</v>
      </c>
    </row>
    <row r="651" spans="1:7" x14ac:dyDescent="0.25">
      <c r="A651" t="s">
        <v>158</v>
      </c>
      <c r="B651" t="s">
        <v>54</v>
      </c>
      <c r="C651" t="s">
        <v>35</v>
      </c>
      <c r="D651" t="s">
        <v>154</v>
      </c>
      <c r="E651">
        <v>4.4370047500516312E-2</v>
      </c>
      <c r="F651" t="s">
        <v>151</v>
      </c>
      <c r="G651">
        <v>4.4370047500516312E-2</v>
      </c>
    </row>
    <row r="652" spans="1:7" x14ac:dyDescent="0.25">
      <c r="A652" t="s">
        <v>158</v>
      </c>
      <c r="B652" t="s">
        <v>54</v>
      </c>
      <c r="C652" t="s">
        <v>36</v>
      </c>
      <c r="D652" t="s">
        <v>154</v>
      </c>
      <c r="E652">
        <v>0.1883750452665103</v>
      </c>
      <c r="F652" t="s">
        <v>151</v>
      </c>
      <c r="G652">
        <v>0.1883750452665103</v>
      </c>
    </row>
    <row r="653" spans="1:7" x14ac:dyDescent="0.25">
      <c r="A653" t="s">
        <v>158</v>
      </c>
      <c r="B653" t="s">
        <v>54</v>
      </c>
      <c r="C653" t="s">
        <v>37</v>
      </c>
      <c r="D653" t="s">
        <v>154</v>
      </c>
      <c r="E653">
        <v>0.22286512267581851</v>
      </c>
      <c r="F653" t="s">
        <v>151</v>
      </c>
      <c r="G653">
        <v>0.22286512267581851</v>
      </c>
    </row>
    <row r="654" spans="1:7" x14ac:dyDescent="0.25">
      <c r="A654" t="s">
        <v>158</v>
      </c>
      <c r="B654" t="s">
        <v>54</v>
      </c>
      <c r="C654" t="s">
        <v>38</v>
      </c>
      <c r="D654" t="s">
        <v>154</v>
      </c>
      <c r="E654">
        <v>8.8081621024484816E-2</v>
      </c>
      <c r="F654" t="s">
        <v>151</v>
      </c>
      <c r="G654">
        <v>8.8081621024484816E-2</v>
      </c>
    </row>
    <row r="655" spans="1:7" x14ac:dyDescent="0.25">
      <c r="A655" t="s">
        <v>158</v>
      </c>
      <c r="B655" t="s">
        <v>54</v>
      </c>
      <c r="C655" t="s">
        <v>45</v>
      </c>
      <c r="D655" t="s">
        <v>155</v>
      </c>
      <c r="E655">
        <v>1</v>
      </c>
      <c r="F655" t="s">
        <v>156</v>
      </c>
      <c r="G655">
        <v>0.72982194479141249</v>
      </c>
    </row>
    <row r="656" spans="1:7" x14ac:dyDescent="0.25">
      <c r="A656" t="s">
        <v>158</v>
      </c>
      <c r="B656" t="s">
        <v>54</v>
      </c>
      <c r="C656" t="s">
        <v>46</v>
      </c>
      <c r="D656" t="s">
        <v>155</v>
      </c>
      <c r="E656">
        <v>0</v>
      </c>
      <c r="F656" t="s">
        <v>156</v>
      </c>
      <c r="G656">
        <v>0.27017805520858751</v>
      </c>
    </row>
    <row r="657" spans="1:7" x14ac:dyDescent="0.25">
      <c r="A657" t="s">
        <v>158</v>
      </c>
      <c r="B657" t="s">
        <v>54</v>
      </c>
      <c r="C657" t="s">
        <v>50</v>
      </c>
      <c r="D657" t="s">
        <v>157</v>
      </c>
      <c r="E657">
        <v>0.42162495143522749</v>
      </c>
      <c r="F657" t="s">
        <v>151</v>
      </c>
      <c r="G657">
        <v>0.42162495143522749</v>
      </c>
    </row>
    <row r="658" spans="1:7" x14ac:dyDescent="0.25">
      <c r="A658" t="s">
        <v>158</v>
      </c>
      <c r="B658" t="s">
        <v>54</v>
      </c>
      <c r="C658" t="s">
        <v>51</v>
      </c>
      <c r="D658" t="s">
        <v>157</v>
      </c>
      <c r="E658">
        <v>0.57837504856477251</v>
      </c>
      <c r="F658" t="s">
        <v>151</v>
      </c>
      <c r="G658">
        <v>0.57837504856477251</v>
      </c>
    </row>
    <row r="659" spans="1:7" x14ac:dyDescent="0.25">
      <c r="A659" t="s">
        <v>158</v>
      </c>
      <c r="B659" t="s">
        <v>56</v>
      </c>
      <c r="C659" t="s">
        <v>1</v>
      </c>
      <c r="D659" t="s">
        <v>150</v>
      </c>
      <c r="E659">
        <v>0.94299868264323294</v>
      </c>
      <c r="F659" t="s">
        <v>151</v>
      </c>
      <c r="G659">
        <v>0.94299868264323294</v>
      </c>
    </row>
    <row r="660" spans="1:7" x14ac:dyDescent="0.25">
      <c r="A660" t="s">
        <v>158</v>
      </c>
      <c r="B660" t="s">
        <v>56</v>
      </c>
      <c r="C660" t="s">
        <v>2</v>
      </c>
      <c r="D660" t="s">
        <v>150</v>
      </c>
      <c r="E660">
        <v>4.1765731369656618E-2</v>
      </c>
      <c r="F660" t="s">
        <v>151</v>
      </c>
      <c r="G660">
        <v>4.1765731369656618E-2</v>
      </c>
    </row>
    <row r="661" spans="1:7" x14ac:dyDescent="0.25">
      <c r="A661" t="s">
        <v>158</v>
      </c>
      <c r="B661" t="s">
        <v>56</v>
      </c>
      <c r="C661" t="s">
        <v>3</v>
      </c>
      <c r="D661" t="s">
        <v>150</v>
      </c>
      <c r="E661">
        <v>1.523558598711041E-2</v>
      </c>
      <c r="F661" t="s">
        <v>151</v>
      </c>
      <c r="G661">
        <v>1.523558598711041E-2</v>
      </c>
    </row>
    <row r="662" spans="1:7" x14ac:dyDescent="0.25">
      <c r="A662" t="s">
        <v>158</v>
      </c>
      <c r="B662" t="s">
        <v>56</v>
      </c>
      <c r="C662" t="s">
        <v>6</v>
      </c>
      <c r="D662" t="s">
        <v>152</v>
      </c>
      <c r="E662">
        <v>0.43273688361237522</v>
      </c>
      <c r="F662" t="s">
        <v>151</v>
      </c>
      <c r="G662">
        <v>0.43273688361237522</v>
      </c>
    </row>
    <row r="663" spans="1:7" x14ac:dyDescent="0.25">
      <c r="A663" t="s">
        <v>158</v>
      </c>
      <c r="B663" t="s">
        <v>56</v>
      </c>
      <c r="C663" t="s">
        <v>7</v>
      </c>
      <c r="D663" t="s">
        <v>152</v>
      </c>
      <c r="E663">
        <v>0.56726311638762483</v>
      </c>
      <c r="F663" t="s">
        <v>151</v>
      </c>
      <c r="G663">
        <v>0.56726311638762483</v>
      </c>
    </row>
    <row r="664" spans="1:7" x14ac:dyDescent="0.25">
      <c r="A664" t="s">
        <v>158</v>
      </c>
      <c r="B664" t="s">
        <v>56</v>
      </c>
      <c r="C664" t="s">
        <v>26</v>
      </c>
      <c r="D664" t="s">
        <v>153</v>
      </c>
      <c r="E664">
        <v>0.1171368722490322</v>
      </c>
      <c r="F664" t="s">
        <v>151</v>
      </c>
      <c r="G664">
        <v>0.1171368722490322</v>
      </c>
    </row>
    <row r="665" spans="1:7" x14ac:dyDescent="0.25">
      <c r="A665" t="s">
        <v>158</v>
      </c>
      <c r="B665" t="s">
        <v>56</v>
      </c>
      <c r="C665" t="s">
        <v>27</v>
      </c>
      <c r="D665" t="s">
        <v>153</v>
      </c>
      <c r="E665">
        <v>0.88286312775096776</v>
      </c>
      <c r="F665" t="s">
        <v>151</v>
      </c>
      <c r="G665">
        <v>0.88286312775096776</v>
      </c>
    </row>
    <row r="666" spans="1:7" x14ac:dyDescent="0.25">
      <c r="A666" t="s">
        <v>158</v>
      </c>
      <c r="B666" t="s">
        <v>56</v>
      </c>
      <c r="C666" t="s">
        <v>34</v>
      </c>
      <c r="D666" t="s">
        <v>154</v>
      </c>
      <c r="E666">
        <v>0.45630816353267001</v>
      </c>
      <c r="F666" t="s">
        <v>151</v>
      </c>
      <c r="G666">
        <v>0.45630816353267001</v>
      </c>
    </row>
    <row r="667" spans="1:7" x14ac:dyDescent="0.25">
      <c r="A667" t="s">
        <v>158</v>
      </c>
      <c r="B667" t="s">
        <v>56</v>
      </c>
      <c r="C667" t="s">
        <v>35</v>
      </c>
      <c r="D667" t="s">
        <v>154</v>
      </c>
      <c r="E667">
        <v>4.4370047500516312E-2</v>
      </c>
      <c r="F667" t="s">
        <v>151</v>
      </c>
      <c r="G667">
        <v>4.4370047500516312E-2</v>
      </c>
    </row>
    <row r="668" spans="1:7" x14ac:dyDescent="0.25">
      <c r="A668" t="s">
        <v>158</v>
      </c>
      <c r="B668" t="s">
        <v>56</v>
      </c>
      <c r="C668" t="s">
        <v>36</v>
      </c>
      <c r="D668" t="s">
        <v>154</v>
      </c>
      <c r="E668">
        <v>0.1883750452665103</v>
      </c>
      <c r="F668" t="s">
        <v>151</v>
      </c>
      <c r="G668">
        <v>0.1883750452665103</v>
      </c>
    </row>
    <row r="669" spans="1:7" x14ac:dyDescent="0.25">
      <c r="A669" t="s">
        <v>158</v>
      </c>
      <c r="B669" t="s">
        <v>56</v>
      </c>
      <c r="C669" t="s">
        <v>37</v>
      </c>
      <c r="D669" t="s">
        <v>154</v>
      </c>
      <c r="E669">
        <v>0.22286512267581851</v>
      </c>
      <c r="F669" t="s">
        <v>151</v>
      </c>
      <c r="G669">
        <v>0.22286512267581851</v>
      </c>
    </row>
    <row r="670" spans="1:7" x14ac:dyDescent="0.25">
      <c r="A670" t="s">
        <v>158</v>
      </c>
      <c r="B670" t="s">
        <v>56</v>
      </c>
      <c r="C670" t="s">
        <v>38</v>
      </c>
      <c r="D670" t="s">
        <v>154</v>
      </c>
      <c r="E670">
        <v>8.8081621024484816E-2</v>
      </c>
      <c r="F670" t="s">
        <v>151</v>
      </c>
      <c r="G670">
        <v>8.8081621024484816E-2</v>
      </c>
    </row>
    <row r="671" spans="1:7" x14ac:dyDescent="0.25">
      <c r="A671" t="s">
        <v>158</v>
      </c>
      <c r="B671" t="s">
        <v>56</v>
      </c>
      <c r="C671" t="s">
        <v>45</v>
      </c>
      <c r="D671" t="s">
        <v>155</v>
      </c>
      <c r="E671">
        <v>1</v>
      </c>
      <c r="F671" t="s">
        <v>156</v>
      </c>
      <c r="G671">
        <v>0.72982194479141249</v>
      </c>
    </row>
    <row r="672" spans="1:7" x14ac:dyDescent="0.25">
      <c r="A672" t="s">
        <v>158</v>
      </c>
      <c r="B672" t="s">
        <v>56</v>
      </c>
      <c r="C672" t="s">
        <v>46</v>
      </c>
      <c r="D672" t="s">
        <v>155</v>
      </c>
      <c r="E672">
        <v>0</v>
      </c>
      <c r="F672" t="s">
        <v>156</v>
      </c>
      <c r="G672">
        <v>0.27017805520858751</v>
      </c>
    </row>
    <row r="673" spans="1:7" x14ac:dyDescent="0.25">
      <c r="A673" t="s">
        <v>158</v>
      </c>
      <c r="B673" t="s">
        <v>56</v>
      </c>
      <c r="C673" t="s">
        <v>50</v>
      </c>
      <c r="D673" t="s">
        <v>157</v>
      </c>
      <c r="E673">
        <v>0.42162495143522749</v>
      </c>
      <c r="F673" t="s">
        <v>151</v>
      </c>
      <c r="G673">
        <v>0.42162495143522749</v>
      </c>
    </row>
    <row r="674" spans="1:7" x14ac:dyDescent="0.25">
      <c r="A674" t="s">
        <v>158</v>
      </c>
      <c r="B674" t="s">
        <v>56</v>
      </c>
      <c r="C674" t="s">
        <v>51</v>
      </c>
      <c r="D674" t="s">
        <v>157</v>
      </c>
      <c r="E674">
        <v>0.57837504856477251</v>
      </c>
      <c r="F674" t="s">
        <v>151</v>
      </c>
      <c r="G674">
        <v>0.57837504856477251</v>
      </c>
    </row>
    <row r="675" spans="1:7" x14ac:dyDescent="0.25">
      <c r="A675" t="s">
        <v>158</v>
      </c>
      <c r="B675" t="s">
        <v>66</v>
      </c>
      <c r="C675" t="s">
        <v>1</v>
      </c>
      <c r="D675" t="s">
        <v>150</v>
      </c>
      <c r="E675">
        <v>0.94299868264323294</v>
      </c>
      <c r="F675" t="s">
        <v>151</v>
      </c>
      <c r="G675">
        <v>0.94299868264323294</v>
      </c>
    </row>
    <row r="676" spans="1:7" x14ac:dyDescent="0.25">
      <c r="A676" t="s">
        <v>158</v>
      </c>
      <c r="B676" t="s">
        <v>66</v>
      </c>
      <c r="C676" t="s">
        <v>2</v>
      </c>
      <c r="D676" t="s">
        <v>150</v>
      </c>
      <c r="E676">
        <v>4.1765731369656618E-2</v>
      </c>
      <c r="F676" t="s">
        <v>151</v>
      </c>
      <c r="G676">
        <v>4.1765731369656618E-2</v>
      </c>
    </row>
    <row r="677" spans="1:7" x14ac:dyDescent="0.25">
      <c r="A677" t="s">
        <v>158</v>
      </c>
      <c r="B677" t="s">
        <v>66</v>
      </c>
      <c r="C677" t="s">
        <v>3</v>
      </c>
      <c r="D677" t="s">
        <v>150</v>
      </c>
      <c r="E677">
        <v>1.523558598711041E-2</v>
      </c>
      <c r="F677" t="s">
        <v>151</v>
      </c>
      <c r="G677">
        <v>1.523558598711041E-2</v>
      </c>
    </row>
    <row r="678" spans="1:7" x14ac:dyDescent="0.25">
      <c r="A678" t="s">
        <v>158</v>
      </c>
      <c r="B678" t="s">
        <v>66</v>
      </c>
      <c r="C678" t="s">
        <v>6</v>
      </c>
      <c r="D678" t="s">
        <v>152</v>
      </c>
      <c r="E678">
        <v>0.43273688361237522</v>
      </c>
      <c r="F678" t="s">
        <v>151</v>
      </c>
      <c r="G678">
        <v>0.43273688361237522</v>
      </c>
    </row>
    <row r="679" spans="1:7" x14ac:dyDescent="0.25">
      <c r="A679" t="s">
        <v>158</v>
      </c>
      <c r="B679" t="s">
        <v>66</v>
      </c>
      <c r="C679" t="s">
        <v>7</v>
      </c>
      <c r="D679" t="s">
        <v>152</v>
      </c>
      <c r="E679">
        <v>0.56726311638762483</v>
      </c>
      <c r="F679" t="s">
        <v>151</v>
      </c>
      <c r="G679">
        <v>0.56726311638762483</v>
      </c>
    </row>
    <row r="680" spans="1:7" x14ac:dyDescent="0.25">
      <c r="A680" t="s">
        <v>158</v>
      </c>
      <c r="B680" t="s">
        <v>66</v>
      </c>
      <c r="C680" t="s">
        <v>26</v>
      </c>
      <c r="D680" t="s">
        <v>153</v>
      </c>
      <c r="E680">
        <v>0.1171368722490322</v>
      </c>
      <c r="F680" t="s">
        <v>151</v>
      </c>
      <c r="G680">
        <v>0.1171368722490322</v>
      </c>
    </row>
    <row r="681" spans="1:7" x14ac:dyDescent="0.25">
      <c r="A681" t="s">
        <v>158</v>
      </c>
      <c r="B681" t="s">
        <v>66</v>
      </c>
      <c r="C681" t="s">
        <v>27</v>
      </c>
      <c r="D681" t="s">
        <v>153</v>
      </c>
      <c r="E681">
        <v>0.88286312775096776</v>
      </c>
      <c r="F681" t="s">
        <v>151</v>
      </c>
      <c r="G681">
        <v>0.88286312775096776</v>
      </c>
    </row>
    <row r="682" spans="1:7" x14ac:dyDescent="0.25">
      <c r="A682" t="s">
        <v>158</v>
      </c>
      <c r="B682" t="s">
        <v>66</v>
      </c>
      <c r="C682" t="s">
        <v>34</v>
      </c>
      <c r="D682" t="s">
        <v>154</v>
      </c>
      <c r="E682">
        <v>0.45630816353267001</v>
      </c>
      <c r="F682" t="s">
        <v>151</v>
      </c>
      <c r="G682">
        <v>0.45630816353267001</v>
      </c>
    </row>
    <row r="683" spans="1:7" x14ac:dyDescent="0.25">
      <c r="A683" t="s">
        <v>158</v>
      </c>
      <c r="B683" t="s">
        <v>66</v>
      </c>
      <c r="C683" t="s">
        <v>35</v>
      </c>
      <c r="D683" t="s">
        <v>154</v>
      </c>
      <c r="E683">
        <v>4.4370047500516312E-2</v>
      </c>
      <c r="F683" t="s">
        <v>151</v>
      </c>
      <c r="G683">
        <v>4.4370047500516312E-2</v>
      </c>
    </row>
    <row r="684" spans="1:7" x14ac:dyDescent="0.25">
      <c r="A684" t="s">
        <v>158</v>
      </c>
      <c r="B684" t="s">
        <v>66</v>
      </c>
      <c r="C684" t="s">
        <v>36</v>
      </c>
      <c r="D684" t="s">
        <v>154</v>
      </c>
      <c r="E684">
        <v>0.1883750452665103</v>
      </c>
      <c r="F684" t="s">
        <v>151</v>
      </c>
      <c r="G684">
        <v>0.1883750452665103</v>
      </c>
    </row>
    <row r="685" spans="1:7" x14ac:dyDescent="0.25">
      <c r="A685" t="s">
        <v>158</v>
      </c>
      <c r="B685" t="s">
        <v>66</v>
      </c>
      <c r="C685" t="s">
        <v>37</v>
      </c>
      <c r="D685" t="s">
        <v>154</v>
      </c>
      <c r="E685">
        <v>0.22286512267581851</v>
      </c>
      <c r="F685" t="s">
        <v>151</v>
      </c>
      <c r="G685">
        <v>0.22286512267581851</v>
      </c>
    </row>
    <row r="686" spans="1:7" x14ac:dyDescent="0.25">
      <c r="A686" t="s">
        <v>158</v>
      </c>
      <c r="B686" t="s">
        <v>66</v>
      </c>
      <c r="C686" t="s">
        <v>38</v>
      </c>
      <c r="D686" t="s">
        <v>154</v>
      </c>
      <c r="E686">
        <v>8.8081621024484816E-2</v>
      </c>
      <c r="F686" t="s">
        <v>151</v>
      </c>
      <c r="G686">
        <v>8.8081621024484816E-2</v>
      </c>
    </row>
    <row r="687" spans="1:7" x14ac:dyDescent="0.25">
      <c r="A687" t="s">
        <v>158</v>
      </c>
      <c r="B687" t="s">
        <v>66</v>
      </c>
      <c r="C687" t="s">
        <v>45</v>
      </c>
      <c r="D687" t="s">
        <v>155</v>
      </c>
      <c r="E687">
        <v>1</v>
      </c>
      <c r="F687" t="s">
        <v>156</v>
      </c>
      <c r="G687">
        <v>0.72982194479141249</v>
      </c>
    </row>
    <row r="688" spans="1:7" x14ac:dyDescent="0.25">
      <c r="A688" t="s">
        <v>158</v>
      </c>
      <c r="B688" t="s">
        <v>66</v>
      </c>
      <c r="C688" t="s">
        <v>46</v>
      </c>
      <c r="D688" t="s">
        <v>155</v>
      </c>
      <c r="E688">
        <v>0</v>
      </c>
      <c r="F688" t="s">
        <v>156</v>
      </c>
      <c r="G688">
        <v>0.27017805520858751</v>
      </c>
    </row>
    <row r="689" spans="1:7" x14ac:dyDescent="0.25">
      <c r="A689" t="s">
        <v>158</v>
      </c>
      <c r="B689" t="s">
        <v>66</v>
      </c>
      <c r="C689" t="s">
        <v>50</v>
      </c>
      <c r="D689" t="s">
        <v>157</v>
      </c>
      <c r="E689">
        <v>0.42162495143522749</v>
      </c>
      <c r="F689" t="s">
        <v>151</v>
      </c>
      <c r="G689">
        <v>0.42162495143522749</v>
      </c>
    </row>
    <row r="690" spans="1:7" x14ac:dyDescent="0.25">
      <c r="A690" t="s">
        <v>158</v>
      </c>
      <c r="B690" t="s">
        <v>66</v>
      </c>
      <c r="C690" t="s">
        <v>51</v>
      </c>
      <c r="D690" t="s">
        <v>157</v>
      </c>
      <c r="E690">
        <v>0.57837504856477251</v>
      </c>
      <c r="F690" t="s">
        <v>151</v>
      </c>
      <c r="G690">
        <v>0.57837504856477251</v>
      </c>
    </row>
    <row r="691" spans="1:7" x14ac:dyDescent="0.25">
      <c r="A691" t="s">
        <v>158</v>
      </c>
      <c r="B691" t="s">
        <v>63</v>
      </c>
      <c r="C691" t="s">
        <v>1</v>
      </c>
      <c r="D691" t="s">
        <v>150</v>
      </c>
      <c r="E691">
        <v>0.94299868264323294</v>
      </c>
      <c r="F691" t="s">
        <v>151</v>
      </c>
      <c r="G691">
        <v>0.94299868264323294</v>
      </c>
    </row>
    <row r="692" spans="1:7" x14ac:dyDescent="0.25">
      <c r="A692" t="s">
        <v>158</v>
      </c>
      <c r="B692" t="s">
        <v>63</v>
      </c>
      <c r="C692" t="s">
        <v>2</v>
      </c>
      <c r="D692" t="s">
        <v>150</v>
      </c>
      <c r="E692">
        <v>4.1765731369656618E-2</v>
      </c>
      <c r="F692" t="s">
        <v>151</v>
      </c>
      <c r="G692">
        <v>4.1765731369656618E-2</v>
      </c>
    </row>
    <row r="693" spans="1:7" x14ac:dyDescent="0.25">
      <c r="A693" t="s">
        <v>158</v>
      </c>
      <c r="B693" t="s">
        <v>63</v>
      </c>
      <c r="C693" t="s">
        <v>3</v>
      </c>
      <c r="D693" t="s">
        <v>150</v>
      </c>
      <c r="E693">
        <v>1.523558598711041E-2</v>
      </c>
      <c r="F693" t="s">
        <v>151</v>
      </c>
      <c r="G693">
        <v>1.523558598711041E-2</v>
      </c>
    </row>
    <row r="694" spans="1:7" x14ac:dyDescent="0.25">
      <c r="A694" t="s">
        <v>158</v>
      </c>
      <c r="B694" t="s">
        <v>63</v>
      </c>
      <c r="C694" t="s">
        <v>6</v>
      </c>
      <c r="D694" t="s">
        <v>152</v>
      </c>
      <c r="E694">
        <v>0.43273688361237522</v>
      </c>
      <c r="F694" t="s">
        <v>151</v>
      </c>
      <c r="G694">
        <v>0.43273688361237522</v>
      </c>
    </row>
    <row r="695" spans="1:7" x14ac:dyDescent="0.25">
      <c r="A695" t="s">
        <v>158</v>
      </c>
      <c r="B695" t="s">
        <v>63</v>
      </c>
      <c r="C695" t="s">
        <v>7</v>
      </c>
      <c r="D695" t="s">
        <v>152</v>
      </c>
      <c r="E695">
        <v>0.56726311638762483</v>
      </c>
      <c r="F695" t="s">
        <v>151</v>
      </c>
      <c r="G695">
        <v>0.56726311638762483</v>
      </c>
    </row>
    <row r="696" spans="1:7" x14ac:dyDescent="0.25">
      <c r="A696" t="s">
        <v>158</v>
      </c>
      <c r="B696" t="s">
        <v>63</v>
      </c>
      <c r="C696" t="s">
        <v>26</v>
      </c>
      <c r="D696" t="s">
        <v>153</v>
      </c>
      <c r="E696">
        <v>0.1171368722490322</v>
      </c>
      <c r="F696" t="s">
        <v>151</v>
      </c>
      <c r="G696">
        <v>0.1171368722490322</v>
      </c>
    </row>
    <row r="697" spans="1:7" x14ac:dyDescent="0.25">
      <c r="A697" t="s">
        <v>158</v>
      </c>
      <c r="B697" t="s">
        <v>63</v>
      </c>
      <c r="C697" t="s">
        <v>27</v>
      </c>
      <c r="D697" t="s">
        <v>153</v>
      </c>
      <c r="E697">
        <v>0.88286312775096776</v>
      </c>
      <c r="F697" t="s">
        <v>151</v>
      </c>
      <c r="G697">
        <v>0.88286312775096776</v>
      </c>
    </row>
    <row r="698" spans="1:7" x14ac:dyDescent="0.25">
      <c r="A698" t="s">
        <v>158</v>
      </c>
      <c r="B698" t="s">
        <v>63</v>
      </c>
      <c r="C698" t="s">
        <v>34</v>
      </c>
      <c r="D698" t="s">
        <v>154</v>
      </c>
      <c r="E698">
        <v>0.45630816353267001</v>
      </c>
      <c r="F698" t="s">
        <v>151</v>
      </c>
      <c r="G698">
        <v>0.45630816353267001</v>
      </c>
    </row>
    <row r="699" spans="1:7" x14ac:dyDescent="0.25">
      <c r="A699" t="s">
        <v>158</v>
      </c>
      <c r="B699" t="s">
        <v>63</v>
      </c>
      <c r="C699" t="s">
        <v>35</v>
      </c>
      <c r="D699" t="s">
        <v>154</v>
      </c>
      <c r="E699">
        <v>4.4370047500516312E-2</v>
      </c>
      <c r="F699" t="s">
        <v>151</v>
      </c>
      <c r="G699">
        <v>4.4370047500516312E-2</v>
      </c>
    </row>
    <row r="700" spans="1:7" x14ac:dyDescent="0.25">
      <c r="A700" t="s">
        <v>158</v>
      </c>
      <c r="B700" t="s">
        <v>63</v>
      </c>
      <c r="C700" t="s">
        <v>36</v>
      </c>
      <c r="D700" t="s">
        <v>154</v>
      </c>
      <c r="E700">
        <v>0.1883750452665103</v>
      </c>
      <c r="F700" t="s">
        <v>151</v>
      </c>
      <c r="G700">
        <v>0.1883750452665103</v>
      </c>
    </row>
    <row r="701" spans="1:7" x14ac:dyDescent="0.25">
      <c r="A701" t="s">
        <v>158</v>
      </c>
      <c r="B701" t="s">
        <v>63</v>
      </c>
      <c r="C701" t="s">
        <v>37</v>
      </c>
      <c r="D701" t="s">
        <v>154</v>
      </c>
      <c r="E701">
        <v>0.22286512267581851</v>
      </c>
      <c r="F701" t="s">
        <v>151</v>
      </c>
      <c r="G701">
        <v>0.22286512267581851</v>
      </c>
    </row>
    <row r="702" spans="1:7" x14ac:dyDescent="0.25">
      <c r="A702" t="s">
        <v>158</v>
      </c>
      <c r="B702" t="s">
        <v>63</v>
      </c>
      <c r="C702" t="s">
        <v>38</v>
      </c>
      <c r="D702" t="s">
        <v>154</v>
      </c>
      <c r="E702">
        <v>8.8081621024484816E-2</v>
      </c>
      <c r="F702" t="s">
        <v>151</v>
      </c>
      <c r="G702">
        <v>8.8081621024484816E-2</v>
      </c>
    </row>
    <row r="703" spans="1:7" x14ac:dyDescent="0.25">
      <c r="A703" t="s">
        <v>158</v>
      </c>
      <c r="B703" t="s">
        <v>63</v>
      </c>
      <c r="C703" t="s">
        <v>45</v>
      </c>
      <c r="D703" t="s">
        <v>155</v>
      </c>
      <c r="E703">
        <v>1</v>
      </c>
      <c r="F703" t="s">
        <v>156</v>
      </c>
      <c r="G703">
        <v>0.72982194479141249</v>
      </c>
    </row>
    <row r="704" spans="1:7" x14ac:dyDescent="0.25">
      <c r="A704" t="s">
        <v>158</v>
      </c>
      <c r="B704" t="s">
        <v>63</v>
      </c>
      <c r="C704" t="s">
        <v>46</v>
      </c>
      <c r="D704" t="s">
        <v>155</v>
      </c>
      <c r="E704">
        <v>0</v>
      </c>
      <c r="F704" t="s">
        <v>156</v>
      </c>
      <c r="G704">
        <v>0.27017805520858751</v>
      </c>
    </row>
    <row r="705" spans="1:7" x14ac:dyDescent="0.25">
      <c r="A705" t="s">
        <v>158</v>
      </c>
      <c r="B705" t="s">
        <v>63</v>
      </c>
      <c r="C705" t="s">
        <v>50</v>
      </c>
      <c r="D705" t="s">
        <v>157</v>
      </c>
      <c r="E705">
        <v>0.42162495143522749</v>
      </c>
      <c r="F705" t="s">
        <v>151</v>
      </c>
      <c r="G705">
        <v>0.42162495143522749</v>
      </c>
    </row>
    <row r="706" spans="1:7" x14ac:dyDescent="0.25">
      <c r="A706" t="s">
        <v>158</v>
      </c>
      <c r="B706" t="s">
        <v>63</v>
      </c>
      <c r="C706" t="s">
        <v>51</v>
      </c>
      <c r="D706" t="s">
        <v>157</v>
      </c>
      <c r="E706">
        <v>0.57837504856477251</v>
      </c>
      <c r="F706" t="s">
        <v>151</v>
      </c>
      <c r="G706">
        <v>0.57837504856477251</v>
      </c>
    </row>
    <row r="707" spans="1:7" x14ac:dyDescent="0.25">
      <c r="A707" t="s">
        <v>158</v>
      </c>
      <c r="B707" t="s">
        <v>74</v>
      </c>
      <c r="C707" t="s">
        <v>1</v>
      </c>
      <c r="D707" t="s">
        <v>150</v>
      </c>
      <c r="E707">
        <v>0.94299868264323294</v>
      </c>
      <c r="F707" t="s">
        <v>151</v>
      </c>
      <c r="G707">
        <v>0.94299868264323294</v>
      </c>
    </row>
    <row r="708" spans="1:7" x14ac:dyDescent="0.25">
      <c r="A708" t="s">
        <v>158</v>
      </c>
      <c r="B708" t="s">
        <v>74</v>
      </c>
      <c r="C708" t="s">
        <v>2</v>
      </c>
      <c r="D708" t="s">
        <v>150</v>
      </c>
      <c r="E708">
        <v>4.1765731369656618E-2</v>
      </c>
      <c r="F708" t="s">
        <v>151</v>
      </c>
      <c r="G708">
        <v>4.1765731369656618E-2</v>
      </c>
    </row>
    <row r="709" spans="1:7" x14ac:dyDescent="0.25">
      <c r="A709" t="s">
        <v>158</v>
      </c>
      <c r="B709" t="s">
        <v>74</v>
      </c>
      <c r="C709" t="s">
        <v>3</v>
      </c>
      <c r="D709" t="s">
        <v>150</v>
      </c>
      <c r="E709">
        <v>1.523558598711041E-2</v>
      </c>
      <c r="F709" t="s">
        <v>151</v>
      </c>
      <c r="G709">
        <v>1.523558598711041E-2</v>
      </c>
    </row>
    <row r="710" spans="1:7" x14ac:dyDescent="0.25">
      <c r="A710" t="s">
        <v>158</v>
      </c>
      <c r="B710" t="s">
        <v>74</v>
      </c>
      <c r="C710" t="s">
        <v>6</v>
      </c>
      <c r="D710" t="s">
        <v>152</v>
      </c>
      <c r="E710">
        <v>0.43273688361237522</v>
      </c>
      <c r="F710" t="s">
        <v>151</v>
      </c>
      <c r="G710">
        <v>0.43273688361237522</v>
      </c>
    </row>
    <row r="711" spans="1:7" x14ac:dyDescent="0.25">
      <c r="A711" t="s">
        <v>158</v>
      </c>
      <c r="B711" t="s">
        <v>74</v>
      </c>
      <c r="C711" t="s">
        <v>7</v>
      </c>
      <c r="D711" t="s">
        <v>152</v>
      </c>
      <c r="E711">
        <v>0.56726311638762483</v>
      </c>
      <c r="F711" t="s">
        <v>151</v>
      </c>
      <c r="G711">
        <v>0.56726311638762483</v>
      </c>
    </row>
    <row r="712" spans="1:7" x14ac:dyDescent="0.25">
      <c r="A712" t="s">
        <v>158</v>
      </c>
      <c r="B712" t="s">
        <v>74</v>
      </c>
      <c r="C712" t="s">
        <v>26</v>
      </c>
      <c r="D712" t="s">
        <v>153</v>
      </c>
      <c r="E712">
        <v>0.1171368722490322</v>
      </c>
      <c r="F712" t="s">
        <v>151</v>
      </c>
      <c r="G712">
        <v>0.1171368722490322</v>
      </c>
    </row>
    <row r="713" spans="1:7" x14ac:dyDescent="0.25">
      <c r="A713" t="s">
        <v>158</v>
      </c>
      <c r="B713" t="s">
        <v>74</v>
      </c>
      <c r="C713" t="s">
        <v>27</v>
      </c>
      <c r="D713" t="s">
        <v>153</v>
      </c>
      <c r="E713">
        <v>0.88286312775096776</v>
      </c>
      <c r="F713" t="s">
        <v>151</v>
      </c>
      <c r="G713">
        <v>0.88286312775096776</v>
      </c>
    </row>
    <row r="714" spans="1:7" x14ac:dyDescent="0.25">
      <c r="A714" t="s">
        <v>158</v>
      </c>
      <c r="B714" t="s">
        <v>74</v>
      </c>
      <c r="C714" t="s">
        <v>34</v>
      </c>
      <c r="D714" t="s">
        <v>154</v>
      </c>
      <c r="E714">
        <v>0.45630816353267001</v>
      </c>
      <c r="F714" t="s">
        <v>151</v>
      </c>
      <c r="G714">
        <v>0.45630816353267001</v>
      </c>
    </row>
    <row r="715" spans="1:7" x14ac:dyDescent="0.25">
      <c r="A715" t="s">
        <v>158</v>
      </c>
      <c r="B715" t="s">
        <v>74</v>
      </c>
      <c r="C715" t="s">
        <v>35</v>
      </c>
      <c r="D715" t="s">
        <v>154</v>
      </c>
      <c r="E715">
        <v>4.4370047500516312E-2</v>
      </c>
      <c r="F715" t="s">
        <v>151</v>
      </c>
      <c r="G715">
        <v>4.4370047500516312E-2</v>
      </c>
    </row>
    <row r="716" spans="1:7" x14ac:dyDescent="0.25">
      <c r="A716" t="s">
        <v>158</v>
      </c>
      <c r="B716" t="s">
        <v>74</v>
      </c>
      <c r="C716" t="s">
        <v>36</v>
      </c>
      <c r="D716" t="s">
        <v>154</v>
      </c>
      <c r="E716">
        <v>0.1883750452665103</v>
      </c>
      <c r="F716" t="s">
        <v>151</v>
      </c>
      <c r="G716">
        <v>0.1883750452665103</v>
      </c>
    </row>
    <row r="717" spans="1:7" x14ac:dyDescent="0.25">
      <c r="A717" t="s">
        <v>158</v>
      </c>
      <c r="B717" t="s">
        <v>74</v>
      </c>
      <c r="C717" t="s">
        <v>37</v>
      </c>
      <c r="D717" t="s">
        <v>154</v>
      </c>
      <c r="E717">
        <v>0.22286512267581851</v>
      </c>
      <c r="F717" t="s">
        <v>151</v>
      </c>
      <c r="G717">
        <v>0.22286512267581851</v>
      </c>
    </row>
    <row r="718" spans="1:7" x14ac:dyDescent="0.25">
      <c r="A718" t="s">
        <v>158</v>
      </c>
      <c r="B718" t="s">
        <v>74</v>
      </c>
      <c r="C718" t="s">
        <v>38</v>
      </c>
      <c r="D718" t="s">
        <v>154</v>
      </c>
      <c r="E718">
        <v>8.8081621024484816E-2</v>
      </c>
      <c r="F718" t="s">
        <v>151</v>
      </c>
      <c r="G718">
        <v>8.8081621024484816E-2</v>
      </c>
    </row>
    <row r="719" spans="1:7" x14ac:dyDescent="0.25">
      <c r="A719" t="s">
        <v>158</v>
      </c>
      <c r="B719" t="s">
        <v>74</v>
      </c>
      <c r="C719" t="s">
        <v>45</v>
      </c>
      <c r="D719" t="s">
        <v>155</v>
      </c>
      <c r="E719">
        <v>1</v>
      </c>
      <c r="F719" t="s">
        <v>156</v>
      </c>
      <c r="G719">
        <v>0.72982194479141249</v>
      </c>
    </row>
    <row r="720" spans="1:7" x14ac:dyDescent="0.25">
      <c r="A720" t="s">
        <v>158</v>
      </c>
      <c r="B720" t="s">
        <v>74</v>
      </c>
      <c r="C720" t="s">
        <v>46</v>
      </c>
      <c r="D720" t="s">
        <v>155</v>
      </c>
      <c r="E720">
        <v>0</v>
      </c>
      <c r="F720" t="s">
        <v>156</v>
      </c>
      <c r="G720">
        <v>0.27017805520858751</v>
      </c>
    </row>
    <row r="721" spans="1:7" x14ac:dyDescent="0.25">
      <c r="A721" t="s">
        <v>158</v>
      </c>
      <c r="B721" t="s">
        <v>74</v>
      </c>
      <c r="C721" t="s">
        <v>50</v>
      </c>
      <c r="D721" t="s">
        <v>157</v>
      </c>
      <c r="E721">
        <v>0.42162495143522749</v>
      </c>
      <c r="F721" t="s">
        <v>151</v>
      </c>
      <c r="G721">
        <v>0.42162495143522749</v>
      </c>
    </row>
    <row r="722" spans="1:7" x14ac:dyDescent="0.25">
      <c r="A722" t="s">
        <v>158</v>
      </c>
      <c r="B722" t="s">
        <v>74</v>
      </c>
      <c r="C722" t="s">
        <v>51</v>
      </c>
      <c r="D722" t="s">
        <v>157</v>
      </c>
      <c r="E722">
        <v>0.57837504856477251</v>
      </c>
      <c r="F722" t="s">
        <v>151</v>
      </c>
      <c r="G722">
        <v>0.57837504856477251</v>
      </c>
    </row>
    <row r="723" spans="1:7" x14ac:dyDescent="0.25">
      <c r="A723" t="s">
        <v>158</v>
      </c>
      <c r="B723" t="s">
        <v>59</v>
      </c>
      <c r="C723" t="s">
        <v>1</v>
      </c>
      <c r="D723" t="s">
        <v>150</v>
      </c>
      <c r="E723">
        <v>0.94299868264323294</v>
      </c>
      <c r="F723" t="s">
        <v>151</v>
      </c>
      <c r="G723">
        <v>0.94299868264323294</v>
      </c>
    </row>
    <row r="724" spans="1:7" x14ac:dyDescent="0.25">
      <c r="A724" t="s">
        <v>158</v>
      </c>
      <c r="B724" t="s">
        <v>59</v>
      </c>
      <c r="C724" t="s">
        <v>2</v>
      </c>
      <c r="D724" t="s">
        <v>150</v>
      </c>
      <c r="E724">
        <v>4.1765731369656618E-2</v>
      </c>
      <c r="F724" t="s">
        <v>151</v>
      </c>
      <c r="G724">
        <v>4.1765731369656618E-2</v>
      </c>
    </row>
    <row r="725" spans="1:7" x14ac:dyDescent="0.25">
      <c r="A725" t="s">
        <v>158</v>
      </c>
      <c r="B725" t="s">
        <v>59</v>
      </c>
      <c r="C725" t="s">
        <v>3</v>
      </c>
      <c r="D725" t="s">
        <v>150</v>
      </c>
      <c r="E725">
        <v>1.523558598711041E-2</v>
      </c>
      <c r="F725" t="s">
        <v>151</v>
      </c>
      <c r="G725">
        <v>1.523558598711041E-2</v>
      </c>
    </row>
    <row r="726" spans="1:7" x14ac:dyDescent="0.25">
      <c r="A726" t="s">
        <v>158</v>
      </c>
      <c r="B726" t="s">
        <v>59</v>
      </c>
      <c r="C726" t="s">
        <v>6</v>
      </c>
      <c r="D726" t="s">
        <v>152</v>
      </c>
      <c r="E726">
        <v>0.43273688361237522</v>
      </c>
      <c r="F726" t="s">
        <v>151</v>
      </c>
      <c r="G726">
        <v>0.43273688361237522</v>
      </c>
    </row>
    <row r="727" spans="1:7" x14ac:dyDescent="0.25">
      <c r="A727" t="s">
        <v>158</v>
      </c>
      <c r="B727" t="s">
        <v>59</v>
      </c>
      <c r="C727" t="s">
        <v>7</v>
      </c>
      <c r="D727" t="s">
        <v>152</v>
      </c>
      <c r="E727">
        <v>0.56726311638762483</v>
      </c>
      <c r="F727" t="s">
        <v>151</v>
      </c>
      <c r="G727">
        <v>0.56726311638762483</v>
      </c>
    </row>
    <row r="728" spans="1:7" x14ac:dyDescent="0.25">
      <c r="A728" t="s">
        <v>158</v>
      </c>
      <c r="B728" t="s">
        <v>59</v>
      </c>
      <c r="C728" t="s">
        <v>26</v>
      </c>
      <c r="D728" t="s">
        <v>153</v>
      </c>
      <c r="E728">
        <v>0.1171368722490322</v>
      </c>
      <c r="F728" t="s">
        <v>151</v>
      </c>
      <c r="G728">
        <v>0.1171368722490322</v>
      </c>
    </row>
    <row r="729" spans="1:7" x14ac:dyDescent="0.25">
      <c r="A729" t="s">
        <v>158</v>
      </c>
      <c r="B729" t="s">
        <v>59</v>
      </c>
      <c r="C729" t="s">
        <v>27</v>
      </c>
      <c r="D729" t="s">
        <v>153</v>
      </c>
      <c r="E729">
        <v>0.88286312775096776</v>
      </c>
      <c r="F729" t="s">
        <v>151</v>
      </c>
      <c r="G729">
        <v>0.88286312775096776</v>
      </c>
    </row>
    <row r="730" spans="1:7" x14ac:dyDescent="0.25">
      <c r="A730" t="s">
        <v>158</v>
      </c>
      <c r="B730" t="s">
        <v>59</v>
      </c>
      <c r="C730" t="s">
        <v>34</v>
      </c>
      <c r="D730" t="s">
        <v>154</v>
      </c>
      <c r="E730">
        <v>0.45630816353267001</v>
      </c>
      <c r="F730" t="s">
        <v>151</v>
      </c>
      <c r="G730">
        <v>0.45630816353267001</v>
      </c>
    </row>
    <row r="731" spans="1:7" x14ac:dyDescent="0.25">
      <c r="A731" t="s">
        <v>158</v>
      </c>
      <c r="B731" t="s">
        <v>59</v>
      </c>
      <c r="C731" t="s">
        <v>35</v>
      </c>
      <c r="D731" t="s">
        <v>154</v>
      </c>
      <c r="E731">
        <v>4.4370047500516312E-2</v>
      </c>
      <c r="F731" t="s">
        <v>151</v>
      </c>
      <c r="G731">
        <v>4.4370047500516312E-2</v>
      </c>
    </row>
    <row r="732" spans="1:7" x14ac:dyDescent="0.25">
      <c r="A732" t="s">
        <v>158</v>
      </c>
      <c r="B732" t="s">
        <v>59</v>
      </c>
      <c r="C732" t="s">
        <v>36</v>
      </c>
      <c r="D732" t="s">
        <v>154</v>
      </c>
      <c r="E732">
        <v>0.1883750452665103</v>
      </c>
      <c r="F732" t="s">
        <v>151</v>
      </c>
      <c r="G732">
        <v>0.1883750452665103</v>
      </c>
    </row>
    <row r="733" spans="1:7" x14ac:dyDescent="0.25">
      <c r="A733" t="s">
        <v>158</v>
      </c>
      <c r="B733" t="s">
        <v>59</v>
      </c>
      <c r="C733" t="s">
        <v>37</v>
      </c>
      <c r="D733" t="s">
        <v>154</v>
      </c>
      <c r="E733">
        <v>0.22286512267581851</v>
      </c>
      <c r="F733" t="s">
        <v>151</v>
      </c>
      <c r="G733">
        <v>0.22286512267581851</v>
      </c>
    </row>
    <row r="734" spans="1:7" x14ac:dyDescent="0.25">
      <c r="A734" t="s">
        <v>158</v>
      </c>
      <c r="B734" t="s">
        <v>59</v>
      </c>
      <c r="C734" t="s">
        <v>38</v>
      </c>
      <c r="D734" t="s">
        <v>154</v>
      </c>
      <c r="E734">
        <v>8.8081621024484816E-2</v>
      </c>
      <c r="F734" t="s">
        <v>151</v>
      </c>
      <c r="G734">
        <v>8.8081621024484816E-2</v>
      </c>
    </row>
    <row r="735" spans="1:7" x14ac:dyDescent="0.25">
      <c r="A735" t="s">
        <v>158</v>
      </c>
      <c r="B735" t="s">
        <v>59</v>
      </c>
      <c r="C735" t="s">
        <v>45</v>
      </c>
      <c r="D735" t="s">
        <v>155</v>
      </c>
      <c r="E735">
        <v>1</v>
      </c>
      <c r="F735" t="s">
        <v>156</v>
      </c>
      <c r="G735">
        <v>0.72982194479141249</v>
      </c>
    </row>
    <row r="736" spans="1:7" x14ac:dyDescent="0.25">
      <c r="A736" t="s">
        <v>158</v>
      </c>
      <c r="B736" t="s">
        <v>59</v>
      </c>
      <c r="C736" t="s">
        <v>46</v>
      </c>
      <c r="D736" t="s">
        <v>155</v>
      </c>
      <c r="E736">
        <v>0</v>
      </c>
      <c r="F736" t="s">
        <v>156</v>
      </c>
      <c r="G736">
        <v>0.27017805520858751</v>
      </c>
    </row>
    <row r="737" spans="1:7" x14ac:dyDescent="0.25">
      <c r="A737" t="s">
        <v>158</v>
      </c>
      <c r="B737" t="s">
        <v>59</v>
      </c>
      <c r="C737" t="s">
        <v>50</v>
      </c>
      <c r="D737" t="s">
        <v>157</v>
      </c>
      <c r="E737">
        <v>0.42162495143522749</v>
      </c>
      <c r="F737" t="s">
        <v>151</v>
      </c>
      <c r="G737">
        <v>0.42162495143522749</v>
      </c>
    </row>
    <row r="738" spans="1:7" x14ac:dyDescent="0.25">
      <c r="A738" t="s">
        <v>158</v>
      </c>
      <c r="B738" t="s">
        <v>59</v>
      </c>
      <c r="C738" t="s">
        <v>51</v>
      </c>
      <c r="D738" t="s">
        <v>157</v>
      </c>
      <c r="E738">
        <v>0.57837504856477251</v>
      </c>
      <c r="F738" t="s">
        <v>151</v>
      </c>
      <c r="G738">
        <v>0.57837504856477251</v>
      </c>
    </row>
    <row r="739" spans="1:7" x14ac:dyDescent="0.25">
      <c r="A739" t="s">
        <v>158</v>
      </c>
      <c r="B739" t="s">
        <v>60</v>
      </c>
      <c r="C739" t="s">
        <v>1</v>
      </c>
      <c r="D739" t="s">
        <v>150</v>
      </c>
      <c r="E739">
        <v>0.94299868264323294</v>
      </c>
      <c r="F739" t="s">
        <v>151</v>
      </c>
      <c r="G739">
        <v>0.94299868264323294</v>
      </c>
    </row>
    <row r="740" spans="1:7" x14ac:dyDescent="0.25">
      <c r="A740" t="s">
        <v>158</v>
      </c>
      <c r="B740" t="s">
        <v>60</v>
      </c>
      <c r="C740" t="s">
        <v>2</v>
      </c>
      <c r="D740" t="s">
        <v>150</v>
      </c>
      <c r="E740">
        <v>4.1765731369656618E-2</v>
      </c>
      <c r="F740" t="s">
        <v>151</v>
      </c>
      <c r="G740">
        <v>4.1765731369656618E-2</v>
      </c>
    </row>
    <row r="741" spans="1:7" x14ac:dyDescent="0.25">
      <c r="A741" t="s">
        <v>158</v>
      </c>
      <c r="B741" t="s">
        <v>60</v>
      </c>
      <c r="C741" t="s">
        <v>3</v>
      </c>
      <c r="D741" t="s">
        <v>150</v>
      </c>
      <c r="E741">
        <v>1.523558598711041E-2</v>
      </c>
      <c r="F741" t="s">
        <v>151</v>
      </c>
      <c r="G741">
        <v>1.523558598711041E-2</v>
      </c>
    </row>
    <row r="742" spans="1:7" x14ac:dyDescent="0.25">
      <c r="A742" t="s">
        <v>158</v>
      </c>
      <c r="B742" t="s">
        <v>60</v>
      </c>
      <c r="C742" t="s">
        <v>6</v>
      </c>
      <c r="D742" t="s">
        <v>152</v>
      </c>
      <c r="E742">
        <v>0.43273688361237522</v>
      </c>
      <c r="F742" t="s">
        <v>151</v>
      </c>
      <c r="G742">
        <v>0.43273688361237522</v>
      </c>
    </row>
    <row r="743" spans="1:7" x14ac:dyDescent="0.25">
      <c r="A743" t="s">
        <v>158</v>
      </c>
      <c r="B743" t="s">
        <v>60</v>
      </c>
      <c r="C743" t="s">
        <v>7</v>
      </c>
      <c r="D743" t="s">
        <v>152</v>
      </c>
      <c r="E743">
        <v>0.56726311638762483</v>
      </c>
      <c r="F743" t="s">
        <v>151</v>
      </c>
      <c r="G743">
        <v>0.56726311638762483</v>
      </c>
    </row>
    <row r="744" spans="1:7" x14ac:dyDescent="0.25">
      <c r="A744" t="s">
        <v>158</v>
      </c>
      <c r="B744" t="s">
        <v>60</v>
      </c>
      <c r="C744" t="s">
        <v>26</v>
      </c>
      <c r="D744" t="s">
        <v>153</v>
      </c>
      <c r="E744">
        <v>0.1171368722490322</v>
      </c>
      <c r="F744" t="s">
        <v>151</v>
      </c>
      <c r="G744">
        <v>0.1171368722490322</v>
      </c>
    </row>
    <row r="745" spans="1:7" x14ac:dyDescent="0.25">
      <c r="A745" t="s">
        <v>158</v>
      </c>
      <c r="B745" t="s">
        <v>60</v>
      </c>
      <c r="C745" t="s">
        <v>27</v>
      </c>
      <c r="D745" t="s">
        <v>153</v>
      </c>
      <c r="E745">
        <v>0.88286312775096776</v>
      </c>
      <c r="F745" t="s">
        <v>151</v>
      </c>
      <c r="G745">
        <v>0.88286312775096776</v>
      </c>
    </row>
    <row r="746" spans="1:7" x14ac:dyDescent="0.25">
      <c r="A746" t="s">
        <v>158</v>
      </c>
      <c r="B746" t="s">
        <v>60</v>
      </c>
      <c r="C746" t="s">
        <v>34</v>
      </c>
      <c r="D746" t="s">
        <v>154</v>
      </c>
      <c r="E746">
        <v>0.45630816353267001</v>
      </c>
      <c r="F746" t="s">
        <v>151</v>
      </c>
      <c r="G746">
        <v>0.45630816353267001</v>
      </c>
    </row>
    <row r="747" spans="1:7" x14ac:dyDescent="0.25">
      <c r="A747" t="s">
        <v>158</v>
      </c>
      <c r="B747" t="s">
        <v>60</v>
      </c>
      <c r="C747" t="s">
        <v>35</v>
      </c>
      <c r="D747" t="s">
        <v>154</v>
      </c>
      <c r="E747">
        <v>4.4370047500516312E-2</v>
      </c>
      <c r="F747" t="s">
        <v>151</v>
      </c>
      <c r="G747">
        <v>4.4370047500516312E-2</v>
      </c>
    </row>
    <row r="748" spans="1:7" x14ac:dyDescent="0.25">
      <c r="A748" t="s">
        <v>158</v>
      </c>
      <c r="B748" t="s">
        <v>60</v>
      </c>
      <c r="C748" t="s">
        <v>36</v>
      </c>
      <c r="D748" t="s">
        <v>154</v>
      </c>
      <c r="E748">
        <v>0.1883750452665103</v>
      </c>
      <c r="F748" t="s">
        <v>151</v>
      </c>
      <c r="G748">
        <v>0.1883750452665103</v>
      </c>
    </row>
    <row r="749" spans="1:7" x14ac:dyDescent="0.25">
      <c r="A749" t="s">
        <v>158</v>
      </c>
      <c r="B749" t="s">
        <v>60</v>
      </c>
      <c r="C749" t="s">
        <v>37</v>
      </c>
      <c r="D749" t="s">
        <v>154</v>
      </c>
      <c r="E749">
        <v>0.22286512267581851</v>
      </c>
      <c r="F749" t="s">
        <v>151</v>
      </c>
      <c r="G749">
        <v>0.22286512267581851</v>
      </c>
    </row>
    <row r="750" spans="1:7" x14ac:dyDescent="0.25">
      <c r="A750" t="s">
        <v>158</v>
      </c>
      <c r="B750" t="s">
        <v>60</v>
      </c>
      <c r="C750" t="s">
        <v>38</v>
      </c>
      <c r="D750" t="s">
        <v>154</v>
      </c>
      <c r="E750">
        <v>8.8081621024484816E-2</v>
      </c>
      <c r="F750" t="s">
        <v>151</v>
      </c>
      <c r="G750">
        <v>8.8081621024484816E-2</v>
      </c>
    </row>
    <row r="751" spans="1:7" x14ac:dyDescent="0.25">
      <c r="A751" t="s">
        <v>158</v>
      </c>
      <c r="B751" t="s">
        <v>60</v>
      </c>
      <c r="C751" t="s">
        <v>45</v>
      </c>
      <c r="D751" t="s">
        <v>155</v>
      </c>
      <c r="E751">
        <v>1</v>
      </c>
      <c r="F751" t="s">
        <v>156</v>
      </c>
      <c r="G751">
        <v>0.72982194479141249</v>
      </c>
    </row>
    <row r="752" spans="1:7" x14ac:dyDescent="0.25">
      <c r="A752" t="s">
        <v>158</v>
      </c>
      <c r="B752" t="s">
        <v>60</v>
      </c>
      <c r="C752" t="s">
        <v>46</v>
      </c>
      <c r="D752" t="s">
        <v>155</v>
      </c>
      <c r="E752">
        <v>0</v>
      </c>
      <c r="F752" t="s">
        <v>156</v>
      </c>
      <c r="G752">
        <v>0.27017805520858751</v>
      </c>
    </row>
    <row r="753" spans="1:7" x14ac:dyDescent="0.25">
      <c r="A753" t="s">
        <v>158</v>
      </c>
      <c r="B753" t="s">
        <v>60</v>
      </c>
      <c r="C753" t="s">
        <v>50</v>
      </c>
      <c r="D753" t="s">
        <v>157</v>
      </c>
      <c r="E753">
        <v>0.42162495143522749</v>
      </c>
      <c r="F753" t="s">
        <v>151</v>
      </c>
      <c r="G753">
        <v>0.42162495143522749</v>
      </c>
    </row>
    <row r="754" spans="1:7" x14ac:dyDescent="0.25">
      <c r="A754" t="s">
        <v>158</v>
      </c>
      <c r="B754" t="s">
        <v>60</v>
      </c>
      <c r="C754" t="s">
        <v>51</v>
      </c>
      <c r="D754" t="s">
        <v>157</v>
      </c>
      <c r="E754">
        <v>0.57837504856477251</v>
      </c>
      <c r="F754" t="s">
        <v>151</v>
      </c>
      <c r="G754">
        <v>0.57837504856477251</v>
      </c>
    </row>
    <row r="755" spans="1:7" x14ac:dyDescent="0.25">
      <c r="A755" t="s">
        <v>158</v>
      </c>
      <c r="B755" t="s">
        <v>58</v>
      </c>
      <c r="C755" t="s">
        <v>1</v>
      </c>
      <c r="D755" t="s">
        <v>150</v>
      </c>
      <c r="E755">
        <v>0.94299868264323294</v>
      </c>
      <c r="F755" t="s">
        <v>151</v>
      </c>
      <c r="G755">
        <v>0.94299868264323294</v>
      </c>
    </row>
    <row r="756" spans="1:7" x14ac:dyDescent="0.25">
      <c r="A756" t="s">
        <v>158</v>
      </c>
      <c r="B756" t="s">
        <v>58</v>
      </c>
      <c r="C756" t="s">
        <v>2</v>
      </c>
      <c r="D756" t="s">
        <v>150</v>
      </c>
      <c r="E756">
        <v>4.1765731369656618E-2</v>
      </c>
      <c r="F756" t="s">
        <v>151</v>
      </c>
      <c r="G756">
        <v>4.1765731369656618E-2</v>
      </c>
    </row>
    <row r="757" spans="1:7" x14ac:dyDescent="0.25">
      <c r="A757" t="s">
        <v>158</v>
      </c>
      <c r="B757" t="s">
        <v>58</v>
      </c>
      <c r="C757" t="s">
        <v>3</v>
      </c>
      <c r="D757" t="s">
        <v>150</v>
      </c>
      <c r="E757">
        <v>1.523558598711041E-2</v>
      </c>
      <c r="F757" t="s">
        <v>151</v>
      </c>
      <c r="G757">
        <v>1.523558598711041E-2</v>
      </c>
    </row>
    <row r="758" spans="1:7" x14ac:dyDescent="0.25">
      <c r="A758" t="s">
        <v>158</v>
      </c>
      <c r="B758" t="s">
        <v>58</v>
      </c>
      <c r="C758" t="s">
        <v>6</v>
      </c>
      <c r="D758" t="s">
        <v>152</v>
      </c>
      <c r="E758">
        <v>0.43273688361237522</v>
      </c>
      <c r="F758" t="s">
        <v>151</v>
      </c>
      <c r="G758">
        <v>0.43273688361237522</v>
      </c>
    </row>
    <row r="759" spans="1:7" x14ac:dyDescent="0.25">
      <c r="A759" t="s">
        <v>158</v>
      </c>
      <c r="B759" t="s">
        <v>58</v>
      </c>
      <c r="C759" t="s">
        <v>7</v>
      </c>
      <c r="D759" t="s">
        <v>152</v>
      </c>
      <c r="E759">
        <v>0.56726311638762483</v>
      </c>
      <c r="F759" t="s">
        <v>151</v>
      </c>
      <c r="G759">
        <v>0.56726311638762483</v>
      </c>
    </row>
    <row r="760" spans="1:7" x14ac:dyDescent="0.25">
      <c r="A760" t="s">
        <v>158</v>
      </c>
      <c r="B760" t="s">
        <v>58</v>
      </c>
      <c r="C760" t="s">
        <v>26</v>
      </c>
      <c r="D760" t="s">
        <v>153</v>
      </c>
      <c r="E760">
        <v>0.1171368722490322</v>
      </c>
      <c r="F760" t="s">
        <v>151</v>
      </c>
      <c r="G760">
        <v>0.1171368722490322</v>
      </c>
    </row>
    <row r="761" spans="1:7" x14ac:dyDescent="0.25">
      <c r="A761" t="s">
        <v>158</v>
      </c>
      <c r="B761" t="s">
        <v>58</v>
      </c>
      <c r="C761" t="s">
        <v>27</v>
      </c>
      <c r="D761" t="s">
        <v>153</v>
      </c>
      <c r="E761">
        <v>0.88286312775096776</v>
      </c>
      <c r="F761" t="s">
        <v>151</v>
      </c>
      <c r="G761">
        <v>0.88286312775096776</v>
      </c>
    </row>
    <row r="762" spans="1:7" x14ac:dyDescent="0.25">
      <c r="A762" t="s">
        <v>158</v>
      </c>
      <c r="B762" t="s">
        <v>58</v>
      </c>
      <c r="C762" t="s">
        <v>34</v>
      </c>
      <c r="D762" t="s">
        <v>154</v>
      </c>
      <c r="E762">
        <v>0.45630816353267001</v>
      </c>
      <c r="F762" t="s">
        <v>151</v>
      </c>
      <c r="G762">
        <v>0.45630816353267001</v>
      </c>
    </row>
    <row r="763" spans="1:7" x14ac:dyDescent="0.25">
      <c r="A763" t="s">
        <v>158</v>
      </c>
      <c r="B763" t="s">
        <v>58</v>
      </c>
      <c r="C763" t="s">
        <v>35</v>
      </c>
      <c r="D763" t="s">
        <v>154</v>
      </c>
      <c r="E763">
        <v>4.4370047500516312E-2</v>
      </c>
      <c r="F763" t="s">
        <v>151</v>
      </c>
      <c r="G763">
        <v>4.4370047500516312E-2</v>
      </c>
    </row>
    <row r="764" spans="1:7" x14ac:dyDescent="0.25">
      <c r="A764" t="s">
        <v>158</v>
      </c>
      <c r="B764" t="s">
        <v>58</v>
      </c>
      <c r="C764" t="s">
        <v>36</v>
      </c>
      <c r="D764" t="s">
        <v>154</v>
      </c>
      <c r="E764">
        <v>0.1883750452665103</v>
      </c>
      <c r="F764" t="s">
        <v>151</v>
      </c>
      <c r="G764">
        <v>0.1883750452665103</v>
      </c>
    </row>
    <row r="765" spans="1:7" x14ac:dyDescent="0.25">
      <c r="A765" t="s">
        <v>158</v>
      </c>
      <c r="B765" t="s">
        <v>58</v>
      </c>
      <c r="C765" t="s">
        <v>37</v>
      </c>
      <c r="D765" t="s">
        <v>154</v>
      </c>
      <c r="E765">
        <v>0.22286512267581851</v>
      </c>
      <c r="F765" t="s">
        <v>151</v>
      </c>
      <c r="G765">
        <v>0.22286512267581851</v>
      </c>
    </row>
    <row r="766" spans="1:7" x14ac:dyDescent="0.25">
      <c r="A766" t="s">
        <v>158</v>
      </c>
      <c r="B766" t="s">
        <v>58</v>
      </c>
      <c r="C766" t="s">
        <v>38</v>
      </c>
      <c r="D766" t="s">
        <v>154</v>
      </c>
      <c r="E766">
        <v>8.8081621024484816E-2</v>
      </c>
      <c r="F766" t="s">
        <v>151</v>
      </c>
      <c r="G766">
        <v>8.8081621024484816E-2</v>
      </c>
    </row>
    <row r="767" spans="1:7" x14ac:dyDescent="0.25">
      <c r="A767" t="s">
        <v>158</v>
      </c>
      <c r="B767" t="s">
        <v>58</v>
      </c>
      <c r="C767" t="s">
        <v>45</v>
      </c>
      <c r="D767" t="s">
        <v>155</v>
      </c>
      <c r="E767">
        <v>1</v>
      </c>
      <c r="F767" t="s">
        <v>156</v>
      </c>
      <c r="G767">
        <v>0.72982194479141249</v>
      </c>
    </row>
    <row r="768" spans="1:7" x14ac:dyDescent="0.25">
      <c r="A768" t="s">
        <v>158</v>
      </c>
      <c r="B768" t="s">
        <v>58</v>
      </c>
      <c r="C768" t="s">
        <v>46</v>
      </c>
      <c r="D768" t="s">
        <v>155</v>
      </c>
      <c r="E768">
        <v>0</v>
      </c>
      <c r="F768" t="s">
        <v>156</v>
      </c>
      <c r="G768">
        <v>0.27017805520858751</v>
      </c>
    </row>
    <row r="769" spans="1:7" x14ac:dyDescent="0.25">
      <c r="A769" t="s">
        <v>158</v>
      </c>
      <c r="B769" t="s">
        <v>58</v>
      </c>
      <c r="C769" t="s">
        <v>50</v>
      </c>
      <c r="D769" t="s">
        <v>157</v>
      </c>
      <c r="E769">
        <v>0.42162495143522749</v>
      </c>
      <c r="F769" t="s">
        <v>151</v>
      </c>
      <c r="G769">
        <v>0.42162495143522749</v>
      </c>
    </row>
    <row r="770" spans="1:7" x14ac:dyDescent="0.25">
      <c r="A770" t="s">
        <v>158</v>
      </c>
      <c r="B770" t="s">
        <v>58</v>
      </c>
      <c r="C770" t="s">
        <v>51</v>
      </c>
      <c r="D770" t="s">
        <v>157</v>
      </c>
      <c r="E770">
        <v>0.57837504856477251</v>
      </c>
      <c r="F770" t="s">
        <v>151</v>
      </c>
      <c r="G770">
        <v>0.57837504856477251</v>
      </c>
    </row>
    <row r="771" spans="1:7" x14ac:dyDescent="0.25">
      <c r="A771" t="s">
        <v>159</v>
      </c>
      <c r="B771" t="s">
        <v>61</v>
      </c>
      <c r="C771" t="s">
        <v>1</v>
      </c>
      <c r="D771" t="s">
        <v>150</v>
      </c>
      <c r="E771">
        <v>0.94299868264323294</v>
      </c>
      <c r="F771" t="s">
        <v>151</v>
      </c>
      <c r="G771">
        <v>0.94299868264323294</v>
      </c>
    </row>
    <row r="772" spans="1:7" x14ac:dyDescent="0.25">
      <c r="A772" t="s">
        <v>159</v>
      </c>
      <c r="B772" t="s">
        <v>61</v>
      </c>
      <c r="C772" t="s">
        <v>2</v>
      </c>
      <c r="D772" t="s">
        <v>150</v>
      </c>
      <c r="E772">
        <v>4.1765731369656618E-2</v>
      </c>
      <c r="F772" t="s">
        <v>151</v>
      </c>
      <c r="G772">
        <v>4.1765731369656618E-2</v>
      </c>
    </row>
    <row r="773" spans="1:7" x14ac:dyDescent="0.25">
      <c r="A773" t="s">
        <v>159</v>
      </c>
      <c r="B773" t="s">
        <v>61</v>
      </c>
      <c r="C773" t="s">
        <v>3</v>
      </c>
      <c r="D773" t="s">
        <v>150</v>
      </c>
      <c r="E773">
        <v>1.523558598711041E-2</v>
      </c>
      <c r="F773" t="s">
        <v>151</v>
      </c>
      <c r="G773">
        <v>1.523558598711041E-2</v>
      </c>
    </row>
    <row r="774" spans="1:7" x14ac:dyDescent="0.25">
      <c r="A774" t="s">
        <v>159</v>
      </c>
      <c r="B774" t="s">
        <v>61</v>
      </c>
      <c r="C774" t="s">
        <v>6</v>
      </c>
      <c r="D774" t="s">
        <v>152</v>
      </c>
      <c r="E774">
        <v>0.43273688361237522</v>
      </c>
      <c r="F774" t="s">
        <v>151</v>
      </c>
      <c r="G774">
        <v>0.43273688361237522</v>
      </c>
    </row>
    <row r="775" spans="1:7" x14ac:dyDescent="0.25">
      <c r="A775" t="s">
        <v>159</v>
      </c>
      <c r="B775" t="s">
        <v>61</v>
      </c>
      <c r="C775" t="s">
        <v>7</v>
      </c>
      <c r="D775" t="s">
        <v>152</v>
      </c>
      <c r="E775">
        <v>0.56726311638762483</v>
      </c>
      <c r="F775" t="s">
        <v>151</v>
      </c>
      <c r="G775">
        <v>0.56726311638762483</v>
      </c>
    </row>
    <row r="776" spans="1:7" x14ac:dyDescent="0.25">
      <c r="A776" t="s">
        <v>159</v>
      </c>
      <c r="B776" t="s">
        <v>61</v>
      </c>
      <c r="C776" t="s">
        <v>26</v>
      </c>
      <c r="D776" t="s">
        <v>153</v>
      </c>
      <c r="E776">
        <v>0.1171368722490322</v>
      </c>
      <c r="F776" t="s">
        <v>151</v>
      </c>
      <c r="G776">
        <v>0.1171368722490322</v>
      </c>
    </row>
    <row r="777" spans="1:7" x14ac:dyDescent="0.25">
      <c r="A777" t="s">
        <v>159</v>
      </c>
      <c r="B777" t="s">
        <v>61</v>
      </c>
      <c r="C777" t="s">
        <v>27</v>
      </c>
      <c r="D777" t="s">
        <v>153</v>
      </c>
      <c r="E777">
        <v>0.88286312775096776</v>
      </c>
      <c r="F777" t="s">
        <v>151</v>
      </c>
      <c r="G777">
        <v>0.88286312775096776</v>
      </c>
    </row>
    <row r="778" spans="1:7" x14ac:dyDescent="0.25">
      <c r="A778" t="s">
        <v>159</v>
      </c>
      <c r="B778" t="s">
        <v>61</v>
      </c>
      <c r="C778" t="s">
        <v>34</v>
      </c>
      <c r="D778" t="s">
        <v>154</v>
      </c>
      <c r="E778">
        <v>0.45630816353267001</v>
      </c>
      <c r="F778" t="s">
        <v>151</v>
      </c>
      <c r="G778">
        <v>0.45630816353267001</v>
      </c>
    </row>
    <row r="779" spans="1:7" x14ac:dyDescent="0.25">
      <c r="A779" t="s">
        <v>159</v>
      </c>
      <c r="B779" t="s">
        <v>61</v>
      </c>
      <c r="C779" t="s">
        <v>35</v>
      </c>
      <c r="D779" t="s">
        <v>154</v>
      </c>
      <c r="E779">
        <v>4.4370047500516312E-2</v>
      </c>
      <c r="F779" t="s">
        <v>151</v>
      </c>
      <c r="G779">
        <v>4.4370047500516312E-2</v>
      </c>
    </row>
    <row r="780" spans="1:7" x14ac:dyDescent="0.25">
      <c r="A780" t="s">
        <v>159</v>
      </c>
      <c r="B780" t="s">
        <v>61</v>
      </c>
      <c r="C780" t="s">
        <v>36</v>
      </c>
      <c r="D780" t="s">
        <v>154</v>
      </c>
      <c r="E780">
        <v>0.1883750452665103</v>
      </c>
      <c r="F780" t="s">
        <v>151</v>
      </c>
      <c r="G780">
        <v>0.1883750452665103</v>
      </c>
    </row>
    <row r="781" spans="1:7" x14ac:dyDescent="0.25">
      <c r="A781" t="s">
        <v>159</v>
      </c>
      <c r="B781" t="s">
        <v>61</v>
      </c>
      <c r="C781" t="s">
        <v>37</v>
      </c>
      <c r="D781" t="s">
        <v>154</v>
      </c>
      <c r="E781">
        <v>0.22286512267581851</v>
      </c>
      <c r="F781" t="s">
        <v>151</v>
      </c>
      <c r="G781">
        <v>0.22286512267581851</v>
      </c>
    </row>
    <row r="782" spans="1:7" x14ac:dyDescent="0.25">
      <c r="A782" t="s">
        <v>159</v>
      </c>
      <c r="B782" t="s">
        <v>61</v>
      </c>
      <c r="C782" t="s">
        <v>38</v>
      </c>
      <c r="D782" t="s">
        <v>154</v>
      </c>
      <c r="E782">
        <v>8.8081621024484816E-2</v>
      </c>
      <c r="F782" t="s">
        <v>151</v>
      </c>
      <c r="G782">
        <v>8.8081621024484816E-2</v>
      </c>
    </row>
    <row r="783" spans="1:7" x14ac:dyDescent="0.25">
      <c r="A783" t="s">
        <v>159</v>
      </c>
      <c r="B783" t="s">
        <v>61</v>
      </c>
      <c r="C783" t="s">
        <v>45</v>
      </c>
      <c r="D783" t="s">
        <v>155</v>
      </c>
      <c r="E783">
        <v>1</v>
      </c>
      <c r="F783" t="s">
        <v>156</v>
      </c>
      <c r="G783">
        <v>0.72982194479141249</v>
      </c>
    </row>
    <row r="784" spans="1:7" x14ac:dyDescent="0.25">
      <c r="A784" t="s">
        <v>159</v>
      </c>
      <c r="B784" t="s">
        <v>61</v>
      </c>
      <c r="C784" t="s">
        <v>46</v>
      </c>
      <c r="D784" t="s">
        <v>155</v>
      </c>
      <c r="E784">
        <v>0</v>
      </c>
      <c r="F784" t="s">
        <v>156</v>
      </c>
      <c r="G784">
        <v>0.27017805520858751</v>
      </c>
    </row>
    <row r="785" spans="1:7" x14ac:dyDescent="0.25">
      <c r="A785" t="s">
        <v>159</v>
      </c>
      <c r="B785" t="s">
        <v>61</v>
      </c>
      <c r="C785" t="s">
        <v>50</v>
      </c>
      <c r="D785" t="s">
        <v>157</v>
      </c>
      <c r="E785">
        <v>0.42162495143522749</v>
      </c>
      <c r="F785" t="s">
        <v>151</v>
      </c>
      <c r="G785">
        <v>0.42162495143522749</v>
      </c>
    </row>
    <row r="786" spans="1:7" x14ac:dyDescent="0.25">
      <c r="A786" t="s">
        <v>159</v>
      </c>
      <c r="B786" t="s">
        <v>61</v>
      </c>
      <c r="C786" t="s">
        <v>51</v>
      </c>
      <c r="D786" t="s">
        <v>157</v>
      </c>
      <c r="E786">
        <v>0.57837504856477251</v>
      </c>
      <c r="F786" t="s">
        <v>151</v>
      </c>
      <c r="G786">
        <v>0.57837504856477251</v>
      </c>
    </row>
    <row r="787" spans="1:7" x14ac:dyDescent="0.25">
      <c r="A787" t="s">
        <v>159</v>
      </c>
      <c r="B787" t="s">
        <v>72</v>
      </c>
      <c r="C787" t="s">
        <v>1</v>
      </c>
      <c r="D787" t="s">
        <v>150</v>
      </c>
      <c r="E787">
        <v>0.94299868264323294</v>
      </c>
      <c r="F787" t="s">
        <v>151</v>
      </c>
      <c r="G787">
        <v>0.94299868264323294</v>
      </c>
    </row>
    <row r="788" spans="1:7" x14ac:dyDescent="0.25">
      <c r="A788" t="s">
        <v>159</v>
      </c>
      <c r="B788" t="s">
        <v>72</v>
      </c>
      <c r="C788" t="s">
        <v>2</v>
      </c>
      <c r="D788" t="s">
        <v>150</v>
      </c>
      <c r="E788">
        <v>4.1765731369656618E-2</v>
      </c>
      <c r="F788" t="s">
        <v>151</v>
      </c>
      <c r="G788">
        <v>4.1765731369656618E-2</v>
      </c>
    </row>
    <row r="789" spans="1:7" x14ac:dyDescent="0.25">
      <c r="A789" t="s">
        <v>159</v>
      </c>
      <c r="B789" t="s">
        <v>72</v>
      </c>
      <c r="C789" t="s">
        <v>3</v>
      </c>
      <c r="D789" t="s">
        <v>150</v>
      </c>
      <c r="E789">
        <v>1.523558598711041E-2</v>
      </c>
      <c r="F789" t="s">
        <v>151</v>
      </c>
      <c r="G789">
        <v>1.523558598711041E-2</v>
      </c>
    </row>
    <row r="790" spans="1:7" x14ac:dyDescent="0.25">
      <c r="A790" t="s">
        <v>159</v>
      </c>
      <c r="B790" t="s">
        <v>72</v>
      </c>
      <c r="C790" t="s">
        <v>6</v>
      </c>
      <c r="D790" t="s">
        <v>152</v>
      </c>
      <c r="E790">
        <v>0.43273688361237522</v>
      </c>
      <c r="F790" t="s">
        <v>151</v>
      </c>
      <c r="G790">
        <v>0.43273688361237522</v>
      </c>
    </row>
    <row r="791" spans="1:7" x14ac:dyDescent="0.25">
      <c r="A791" t="s">
        <v>159</v>
      </c>
      <c r="B791" t="s">
        <v>72</v>
      </c>
      <c r="C791" t="s">
        <v>7</v>
      </c>
      <c r="D791" t="s">
        <v>152</v>
      </c>
      <c r="E791">
        <v>0.56726311638762483</v>
      </c>
      <c r="F791" t="s">
        <v>151</v>
      </c>
      <c r="G791">
        <v>0.56726311638762483</v>
      </c>
    </row>
    <row r="792" spans="1:7" x14ac:dyDescent="0.25">
      <c r="A792" t="s">
        <v>159</v>
      </c>
      <c r="B792" t="s">
        <v>72</v>
      </c>
      <c r="C792" t="s">
        <v>26</v>
      </c>
      <c r="D792" t="s">
        <v>153</v>
      </c>
      <c r="E792">
        <v>0.1171368722490322</v>
      </c>
      <c r="F792" t="s">
        <v>151</v>
      </c>
      <c r="G792">
        <v>0.1171368722490322</v>
      </c>
    </row>
    <row r="793" spans="1:7" x14ac:dyDescent="0.25">
      <c r="A793" t="s">
        <v>159</v>
      </c>
      <c r="B793" t="s">
        <v>72</v>
      </c>
      <c r="C793" t="s">
        <v>27</v>
      </c>
      <c r="D793" t="s">
        <v>153</v>
      </c>
      <c r="E793">
        <v>0.88286312775096776</v>
      </c>
      <c r="F793" t="s">
        <v>151</v>
      </c>
      <c r="G793">
        <v>0.88286312775096776</v>
      </c>
    </row>
    <row r="794" spans="1:7" x14ac:dyDescent="0.25">
      <c r="A794" t="s">
        <v>159</v>
      </c>
      <c r="B794" t="s">
        <v>72</v>
      </c>
      <c r="C794" t="s">
        <v>34</v>
      </c>
      <c r="D794" t="s">
        <v>154</v>
      </c>
      <c r="E794">
        <v>0.45630816353267001</v>
      </c>
      <c r="F794" t="s">
        <v>151</v>
      </c>
      <c r="G794">
        <v>0.45630816353267001</v>
      </c>
    </row>
    <row r="795" spans="1:7" x14ac:dyDescent="0.25">
      <c r="A795" t="s">
        <v>159</v>
      </c>
      <c r="B795" t="s">
        <v>72</v>
      </c>
      <c r="C795" t="s">
        <v>35</v>
      </c>
      <c r="D795" t="s">
        <v>154</v>
      </c>
      <c r="E795">
        <v>4.4370047500516312E-2</v>
      </c>
      <c r="F795" t="s">
        <v>151</v>
      </c>
      <c r="G795">
        <v>4.4370047500516312E-2</v>
      </c>
    </row>
    <row r="796" spans="1:7" x14ac:dyDescent="0.25">
      <c r="A796" t="s">
        <v>159</v>
      </c>
      <c r="B796" t="s">
        <v>72</v>
      </c>
      <c r="C796" t="s">
        <v>36</v>
      </c>
      <c r="D796" t="s">
        <v>154</v>
      </c>
      <c r="E796">
        <v>0.1883750452665103</v>
      </c>
      <c r="F796" t="s">
        <v>151</v>
      </c>
      <c r="G796">
        <v>0.1883750452665103</v>
      </c>
    </row>
    <row r="797" spans="1:7" x14ac:dyDescent="0.25">
      <c r="A797" t="s">
        <v>159</v>
      </c>
      <c r="B797" t="s">
        <v>72</v>
      </c>
      <c r="C797" t="s">
        <v>37</v>
      </c>
      <c r="D797" t="s">
        <v>154</v>
      </c>
      <c r="E797">
        <v>0.22286512267581851</v>
      </c>
      <c r="F797" t="s">
        <v>151</v>
      </c>
      <c r="G797">
        <v>0.22286512267581851</v>
      </c>
    </row>
    <row r="798" spans="1:7" x14ac:dyDescent="0.25">
      <c r="A798" t="s">
        <v>159</v>
      </c>
      <c r="B798" t="s">
        <v>72</v>
      </c>
      <c r="C798" t="s">
        <v>38</v>
      </c>
      <c r="D798" t="s">
        <v>154</v>
      </c>
      <c r="E798">
        <v>8.8081621024484816E-2</v>
      </c>
      <c r="F798" t="s">
        <v>151</v>
      </c>
      <c r="G798">
        <v>8.8081621024484816E-2</v>
      </c>
    </row>
    <row r="799" spans="1:7" x14ac:dyDescent="0.25">
      <c r="A799" t="s">
        <v>159</v>
      </c>
      <c r="B799" t="s">
        <v>72</v>
      </c>
      <c r="C799" t="s">
        <v>45</v>
      </c>
      <c r="D799" t="s">
        <v>155</v>
      </c>
      <c r="E799">
        <v>1</v>
      </c>
      <c r="F799" t="s">
        <v>156</v>
      </c>
      <c r="G799">
        <v>0.72982194479141249</v>
      </c>
    </row>
    <row r="800" spans="1:7" x14ac:dyDescent="0.25">
      <c r="A800" t="s">
        <v>159</v>
      </c>
      <c r="B800" t="s">
        <v>72</v>
      </c>
      <c r="C800" t="s">
        <v>46</v>
      </c>
      <c r="D800" t="s">
        <v>155</v>
      </c>
      <c r="E800">
        <v>0</v>
      </c>
      <c r="F800" t="s">
        <v>156</v>
      </c>
      <c r="G800">
        <v>0.27017805520858751</v>
      </c>
    </row>
    <row r="801" spans="1:7" x14ac:dyDescent="0.25">
      <c r="A801" t="s">
        <v>159</v>
      </c>
      <c r="B801" t="s">
        <v>72</v>
      </c>
      <c r="C801" t="s">
        <v>50</v>
      </c>
      <c r="D801" t="s">
        <v>157</v>
      </c>
      <c r="E801">
        <v>0.42162495143522749</v>
      </c>
      <c r="F801" t="s">
        <v>151</v>
      </c>
      <c r="G801">
        <v>0.42162495143522749</v>
      </c>
    </row>
    <row r="802" spans="1:7" x14ac:dyDescent="0.25">
      <c r="A802" t="s">
        <v>159</v>
      </c>
      <c r="B802" t="s">
        <v>72</v>
      </c>
      <c r="C802" t="s">
        <v>51</v>
      </c>
      <c r="D802" t="s">
        <v>157</v>
      </c>
      <c r="E802">
        <v>0.57837504856477251</v>
      </c>
      <c r="F802" t="s">
        <v>151</v>
      </c>
      <c r="G802">
        <v>0.57837504856477251</v>
      </c>
    </row>
    <row r="803" spans="1:7" x14ac:dyDescent="0.25">
      <c r="A803" t="s">
        <v>159</v>
      </c>
      <c r="B803" t="s">
        <v>67</v>
      </c>
      <c r="C803" t="s">
        <v>1</v>
      </c>
      <c r="D803" t="s">
        <v>150</v>
      </c>
      <c r="E803">
        <v>0.94299868264323294</v>
      </c>
      <c r="F803" t="s">
        <v>151</v>
      </c>
      <c r="G803">
        <v>0.94299868264323294</v>
      </c>
    </row>
    <row r="804" spans="1:7" x14ac:dyDescent="0.25">
      <c r="A804" t="s">
        <v>159</v>
      </c>
      <c r="B804" t="s">
        <v>67</v>
      </c>
      <c r="C804" t="s">
        <v>2</v>
      </c>
      <c r="D804" t="s">
        <v>150</v>
      </c>
      <c r="E804">
        <v>4.1765731369656618E-2</v>
      </c>
      <c r="F804" t="s">
        <v>151</v>
      </c>
      <c r="G804">
        <v>4.1765731369656618E-2</v>
      </c>
    </row>
    <row r="805" spans="1:7" x14ac:dyDescent="0.25">
      <c r="A805" t="s">
        <v>159</v>
      </c>
      <c r="B805" t="s">
        <v>67</v>
      </c>
      <c r="C805" t="s">
        <v>3</v>
      </c>
      <c r="D805" t="s">
        <v>150</v>
      </c>
      <c r="E805">
        <v>1.523558598711041E-2</v>
      </c>
      <c r="F805" t="s">
        <v>151</v>
      </c>
      <c r="G805">
        <v>1.523558598711041E-2</v>
      </c>
    </row>
    <row r="806" spans="1:7" x14ac:dyDescent="0.25">
      <c r="A806" t="s">
        <v>159</v>
      </c>
      <c r="B806" t="s">
        <v>67</v>
      </c>
      <c r="C806" t="s">
        <v>6</v>
      </c>
      <c r="D806" t="s">
        <v>152</v>
      </c>
      <c r="E806">
        <v>0.43273688361237522</v>
      </c>
      <c r="F806" t="s">
        <v>151</v>
      </c>
      <c r="G806">
        <v>0.43273688361237522</v>
      </c>
    </row>
    <row r="807" spans="1:7" x14ac:dyDescent="0.25">
      <c r="A807" t="s">
        <v>159</v>
      </c>
      <c r="B807" t="s">
        <v>67</v>
      </c>
      <c r="C807" t="s">
        <v>7</v>
      </c>
      <c r="D807" t="s">
        <v>152</v>
      </c>
      <c r="E807">
        <v>0.56726311638762483</v>
      </c>
      <c r="F807" t="s">
        <v>151</v>
      </c>
      <c r="G807">
        <v>0.56726311638762483</v>
      </c>
    </row>
    <row r="808" spans="1:7" x14ac:dyDescent="0.25">
      <c r="A808" t="s">
        <v>159</v>
      </c>
      <c r="B808" t="s">
        <v>67</v>
      </c>
      <c r="C808" t="s">
        <v>26</v>
      </c>
      <c r="D808" t="s">
        <v>153</v>
      </c>
      <c r="E808">
        <v>0.1171368722490322</v>
      </c>
      <c r="F808" t="s">
        <v>151</v>
      </c>
      <c r="G808">
        <v>0.1171368722490322</v>
      </c>
    </row>
    <row r="809" spans="1:7" x14ac:dyDescent="0.25">
      <c r="A809" t="s">
        <v>159</v>
      </c>
      <c r="B809" t="s">
        <v>67</v>
      </c>
      <c r="C809" t="s">
        <v>27</v>
      </c>
      <c r="D809" t="s">
        <v>153</v>
      </c>
      <c r="E809">
        <v>0.88286312775096776</v>
      </c>
      <c r="F809" t="s">
        <v>151</v>
      </c>
      <c r="G809">
        <v>0.88286312775096776</v>
      </c>
    </row>
    <row r="810" spans="1:7" x14ac:dyDescent="0.25">
      <c r="A810" t="s">
        <v>159</v>
      </c>
      <c r="B810" t="s">
        <v>67</v>
      </c>
      <c r="C810" t="s">
        <v>34</v>
      </c>
      <c r="D810" t="s">
        <v>154</v>
      </c>
      <c r="E810">
        <v>0.45630816353267001</v>
      </c>
      <c r="F810" t="s">
        <v>151</v>
      </c>
      <c r="G810">
        <v>0.45630816353267001</v>
      </c>
    </row>
    <row r="811" spans="1:7" x14ac:dyDescent="0.25">
      <c r="A811" t="s">
        <v>159</v>
      </c>
      <c r="B811" t="s">
        <v>67</v>
      </c>
      <c r="C811" t="s">
        <v>35</v>
      </c>
      <c r="D811" t="s">
        <v>154</v>
      </c>
      <c r="E811">
        <v>4.4370047500516312E-2</v>
      </c>
      <c r="F811" t="s">
        <v>151</v>
      </c>
      <c r="G811">
        <v>4.4370047500516312E-2</v>
      </c>
    </row>
    <row r="812" spans="1:7" x14ac:dyDescent="0.25">
      <c r="A812" t="s">
        <v>159</v>
      </c>
      <c r="B812" t="s">
        <v>67</v>
      </c>
      <c r="C812" t="s">
        <v>36</v>
      </c>
      <c r="D812" t="s">
        <v>154</v>
      </c>
      <c r="E812">
        <v>0.1883750452665103</v>
      </c>
      <c r="F812" t="s">
        <v>151</v>
      </c>
      <c r="G812">
        <v>0.1883750452665103</v>
      </c>
    </row>
    <row r="813" spans="1:7" x14ac:dyDescent="0.25">
      <c r="A813" t="s">
        <v>159</v>
      </c>
      <c r="B813" t="s">
        <v>67</v>
      </c>
      <c r="C813" t="s">
        <v>37</v>
      </c>
      <c r="D813" t="s">
        <v>154</v>
      </c>
      <c r="E813">
        <v>0.22286512267581851</v>
      </c>
      <c r="F813" t="s">
        <v>151</v>
      </c>
      <c r="G813">
        <v>0.22286512267581851</v>
      </c>
    </row>
    <row r="814" spans="1:7" x14ac:dyDescent="0.25">
      <c r="A814" t="s">
        <v>159</v>
      </c>
      <c r="B814" t="s">
        <v>67</v>
      </c>
      <c r="C814" t="s">
        <v>38</v>
      </c>
      <c r="D814" t="s">
        <v>154</v>
      </c>
      <c r="E814">
        <v>8.8081621024484816E-2</v>
      </c>
      <c r="F814" t="s">
        <v>151</v>
      </c>
      <c r="G814">
        <v>8.8081621024484816E-2</v>
      </c>
    </row>
    <row r="815" spans="1:7" x14ac:dyDescent="0.25">
      <c r="A815" t="s">
        <v>159</v>
      </c>
      <c r="B815" t="s">
        <v>67</v>
      </c>
      <c r="C815" t="s">
        <v>45</v>
      </c>
      <c r="D815" t="s">
        <v>155</v>
      </c>
      <c r="E815">
        <v>1</v>
      </c>
      <c r="F815" t="s">
        <v>156</v>
      </c>
      <c r="G815">
        <v>0.72982194479141249</v>
      </c>
    </row>
    <row r="816" spans="1:7" x14ac:dyDescent="0.25">
      <c r="A816" t="s">
        <v>159</v>
      </c>
      <c r="B816" t="s">
        <v>67</v>
      </c>
      <c r="C816" t="s">
        <v>46</v>
      </c>
      <c r="D816" t="s">
        <v>155</v>
      </c>
      <c r="E816">
        <v>0</v>
      </c>
      <c r="F816" t="s">
        <v>156</v>
      </c>
      <c r="G816">
        <v>0.27017805520858751</v>
      </c>
    </row>
    <row r="817" spans="1:7" x14ac:dyDescent="0.25">
      <c r="A817" t="s">
        <v>159</v>
      </c>
      <c r="B817" t="s">
        <v>67</v>
      </c>
      <c r="C817" t="s">
        <v>50</v>
      </c>
      <c r="D817" t="s">
        <v>157</v>
      </c>
      <c r="E817">
        <v>0.42162495143522749</v>
      </c>
      <c r="F817" t="s">
        <v>151</v>
      </c>
      <c r="G817">
        <v>0.42162495143522749</v>
      </c>
    </row>
    <row r="818" spans="1:7" x14ac:dyDescent="0.25">
      <c r="A818" t="s">
        <v>159</v>
      </c>
      <c r="B818" t="s">
        <v>67</v>
      </c>
      <c r="C818" t="s">
        <v>51</v>
      </c>
      <c r="D818" t="s">
        <v>157</v>
      </c>
      <c r="E818">
        <v>0.57837504856477251</v>
      </c>
      <c r="F818" t="s">
        <v>151</v>
      </c>
      <c r="G818">
        <v>0.57837504856477251</v>
      </c>
    </row>
    <row r="819" spans="1:7" x14ac:dyDescent="0.25">
      <c r="A819" t="s">
        <v>159</v>
      </c>
      <c r="B819" t="s">
        <v>62</v>
      </c>
      <c r="C819" t="s">
        <v>1</v>
      </c>
      <c r="D819" t="s">
        <v>150</v>
      </c>
      <c r="E819">
        <v>0.94299868264323294</v>
      </c>
      <c r="F819" t="s">
        <v>151</v>
      </c>
      <c r="G819">
        <v>0.94299868264323294</v>
      </c>
    </row>
    <row r="820" spans="1:7" x14ac:dyDescent="0.25">
      <c r="A820" t="s">
        <v>159</v>
      </c>
      <c r="B820" t="s">
        <v>62</v>
      </c>
      <c r="C820" t="s">
        <v>2</v>
      </c>
      <c r="D820" t="s">
        <v>150</v>
      </c>
      <c r="E820">
        <v>4.1765731369656618E-2</v>
      </c>
      <c r="F820" t="s">
        <v>151</v>
      </c>
      <c r="G820">
        <v>4.1765731369656618E-2</v>
      </c>
    </row>
    <row r="821" spans="1:7" x14ac:dyDescent="0.25">
      <c r="A821" t="s">
        <v>159</v>
      </c>
      <c r="B821" t="s">
        <v>62</v>
      </c>
      <c r="C821" t="s">
        <v>3</v>
      </c>
      <c r="D821" t="s">
        <v>150</v>
      </c>
      <c r="E821">
        <v>1.523558598711041E-2</v>
      </c>
      <c r="F821" t="s">
        <v>151</v>
      </c>
      <c r="G821">
        <v>1.523558598711041E-2</v>
      </c>
    </row>
    <row r="822" spans="1:7" x14ac:dyDescent="0.25">
      <c r="A822" t="s">
        <v>159</v>
      </c>
      <c r="B822" t="s">
        <v>62</v>
      </c>
      <c r="C822" t="s">
        <v>6</v>
      </c>
      <c r="D822" t="s">
        <v>152</v>
      </c>
      <c r="E822">
        <v>0.43273688361237522</v>
      </c>
      <c r="F822" t="s">
        <v>151</v>
      </c>
      <c r="G822">
        <v>0.43273688361237522</v>
      </c>
    </row>
    <row r="823" spans="1:7" x14ac:dyDescent="0.25">
      <c r="A823" t="s">
        <v>159</v>
      </c>
      <c r="B823" t="s">
        <v>62</v>
      </c>
      <c r="C823" t="s">
        <v>7</v>
      </c>
      <c r="D823" t="s">
        <v>152</v>
      </c>
      <c r="E823">
        <v>0.56726311638762483</v>
      </c>
      <c r="F823" t="s">
        <v>151</v>
      </c>
      <c r="G823">
        <v>0.56726311638762483</v>
      </c>
    </row>
    <row r="824" spans="1:7" x14ac:dyDescent="0.25">
      <c r="A824" t="s">
        <v>159</v>
      </c>
      <c r="B824" t="s">
        <v>62</v>
      </c>
      <c r="C824" t="s">
        <v>26</v>
      </c>
      <c r="D824" t="s">
        <v>153</v>
      </c>
      <c r="E824">
        <v>0.1171368722490322</v>
      </c>
      <c r="F824" t="s">
        <v>151</v>
      </c>
      <c r="G824">
        <v>0.1171368722490322</v>
      </c>
    </row>
    <row r="825" spans="1:7" x14ac:dyDescent="0.25">
      <c r="A825" t="s">
        <v>159</v>
      </c>
      <c r="B825" t="s">
        <v>62</v>
      </c>
      <c r="C825" t="s">
        <v>27</v>
      </c>
      <c r="D825" t="s">
        <v>153</v>
      </c>
      <c r="E825">
        <v>0.88286312775096776</v>
      </c>
      <c r="F825" t="s">
        <v>151</v>
      </c>
      <c r="G825">
        <v>0.88286312775096776</v>
      </c>
    </row>
    <row r="826" spans="1:7" x14ac:dyDescent="0.25">
      <c r="A826" t="s">
        <v>159</v>
      </c>
      <c r="B826" t="s">
        <v>62</v>
      </c>
      <c r="C826" t="s">
        <v>34</v>
      </c>
      <c r="D826" t="s">
        <v>154</v>
      </c>
      <c r="E826">
        <v>0.45630816353267001</v>
      </c>
      <c r="F826" t="s">
        <v>151</v>
      </c>
      <c r="G826">
        <v>0.45630816353267001</v>
      </c>
    </row>
    <row r="827" spans="1:7" x14ac:dyDescent="0.25">
      <c r="A827" t="s">
        <v>159</v>
      </c>
      <c r="B827" t="s">
        <v>62</v>
      </c>
      <c r="C827" t="s">
        <v>35</v>
      </c>
      <c r="D827" t="s">
        <v>154</v>
      </c>
      <c r="E827">
        <v>4.4370047500516312E-2</v>
      </c>
      <c r="F827" t="s">
        <v>151</v>
      </c>
      <c r="G827">
        <v>4.4370047500516312E-2</v>
      </c>
    </row>
    <row r="828" spans="1:7" x14ac:dyDescent="0.25">
      <c r="A828" t="s">
        <v>159</v>
      </c>
      <c r="B828" t="s">
        <v>62</v>
      </c>
      <c r="C828" t="s">
        <v>36</v>
      </c>
      <c r="D828" t="s">
        <v>154</v>
      </c>
      <c r="E828">
        <v>0.1883750452665103</v>
      </c>
      <c r="F828" t="s">
        <v>151</v>
      </c>
      <c r="G828">
        <v>0.1883750452665103</v>
      </c>
    </row>
    <row r="829" spans="1:7" x14ac:dyDescent="0.25">
      <c r="A829" t="s">
        <v>159</v>
      </c>
      <c r="B829" t="s">
        <v>62</v>
      </c>
      <c r="C829" t="s">
        <v>37</v>
      </c>
      <c r="D829" t="s">
        <v>154</v>
      </c>
      <c r="E829">
        <v>0.22286512267581851</v>
      </c>
      <c r="F829" t="s">
        <v>151</v>
      </c>
      <c r="G829">
        <v>0.22286512267581851</v>
      </c>
    </row>
    <row r="830" spans="1:7" x14ac:dyDescent="0.25">
      <c r="A830" t="s">
        <v>159</v>
      </c>
      <c r="B830" t="s">
        <v>62</v>
      </c>
      <c r="C830" t="s">
        <v>38</v>
      </c>
      <c r="D830" t="s">
        <v>154</v>
      </c>
      <c r="E830">
        <v>8.8081621024484816E-2</v>
      </c>
      <c r="F830" t="s">
        <v>151</v>
      </c>
      <c r="G830">
        <v>8.8081621024484816E-2</v>
      </c>
    </row>
    <row r="831" spans="1:7" x14ac:dyDescent="0.25">
      <c r="A831" t="s">
        <v>159</v>
      </c>
      <c r="B831" t="s">
        <v>62</v>
      </c>
      <c r="C831" t="s">
        <v>45</v>
      </c>
      <c r="D831" t="s">
        <v>155</v>
      </c>
      <c r="E831">
        <v>1</v>
      </c>
      <c r="F831" t="s">
        <v>156</v>
      </c>
      <c r="G831">
        <v>0.72982194479141249</v>
      </c>
    </row>
    <row r="832" spans="1:7" x14ac:dyDescent="0.25">
      <c r="A832" t="s">
        <v>159</v>
      </c>
      <c r="B832" t="s">
        <v>62</v>
      </c>
      <c r="C832" t="s">
        <v>46</v>
      </c>
      <c r="D832" t="s">
        <v>155</v>
      </c>
      <c r="E832">
        <v>0</v>
      </c>
      <c r="F832" t="s">
        <v>156</v>
      </c>
      <c r="G832">
        <v>0.27017805520858751</v>
      </c>
    </row>
    <row r="833" spans="1:7" x14ac:dyDescent="0.25">
      <c r="A833" t="s">
        <v>159</v>
      </c>
      <c r="B833" t="s">
        <v>62</v>
      </c>
      <c r="C833" t="s">
        <v>50</v>
      </c>
      <c r="D833" t="s">
        <v>157</v>
      </c>
      <c r="E833">
        <v>0.42162495143522749</v>
      </c>
      <c r="F833" t="s">
        <v>151</v>
      </c>
      <c r="G833">
        <v>0.42162495143522749</v>
      </c>
    </row>
    <row r="834" spans="1:7" x14ac:dyDescent="0.25">
      <c r="A834" t="s">
        <v>159</v>
      </c>
      <c r="B834" t="s">
        <v>62</v>
      </c>
      <c r="C834" t="s">
        <v>51</v>
      </c>
      <c r="D834" t="s">
        <v>157</v>
      </c>
      <c r="E834">
        <v>0.57837504856477251</v>
      </c>
      <c r="F834" t="s">
        <v>151</v>
      </c>
      <c r="G834">
        <v>0.57837504856477251</v>
      </c>
    </row>
    <row r="835" spans="1:7" x14ac:dyDescent="0.25">
      <c r="A835" t="s">
        <v>159</v>
      </c>
      <c r="B835" t="s">
        <v>53</v>
      </c>
      <c r="C835" t="s">
        <v>1</v>
      </c>
      <c r="D835" t="s">
        <v>150</v>
      </c>
      <c r="E835">
        <v>0.94299868264323294</v>
      </c>
      <c r="F835" t="s">
        <v>151</v>
      </c>
      <c r="G835">
        <v>0.94299868264323294</v>
      </c>
    </row>
    <row r="836" spans="1:7" x14ac:dyDescent="0.25">
      <c r="A836" t="s">
        <v>159</v>
      </c>
      <c r="B836" t="s">
        <v>53</v>
      </c>
      <c r="C836" t="s">
        <v>2</v>
      </c>
      <c r="D836" t="s">
        <v>150</v>
      </c>
      <c r="E836">
        <v>4.1765731369656618E-2</v>
      </c>
      <c r="F836" t="s">
        <v>151</v>
      </c>
      <c r="G836">
        <v>4.1765731369656618E-2</v>
      </c>
    </row>
    <row r="837" spans="1:7" x14ac:dyDescent="0.25">
      <c r="A837" t="s">
        <v>159</v>
      </c>
      <c r="B837" t="s">
        <v>53</v>
      </c>
      <c r="C837" t="s">
        <v>3</v>
      </c>
      <c r="D837" t="s">
        <v>150</v>
      </c>
      <c r="E837">
        <v>1.523558598711041E-2</v>
      </c>
      <c r="F837" t="s">
        <v>151</v>
      </c>
      <c r="G837">
        <v>1.523558598711041E-2</v>
      </c>
    </row>
    <row r="838" spans="1:7" x14ac:dyDescent="0.25">
      <c r="A838" t="s">
        <v>159</v>
      </c>
      <c r="B838" t="s">
        <v>53</v>
      </c>
      <c r="C838" t="s">
        <v>6</v>
      </c>
      <c r="D838" t="s">
        <v>152</v>
      </c>
      <c r="E838">
        <v>0.43273688361237522</v>
      </c>
      <c r="F838" t="s">
        <v>151</v>
      </c>
      <c r="G838">
        <v>0.43273688361237522</v>
      </c>
    </row>
    <row r="839" spans="1:7" x14ac:dyDescent="0.25">
      <c r="A839" t="s">
        <v>159</v>
      </c>
      <c r="B839" t="s">
        <v>53</v>
      </c>
      <c r="C839" t="s">
        <v>7</v>
      </c>
      <c r="D839" t="s">
        <v>152</v>
      </c>
      <c r="E839">
        <v>0.56726311638762483</v>
      </c>
      <c r="F839" t="s">
        <v>151</v>
      </c>
      <c r="G839">
        <v>0.56726311638762483</v>
      </c>
    </row>
    <row r="840" spans="1:7" x14ac:dyDescent="0.25">
      <c r="A840" t="s">
        <v>159</v>
      </c>
      <c r="B840" t="s">
        <v>53</v>
      </c>
      <c r="C840" t="s">
        <v>26</v>
      </c>
      <c r="D840" t="s">
        <v>153</v>
      </c>
      <c r="E840">
        <v>0.1171368722490322</v>
      </c>
      <c r="F840" t="s">
        <v>151</v>
      </c>
      <c r="G840">
        <v>0.1171368722490322</v>
      </c>
    </row>
    <row r="841" spans="1:7" x14ac:dyDescent="0.25">
      <c r="A841" t="s">
        <v>159</v>
      </c>
      <c r="B841" t="s">
        <v>53</v>
      </c>
      <c r="C841" t="s">
        <v>27</v>
      </c>
      <c r="D841" t="s">
        <v>153</v>
      </c>
      <c r="E841">
        <v>0.88286312775096776</v>
      </c>
      <c r="F841" t="s">
        <v>151</v>
      </c>
      <c r="G841">
        <v>0.88286312775096776</v>
      </c>
    </row>
    <row r="842" spans="1:7" x14ac:dyDescent="0.25">
      <c r="A842" t="s">
        <v>159</v>
      </c>
      <c r="B842" t="s">
        <v>53</v>
      </c>
      <c r="C842" t="s">
        <v>34</v>
      </c>
      <c r="D842" t="s">
        <v>154</v>
      </c>
      <c r="E842">
        <v>0.45630816353267001</v>
      </c>
      <c r="F842" t="s">
        <v>151</v>
      </c>
      <c r="G842">
        <v>0.45630816353267001</v>
      </c>
    </row>
    <row r="843" spans="1:7" x14ac:dyDescent="0.25">
      <c r="A843" t="s">
        <v>159</v>
      </c>
      <c r="B843" t="s">
        <v>53</v>
      </c>
      <c r="C843" t="s">
        <v>35</v>
      </c>
      <c r="D843" t="s">
        <v>154</v>
      </c>
      <c r="E843">
        <v>4.4370047500516312E-2</v>
      </c>
      <c r="F843" t="s">
        <v>151</v>
      </c>
      <c r="G843">
        <v>4.4370047500516312E-2</v>
      </c>
    </row>
    <row r="844" spans="1:7" x14ac:dyDescent="0.25">
      <c r="A844" t="s">
        <v>159</v>
      </c>
      <c r="B844" t="s">
        <v>53</v>
      </c>
      <c r="C844" t="s">
        <v>36</v>
      </c>
      <c r="D844" t="s">
        <v>154</v>
      </c>
      <c r="E844">
        <v>0.1883750452665103</v>
      </c>
      <c r="F844" t="s">
        <v>151</v>
      </c>
      <c r="G844">
        <v>0.1883750452665103</v>
      </c>
    </row>
    <row r="845" spans="1:7" x14ac:dyDescent="0.25">
      <c r="A845" t="s">
        <v>159</v>
      </c>
      <c r="B845" t="s">
        <v>53</v>
      </c>
      <c r="C845" t="s">
        <v>37</v>
      </c>
      <c r="D845" t="s">
        <v>154</v>
      </c>
      <c r="E845">
        <v>0.22286512267581851</v>
      </c>
      <c r="F845" t="s">
        <v>151</v>
      </c>
      <c r="G845">
        <v>0.22286512267581851</v>
      </c>
    </row>
    <row r="846" spans="1:7" x14ac:dyDescent="0.25">
      <c r="A846" t="s">
        <v>159</v>
      </c>
      <c r="B846" t="s">
        <v>53</v>
      </c>
      <c r="C846" t="s">
        <v>38</v>
      </c>
      <c r="D846" t="s">
        <v>154</v>
      </c>
      <c r="E846">
        <v>8.8081621024484816E-2</v>
      </c>
      <c r="F846" t="s">
        <v>151</v>
      </c>
      <c r="G846">
        <v>8.8081621024484816E-2</v>
      </c>
    </row>
    <row r="847" spans="1:7" x14ac:dyDescent="0.25">
      <c r="A847" t="s">
        <v>159</v>
      </c>
      <c r="B847" t="s">
        <v>53</v>
      </c>
      <c r="C847" t="s">
        <v>45</v>
      </c>
      <c r="D847" t="s">
        <v>155</v>
      </c>
      <c r="E847">
        <v>1</v>
      </c>
      <c r="F847" t="s">
        <v>156</v>
      </c>
      <c r="G847">
        <v>0.72982194479141249</v>
      </c>
    </row>
    <row r="848" spans="1:7" x14ac:dyDescent="0.25">
      <c r="A848" t="s">
        <v>159</v>
      </c>
      <c r="B848" t="s">
        <v>53</v>
      </c>
      <c r="C848" t="s">
        <v>46</v>
      </c>
      <c r="D848" t="s">
        <v>155</v>
      </c>
      <c r="E848">
        <v>0</v>
      </c>
      <c r="F848" t="s">
        <v>156</v>
      </c>
      <c r="G848">
        <v>0.27017805520858751</v>
      </c>
    </row>
    <row r="849" spans="1:7" x14ac:dyDescent="0.25">
      <c r="A849" t="s">
        <v>159</v>
      </c>
      <c r="B849" t="s">
        <v>53</v>
      </c>
      <c r="C849" t="s">
        <v>50</v>
      </c>
      <c r="D849" t="s">
        <v>157</v>
      </c>
      <c r="E849">
        <v>0.42162495143522749</v>
      </c>
      <c r="F849" t="s">
        <v>151</v>
      </c>
      <c r="G849">
        <v>0.42162495143522749</v>
      </c>
    </row>
    <row r="850" spans="1:7" x14ac:dyDescent="0.25">
      <c r="A850" t="s">
        <v>159</v>
      </c>
      <c r="B850" t="s">
        <v>53</v>
      </c>
      <c r="C850" t="s">
        <v>51</v>
      </c>
      <c r="D850" t="s">
        <v>157</v>
      </c>
      <c r="E850">
        <v>0.57837504856477251</v>
      </c>
      <c r="F850" t="s">
        <v>151</v>
      </c>
      <c r="G850">
        <v>0.57837504856477251</v>
      </c>
    </row>
    <row r="851" spans="1:7" x14ac:dyDescent="0.25">
      <c r="A851" t="s">
        <v>159</v>
      </c>
      <c r="B851" t="s">
        <v>70</v>
      </c>
      <c r="C851" t="s">
        <v>1</v>
      </c>
      <c r="D851" t="s">
        <v>150</v>
      </c>
      <c r="E851">
        <v>0.94299868264323294</v>
      </c>
      <c r="F851" t="s">
        <v>151</v>
      </c>
      <c r="G851">
        <v>0.94299868264323294</v>
      </c>
    </row>
    <row r="852" spans="1:7" x14ac:dyDescent="0.25">
      <c r="A852" t="s">
        <v>159</v>
      </c>
      <c r="B852" t="s">
        <v>70</v>
      </c>
      <c r="C852" t="s">
        <v>2</v>
      </c>
      <c r="D852" t="s">
        <v>150</v>
      </c>
      <c r="E852">
        <v>4.1765731369656618E-2</v>
      </c>
      <c r="F852" t="s">
        <v>151</v>
      </c>
      <c r="G852">
        <v>4.1765731369656618E-2</v>
      </c>
    </row>
    <row r="853" spans="1:7" x14ac:dyDescent="0.25">
      <c r="A853" t="s">
        <v>159</v>
      </c>
      <c r="B853" t="s">
        <v>70</v>
      </c>
      <c r="C853" t="s">
        <v>3</v>
      </c>
      <c r="D853" t="s">
        <v>150</v>
      </c>
      <c r="E853">
        <v>1.523558598711041E-2</v>
      </c>
      <c r="F853" t="s">
        <v>151</v>
      </c>
      <c r="G853">
        <v>1.523558598711041E-2</v>
      </c>
    </row>
    <row r="854" spans="1:7" x14ac:dyDescent="0.25">
      <c r="A854" t="s">
        <v>159</v>
      </c>
      <c r="B854" t="s">
        <v>70</v>
      </c>
      <c r="C854" t="s">
        <v>6</v>
      </c>
      <c r="D854" t="s">
        <v>152</v>
      </c>
      <c r="E854">
        <v>0.43273688361237522</v>
      </c>
      <c r="F854" t="s">
        <v>151</v>
      </c>
      <c r="G854">
        <v>0.43273688361237522</v>
      </c>
    </row>
    <row r="855" spans="1:7" x14ac:dyDescent="0.25">
      <c r="A855" t="s">
        <v>159</v>
      </c>
      <c r="B855" t="s">
        <v>70</v>
      </c>
      <c r="C855" t="s">
        <v>7</v>
      </c>
      <c r="D855" t="s">
        <v>152</v>
      </c>
      <c r="E855">
        <v>0.56726311638762483</v>
      </c>
      <c r="F855" t="s">
        <v>151</v>
      </c>
      <c r="G855">
        <v>0.56726311638762483</v>
      </c>
    </row>
    <row r="856" spans="1:7" x14ac:dyDescent="0.25">
      <c r="A856" t="s">
        <v>159</v>
      </c>
      <c r="B856" t="s">
        <v>70</v>
      </c>
      <c r="C856" t="s">
        <v>26</v>
      </c>
      <c r="D856" t="s">
        <v>153</v>
      </c>
      <c r="E856">
        <v>0.1171368722490322</v>
      </c>
      <c r="F856" t="s">
        <v>151</v>
      </c>
      <c r="G856">
        <v>0.1171368722490322</v>
      </c>
    </row>
    <row r="857" spans="1:7" x14ac:dyDescent="0.25">
      <c r="A857" t="s">
        <v>159</v>
      </c>
      <c r="B857" t="s">
        <v>70</v>
      </c>
      <c r="C857" t="s">
        <v>27</v>
      </c>
      <c r="D857" t="s">
        <v>153</v>
      </c>
      <c r="E857">
        <v>0.88286312775096776</v>
      </c>
      <c r="F857" t="s">
        <v>151</v>
      </c>
      <c r="G857">
        <v>0.88286312775096776</v>
      </c>
    </row>
    <row r="858" spans="1:7" x14ac:dyDescent="0.25">
      <c r="A858" t="s">
        <v>159</v>
      </c>
      <c r="B858" t="s">
        <v>70</v>
      </c>
      <c r="C858" t="s">
        <v>34</v>
      </c>
      <c r="D858" t="s">
        <v>154</v>
      </c>
      <c r="E858">
        <v>0.45630816353267001</v>
      </c>
      <c r="F858" t="s">
        <v>151</v>
      </c>
      <c r="G858">
        <v>0.45630816353267001</v>
      </c>
    </row>
    <row r="859" spans="1:7" x14ac:dyDescent="0.25">
      <c r="A859" t="s">
        <v>159</v>
      </c>
      <c r="B859" t="s">
        <v>70</v>
      </c>
      <c r="C859" t="s">
        <v>35</v>
      </c>
      <c r="D859" t="s">
        <v>154</v>
      </c>
      <c r="E859">
        <v>4.4370047500516312E-2</v>
      </c>
      <c r="F859" t="s">
        <v>151</v>
      </c>
      <c r="G859">
        <v>4.4370047500516312E-2</v>
      </c>
    </row>
    <row r="860" spans="1:7" x14ac:dyDescent="0.25">
      <c r="A860" t="s">
        <v>159</v>
      </c>
      <c r="B860" t="s">
        <v>70</v>
      </c>
      <c r="C860" t="s">
        <v>36</v>
      </c>
      <c r="D860" t="s">
        <v>154</v>
      </c>
      <c r="E860">
        <v>0.1883750452665103</v>
      </c>
      <c r="F860" t="s">
        <v>151</v>
      </c>
      <c r="G860">
        <v>0.1883750452665103</v>
      </c>
    </row>
    <row r="861" spans="1:7" x14ac:dyDescent="0.25">
      <c r="A861" t="s">
        <v>159</v>
      </c>
      <c r="B861" t="s">
        <v>70</v>
      </c>
      <c r="C861" t="s">
        <v>37</v>
      </c>
      <c r="D861" t="s">
        <v>154</v>
      </c>
      <c r="E861">
        <v>0.22286512267581851</v>
      </c>
      <c r="F861" t="s">
        <v>151</v>
      </c>
      <c r="G861">
        <v>0.22286512267581851</v>
      </c>
    </row>
    <row r="862" spans="1:7" x14ac:dyDescent="0.25">
      <c r="A862" t="s">
        <v>159</v>
      </c>
      <c r="B862" t="s">
        <v>70</v>
      </c>
      <c r="C862" t="s">
        <v>38</v>
      </c>
      <c r="D862" t="s">
        <v>154</v>
      </c>
      <c r="E862">
        <v>8.8081621024484816E-2</v>
      </c>
      <c r="F862" t="s">
        <v>151</v>
      </c>
      <c r="G862">
        <v>8.8081621024484816E-2</v>
      </c>
    </row>
    <row r="863" spans="1:7" x14ac:dyDescent="0.25">
      <c r="A863" t="s">
        <v>159</v>
      </c>
      <c r="B863" t="s">
        <v>70</v>
      </c>
      <c r="C863" t="s">
        <v>45</v>
      </c>
      <c r="D863" t="s">
        <v>155</v>
      </c>
      <c r="E863">
        <v>1</v>
      </c>
      <c r="F863" t="s">
        <v>156</v>
      </c>
      <c r="G863">
        <v>0.72982194479141249</v>
      </c>
    </row>
    <row r="864" spans="1:7" x14ac:dyDescent="0.25">
      <c r="A864" t="s">
        <v>159</v>
      </c>
      <c r="B864" t="s">
        <v>70</v>
      </c>
      <c r="C864" t="s">
        <v>46</v>
      </c>
      <c r="D864" t="s">
        <v>155</v>
      </c>
      <c r="E864">
        <v>0</v>
      </c>
      <c r="F864" t="s">
        <v>156</v>
      </c>
      <c r="G864">
        <v>0.27017805520858751</v>
      </c>
    </row>
    <row r="865" spans="1:7" x14ac:dyDescent="0.25">
      <c r="A865" t="s">
        <v>159</v>
      </c>
      <c r="B865" t="s">
        <v>70</v>
      </c>
      <c r="C865" t="s">
        <v>50</v>
      </c>
      <c r="D865" t="s">
        <v>157</v>
      </c>
      <c r="E865">
        <v>0.42162495143522749</v>
      </c>
      <c r="F865" t="s">
        <v>151</v>
      </c>
      <c r="G865">
        <v>0.42162495143522749</v>
      </c>
    </row>
    <row r="866" spans="1:7" x14ac:dyDescent="0.25">
      <c r="A866" t="s">
        <v>159</v>
      </c>
      <c r="B866" t="s">
        <v>70</v>
      </c>
      <c r="C866" t="s">
        <v>51</v>
      </c>
      <c r="D866" t="s">
        <v>157</v>
      </c>
      <c r="E866">
        <v>0.57837504856477251</v>
      </c>
      <c r="F866" t="s">
        <v>151</v>
      </c>
      <c r="G866">
        <v>0.57837504856477251</v>
      </c>
    </row>
    <row r="867" spans="1:7" x14ac:dyDescent="0.25">
      <c r="A867" t="s">
        <v>159</v>
      </c>
      <c r="B867" t="s">
        <v>68</v>
      </c>
      <c r="C867" t="s">
        <v>1</v>
      </c>
      <c r="D867" t="s">
        <v>150</v>
      </c>
      <c r="E867">
        <v>0.94299868264323294</v>
      </c>
      <c r="F867" t="s">
        <v>151</v>
      </c>
      <c r="G867">
        <v>0.94299868264323294</v>
      </c>
    </row>
    <row r="868" spans="1:7" x14ac:dyDescent="0.25">
      <c r="A868" t="s">
        <v>159</v>
      </c>
      <c r="B868" t="s">
        <v>68</v>
      </c>
      <c r="C868" t="s">
        <v>2</v>
      </c>
      <c r="D868" t="s">
        <v>150</v>
      </c>
      <c r="E868">
        <v>4.1765731369656618E-2</v>
      </c>
      <c r="F868" t="s">
        <v>151</v>
      </c>
      <c r="G868">
        <v>4.1765731369656618E-2</v>
      </c>
    </row>
    <row r="869" spans="1:7" x14ac:dyDescent="0.25">
      <c r="A869" t="s">
        <v>159</v>
      </c>
      <c r="B869" t="s">
        <v>68</v>
      </c>
      <c r="C869" t="s">
        <v>3</v>
      </c>
      <c r="D869" t="s">
        <v>150</v>
      </c>
      <c r="E869">
        <v>1.523558598711041E-2</v>
      </c>
      <c r="F869" t="s">
        <v>151</v>
      </c>
      <c r="G869">
        <v>1.523558598711041E-2</v>
      </c>
    </row>
    <row r="870" spans="1:7" x14ac:dyDescent="0.25">
      <c r="A870" t="s">
        <v>159</v>
      </c>
      <c r="B870" t="s">
        <v>68</v>
      </c>
      <c r="C870" t="s">
        <v>6</v>
      </c>
      <c r="D870" t="s">
        <v>152</v>
      </c>
      <c r="E870">
        <v>0.43273688361237522</v>
      </c>
      <c r="F870" t="s">
        <v>151</v>
      </c>
      <c r="G870">
        <v>0.43273688361237522</v>
      </c>
    </row>
    <row r="871" spans="1:7" x14ac:dyDescent="0.25">
      <c r="A871" t="s">
        <v>159</v>
      </c>
      <c r="B871" t="s">
        <v>68</v>
      </c>
      <c r="C871" t="s">
        <v>7</v>
      </c>
      <c r="D871" t="s">
        <v>152</v>
      </c>
      <c r="E871">
        <v>0.56726311638762483</v>
      </c>
      <c r="F871" t="s">
        <v>151</v>
      </c>
      <c r="G871">
        <v>0.56726311638762483</v>
      </c>
    </row>
    <row r="872" spans="1:7" x14ac:dyDescent="0.25">
      <c r="A872" t="s">
        <v>159</v>
      </c>
      <c r="B872" t="s">
        <v>68</v>
      </c>
      <c r="C872" t="s">
        <v>26</v>
      </c>
      <c r="D872" t="s">
        <v>153</v>
      </c>
      <c r="E872">
        <v>0.1171368722490322</v>
      </c>
      <c r="F872" t="s">
        <v>151</v>
      </c>
      <c r="G872">
        <v>0.1171368722490322</v>
      </c>
    </row>
    <row r="873" spans="1:7" x14ac:dyDescent="0.25">
      <c r="A873" t="s">
        <v>159</v>
      </c>
      <c r="B873" t="s">
        <v>68</v>
      </c>
      <c r="C873" t="s">
        <v>27</v>
      </c>
      <c r="D873" t="s">
        <v>153</v>
      </c>
      <c r="E873">
        <v>0.88286312775096776</v>
      </c>
      <c r="F873" t="s">
        <v>151</v>
      </c>
      <c r="G873">
        <v>0.88286312775096776</v>
      </c>
    </row>
    <row r="874" spans="1:7" x14ac:dyDescent="0.25">
      <c r="A874" t="s">
        <v>159</v>
      </c>
      <c r="B874" t="s">
        <v>68</v>
      </c>
      <c r="C874" t="s">
        <v>34</v>
      </c>
      <c r="D874" t="s">
        <v>154</v>
      </c>
      <c r="E874">
        <v>0.45630816353267001</v>
      </c>
      <c r="F874" t="s">
        <v>151</v>
      </c>
      <c r="G874">
        <v>0.45630816353267001</v>
      </c>
    </row>
    <row r="875" spans="1:7" x14ac:dyDescent="0.25">
      <c r="A875" t="s">
        <v>159</v>
      </c>
      <c r="B875" t="s">
        <v>68</v>
      </c>
      <c r="C875" t="s">
        <v>35</v>
      </c>
      <c r="D875" t="s">
        <v>154</v>
      </c>
      <c r="E875">
        <v>4.4370047500516312E-2</v>
      </c>
      <c r="F875" t="s">
        <v>151</v>
      </c>
      <c r="G875">
        <v>4.4370047500516312E-2</v>
      </c>
    </row>
    <row r="876" spans="1:7" x14ac:dyDescent="0.25">
      <c r="A876" t="s">
        <v>159</v>
      </c>
      <c r="B876" t="s">
        <v>68</v>
      </c>
      <c r="C876" t="s">
        <v>36</v>
      </c>
      <c r="D876" t="s">
        <v>154</v>
      </c>
      <c r="E876">
        <v>0.1883750452665103</v>
      </c>
      <c r="F876" t="s">
        <v>151</v>
      </c>
      <c r="G876">
        <v>0.1883750452665103</v>
      </c>
    </row>
    <row r="877" spans="1:7" x14ac:dyDescent="0.25">
      <c r="A877" t="s">
        <v>159</v>
      </c>
      <c r="B877" t="s">
        <v>68</v>
      </c>
      <c r="C877" t="s">
        <v>37</v>
      </c>
      <c r="D877" t="s">
        <v>154</v>
      </c>
      <c r="E877">
        <v>0.22286512267581851</v>
      </c>
      <c r="F877" t="s">
        <v>151</v>
      </c>
      <c r="G877">
        <v>0.22286512267581851</v>
      </c>
    </row>
    <row r="878" spans="1:7" x14ac:dyDescent="0.25">
      <c r="A878" t="s">
        <v>159</v>
      </c>
      <c r="B878" t="s">
        <v>68</v>
      </c>
      <c r="C878" t="s">
        <v>38</v>
      </c>
      <c r="D878" t="s">
        <v>154</v>
      </c>
      <c r="E878">
        <v>8.8081621024484816E-2</v>
      </c>
      <c r="F878" t="s">
        <v>151</v>
      </c>
      <c r="G878">
        <v>8.8081621024484816E-2</v>
      </c>
    </row>
    <row r="879" spans="1:7" x14ac:dyDescent="0.25">
      <c r="A879" t="s">
        <v>159</v>
      </c>
      <c r="B879" t="s">
        <v>68</v>
      </c>
      <c r="C879" t="s">
        <v>45</v>
      </c>
      <c r="D879" t="s">
        <v>155</v>
      </c>
      <c r="E879">
        <v>1</v>
      </c>
      <c r="F879" t="s">
        <v>156</v>
      </c>
      <c r="G879">
        <v>0.72982194479141249</v>
      </c>
    </row>
    <row r="880" spans="1:7" x14ac:dyDescent="0.25">
      <c r="A880" t="s">
        <v>159</v>
      </c>
      <c r="B880" t="s">
        <v>68</v>
      </c>
      <c r="C880" t="s">
        <v>46</v>
      </c>
      <c r="D880" t="s">
        <v>155</v>
      </c>
      <c r="E880">
        <v>0</v>
      </c>
      <c r="F880" t="s">
        <v>156</v>
      </c>
      <c r="G880">
        <v>0.27017805520858751</v>
      </c>
    </row>
    <row r="881" spans="1:7" x14ac:dyDescent="0.25">
      <c r="A881" t="s">
        <v>159</v>
      </c>
      <c r="B881" t="s">
        <v>68</v>
      </c>
      <c r="C881" t="s">
        <v>50</v>
      </c>
      <c r="D881" t="s">
        <v>157</v>
      </c>
      <c r="E881">
        <v>0.42162495143522749</v>
      </c>
      <c r="F881" t="s">
        <v>151</v>
      </c>
      <c r="G881">
        <v>0.42162495143522749</v>
      </c>
    </row>
    <row r="882" spans="1:7" x14ac:dyDescent="0.25">
      <c r="A882" t="s">
        <v>159</v>
      </c>
      <c r="B882" t="s">
        <v>68</v>
      </c>
      <c r="C882" t="s">
        <v>51</v>
      </c>
      <c r="D882" t="s">
        <v>157</v>
      </c>
      <c r="E882">
        <v>0.57837504856477251</v>
      </c>
      <c r="F882" t="s">
        <v>151</v>
      </c>
      <c r="G882">
        <v>0.57837504856477251</v>
      </c>
    </row>
    <row r="883" spans="1:7" x14ac:dyDescent="0.25">
      <c r="A883" t="s">
        <v>159</v>
      </c>
      <c r="B883" t="s">
        <v>57</v>
      </c>
      <c r="C883" t="s">
        <v>1</v>
      </c>
      <c r="D883" t="s">
        <v>150</v>
      </c>
      <c r="E883">
        <v>0.94299868264323294</v>
      </c>
      <c r="F883" t="s">
        <v>151</v>
      </c>
      <c r="G883">
        <v>0.94299868264323294</v>
      </c>
    </row>
    <row r="884" spans="1:7" x14ac:dyDescent="0.25">
      <c r="A884" t="s">
        <v>159</v>
      </c>
      <c r="B884" t="s">
        <v>57</v>
      </c>
      <c r="C884" t="s">
        <v>2</v>
      </c>
      <c r="D884" t="s">
        <v>150</v>
      </c>
      <c r="E884">
        <v>4.1765731369656618E-2</v>
      </c>
      <c r="F884" t="s">
        <v>151</v>
      </c>
      <c r="G884">
        <v>4.1765731369656618E-2</v>
      </c>
    </row>
    <row r="885" spans="1:7" x14ac:dyDescent="0.25">
      <c r="A885" t="s">
        <v>159</v>
      </c>
      <c r="B885" t="s">
        <v>57</v>
      </c>
      <c r="C885" t="s">
        <v>3</v>
      </c>
      <c r="D885" t="s">
        <v>150</v>
      </c>
      <c r="E885">
        <v>1.523558598711041E-2</v>
      </c>
      <c r="F885" t="s">
        <v>151</v>
      </c>
      <c r="G885">
        <v>1.523558598711041E-2</v>
      </c>
    </row>
    <row r="886" spans="1:7" x14ac:dyDescent="0.25">
      <c r="A886" t="s">
        <v>159</v>
      </c>
      <c r="B886" t="s">
        <v>57</v>
      </c>
      <c r="C886" t="s">
        <v>6</v>
      </c>
      <c r="D886" t="s">
        <v>152</v>
      </c>
      <c r="E886">
        <v>0.43273688361237522</v>
      </c>
      <c r="F886" t="s">
        <v>151</v>
      </c>
      <c r="G886">
        <v>0.43273688361237522</v>
      </c>
    </row>
    <row r="887" spans="1:7" x14ac:dyDescent="0.25">
      <c r="A887" t="s">
        <v>159</v>
      </c>
      <c r="B887" t="s">
        <v>57</v>
      </c>
      <c r="C887" t="s">
        <v>7</v>
      </c>
      <c r="D887" t="s">
        <v>152</v>
      </c>
      <c r="E887">
        <v>0.56726311638762483</v>
      </c>
      <c r="F887" t="s">
        <v>151</v>
      </c>
      <c r="G887">
        <v>0.56726311638762483</v>
      </c>
    </row>
    <row r="888" spans="1:7" x14ac:dyDescent="0.25">
      <c r="A888" t="s">
        <v>159</v>
      </c>
      <c r="B888" t="s">
        <v>57</v>
      </c>
      <c r="C888" t="s">
        <v>26</v>
      </c>
      <c r="D888" t="s">
        <v>153</v>
      </c>
      <c r="E888">
        <v>0.1171368722490322</v>
      </c>
      <c r="F888" t="s">
        <v>151</v>
      </c>
      <c r="G888">
        <v>0.1171368722490322</v>
      </c>
    </row>
    <row r="889" spans="1:7" x14ac:dyDescent="0.25">
      <c r="A889" t="s">
        <v>159</v>
      </c>
      <c r="B889" t="s">
        <v>57</v>
      </c>
      <c r="C889" t="s">
        <v>27</v>
      </c>
      <c r="D889" t="s">
        <v>153</v>
      </c>
      <c r="E889">
        <v>0.88286312775096776</v>
      </c>
      <c r="F889" t="s">
        <v>151</v>
      </c>
      <c r="G889">
        <v>0.88286312775096776</v>
      </c>
    </row>
    <row r="890" spans="1:7" x14ac:dyDescent="0.25">
      <c r="A890" t="s">
        <v>159</v>
      </c>
      <c r="B890" t="s">
        <v>57</v>
      </c>
      <c r="C890" t="s">
        <v>34</v>
      </c>
      <c r="D890" t="s">
        <v>154</v>
      </c>
      <c r="E890">
        <v>0.45630816353267001</v>
      </c>
      <c r="F890" t="s">
        <v>151</v>
      </c>
      <c r="G890">
        <v>0.45630816353267001</v>
      </c>
    </row>
    <row r="891" spans="1:7" x14ac:dyDescent="0.25">
      <c r="A891" t="s">
        <v>159</v>
      </c>
      <c r="B891" t="s">
        <v>57</v>
      </c>
      <c r="C891" t="s">
        <v>35</v>
      </c>
      <c r="D891" t="s">
        <v>154</v>
      </c>
      <c r="E891">
        <v>4.4370047500516312E-2</v>
      </c>
      <c r="F891" t="s">
        <v>151</v>
      </c>
      <c r="G891">
        <v>4.4370047500516312E-2</v>
      </c>
    </row>
    <row r="892" spans="1:7" x14ac:dyDescent="0.25">
      <c r="A892" t="s">
        <v>159</v>
      </c>
      <c r="B892" t="s">
        <v>57</v>
      </c>
      <c r="C892" t="s">
        <v>36</v>
      </c>
      <c r="D892" t="s">
        <v>154</v>
      </c>
      <c r="E892">
        <v>0.1883750452665103</v>
      </c>
      <c r="F892" t="s">
        <v>151</v>
      </c>
      <c r="G892">
        <v>0.1883750452665103</v>
      </c>
    </row>
    <row r="893" spans="1:7" x14ac:dyDescent="0.25">
      <c r="A893" t="s">
        <v>159</v>
      </c>
      <c r="B893" t="s">
        <v>57</v>
      </c>
      <c r="C893" t="s">
        <v>37</v>
      </c>
      <c r="D893" t="s">
        <v>154</v>
      </c>
      <c r="E893">
        <v>0.22286512267581851</v>
      </c>
      <c r="F893" t="s">
        <v>151</v>
      </c>
      <c r="G893">
        <v>0.22286512267581851</v>
      </c>
    </row>
    <row r="894" spans="1:7" x14ac:dyDescent="0.25">
      <c r="A894" t="s">
        <v>159</v>
      </c>
      <c r="B894" t="s">
        <v>57</v>
      </c>
      <c r="C894" t="s">
        <v>38</v>
      </c>
      <c r="D894" t="s">
        <v>154</v>
      </c>
      <c r="E894">
        <v>8.8081621024484816E-2</v>
      </c>
      <c r="F894" t="s">
        <v>151</v>
      </c>
      <c r="G894">
        <v>8.8081621024484816E-2</v>
      </c>
    </row>
    <row r="895" spans="1:7" x14ac:dyDescent="0.25">
      <c r="A895" t="s">
        <v>159</v>
      </c>
      <c r="B895" t="s">
        <v>57</v>
      </c>
      <c r="C895" t="s">
        <v>45</v>
      </c>
      <c r="D895" t="s">
        <v>155</v>
      </c>
      <c r="E895">
        <v>1</v>
      </c>
      <c r="F895" t="s">
        <v>156</v>
      </c>
      <c r="G895">
        <v>0.72982194479141249</v>
      </c>
    </row>
    <row r="896" spans="1:7" x14ac:dyDescent="0.25">
      <c r="A896" t="s">
        <v>159</v>
      </c>
      <c r="B896" t="s">
        <v>57</v>
      </c>
      <c r="C896" t="s">
        <v>46</v>
      </c>
      <c r="D896" t="s">
        <v>155</v>
      </c>
      <c r="E896">
        <v>0</v>
      </c>
      <c r="F896" t="s">
        <v>156</v>
      </c>
      <c r="G896">
        <v>0.27017805520858751</v>
      </c>
    </row>
    <row r="897" spans="1:7" x14ac:dyDescent="0.25">
      <c r="A897" t="s">
        <v>159</v>
      </c>
      <c r="B897" t="s">
        <v>57</v>
      </c>
      <c r="C897" t="s">
        <v>50</v>
      </c>
      <c r="D897" t="s">
        <v>157</v>
      </c>
      <c r="E897">
        <v>0.42162495143522749</v>
      </c>
      <c r="F897" t="s">
        <v>151</v>
      </c>
      <c r="G897">
        <v>0.42162495143522749</v>
      </c>
    </row>
    <row r="898" spans="1:7" x14ac:dyDescent="0.25">
      <c r="A898" t="s">
        <v>159</v>
      </c>
      <c r="B898" t="s">
        <v>57</v>
      </c>
      <c r="C898" t="s">
        <v>51</v>
      </c>
      <c r="D898" t="s">
        <v>157</v>
      </c>
      <c r="E898">
        <v>0.57837504856477251</v>
      </c>
      <c r="F898" t="s">
        <v>151</v>
      </c>
      <c r="G898">
        <v>0.57837504856477251</v>
      </c>
    </row>
    <row r="899" spans="1:7" x14ac:dyDescent="0.25">
      <c r="A899" t="s">
        <v>159</v>
      </c>
      <c r="B899" t="s">
        <v>76</v>
      </c>
      <c r="C899" t="s">
        <v>1</v>
      </c>
      <c r="D899" t="s">
        <v>150</v>
      </c>
      <c r="E899">
        <v>0.94299868264323294</v>
      </c>
      <c r="F899" t="s">
        <v>151</v>
      </c>
      <c r="G899">
        <v>0.94299868264323294</v>
      </c>
    </row>
    <row r="900" spans="1:7" x14ac:dyDescent="0.25">
      <c r="A900" t="s">
        <v>159</v>
      </c>
      <c r="B900" t="s">
        <v>76</v>
      </c>
      <c r="C900" t="s">
        <v>2</v>
      </c>
      <c r="D900" t="s">
        <v>150</v>
      </c>
      <c r="E900">
        <v>4.1765731369656618E-2</v>
      </c>
      <c r="F900" t="s">
        <v>151</v>
      </c>
      <c r="G900">
        <v>4.1765731369656618E-2</v>
      </c>
    </row>
    <row r="901" spans="1:7" x14ac:dyDescent="0.25">
      <c r="A901" t="s">
        <v>159</v>
      </c>
      <c r="B901" t="s">
        <v>76</v>
      </c>
      <c r="C901" t="s">
        <v>3</v>
      </c>
      <c r="D901" t="s">
        <v>150</v>
      </c>
      <c r="E901">
        <v>1.523558598711041E-2</v>
      </c>
      <c r="F901" t="s">
        <v>151</v>
      </c>
      <c r="G901">
        <v>1.523558598711041E-2</v>
      </c>
    </row>
    <row r="902" spans="1:7" x14ac:dyDescent="0.25">
      <c r="A902" t="s">
        <v>159</v>
      </c>
      <c r="B902" t="s">
        <v>76</v>
      </c>
      <c r="C902" t="s">
        <v>6</v>
      </c>
      <c r="D902" t="s">
        <v>152</v>
      </c>
      <c r="E902">
        <v>0.43273688361237522</v>
      </c>
      <c r="F902" t="s">
        <v>151</v>
      </c>
      <c r="G902">
        <v>0.43273688361237522</v>
      </c>
    </row>
    <row r="903" spans="1:7" x14ac:dyDescent="0.25">
      <c r="A903" t="s">
        <v>159</v>
      </c>
      <c r="B903" t="s">
        <v>76</v>
      </c>
      <c r="C903" t="s">
        <v>7</v>
      </c>
      <c r="D903" t="s">
        <v>152</v>
      </c>
      <c r="E903">
        <v>0.56726311638762483</v>
      </c>
      <c r="F903" t="s">
        <v>151</v>
      </c>
      <c r="G903">
        <v>0.56726311638762483</v>
      </c>
    </row>
    <row r="904" spans="1:7" x14ac:dyDescent="0.25">
      <c r="A904" t="s">
        <v>159</v>
      </c>
      <c r="B904" t="s">
        <v>76</v>
      </c>
      <c r="C904" t="s">
        <v>26</v>
      </c>
      <c r="D904" t="s">
        <v>153</v>
      </c>
      <c r="E904">
        <v>0.1171368722490322</v>
      </c>
      <c r="F904" t="s">
        <v>151</v>
      </c>
      <c r="G904">
        <v>0.1171368722490322</v>
      </c>
    </row>
    <row r="905" spans="1:7" x14ac:dyDescent="0.25">
      <c r="A905" t="s">
        <v>159</v>
      </c>
      <c r="B905" t="s">
        <v>76</v>
      </c>
      <c r="C905" t="s">
        <v>27</v>
      </c>
      <c r="D905" t="s">
        <v>153</v>
      </c>
      <c r="E905">
        <v>0.88286312775096776</v>
      </c>
      <c r="F905" t="s">
        <v>151</v>
      </c>
      <c r="G905">
        <v>0.88286312775096776</v>
      </c>
    </row>
    <row r="906" spans="1:7" x14ac:dyDescent="0.25">
      <c r="A906" t="s">
        <v>159</v>
      </c>
      <c r="B906" t="s">
        <v>76</v>
      </c>
      <c r="C906" t="s">
        <v>34</v>
      </c>
      <c r="D906" t="s">
        <v>154</v>
      </c>
      <c r="E906">
        <v>0.45630816353267001</v>
      </c>
      <c r="F906" t="s">
        <v>151</v>
      </c>
      <c r="G906">
        <v>0.45630816353267001</v>
      </c>
    </row>
    <row r="907" spans="1:7" x14ac:dyDescent="0.25">
      <c r="A907" t="s">
        <v>159</v>
      </c>
      <c r="B907" t="s">
        <v>76</v>
      </c>
      <c r="C907" t="s">
        <v>35</v>
      </c>
      <c r="D907" t="s">
        <v>154</v>
      </c>
      <c r="E907">
        <v>4.4370047500516312E-2</v>
      </c>
      <c r="F907" t="s">
        <v>151</v>
      </c>
      <c r="G907">
        <v>4.4370047500516312E-2</v>
      </c>
    </row>
    <row r="908" spans="1:7" x14ac:dyDescent="0.25">
      <c r="A908" t="s">
        <v>159</v>
      </c>
      <c r="B908" t="s">
        <v>76</v>
      </c>
      <c r="C908" t="s">
        <v>36</v>
      </c>
      <c r="D908" t="s">
        <v>154</v>
      </c>
      <c r="E908">
        <v>0.1883750452665103</v>
      </c>
      <c r="F908" t="s">
        <v>151</v>
      </c>
      <c r="G908">
        <v>0.1883750452665103</v>
      </c>
    </row>
    <row r="909" spans="1:7" x14ac:dyDescent="0.25">
      <c r="A909" t="s">
        <v>159</v>
      </c>
      <c r="B909" t="s">
        <v>76</v>
      </c>
      <c r="C909" t="s">
        <v>37</v>
      </c>
      <c r="D909" t="s">
        <v>154</v>
      </c>
      <c r="E909">
        <v>0.22286512267581851</v>
      </c>
      <c r="F909" t="s">
        <v>151</v>
      </c>
      <c r="G909">
        <v>0.22286512267581851</v>
      </c>
    </row>
    <row r="910" spans="1:7" x14ac:dyDescent="0.25">
      <c r="A910" t="s">
        <v>159</v>
      </c>
      <c r="B910" t="s">
        <v>76</v>
      </c>
      <c r="C910" t="s">
        <v>38</v>
      </c>
      <c r="D910" t="s">
        <v>154</v>
      </c>
      <c r="E910">
        <v>8.8081621024484816E-2</v>
      </c>
      <c r="F910" t="s">
        <v>151</v>
      </c>
      <c r="G910">
        <v>8.8081621024484816E-2</v>
      </c>
    </row>
    <row r="911" spans="1:7" x14ac:dyDescent="0.25">
      <c r="A911" t="s">
        <v>159</v>
      </c>
      <c r="B911" t="s">
        <v>76</v>
      </c>
      <c r="C911" t="s">
        <v>45</v>
      </c>
      <c r="D911" t="s">
        <v>155</v>
      </c>
      <c r="E911">
        <v>1</v>
      </c>
      <c r="F911" t="s">
        <v>156</v>
      </c>
      <c r="G911">
        <v>0.72982194479141249</v>
      </c>
    </row>
    <row r="912" spans="1:7" x14ac:dyDescent="0.25">
      <c r="A912" t="s">
        <v>159</v>
      </c>
      <c r="B912" t="s">
        <v>76</v>
      </c>
      <c r="C912" t="s">
        <v>46</v>
      </c>
      <c r="D912" t="s">
        <v>155</v>
      </c>
      <c r="E912">
        <v>0</v>
      </c>
      <c r="F912" t="s">
        <v>156</v>
      </c>
      <c r="G912">
        <v>0.27017805520858751</v>
      </c>
    </row>
    <row r="913" spans="1:7" x14ac:dyDescent="0.25">
      <c r="A913" t="s">
        <v>159</v>
      </c>
      <c r="B913" t="s">
        <v>76</v>
      </c>
      <c r="C913" t="s">
        <v>50</v>
      </c>
      <c r="D913" t="s">
        <v>157</v>
      </c>
      <c r="E913">
        <v>0.42162495143522749</v>
      </c>
      <c r="F913" t="s">
        <v>151</v>
      </c>
      <c r="G913">
        <v>0.42162495143522749</v>
      </c>
    </row>
    <row r="914" spans="1:7" x14ac:dyDescent="0.25">
      <c r="A914" t="s">
        <v>159</v>
      </c>
      <c r="B914" t="s">
        <v>76</v>
      </c>
      <c r="C914" t="s">
        <v>51</v>
      </c>
      <c r="D914" t="s">
        <v>157</v>
      </c>
      <c r="E914">
        <v>0.57837504856477251</v>
      </c>
      <c r="F914" t="s">
        <v>151</v>
      </c>
      <c r="G914">
        <v>0.57837504856477251</v>
      </c>
    </row>
    <row r="915" spans="1:7" x14ac:dyDescent="0.25">
      <c r="A915" t="s">
        <v>159</v>
      </c>
      <c r="B915" t="s">
        <v>75</v>
      </c>
      <c r="C915" t="s">
        <v>1</v>
      </c>
      <c r="D915" t="s">
        <v>150</v>
      </c>
      <c r="E915">
        <v>0.94299868264323294</v>
      </c>
      <c r="F915" t="s">
        <v>151</v>
      </c>
      <c r="G915">
        <v>0.94299868264323294</v>
      </c>
    </row>
    <row r="916" spans="1:7" x14ac:dyDescent="0.25">
      <c r="A916" t="s">
        <v>159</v>
      </c>
      <c r="B916" t="s">
        <v>75</v>
      </c>
      <c r="C916" t="s">
        <v>2</v>
      </c>
      <c r="D916" t="s">
        <v>150</v>
      </c>
      <c r="E916">
        <v>4.1765731369656618E-2</v>
      </c>
      <c r="F916" t="s">
        <v>151</v>
      </c>
      <c r="G916">
        <v>4.1765731369656618E-2</v>
      </c>
    </row>
    <row r="917" spans="1:7" x14ac:dyDescent="0.25">
      <c r="A917" t="s">
        <v>159</v>
      </c>
      <c r="B917" t="s">
        <v>75</v>
      </c>
      <c r="C917" t="s">
        <v>3</v>
      </c>
      <c r="D917" t="s">
        <v>150</v>
      </c>
      <c r="E917">
        <v>1.523558598711041E-2</v>
      </c>
      <c r="F917" t="s">
        <v>151</v>
      </c>
      <c r="G917">
        <v>1.523558598711041E-2</v>
      </c>
    </row>
    <row r="918" spans="1:7" x14ac:dyDescent="0.25">
      <c r="A918" t="s">
        <v>159</v>
      </c>
      <c r="B918" t="s">
        <v>75</v>
      </c>
      <c r="C918" t="s">
        <v>6</v>
      </c>
      <c r="D918" t="s">
        <v>152</v>
      </c>
      <c r="E918">
        <v>0.43273688361237522</v>
      </c>
      <c r="F918" t="s">
        <v>151</v>
      </c>
      <c r="G918">
        <v>0.43273688361237522</v>
      </c>
    </row>
    <row r="919" spans="1:7" x14ac:dyDescent="0.25">
      <c r="A919" t="s">
        <v>159</v>
      </c>
      <c r="B919" t="s">
        <v>75</v>
      </c>
      <c r="C919" t="s">
        <v>7</v>
      </c>
      <c r="D919" t="s">
        <v>152</v>
      </c>
      <c r="E919">
        <v>0.56726311638762483</v>
      </c>
      <c r="F919" t="s">
        <v>151</v>
      </c>
      <c r="G919">
        <v>0.56726311638762483</v>
      </c>
    </row>
    <row r="920" spans="1:7" x14ac:dyDescent="0.25">
      <c r="A920" t="s">
        <v>159</v>
      </c>
      <c r="B920" t="s">
        <v>75</v>
      </c>
      <c r="C920" t="s">
        <v>26</v>
      </c>
      <c r="D920" t="s">
        <v>153</v>
      </c>
      <c r="E920">
        <v>0.1171368722490322</v>
      </c>
      <c r="F920" t="s">
        <v>151</v>
      </c>
      <c r="G920">
        <v>0.1171368722490322</v>
      </c>
    </row>
    <row r="921" spans="1:7" x14ac:dyDescent="0.25">
      <c r="A921" t="s">
        <v>159</v>
      </c>
      <c r="B921" t="s">
        <v>75</v>
      </c>
      <c r="C921" t="s">
        <v>27</v>
      </c>
      <c r="D921" t="s">
        <v>153</v>
      </c>
      <c r="E921">
        <v>0.88286312775096776</v>
      </c>
      <c r="F921" t="s">
        <v>151</v>
      </c>
      <c r="G921">
        <v>0.88286312775096776</v>
      </c>
    </row>
    <row r="922" spans="1:7" x14ac:dyDescent="0.25">
      <c r="A922" t="s">
        <v>159</v>
      </c>
      <c r="B922" t="s">
        <v>75</v>
      </c>
      <c r="C922" t="s">
        <v>34</v>
      </c>
      <c r="D922" t="s">
        <v>154</v>
      </c>
      <c r="E922">
        <v>0.45630816353267001</v>
      </c>
      <c r="F922" t="s">
        <v>151</v>
      </c>
      <c r="G922">
        <v>0.45630816353267001</v>
      </c>
    </row>
    <row r="923" spans="1:7" x14ac:dyDescent="0.25">
      <c r="A923" t="s">
        <v>159</v>
      </c>
      <c r="B923" t="s">
        <v>75</v>
      </c>
      <c r="C923" t="s">
        <v>35</v>
      </c>
      <c r="D923" t="s">
        <v>154</v>
      </c>
      <c r="E923">
        <v>4.4370047500516312E-2</v>
      </c>
      <c r="F923" t="s">
        <v>151</v>
      </c>
      <c r="G923">
        <v>4.4370047500516312E-2</v>
      </c>
    </row>
    <row r="924" spans="1:7" x14ac:dyDescent="0.25">
      <c r="A924" t="s">
        <v>159</v>
      </c>
      <c r="B924" t="s">
        <v>75</v>
      </c>
      <c r="C924" t="s">
        <v>36</v>
      </c>
      <c r="D924" t="s">
        <v>154</v>
      </c>
      <c r="E924">
        <v>0.1883750452665103</v>
      </c>
      <c r="F924" t="s">
        <v>151</v>
      </c>
      <c r="G924">
        <v>0.1883750452665103</v>
      </c>
    </row>
    <row r="925" spans="1:7" x14ac:dyDescent="0.25">
      <c r="A925" t="s">
        <v>159</v>
      </c>
      <c r="B925" t="s">
        <v>75</v>
      </c>
      <c r="C925" t="s">
        <v>37</v>
      </c>
      <c r="D925" t="s">
        <v>154</v>
      </c>
      <c r="E925">
        <v>0.22286512267581851</v>
      </c>
      <c r="F925" t="s">
        <v>151</v>
      </c>
      <c r="G925">
        <v>0.22286512267581851</v>
      </c>
    </row>
    <row r="926" spans="1:7" x14ac:dyDescent="0.25">
      <c r="A926" t="s">
        <v>159</v>
      </c>
      <c r="B926" t="s">
        <v>75</v>
      </c>
      <c r="C926" t="s">
        <v>38</v>
      </c>
      <c r="D926" t="s">
        <v>154</v>
      </c>
      <c r="E926">
        <v>8.8081621024484816E-2</v>
      </c>
      <c r="F926" t="s">
        <v>151</v>
      </c>
      <c r="G926">
        <v>8.8081621024484816E-2</v>
      </c>
    </row>
    <row r="927" spans="1:7" x14ac:dyDescent="0.25">
      <c r="A927" t="s">
        <v>159</v>
      </c>
      <c r="B927" t="s">
        <v>75</v>
      </c>
      <c r="C927" t="s">
        <v>45</v>
      </c>
      <c r="D927" t="s">
        <v>155</v>
      </c>
      <c r="E927">
        <v>1</v>
      </c>
      <c r="F927" t="s">
        <v>156</v>
      </c>
      <c r="G927">
        <v>0.72982194479141249</v>
      </c>
    </row>
    <row r="928" spans="1:7" x14ac:dyDescent="0.25">
      <c r="A928" t="s">
        <v>159</v>
      </c>
      <c r="B928" t="s">
        <v>75</v>
      </c>
      <c r="C928" t="s">
        <v>46</v>
      </c>
      <c r="D928" t="s">
        <v>155</v>
      </c>
      <c r="E928">
        <v>0</v>
      </c>
      <c r="F928" t="s">
        <v>156</v>
      </c>
      <c r="G928">
        <v>0.27017805520858751</v>
      </c>
    </row>
    <row r="929" spans="1:7" x14ac:dyDescent="0.25">
      <c r="A929" t="s">
        <v>159</v>
      </c>
      <c r="B929" t="s">
        <v>75</v>
      </c>
      <c r="C929" t="s">
        <v>50</v>
      </c>
      <c r="D929" t="s">
        <v>157</v>
      </c>
      <c r="E929">
        <v>0.42162495143522749</v>
      </c>
      <c r="F929" t="s">
        <v>151</v>
      </c>
      <c r="G929">
        <v>0.42162495143522749</v>
      </c>
    </row>
    <row r="930" spans="1:7" x14ac:dyDescent="0.25">
      <c r="A930" t="s">
        <v>159</v>
      </c>
      <c r="B930" t="s">
        <v>75</v>
      </c>
      <c r="C930" t="s">
        <v>51</v>
      </c>
      <c r="D930" t="s">
        <v>157</v>
      </c>
      <c r="E930">
        <v>0.57837504856477251</v>
      </c>
      <c r="F930" t="s">
        <v>151</v>
      </c>
      <c r="G930">
        <v>0.57837504856477251</v>
      </c>
    </row>
    <row r="931" spans="1:7" x14ac:dyDescent="0.25">
      <c r="A931" t="s">
        <v>159</v>
      </c>
      <c r="B931" t="s">
        <v>65</v>
      </c>
      <c r="C931" t="s">
        <v>1</v>
      </c>
      <c r="D931" t="s">
        <v>150</v>
      </c>
      <c r="E931">
        <v>0.94299868264323294</v>
      </c>
      <c r="F931" t="s">
        <v>151</v>
      </c>
      <c r="G931">
        <v>0.94299868264323294</v>
      </c>
    </row>
    <row r="932" spans="1:7" x14ac:dyDescent="0.25">
      <c r="A932" t="s">
        <v>159</v>
      </c>
      <c r="B932" t="s">
        <v>65</v>
      </c>
      <c r="C932" t="s">
        <v>2</v>
      </c>
      <c r="D932" t="s">
        <v>150</v>
      </c>
      <c r="E932">
        <v>4.1765731369656618E-2</v>
      </c>
      <c r="F932" t="s">
        <v>151</v>
      </c>
      <c r="G932">
        <v>4.1765731369656618E-2</v>
      </c>
    </row>
    <row r="933" spans="1:7" x14ac:dyDescent="0.25">
      <c r="A933" t="s">
        <v>159</v>
      </c>
      <c r="B933" t="s">
        <v>65</v>
      </c>
      <c r="C933" t="s">
        <v>3</v>
      </c>
      <c r="D933" t="s">
        <v>150</v>
      </c>
      <c r="E933">
        <v>1.523558598711041E-2</v>
      </c>
      <c r="F933" t="s">
        <v>151</v>
      </c>
      <c r="G933">
        <v>1.523558598711041E-2</v>
      </c>
    </row>
    <row r="934" spans="1:7" x14ac:dyDescent="0.25">
      <c r="A934" t="s">
        <v>159</v>
      </c>
      <c r="B934" t="s">
        <v>65</v>
      </c>
      <c r="C934" t="s">
        <v>6</v>
      </c>
      <c r="D934" t="s">
        <v>152</v>
      </c>
      <c r="E934">
        <v>0.43273688361237522</v>
      </c>
      <c r="F934" t="s">
        <v>151</v>
      </c>
      <c r="G934">
        <v>0.43273688361237522</v>
      </c>
    </row>
    <row r="935" spans="1:7" x14ac:dyDescent="0.25">
      <c r="A935" t="s">
        <v>159</v>
      </c>
      <c r="B935" t="s">
        <v>65</v>
      </c>
      <c r="C935" t="s">
        <v>7</v>
      </c>
      <c r="D935" t="s">
        <v>152</v>
      </c>
      <c r="E935">
        <v>0.56726311638762483</v>
      </c>
      <c r="F935" t="s">
        <v>151</v>
      </c>
      <c r="G935">
        <v>0.56726311638762483</v>
      </c>
    </row>
    <row r="936" spans="1:7" x14ac:dyDescent="0.25">
      <c r="A936" t="s">
        <v>159</v>
      </c>
      <c r="B936" t="s">
        <v>65</v>
      </c>
      <c r="C936" t="s">
        <v>26</v>
      </c>
      <c r="D936" t="s">
        <v>153</v>
      </c>
      <c r="E936">
        <v>0.1171368722490322</v>
      </c>
      <c r="F936" t="s">
        <v>151</v>
      </c>
      <c r="G936">
        <v>0.1171368722490322</v>
      </c>
    </row>
    <row r="937" spans="1:7" x14ac:dyDescent="0.25">
      <c r="A937" t="s">
        <v>159</v>
      </c>
      <c r="B937" t="s">
        <v>65</v>
      </c>
      <c r="C937" t="s">
        <v>27</v>
      </c>
      <c r="D937" t="s">
        <v>153</v>
      </c>
      <c r="E937">
        <v>0.88286312775096776</v>
      </c>
      <c r="F937" t="s">
        <v>151</v>
      </c>
      <c r="G937">
        <v>0.88286312775096776</v>
      </c>
    </row>
    <row r="938" spans="1:7" x14ac:dyDescent="0.25">
      <c r="A938" t="s">
        <v>159</v>
      </c>
      <c r="B938" t="s">
        <v>65</v>
      </c>
      <c r="C938" t="s">
        <v>34</v>
      </c>
      <c r="D938" t="s">
        <v>154</v>
      </c>
      <c r="E938">
        <v>0.45630816353267001</v>
      </c>
      <c r="F938" t="s">
        <v>151</v>
      </c>
      <c r="G938">
        <v>0.45630816353267001</v>
      </c>
    </row>
    <row r="939" spans="1:7" x14ac:dyDescent="0.25">
      <c r="A939" t="s">
        <v>159</v>
      </c>
      <c r="B939" t="s">
        <v>65</v>
      </c>
      <c r="C939" t="s">
        <v>35</v>
      </c>
      <c r="D939" t="s">
        <v>154</v>
      </c>
      <c r="E939">
        <v>4.4370047500516312E-2</v>
      </c>
      <c r="F939" t="s">
        <v>151</v>
      </c>
      <c r="G939">
        <v>4.4370047500516312E-2</v>
      </c>
    </row>
    <row r="940" spans="1:7" x14ac:dyDescent="0.25">
      <c r="A940" t="s">
        <v>159</v>
      </c>
      <c r="B940" t="s">
        <v>65</v>
      </c>
      <c r="C940" t="s">
        <v>36</v>
      </c>
      <c r="D940" t="s">
        <v>154</v>
      </c>
      <c r="E940">
        <v>0.1883750452665103</v>
      </c>
      <c r="F940" t="s">
        <v>151</v>
      </c>
      <c r="G940">
        <v>0.1883750452665103</v>
      </c>
    </row>
    <row r="941" spans="1:7" x14ac:dyDescent="0.25">
      <c r="A941" t="s">
        <v>159</v>
      </c>
      <c r="B941" t="s">
        <v>65</v>
      </c>
      <c r="C941" t="s">
        <v>37</v>
      </c>
      <c r="D941" t="s">
        <v>154</v>
      </c>
      <c r="E941">
        <v>0.22286512267581851</v>
      </c>
      <c r="F941" t="s">
        <v>151</v>
      </c>
      <c r="G941">
        <v>0.22286512267581851</v>
      </c>
    </row>
    <row r="942" spans="1:7" x14ac:dyDescent="0.25">
      <c r="A942" t="s">
        <v>159</v>
      </c>
      <c r="B942" t="s">
        <v>65</v>
      </c>
      <c r="C942" t="s">
        <v>38</v>
      </c>
      <c r="D942" t="s">
        <v>154</v>
      </c>
      <c r="E942">
        <v>8.8081621024484816E-2</v>
      </c>
      <c r="F942" t="s">
        <v>151</v>
      </c>
      <c r="G942">
        <v>8.8081621024484816E-2</v>
      </c>
    </row>
    <row r="943" spans="1:7" x14ac:dyDescent="0.25">
      <c r="A943" t="s">
        <v>159</v>
      </c>
      <c r="B943" t="s">
        <v>65</v>
      </c>
      <c r="C943" t="s">
        <v>45</v>
      </c>
      <c r="D943" t="s">
        <v>155</v>
      </c>
      <c r="E943">
        <v>1</v>
      </c>
      <c r="F943" t="s">
        <v>156</v>
      </c>
      <c r="G943">
        <v>0.72982194479141249</v>
      </c>
    </row>
    <row r="944" spans="1:7" x14ac:dyDescent="0.25">
      <c r="A944" t="s">
        <v>159</v>
      </c>
      <c r="B944" t="s">
        <v>65</v>
      </c>
      <c r="C944" t="s">
        <v>46</v>
      </c>
      <c r="D944" t="s">
        <v>155</v>
      </c>
      <c r="E944">
        <v>0</v>
      </c>
      <c r="F944" t="s">
        <v>156</v>
      </c>
      <c r="G944">
        <v>0.27017805520858751</v>
      </c>
    </row>
    <row r="945" spans="1:7" x14ac:dyDescent="0.25">
      <c r="A945" t="s">
        <v>159</v>
      </c>
      <c r="B945" t="s">
        <v>65</v>
      </c>
      <c r="C945" t="s">
        <v>50</v>
      </c>
      <c r="D945" t="s">
        <v>157</v>
      </c>
      <c r="E945">
        <v>0.42162495143522749</v>
      </c>
      <c r="F945" t="s">
        <v>151</v>
      </c>
      <c r="G945">
        <v>0.42162495143522749</v>
      </c>
    </row>
    <row r="946" spans="1:7" x14ac:dyDescent="0.25">
      <c r="A946" t="s">
        <v>159</v>
      </c>
      <c r="B946" t="s">
        <v>65</v>
      </c>
      <c r="C946" t="s">
        <v>51</v>
      </c>
      <c r="D946" t="s">
        <v>157</v>
      </c>
      <c r="E946">
        <v>0.57837504856477251</v>
      </c>
      <c r="F946" t="s">
        <v>151</v>
      </c>
      <c r="G946">
        <v>0.57837504856477251</v>
      </c>
    </row>
    <row r="947" spans="1:7" x14ac:dyDescent="0.25">
      <c r="A947" t="s">
        <v>159</v>
      </c>
      <c r="B947" t="s">
        <v>73</v>
      </c>
      <c r="C947" t="s">
        <v>1</v>
      </c>
      <c r="D947" t="s">
        <v>150</v>
      </c>
      <c r="E947">
        <v>0.94299868264323294</v>
      </c>
      <c r="F947" t="s">
        <v>151</v>
      </c>
      <c r="G947">
        <v>0.94299868264323294</v>
      </c>
    </row>
    <row r="948" spans="1:7" x14ac:dyDescent="0.25">
      <c r="A948" t="s">
        <v>159</v>
      </c>
      <c r="B948" t="s">
        <v>73</v>
      </c>
      <c r="C948" t="s">
        <v>2</v>
      </c>
      <c r="D948" t="s">
        <v>150</v>
      </c>
      <c r="E948">
        <v>4.1765731369656618E-2</v>
      </c>
      <c r="F948" t="s">
        <v>151</v>
      </c>
      <c r="G948">
        <v>4.1765731369656618E-2</v>
      </c>
    </row>
    <row r="949" spans="1:7" x14ac:dyDescent="0.25">
      <c r="A949" t="s">
        <v>159</v>
      </c>
      <c r="B949" t="s">
        <v>73</v>
      </c>
      <c r="C949" t="s">
        <v>3</v>
      </c>
      <c r="D949" t="s">
        <v>150</v>
      </c>
      <c r="E949">
        <v>1.523558598711041E-2</v>
      </c>
      <c r="F949" t="s">
        <v>151</v>
      </c>
      <c r="G949">
        <v>1.523558598711041E-2</v>
      </c>
    </row>
    <row r="950" spans="1:7" x14ac:dyDescent="0.25">
      <c r="A950" t="s">
        <v>159</v>
      </c>
      <c r="B950" t="s">
        <v>73</v>
      </c>
      <c r="C950" t="s">
        <v>6</v>
      </c>
      <c r="D950" t="s">
        <v>152</v>
      </c>
      <c r="E950">
        <v>0.43273688361237522</v>
      </c>
      <c r="F950" t="s">
        <v>151</v>
      </c>
      <c r="G950">
        <v>0.43273688361237522</v>
      </c>
    </row>
    <row r="951" spans="1:7" x14ac:dyDescent="0.25">
      <c r="A951" t="s">
        <v>159</v>
      </c>
      <c r="B951" t="s">
        <v>73</v>
      </c>
      <c r="C951" t="s">
        <v>7</v>
      </c>
      <c r="D951" t="s">
        <v>152</v>
      </c>
      <c r="E951">
        <v>0.56726311638762483</v>
      </c>
      <c r="F951" t="s">
        <v>151</v>
      </c>
      <c r="G951">
        <v>0.56726311638762483</v>
      </c>
    </row>
    <row r="952" spans="1:7" x14ac:dyDescent="0.25">
      <c r="A952" t="s">
        <v>159</v>
      </c>
      <c r="B952" t="s">
        <v>73</v>
      </c>
      <c r="C952" t="s">
        <v>26</v>
      </c>
      <c r="D952" t="s">
        <v>153</v>
      </c>
      <c r="E952">
        <v>0.1171368722490322</v>
      </c>
      <c r="F952" t="s">
        <v>151</v>
      </c>
      <c r="G952">
        <v>0.1171368722490322</v>
      </c>
    </row>
    <row r="953" spans="1:7" x14ac:dyDescent="0.25">
      <c r="A953" t="s">
        <v>159</v>
      </c>
      <c r="B953" t="s">
        <v>73</v>
      </c>
      <c r="C953" t="s">
        <v>27</v>
      </c>
      <c r="D953" t="s">
        <v>153</v>
      </c>
      <c r="E953">
        <v>0.88286312775096776</v>
      </c>
      <c r="F953" t="s">
        <v>151</v>
      </c>
      <c r="G953">
        <v>0.88286312775096776</v>
      </c>
    </row>
    <row r="954" spans="1:7" x14ac:dyDescent="0.25">
      <c r="A954" t="s">
        <v>159</v>
      </c>
      <c r="B954" t="s">
        <v>73</v>
      </c>
      <c r="C954" t="s">
        <v>34</v>
      </c>
      <c r="D954" t="s">
        <v>154</v>
      </c>
      <c r="E954">
        <v>0.45630816353267001</v>
      </c>
      <c r="F954" t="s">
        <v>151</v>
      </c>
      <c r="G954">
        <v>0.45630816353267001</v>
      </c>
    </row>
    <row r="955" spans="1:7" x14ac:dyDescent="0.25">
      <c r="A955" t="s">
        <v>159</v>
      </c>
      <c r="B955" t="s">
        <v>73</v>
      </c>
      <c r="C955" t="s">
        <v>35</v>
      </c>
      <c r="D955" t="s">
        <v>154</v>
      </c>
      <c r="E955">
        <v>4.4370047500516312E-2</v>
      </c>
      <c r="F955" t="s">
        <v>151</v>
      </c>
      <c r="G955">
        <v>4.4370047500516312E-2</v>
      </c>
    </row>
    <row r="956" spans="1:7" x14ac:dyDescent="0.25">
      <c r="A956" t="s">
        <v>159</v>
      </c>
      <c r="B956" t="s">
        <v>73</v>
      </c>
      <c r="C956" t="s">
        <v>36</v>
      </c>
      <c r="D956" t="s">
        <v>154</v>
      </c>
      <c r="E956">
        <v>0.1883750452665103</v>
      </c>
      <c r="F956" t="s">
        <v>151</v>
      </c>
      <c r="G956">
        <v>0.1883750452665103</v>
      </c>
    </row>
    <row r="957" spans="1:7" x14ac:dyDescent="0.25">
      <c r="A957" t="s">
        <v>159</v>
      </c>
      <c r="B957" t="s">
        <v>73</v>
      </c>
      <c r="C957" t="s">
        <v>37</v>
      </c>
      <c r="D957" t="s">
        <v>154</v>
      </c>
      <c r="E957">
        <v>0.22286512267581851</v>
      </c>
      <c r="F957" t="s">
        <v>151</v>
      </c>
      <c r="G957">
        <v>0.22286512267581851</v>
      </c>
    </row>
    <row r="958" spans="1:7" x14ac:dyDescent="0.25">
      <c r="A958" t="s">
        <v>159</v>
      </c>
      <c r="B958" t="s">
        <v>73</v>
      </c>
      <c r="C958" t="s">
        <v>38</v>
      </c>
      <c r="D958" t="s">
        <v>154</v>
      </c>
      <c r="E958">
        <v>8.8081621024484816E-2</v>
      </c>
      <c r="F958" t="s">
        <v>151</v>
      </c>
      <c r="G958">
        <v>8.8081621024484816E-2</v>
      </c>
    </row>
    <row r="959" spans="1:7" x14ac:dyDescent="0.25">
      <c r="A959" t="s">
        <v>159</v>
      </c>
      <c r="B959" t="s">
        <v>73</v>
      </c>
      <c r="C959" t="s">
        <v>45</v>
      </c>
      <c r="D959" t="s">
        <v>155</v>
      </c>
      <c r="E959">
        <v>1</v>
      </c>
      <c r="F959" t="s">
        <v>156</v>
      </c>
      <c r="G959">
        <v>0.72982194479141249</v>
      </c>
    </row>
    <row r="960" spans="1:7" x14ac:dyDescent="0.25">
      <c r="A960" t="s">
        <v>159</v>
      </c>
      <c r="B960" t="s">
        <v>73</v>
      </c>
      <c r="C960" t="s">
        <v>46</v>
      </c>
      <c r="D960" t="s">
        <v>155</v>
      </c>
      <c r="E960">
        <v>0</v>
      </c>
      <c r="F960" t="s">
        <v>156</v>
      </c>
      <c r="G960">
        <v>0.27017805520858751</v>
      </c>
    </row>
    <row r="961" spans="1:7" x14ac:dyDescent="0.25">
      <c r="A961" t="s">
        <v>159</v>
      </c>
      <c r="B961" t="s">
        <v>73</v>
      </c>
      <c r="C961" t="s">
        <v>50</v>
      </c>
      <c r="D961" t="s">
        <v>157</v>
      </c>
      <c r="E961">
        <v>0.42162495143522749</v>
      </c>
      <c r="F961" t="s">
        <v>151</v>
      </c>
      <c r="G961">
        <v>0.42162495143522749</v>
      </c>
    </row>
    <row r="962" spans="1:7" x14ac:dyDescent="0.25">
      <c r="A962" t="s">
        <v>159</v>
      </c>
      <c r="B962" t="s">
        <v>73</v>
      </c>
      <c r="C962" t="s">
        <v>51</v>
      </c>
      <c r="D962" t="s">
        <v>157</v>
      </c>
      <c r="E962">
        <v>0.57837504856477251</v>
      </c>
      <c r="F962" t="s">
        <v>151</v>
      </c>
      <c r="G962">
        <v>0.57837504856477251</v>
      </c>
    </row>
    <row r="963" spans="1:7" x14ac:dyDescent="0.25">
      <c r="A963" t="s">
        <v>159</v>
      </c>
      <c r="B963" t="s">
        <v>69</v>
      </c>
      <c r="C963" t="s">
        <v>1</v>
      </c>
      <c r="D963" t="s">
        <v>150</v>
      </c>
      <c r="E963">
        <v>0.94299868264323294</v>
      </c>
      <c r="F963" t="s">
        <v>151</v>
      </c>
      <c r="G963">
        <v>0.94299868264323294</v>
      </c>
    </row>
    <row r="964" spans="1:7" x14ac:dyDescent="0.25">
      <c r="A964" t="s">
        <v>159</v>
      </c>
      <c r="B964" t="s">
        <v>69</v>
      </c>
      <c r="C964" t="s">
        <v>2</v>
      </c>
      <c r="D964" t="s">
        <v>150</v>
      </c>
      <c r="E964">
        <v>4.1765731369656618E-2</v>
      </c>
      <c r="F964" t="s">
        <v>151</v>
      </c>
      <c r="G964">
        <v>4.1765731369656618E-2</v>
      </c>
    </row>
    <row r="965" spans="1:7" x14ac:dyDescent="0.25">
      <c r="A965" t="s">
        <v>159</v>
      </c>
      <c r="B965" t="s">
        <v>69</v>
      </c>
      <c r="C965" t="s">
        <v>3</v>
      </c>
      <c r="D965" t="s">
        <v>150</v>
      </c>
      <c r="E965">
        <v>1.523558598711041E-2</v>
      </c>
      <c r="F965" t="s">
        <v>151</v>
      </c>
      <c r="G965">
        <v>1.523558598711041E-2</v>
      </c>
    </row>
    <row r="966" spans="1:7" x14ac:dyDescent="0.25">
      <c r="A966" t="s">
        <v>159</v>
      </c>
      <c r="B966" t="s">
        <v>69</v>
      </c>
      <c r="C966" t="s">
        <v>6</v>
      </c>
      <c r="D966" t="s">
        <v>152</v>
      </c>
      <c r="E966">
        <v>0.43273688361237522</v>
      </c>
      <c r="F966" t="s">
        <v>151</v>
      </c>
      <c r="G966">
        <v>0.43273688361237522</v>
      </c>
    </row>
    <row r="967" spans="1:7" x14ac:dyDescent="0.25">
      <c r="A967" t="s">
        <v>159</v>
      </c>
      <c r="B967" t="s">
        <v>69</v>
      </c>
      <c r="C967" t="s">
        <v>7</v>
      </c>
      <c r="D967" t="s">
        <v>152</v>
      </c>
      <c r="E967">
        <v>0.56726311638762483</v>
      </c>
      <c r="F967" t="s">
        <v>151</v>
      </c>
      <c r="G967">
        <v>0.56726311638762483</v>
      </c>
    </row>
    <row r="968" spans="1:7" x14ac:dyDescent="0.25">
      <c r="A968" t="s">
        <v>159</v>
      </c>
      <c r="B968" t="s">
        <v>69</v>
      </c>
      <c r="C968" t="s">
        <v>26</v>
      </c>
      <c r="D968" t="s">
        <v>153</v>
      </c>
      <c r="E968">
        <v>0.1171368722490322</v>
      </c>
      <c r="F968" t="s">
        <v>151</v>
      </c>
      <c r="G968">
        <v>0.1171368722490322</v>
      </c>
    </row>
    <row r="969" spans="1:7" x14ac:dyDescent="0.25">
      <c r="A969" t="s">
        <v>159</v>
      </c>
      <c r="B969" t="s">
        <v>69</v>
      </c>
      <c r="C969" t="s">
        <v>27</v>
      </c>
      <c r="D969" t="s">
        <v>153</v>
      </c>
      <c r="E969">
        <v>0.88286312775096776</v>
      </c>
      <c r="F969" t="s">
        <v>151</v>
      </c>
      <c r="G969">
        <v>0.88286312775096776</v>
      </c>
    </row>
    <row r="970" spans="1:7" x14ac:dyDescent="0.25">
      <c r="A970" t="s">
        <v>159</v>
      </c>
      <c r="B970" t="s">
        <v>69</v>
      </c>
      <c r="C970" t="s">
        <v>34</v>
      </c>
      <c r="D970" t="s">
        <v>154</v>
      </c>
      <c r="E970">
        <v>0.45630816353267001</v>
      </c>
      <c r="F970" t="s">
        <v>151</v>
      </c>
      <c r="G970">
        <v>0.45630816353267001</v>
      </c>
    </row>
    <row r="971" spans="1:7" x14ac:dyDescent="0.25">
      <c r="A971" t="s">
        <v>159</v>
      </c>
      <c r="B971" t="s">
        <v>69</v>
      </c>
      <c r="C971" t="s">
        <v>35</v>
      </c>
      <c r="D971" t="s">
        <v>154</v>
      </c>
      <c r="E971">
        <v>4.4370047500516312E-2</v>
      </c>
      <c r="F971" t="s">
        <v>151</v>
      </c>
      <c r="G971">
        <v>4.4370047500516312E-2</v>
      </c>
    </row>
    <row r="972" spans="1:7" x14ac:dyDescent="0.25">
      <c r="A972" t="s">
        <v>159</v>
      </c>
      <c r="B972" t="s">
        <v>69</v>
      </c>
      <c r="C972" t="s">
        <v>36</v>
      </c>
      <c r="D972" t="s">
        <v>154</v>
      </c>
      <c r="E972">
        <v>0.1883750452665103</v>
      </c>
      <c r="F972" t="s">
        <v>151</v>
      </c>
      <c r="G972">
        <v>0.1883750452665103</v>
      </c>
    </row>
    <row r="973" spans="1:7" x14ac:dyDescent="0.25">
      <c r="A973" t="s">
        <v>159</v>
      </c>
      <c r="B973" t="s">
        <v>69</v>
      </c>
      <c r="C973" t="s">
        <v>37</v>
      </c>
      <c r="D973" t="s">
        <v>154</v>
      </c>
      <c r="E973">
        <v>0.22286512267581851</v>
      </c>
      <c r="F973" t="s">
        <v>151</v>
      </c>
      <c r="G973">
        <v>0.22286512267581851</v>
      </c>
    </row>
    <row r="974" spans="1:7" x14ac:dyDescent="0.25">
      <c r="A974" t="s">
        <v>159</v>
      </c>
      <c r="B974" t="s">
        <v>69</v>
      </c>
      <c r="C974" t="s">
        <v>38</v>
      </c>
      <c r="D974" t="s">
        <v>154</v>
      </c>
      <c r="E974">
        <v>8.8081621024484816E-2</v>
      </c>
      <c r="F974" t="s">
        <v>151</v>
      </c>
      <c r="G974">
        <v>8.8081621024484816E-2</v>
      </c>
    </row>
    <row r="975" spans="1:7" x14ac:dyDescent="0.25">
      <c r="A975" t="s">
        <v>159</v>
      </c>
      <c r="B975" t="s">
        <v>69</v>
      </c>
      <c r="C975" t="s">
        <v>45</v>
      </c>
      <c r="D975" t="s">
        <v>155</v>
      </c>
      <c r="E975">
        <v>1</v>
      </c>
      <c r="F975" t="s">
        <v>156</v>
      </c>
      <c r="G975">
        <v>0.72982194479141249</v>
      </c>
    </row>
    <row r="976" spans="1:7" x14ac:dyDescent="0.25">
      <c r="A976" t="s">
        <v>159</v>
      </c>
      <c r="B976" t="s">
        <v>69</v>
      </c>
      <c r="C976" t="s">
        <v>46</v>
      </c>
      <c r="D976" t="s">
        <v>155</v>
      </c>
      <c r="E976">
        <v>0</v>
      </c>
      <c r="F976" t="s">
        <v>156</v>
      </c>
      <c r="G976">
        <v>0.27017805520858751</v>
      </c>
    </row>
    <row r="977" spans="1:7" x14ac:dyDescent="0.25">
      <c r="A977" t="s">
        <v>159</v>
      </c>
      <c r="B977" t="s">
        <v>69</v>
      </c>
      <c r="C977" t="s">
        <v>50</v>
      </c>
      <c r="D977" t="s">
        <v>157</v>
      </c>
      <c r="E977">
        <v>0.42162495143522749</v>
      </c>
      <c r="F977" t="s">
        <v>151</v>
      </c>
      <c r="G977">
        <v>0.42162495143522749</v>
      </c>
    </row>
    <row r="978" spans="1:7" x14ac:dyDescent="0.25">
      <c r="A978" t="s">
        <v>159</v>
      </c>
      <c r="B978" t="s">
        <v>69</v>
      </c>
      <c r="C978" t="s">
        <v>51</v>
      </c>
      <c r="D978" t="s">
        <v>157</v>
      </c>
      <c r="E978">
        <v>0.57837504856477251</v>
      </c>
      <c r="F978" t="s">
        <v>151</v>
      </c>
      <c r="G978">
        <v>0.57837504856477251</v>
      </c>
    </row>
    <row r="979" spans="1:7" x14ac:dyDescent="0.25">
      <c r="A979" t="s">
        <v>159</v>
      </c>
      <c r="B979" t="s">
        <v>55</v>
      </c>
      <c r="C979" t="s">
        <v>1</v>
      </c>
      <c r="D979" t="s">
        <v>150</v>
      </c>
      <c r="E979">
        <v>0.94299868264323294</v>
      </c>
      <c r="F979" t="s">
        <v>151</v>
      </c>
      <c r="G979">
        <v>0.94299868264323294</v>
      </c>
    </row>
    <row r="980" spans="1:7" x14ac:dyDescent="0.25">
      <c r="A980" t="s">
        <v>159</v>
      </c>
      <c r="B980" t="s">
        <v>55</v>
      </c>
      <c r="C980" t="s">
        <v>2</v>
      </c>
      <c r="D980" t="s">
        <v>150</v>
      </c>
      <c r="E980">
        <v>4.1765731369656618E-2</v>
      </c>
      <c r="F980" t="s">
        <v>151</v>
      </c>
      <c r="G980">
        <v>4.1765731369656618E-2</v>
      </c>
    </row>
    <row r="981" spans="1:7" x14ac:dyDescent="0.25">
      <c r="A981" t="s">
        <v>159</v>
      </c>
      <c r="B981" t="s">
        <v>55</v>
      </c>
      <c r="C981" t="s">
        <v>3</v>
      </c>
      <c r="D981" t="s">
        <v>150</v>
      </c>
      <c r="E981">
        <v>1.523558598711041E-2</v>
      </c>
      <c r="F981" t="s">
        <v>151</v>
      </c>
      <c r="G981">
        <v>1.523558598711041E-2</v>
      </c>
    </row>
    <row r="982" spans="1:7" x14ac:dyDescent="0.25">
      <c r="A982" t="s">
        <v>159</v>
      </c>
      <c r="B982" t="s">
        <v>55</v>
      </c>
      <c r="C982" t="s">
        <v>6</v>
      </c>
      <c r="D982" t="s">
        <v>152</v>
      </c>
      <c r="E982">
        <v>0.43273688361237522</v>
      </c>
      <c r="F982" t="s">
        <v>151</v>
      </c>
      <c r="G982">
        <v>0.43273688361237522</v>
      </c>
    </row>
    <row r="983" spans="1:7" x14ac:dyDescent="0.25">
      <c r="A983" t="s">
        <v>159</v>
      </c>
      <c r="B983" t="s">
        <v>55</v>
      </c>
      <c r="C983" t="s">
        <v>7</v>
      </c>
      <c r="D983" t="s">
        <v>152</v>
      </c>
      <c r="E983">
        <v>0.56726311638762483</v>
      </c>
      <c r="F983" t="s">
        <v>151</v>
      </c>
      <c r="G983">
        <v>0.56726311638762483</v>
      </c>
    </row>
    <row r="984" spans="1:7" x14ac:dyDescent="0.25">
      <c r="A984" t="s">
        <v>159</v>
      </c>
      <c r="B984" t="s">
        <v>55</v>
      </c>
      <c r="C984" t="s">
        <v>26</v>
      </c>
      <c r="D984" t="s">
        <v>153</v>
      </c>
      <c r="E984">
        <v>0.1171368722490322</v>
      </c>
      <c r="F984" t="s">
        <v>151</v>
      </c>
      <c r="G984">
        <v>0.1171368722490322</v>
      </c>
    </row>
    <row r="985" spans="1:7" x14ac:dyDescent="0.25">
      <c r="A985" t="s">
        <v>159</v>
      </c>
      <c r="B985" t="s">
        <v>55</v>
      </c>
      <c r="C985" t="s">
        <v>27</v>
      </c>
      <c r="D985" t="s">
        <v>153</v>
      </c>
      <c r="E985">
        <v>0.88286312775096776</v>
      </c>
      <c r="F985" t="s">
        <v>151</v>
      </c>
      <c r="G985">
        <v>0.88286312775096776</v>
      </c>
    </row>
    <row r="986" spans="1:7" x14ac:dyDescent="0.25">
      <c r="A986" t="s">
        <v>159</v>
      </c>
      <c r="B986" t="s">
        <v>55</v>
      </c>
      <c r="C986" t="s">
        <v>34</v>
      </c>
      <c r="D986" t="s">
        <v>154</v>
      </c>
      <c r="E986">
        <v>0.45630816353267001</v>
      </c>
      <c r="F986" t="s">
        <v>151</v>
      </c>
      <c r="G986">
        <v>0.45630816353267001</v>
      </c>
    </row>
    <row r="987" spans="1:7" x14ac:dyDescent="0.25">
      <c r="A987" t="s">
        <v>159</v>
      </c>
      <c r="B987" t="s">
        <v>55</v>
      </c>
      <c r="C987" t="s">
        <v>35</v>
      </c>
      <c r="D987" t="s">
        <v>154</v>
      </c>
      <c r="E987">
        <v>4.4370047500516312E-2</v>
      </c>
      <c r="F987" t="s">
        <v>151</v>
      </c>
      <c r="G987">
        <v>4.4370047500516312E-2</v>
      </c>
    </row>
    <row r="988" spans="1:7" x14ac:dyDescent="0.25">
      <c r="A988" t="s">
        <v>159</v>
      </c>
      <c r="B988" t="s">
        <v>55</v>
      </c>
      <c r="C988" t="s">
        <v>36</v>
      </c>
      <c r="D988" t="s">
        <v>154</v>
      </c>
      <c r="E988">
        <v>0.1883750452665103</v>
      </c>
      <c r="F988" t="s">
        <v>151</v>
      </c>
      <c r="G988">
        <v>0.1883750452665103</v>
      </c>
    </row>
    <row r="989" spans="1:7" x14ac:dyDescent="0.25">
      <c r="A989" t="s">
        <v>159</v>
      </c>
      <c r="B989" t="s">
        <v>55</v>
      </c>
      <c r="C989" t="s">
        <v>37</v>
      </c>
      <c r="D989" t="s">
        <v>154</v>
      </c>
      <c r="E989">
        <v>0.22286512267581851</v>
      </c>
      <c r="F989" t="s">
        <v>151</v>
      </c>
      <c r="G989">
        <v>0.22286512267581851</v>
      </c>
    </row>
    <row r="990" spans="1:7" x14ac:dyDescent="0.25">
      <c r="A990" t="s">
        <v>159</v>
      </c>
      <c r="B990" t="s">
        <v>55</v>
      </c>
      <c r="C990" t="s">
        <v>38</v>
      </c>
      <c r="D990" t="s">
        <v>154</v>
      </c>
      <c r="E990">
        <v>8.8081621024484816E-2</v>
      </c>
      <c r="F990" t="s">
        <v>151</v>
      </c>
      <c r="G990">
        <v>8.8081621024484816E-2</v>
      </c>
    </row>
    <row r="991" spans="1:7" x14ac:dyDescent="0.25">
      <c r="A991" t="s">
        <v>159</v>
      </c>
      <c r="B991" t="s">
        <v>55</v>
      </c>
      <c r="C991" t="s">
        <v>45</v>
      </c>
      <c r="D991" t="s">
        <v>155</v>
      </c>
      <c r="E991">
        <v>1</v>
      </c>
      <c r="F991" t="s">
        <v>156</v>
      </c>
      <c r="G991">
        <v>0.72982194479141249</v>
      </c>
    </row>
    <row r="992" spans="1:7" x14ac:dyDescent="0.25">
      <c r="A992" t="s">
        <v>159</v>
      </c>
      <c r="B992" t="s">
        <v>55</v>
      </c>
      <c r="C992" t="s">
        <v>46</v>
      </c>
      <c r="D992" t="s">
        <v>155</v>
      </c>
      <c r="E992">
        <v>0</v>
      </c>
      <c r="F992" t="s">
        <v>156</v>
      </c>
      <c r="G992">
        <v>0.27017805520858751</v>
      </c>
    </row>
    <row r="993" spans="1:7" x14ac:dyDescent="0.25">
      <c r="A993" t="s">
        <v>159</v>
      </c>
      <c r="B993" t="s">
        <v>55</v>
      </c>
      <c r="C993" t="s">
        <v>50</v>
      </c>
      <c r="D993" t="s">
        <v>157</v>
      </c>
      <c r="E993">
        <v>0.42162495143522749</v>
      </c>
      <c r="F993" t="s">
        <v>151</v>
      </c>
      <c r="G993">
        <v>0.42162495143522749</v>
      </c>
    </row>
    <row r="994" spans="1:7" x14ac:dyDescent="0.25">
      <c r="A994" t="s">
        <v>159</v>
      </c>
      <c r="B994" t="s">
        <v>55</v>
      </c>
      <c r="C994" t="s">
        <v>51</v>
      </c>
      <c r="D994" t="s">
        <v>157</v>
      </c>
      <c r="E994">
        <v>0.57837504856477251</v>
      </c>
      <c r="F994" t="s">
        <v>151</v>
      </c>
      <c r="G994">
        <v>0.57837504856477251</v>
      </c>
    </row>
    <row r="995" spans="1:7" x14ac:dyDescent="0.25">
      <c r="A995" t="s">
        <v>159</v>
      </c>
      <c r="B995" t="s">
        <v>71</v>
      </c>
      <c r="C995" t="s">
        <v>1</v>
      </c>
      <c r="D995" t="s">
        <v>150</v>
      </c>
      <c r="E995">
        <v>0.94299868264323294</v>
      </c>
      <c r="F995" t="s">
        <v>151</v>
      </c>
      <c r="G995">
        <v>0.94299868264323294</v>
      </c>
    </row>
    <row r="996" spans="1:7" x14ac:dyDescent="0.25">
      <c r="A996" t="s">
        <v>159</v>
      </c>
      <c r="B996" t="s">
        <v>71</v>
      </c>
      <c r="C996" t="s">
        <v>2</v>
      </c>
      <c r="D996" t="s">
        <v>150</v>
      </c>
      <c r="E996">
        <v>4.1765731369656618E-2</v>
      </c>
      <c r="F996" t="s">
        <v>151</v>
      </c>
      <c r="G996">
        <v>4.1765731369656618E-2</v>
      </c>
    </row>
    <row r="997" spans="1:7" x14ac:dyDescent="0.25">
      <c r="A997" t="s">
        <v>159</v>
      </c>
      <c r="B997" t="s">
        <v>71</v>
      </c>
      <c r="C997" t="s">
        <v>3</v>
      </c>
      <c r="D997" t="s">
        <v>150</v>
      </c>
      <c r="E997">
        <v>1.523558598711041E-2</v>
      </c>
      <c r="F997" t="s">
        <v>151</v>
      </c>
      <c r="G997">
        <v>1.523558598711041E-2</v>
      </c>
    </row>
    <row r="998" spans="1:7" x14ac:dyDescent="0.25">
      <c r="A998" t="s">
        <v>159</v>
      </c>
      <c r="B998" t="s">
        <v>71</v>
      </c>
      <c r="C998" t="s">
        <v>6</v>
      </c>
      <c r="D998" t="s">
        <v>152</v>
      </c>
      <c r="E998">
        <v>0.43273688361237522</v>
      </c>
      <c r="F998" t="s">
        <v>151</v>
      </c>
      <c r="G998">
        <v>0.43273688361237522</v>
      </c>
    </row>
    <row r="999" spans="1:7" x14ac:dyDescent="0.25">
      <c r="A999" t="s">
        <v>159</v>
      </c>
      <c r="B999" t="s">
        <v>71</v>
      </c>
      <c r="C999" t="s">
        <v>7</v>
      </c>
      <c r="D999" t="s">
        <v>152</v>
      </c>
      <c r="E999">
        <v>0.56726311638762483</v>
      </c>
      <c r="F999" t="s">
        <v>151</v>
      </c>
      <c r="G999">
        <v>0.56726311638762483</v>
      </c>
    </row>
    <row r="1000" spans="1:7" x14ac:dyDescent="0.25">
      <c r="A1000" t="s">
        <v>159</v>
      </c>
      <c r="B1000" t="s">
        <v>71</v>
      </c>
      <c r="C1000" t="s">
        <v>26</v>
      </c>
      <c r="D1000" t="s">
        <v>153</v>
      </c>
      <c r="E1000">
        <v>0.1171368722490322</v>
      </c>
      <c r="F1000" t="s">
        <v>151</v>
      </c>
      <c r="G1000">
        <v>0.1171368722490322</v>
      </c>
    </row>
    <row r="1001" spans="1:7" x14ac:dyDescent="0.25">
      <c r="A1001" t="s">
        <v>159</v>
      </c>
      <c r="B1001" t="s">
        <v>71</v>
      </c>
      <c r="C1001" t="s">
        <v>27</v>
      </c>
      <c r="D1001" t="s">
        <v>153</v>
      </c>
      <c r="E1001">
        <v>0.88286312775096776</v>
      </c>
      <c r="F1001" t="s">
        <v>151</v>
      </c>
      <c r="G1001">
        <v>0.88286312775096776</v>
      </c>
    </row>
    <row r="1002" spans="1:7" x14ac:dyDescent="0.25">
      <c r="A1002" t="s">
        <v>159</v>
      </c>
      <c r="B1002" t="s">
        <v>71</v>
      </c>
      <c r="C1002" t="s">
        <v>34</v>
      </c>
      <c r="D1002" t="s">
        <v>154</v>
      </c>
      <c r="E1002">
        <v>0.45630816353267001</v>
      </c>
      <c r="F1002" t="s">
        <v>151</v>
      </c>
      <c r="G1002">
        <v>0.45630816353267001</v>
      </c>
    </row>
    <row r="1003" spans="1:7" x14ac:dyDescent="0.25">
      <c r="A1003" t="s">
        <v>159</v>
      </c>
      <c r="B1003" t="s">
        <v>71</v>
      </c>
      <c r="C1003" t="s">
        <v>35</v>
      </c>
      <c r="D1003" t="s">
        <v>154</v>
      </c>
      <c r="E1003">
        <v>4.4370047500516312E-2</v>
      </c>
      <c r="F1003" t="s">
        <v>151</v>
      </c>
      <c r="G1003">
        <v>4.4370047500516312E-2</v>
      </c>
    </row>
    <row r="1004" spans="1:7" x14ac:dyDescent="0.25">
      <c r="A1004" t="s">
        <v>159</v>
      </c>
      <c r="B1004" t="s">
        <v>71</v>
      </c>
      <c r="C1004" t="s">
        <v>36</v>
      </c>
      <c r="D1004" t="s">
        <v>154</v>
      </c>
      <c r="E1004">
        <v>0.1883750452665103</v>
      </c>
      <c r="F1004" t="s">
        <v>151</v>
      </c>
      <c r="G1004">
        <v>0.1883750452665103</v>
      </c>
    </row>
    <row r="1005" spans="1:7" x14ac:dyDescent="0.25">
      <c r="A1005" t="s">
        <v>159</v>
      </c>
      <c r="B1005" t="s">
        <v>71</v>
      </c>
      <c r="C1005" t="s">
        <v>37</v>
      </c>
      <c r="D1005" t="s">
        <v>154</v>
      </c>
      <c r="E1005">
        <v>0.22286512267581851</v>
      </c>
      <c r="F1005" t="s">
        <v>151</v>
      </c>
      <c r="G1005">
        <v>0.22286512267581851</v>
      </c>
    </row>
    <row r="1006" spans="1:7" x14ac:dyDescent="0.25">
      <c r="A1006" t="s">
        <v>159</v>
      </c>
      <c r="B1006" t="s">
        <v>71</v>
      </c>
      <c r="C1006" t="s">
        <v>38</v>
      </c>
      <c r="D1006" t="s">
        <v>154</v>
      </c>
      <c r="E1006">
        <v>8.8081621024484816E-2</v>
      </c>
      <c r="F1006" t="s">
        <v>151</v>
      </c>
      <c r="G1006">
        <v>8.8081621024484816E-2</v>
      </c>
    </row>
    <row r="1007" spans="1:7" x14ac:dyDescent="0.25">
      <c r="A1007" t="s">
        <v>159</v>
      </c>
      <c r="B1007" t="s">
        <v>71</v>
      </c>
      <c r="C1007" t="s">
        <v>45</v>
      </c>
      <c r="D1007" t="s">
        <v>155</v>
      </c>
      <c r="E1007">
        <v>1</v>
      </c>
      <c r="F1007" t="s">
        <v>156</v>
      </c>
      <c r="G1007">
        <v>0.72982194479141249</v>
      </c>
    </row>
    <row r="1008" spans="1:7" x14ac:dyDescent="0.25">
      <c r="A1008" t="s">
        <v>159</v>
      </c>
      <c r="B1008" t="s">
        <v>71</v>
      </c>
      <c r="C1008" t="s">
        <v>46</v>
      </c>
      <c r="D1008" t="s">
        <v>155</v>
      </c>
      <c r="E1008">
        <v>0</v>
      </c>
      <c r="F1008" t="s">
        <v>156</v>
      </c>
      <c r="G1008">
        <v>0.27017805520858751</v>
      </c>
    </row>
    <row r="1009" spans="1:7" x14ac:dyDescent="0.25">
      <c r="A1009" t="s">
        <v>159</v>
      </c>
      <c r="B1009" t="s">
        <v>71</v>
      </c>
      <c r="C1009" t="s">
        <v>50</v>
      </c>
      <c r="D1009" t="s">
        <v>157</v>
      </c>
      <c r="E1009">
        <v>0.42162495143522749</v>
      </c>
      <c r="F1009" t="s">
        <v>151</v>
      </c>
      <c r="G1009">
        <v>0.42162495143522749</v>
      </c>
    </row>
    <row r="1010" spans="1:7" x14ac:dyDescent="0.25">
      <c r="A1010" t="s">
        <v>159</v>
      </c>
      <c r="B1010" t="s">
        <v>71</v>
      </c>
      <c r="C1010" t="s">
        <v>51</v>
      </c>
      <c r="D1010" t="s">
        <v>157</v>
      </c>
      <c r="E1010">
        <v>0.57837504856477251</v>
      </c>
      <c r="F1010" t="s">
        <v>151</v>
      </c>
      <c r="G1010">
        <v>0.57837504856477251</v>
      </c>
    </row>
    <row r="1011" spans="1:7" x14ac:dyDescent="0.25">
      <c r="A1011" t="s">
        <v>159</v>
      </c>
      <c r="B1011" t="s">
        <v>64</v>
      </c>
      <c r="C1011" t="s">
        <v>1</v>
      </c>
      <c r="D1011" t="s">
        <v>150</v>
      </c>
      <c r="E1011">
        <v>0.94299868264323294</v>
      </c>
      <c r="F1011" t="s">
        <v>151</v>
      </c>
      <c r="G1011">
        <v>0.94299868264323294</v>
      </c>
    </row>
    <row r="1012" spans="1:7" x14ac:dyDescent="0.25">
      <c r="A1012" t="s">
        <v>159</v>
      </c>
      <c r="B1012" t="s">
        <v>64</v>
      </c>
      <c r="C1012" t="s">
        <v>2</v>
      </c>
      <c r="D1012" t="s">
        <v>150</v>
      </c>
      <c r="E1012">
        <v>4.1765731369656618E-2</v>
      </c>
      <c r="F1012" t="s">
        <v>151</v>
      </c>
      <c r="G1012">
        <v>4.1765731369656618E-2</v>
      </c>
    </row>
    <row r="1013" spans="1:7" x14ac:dyDescent="0.25">
      <c r="A1013" t="s">
        <v>159</v>
      </c>
      <c r="B1013" t="s">
        <v>64</v>
      </c>
      <c r="C1013" t="s">
        <v>3</v>
      </c>
      <c r="D1013" t="s">
        <v>150</v>
      </c>
      <c r="E1013">
        <v>1.523558598711041E-2</v>
      </c>
      <c r="F1013" t="s">
        <v>151</v>
      </c>
      <c r="G1013">
        <v>1.523558598711041E-2</v>
      </c>
    </row>
    <row r="1014" spans="1:7" x14ac:dyDescent="0.25">
      <c r="A1014" t="s">
        <v>159</v>
      </c>
      <c r="B1014" t="s">
        <v>64</v>
      </c>
      <c r="C1014" t="s">
        <v>6</v>
      </c>
      <c r="D1014" t="s">
        <v>152</v>
      </c>
      <c r="E1014">
        <v>0.43273688361237522</v>
      </c>
      <c r="F1014" t="s">
        <v>151</v>
      </c>
      <c r="G1014">
        <v>0.43273688361237522</v>
      </c>
    </row>
    <row r="1015" spans="1:7" x14ac:dyDescent="0.25">
      <c r="A1015" t="s">
        <v>159</v>
      </c>
      <c r="B1015" t="s">
        <v>64</v>
      </c>
      <c r="C1015" t="s">
        <v>7</v>
      </c>
      <c r="D1015" t="s">
        <v>152</v>
      </c>
      <c r="E1015">
        <v>0.56726311638762483</v>
      </c>
      <c r="F1015" t="s">
        <v>151</v>
      </c>
      <c r="G1015">
        <v>0.56726311638762483</v>
      </c>
    </row>
    <row r="1016" spans="1:7" x14ac:dyDescent="0.25">
      <c r="A1016" t="s">
        <v>159</v>
      </c>
      <c r="B1016" t="s">
        <v>64</v>
      </c>
      <c r="C1016" t="s">
        <v>26</v>
      </c>
      <c r="D1016" t="s">
        <v>153</v>
      </c>
      <c r="E1016">
        <v>0.1171368722490322</v>
      </c>
      <c r="F1016" t="s">
        <v>151</v>
      </c>
      <c r="G1016">
        <v>0.1171368722490322</v>
      </c>
    </row>
    <row r="1017" spans="1:7" x14ac:dyDescent="0.25">
      <c r="A1017" t="s">
        <v>159</v>
      </c>
      <c r="B1017" t="s">
        <v>64</v>
      </c>
      <c r="C1017" t="s">
        <v>27</v>
      </c>
      <c r="D1017" t="s">
        <v>153</v>
      </c>
      <c r="E1017">
        <v>0.88286312775096776</v>
      </c>
      <c r="F1017" t="s">
        <v>151</v>
      </c>
      <c r="G1017">
        <v>0.88286312775096776</v>
      </c>
    </row>
    <row r="1018" spans="1:7" x14ac:dyDescent="0.25">
      <c r="A1018" t="s">
        <v>159</v>
      </c>
      <c r="B1018" t="s">
        <v>64</v>
      </c>
      <c r="C1018" t="s">
        <v>34</v>
      </c>
      <c r="D1018" t="s">
        <v>154</v>
      </c>
      <c r="E1018">
        <v>0.45630816353267001</v>
      </c>
      <c r="F1018" t="s">
        <v>151</v>
      </c>
      <c r="G1018">
        <v>0.45630816353267001</v>
      </c>
    </row>
    <row r="1019" spans="1:7" x14ac:dyDescent="0.25">
      <c r="A1019" t="s">
        <v>159</v>
      </c>
      <c r="B1019" t="s">
        <v>64</v>
      </c>
      <c r="C1019" t="s">
        <v>35</v>
      </c>
      <c r="D1019" t="s">
        <v>154</v>
      </c>
      <c r="E1019">
        <v>4.4370047500516312E-2</v>
      </c>
      <c r="F1019" t="s">
        <v>151</v>
      </c>
      <c r="G1019">
        <v>4.4370047500516312E-2</v>
      </c>
    </row>
    <row r="1020" spans="1:7" x14ac:dyDescent="0.25">
      <c r="A1020" t="s">
        <v>159</v>
      </c>
      <c r="B1020" t="s">
        <v>64</v>
      </c>
      <c r="C1020" t="s">
        <v>36</v>
      </c>
      <c r="D1020" t="s">
        <v>154</v>
      </c>
      <c r="E1020">
        <v>0.1883750452665103</v>
      </c>
      <c r="F1020" t="s">
        <v>151</v>
      </c>
      <c r="G1020">
        <v>0.1883750452665103</v>
      </c>
    </row>
    <row r="1021" spans="1:7" x14ac:dyDescent="0.25">
      <c r="A1021" t="s">
        <v>159</v>
      </c>
      <c r="B1021" t="s">
        <v>64</v>
      </c>
      <c r="C1021" t="s">
        <v>37</v>
      </c>
      <c r="D1021" t="s">
        <v>154</v>
      </c>
      <c r="E1021">
        <v>0.22286512267581851</v>
      </c>
      <c r="F1021" t="s">
        <v>151</v>
      </c>
      <c r="G1021">
        <v>0.22286512267581851</v>
      </c>
    </row>
    <row r="1022" spans="1:7" x14ac:dyDescent="0.25">
      <c r="A1022" t="s">
        <v>159</v>
      </c>
      <c r="B1022" t="s">
        <v>64</v>
      </c>
      <c r="C1022" t="s">
        <v>38</v>
      </c>
      <c r="D1022" t="s">
        <v>154</v>
      </c>
      <c r="E1022">
        <v>8.8081621024484816E-2</v>
      </c>
      <c r="F1022" t="s">
        <v>151</v>
      </c>
      <c r="G1022">
        <v>8.8081621024484816E-2</v>
      </c>
    </row>
    <row r="1023" spans="1:7" x14ac:dyDescent="0.25">
      <c r="A1023" t="s">
        <v>159</v>
      </c>
      <c r="B1023" t="s">
        <v>64</v>
      </c>
      <c r="C1023" t="s">
        <v>45</v>
      </c>
      <c r="D1023" t="s">
        <v>155</v>
      </c>
      <c r="E1023">
        <v>1</v>
      </c>
      <c r="F1023" t="s">
        <v>156</v>
      </c>
      <c r="G1023">
        <v>0.72982194479141249</v>
      </c>
    </row>
    <row r="1024" spans="1:7" x14ac:dyDescent="0.25">
      <c r="A1024" t="s">
        <v>159</v>
      </c>
      <c r="B1024" t="s">
        <v>64</v>
      </c>
      <c r="C1024" t="s">
        <v>46</v>
      </c>
      <c r="D1024" t="s">
        <v>155</v>
      </c>
      <c r="E1024">
        <v>0</v>
      </c>
      <c r="F1024" t="s">
        <v>156</v>
      </c>
      <c r="G1024">
        <v>0.27017805520858751</v>
      </c>
    </row>
    <row r="1025" spans="1:7" x14ac:dyDescent="0.25">
      <c r="A1025" t="s">
        <v>159</v>
      </c>
      <c r="B1025" t="s">
        <v>64</v>
      </c>
      <c r="C1025" t="s">
        <v>50</v>
      </c>
      <c r="D1025" t="s">
        <v>157</v>
      </c>
      <c r="E1025">
        <v>0.42162495143522749</v>
      </c>
      <c r="F1025" t="s">
        <v>151</v>
      </c>
      <c r="G1025">
        <v>0.42162495143522749</v>
      </c>
    </row>
    <row r="1026" spans="1:7" x14ac:dyDescent="0.25">
      <c r="A1026" t="s">
        <v>159</v>
      </c>
      <c r="B1026" t="s">
        <v>64</v>
      </c>
      <c r="C1026" t="s">
        <v>51</v>
      </c>
      <c r="D1026" t="s">
        <v>157</v>
      </c>
      <c r="E1026">
        <v>0.57837504856477251</v>
      </c>
      <c r="F1026" t="s">
        <v>151</v>
      </c>
      <c r="G1026">
        <v>0.57837504856477251</v>
      </c>
    </row>
    <row r="1027" spans="1:7" x14ac:dyDescent="0.25">
      <c r="A1027" t="s">
        <v>159</v>
      </c>
      <c r="B1027" t="s">
        <v>54</v>
      </c>
      <c r="C1027" t="s">
        <v>1</v>
      </c>
      <c r="D1027" t="s">
        <v>150</v>
      </c>
      <c r="E1027">
        <v>0.94299868264323294</v>
      </c>
      <c r="F1027" t="s">
        <v>151</v>
      </c>
      <c r="G1027">
        <v>0.94299868264323294</v>
      </c>
    </row>
    <row r="1028" spans="1:7" x14ac:dyDescent="0.25">
      <c r="A1028" t="s">
        <v>159</v>
      </c>
      <c r="B1028" t="s">
        <v>54</v>
      </c>
      <c r="C1028" t="s">
        <v>2</v>
      </c>
      <c r="D1028" t="s">
        <v>150</v>
      </c>
      <c r="E1028">
        <v>4.1765731369656618E-2</v>
      </c>
      <c r="F1028" t="s">
        <v>151</v>
      </c>
      <c r="G1028">
        <v>4.1765731369656618E-2</v>
      </c>
    </row>
    <row r="1029" spans="1:7" x14ac:dyDescent="0.25">
      <c r="A1029" t="s">
        <v>159</v>
      </c>
      <c r="B1029" t="s">
        <v>54</v>
      </c>
      <c r="C1029" t="s">
        <v>3</v>
      </c>
      <c r="D1029" t="s">
        <v>150</v>
      </c>
      <c r="E1029">
        <v>1.523558598711041E-2</v>
      </c>
      <c r="F1029" t="s">
        <v>151</v>
      </c>
      <c r="G1029">
        <v>1.523558598711041E-2</v>
      </c>
    </row>
    <row r="1030" spans="1:7" x14ac:dyDescent="0.25">
      <c r="A1030" t="s">
        <v>159</v>
      </c>
      <c r="B1030" t="s">
        <v>54</v>
      </c>
      <c r="C1030" t="s">
        <v>6</v>
      </c>
      <c r="D1030" t="s">
        <v>152</v>
      </c>
      <c r="E1030">
        <v>0.43273688361237522</v>
      </c>
      <c r="F1030" t="s">
        <v>151</v>
      </c>
      <c r="G1030">
        <v>0.43273688361237522</v>
      </c>
    </row>
    <row r="1031" spans="1:7" x14ac:dyDescent="0.25">
      <c r="A1031" t="s">
        <v>159</v>
      </c>
      <c r="B1031" t="s">
        <v>54</v>
      </c>
      <c r="C1031" t="s">
        <v>7</v>
      </c>
      <c r="D1031" t="s">
        <v>152</v>
      </c>
      <c r="E1031">
        <v>0.56726311638762483</v>
      </c>
      <c r="F1031" t="s">
        <v>151</v>
      </c>
      <c r="G1031">
        <v>0.56726311638762483</v>
      </c>
    </row>
    <row r="1032" spans="1:7" x14ac:dyDescent="0.25">
      <c r="A1032" t="s">
        <v>159</v>
      </c>
      <c r="B1032" t="s">
        <v>54</v>
      </c>
      <c r="C1032" t="s">
        <v>26</v>
      </c>
      <c r="D1032" t="s">
        <v>153</v>
      </c>
      <c r="E1032">
        <v>0.1171368722490322</v>
      </c>
      <c r="F1032" t="s">
        <v>151</v>
      </c>
      <c r="G1032">
        <v>0.1171368722490322</v>
      </c>
    </row>
    <row r="1033" spans="1:7" x14ac:dyDescent="0.25">
      <c r="A1033" t="s">
        <v>159</v>
      </c>
      <c r="B1033" t="s">
        <v>54</v>
      </c>
      <c r="C1033" t="s">
        <v>27</v>
      </c>
      <c r="D1033" t="s">
        <v>153</v>
      </c>
      <c r="E1033">
        <v>0.88286312775096776</v>
      </c>
      <c r="F1033" t="s">
        <v>151</v>
      </c>
      <c r="G1033">
        <v>0.88286312775096776</v>
      </c>
    </row>
    <row r="1034" spans="1:7" x14ac:dyDescent="0.25">
      <c r="A1034" t="s">
        <v>159</v>
      </c>
      <c r="B1034" t="s">
        <v>54</v>
      </c>
      <c r="C1034" t="s">
        <v>34</v>
      </c>
      <c r="D1034" t="s">
        <v>154</v>
      </c>
      <c r="E1034">
        <v>0.45630816353267001</v>
      </c>
      <c r="F1034" t="s">
        <v>151</v>
      </c>
      <c r="G1034">
        <v>0.45630816353267001</v>
      </c>
    </row>
    <row r="1035" spans="1:7" x14ac:dyDescent="0.25">
      <c r="A1035" t="s">
        <v>159</v>
      </c>
      <c r="B1035" t="s">
        <v>54</v>
      </c>
      <c r="C1035" t="s">
        <v>35</v>
      </c>
      <c r="D1035" t="s">
        <v>154</v>
      </c>
      <c r="E1035">
        <v>4.4370047500516312E-2</v>
      </c>
      <c r="F1035" t="s">
        <v>151</v>
      </c>
      <c r="G1035">
        <v>4.4370047500516312E-2</v>
      </c>
    </row>
    <row r="1036" spans="1:7" x14ac:dyDescent="0.25">
      <c r="A1036" t="s">
        <v>159</v>
      </c>
      <c r="B1036" t="s">
        <v>54</v>
      </c>
      <c r="C1036" t="s">
        <v>36</v>
      </c>
      <c r="D1036" t="s">
        <v>154</v>
      </c>
      <c r="E1036">
        <v>0.1883750452665103</v>
      </c>
      <c r="F1036" t="s">
        <v>151</v>
      </c>
      <c r="G1036">
        <v>0.1883750452665103</v>
      </c>
    </row>
    <row r="1037" spans="1:7" x14ac:dyDescent="0.25">
      <c r="A1037" t="s">
        <v>159</v>
      </c>
      <c r="B1037" t="s">
        <v>54</v>
      </c>
      <c r="C1037" t="s">
        <v>37</v>
      </c>
      <c r="D1037" t="s">
        <v>154</v>
      </c>
      <c r="E1037">
        <v>0.22286512267581851</v>
      </c>
      <c r="F1037" t="s">
        <v>151</v>
      </c>
      <c r="G1037">
        <v>0.22286512267581851</v>
      </c>
    </row>
    <row r="1038" spans="1:7" x14ac:dyDescent="0.25">
      <c r="A1038" t="s">
        <v>159</v>
      </c>
      <c r="B1038" t="s">
        <v>54</v>
      </c>
      <c r="C1038" t="s">
        <v>38</v>
      </c>
      <c r="D1038" t="s">
        <v>154</v>
      </c>
      <c r="E1038">
        <v>8.8081621024484816E-2</v>
      </c>
      <c r="F1038" t="s">
        <v>151</v>
      </c>
      <c r="G1038">
        <v>8.8081621024484816E-2</v>
      </c>
    </row>
    <row r="1039" spans="1:7" x14ac:dyDescent="0.25">
      <c r="A1039" t="s">
        <v>159</v>
      </c>
      <c r="B1039" t="s">
        <v>54</v>
      </c>
      <c r="C1039" t="s">
        <v>45</v>
      </c>
      <c r="D1039" t="s">
        <v>155</v>
      </c>
      <c r="E1039">
        <v>1</v>
      </c>
      <c r="F1039" t="s">
        <v>156</v>
      </c>
      <c r="G1039">
        <v>0.72982194479141249</v>
      </c>
    </row>
    <row r="1040" spans="1:7" x14ac:dyDescent="0.25">
      <c r="A1040" t="s">
        <v>159</v>
      </c>
      <c r="B1040" t="s">
        <v>54</v>
      </c>
      <c r="C1040" t="s">
        <v>46</v>
      </c>
      <c r="D1040" t="s">
        <v>155</v>
      </c>
      <c r="E1040">
        <v>0</v>
      </c>
      <c r="F1040" t="s">
        <v>156</v>
      </c>
      <c r="G1040">
        <v>0.27017805520858751</v>
      </c>
    </row>
    <row r="1041" spans="1:7" x14ac:dyDescent="0.25">
      <c r="A1041" t="s">
        <v>159</v>
      </c>
      <c r="B1041" t="s">
        <v>54</v>
      </c>
      <c r="C1041" t="s">
        <v>50</v>
      </c>
      <c r="D1041" t="s">
        <v>157</v>
      </c>
      <c r="E1041">
        <v>0.42162495143522749</v>
      </c>
      <c r="F1041" t="s">
        <v>151</v>
      </c>
      <c r="G1041">
        <v>0.42162495143522749</v>
      </c>
    </row>
    <row r="1042" spans="1:7" x14ac:dyDescent="0.25">
      <c r="A1042" t="s">
        <v>159</v>
      </c>
      <c r="B1042" t="s">
        <v>54</v>
      </c>
      <c r="C1042" t="s">
        <v>51</v>
      </c>
      <c r="D1042" t="s">
        <v>157</v>
      </c>
      <c r="E1042">
        <v>0.57837504856477251</v>
      </c>
      <c r="F1042" t="s">
        <v>151</v>
      </c>
      <c r="G1042">
        <v>0.57837504856477251</v>
      </c>
    </row>
    <row r="1043" spans="1:7" x14ac:dyDescent="0.25">
      <c r="A1043" t="s">
        <v>159</v>
      </c>
      <c r="B1043" t="s">
        <v>56</v>
      </c>
      <c r="C1043" t="s">
        <v>1</v>
      </c>
      <c r="D1043" t="s">
        <v>150</v>
      </c>
      <c r="E1043">
        <v>0.94299868264323294</v>
      </c>
      <c r="F1043" t="s">
        <v>151</v>
      </c>
      <c r="G1043">
        <v>0.94299868264323294</v>
      </c>
    </row>
    <row r="1044" spans="1:7" x14ac:dyDescent="0.25">
      <c r="A1044" t="s">
        <v>159</v>
      </c>
      <c r="B1044" t="s">
        <v>56</v>
      </c>
      <c r="C1044" t="s">
        <v>2</v>
      </c>
      <c r="D1044" t="s">
        <v>150</v>
      </c>
      <c r="E1044">
        <v>4.1765731369656618E-2</v>
      </c>
      <c r="F1044" t="s">
        <v>151</v>
      </c>
      <c r="G1044">
        <v>4.1765731369656618E-2</v>
      </c>
    </row>
    <row r="1045" spans="1:7" x14ac:dyDescent="0.25">
      <c r="A1045" t="s">
        <v>159</v>
      </c>
      <c r="B1045" t="s">
        <v>56</v>
      </c>
      <c r="C1045" t="s">
        <v>3</v>
      </c>
      <c r="D1045" t="s">
        <v>150</v>
      </c>
      <c r="E1045">
        <v>1.523558598711041E-2</v>
      </c>
      <c r="F1045" t="s">
        <v>151</v>
      </c>
      <c r="G1045">
        <v>1.523558598711041E-2</v>
      </c>
    </row>
    <row r="1046" spans="1:7" x14ac:dyDescent="0.25">
      <c r="A1046" t="s">
        <v>159</v>
      </c>
      <c r="B1046" t="s">
        <v>56</v>
      </c>
      <c r="C1046" t="s">
        <v>6</v>
      </c>
      <c r="D1046" t="s">
        <v>152</v>
      </c>
      <c r="E1046">
        <v>0.43273688361237522</v>
      </c>
      <c r="F1046" t="s">
        <v>151</v>
      </c>
      <c r="G1046">
        <v>0.43273688361237522</v>
      </c>
    </row>
    <row r="1047" spans="1:7" x14ac:dyDescent="0.25">
      <c r="A1047" t="s">
        <v>159</v>
      </c>
      <c r="B1047" t="s">
        <v>56</v>
      </c>
      <c r="C1047" t="s">
        <v>7</v>
      </c>
      <c r="D1047" t="s">
        <v>152</v>
      </c>
      <c r="E1047">
        <v>0.56726311638762483</v>
      </c>
      <c r="F1047" t="s">
        <v>151</v>
      </c>
      <c r="G1047">
        <v>0.56726311638762483</v>
      </c>
    </row>
    <row r="1048" spans="1:7" x14ac:dyDescent="0.25">
      <c r="A1048" t="s">
        <v>159</v>
      </c>
      <c r="B1048" t="s">
        <v>56</v>
      </c>
      <c r="C1048" t="s">
        <v>26</v>
      </c>
      <c r="D1048" t="s">
        <v>153</v>
      </c>
      <c r="E1048">
        <v>0.1171368722490322</v>
      </c>
      <c r="F1048" t="s">
        <v>151</v>
      </c>
      <c r="G1048">
        <v>0.1171368722490322</v>
      </c>
    </row>
    <row r="1049" spans="1:7" x14ac:dyDescent="0.25">
      <c r="A1049" t="s">
        <v>159</v>
      </c>
      <c r="B1049" t="s">
        <v>56</v>
      </c>
      <c r="C1049" t="s">
        <v>27</v>
      </c>
      <c r="D1049" t="s">
        <v>153</v>
      </c>
      <c r="E1049">
        <v>0.88286312775096776</v>
      </c>
      <c r="F1049" t="s">
        <v>151</v>
      </c>
      <c r="G1049">
        <v>0.88286312775096776</v>
      </c>
    </row>
    <row r="1050" spans="1:7" x14ac:dyDescent="0.25">
      <c r="A1050" t="s">
        <v>159</v>
      </c>
      <c r="B1050" t="s">
        <v>56</v>
      </c>
      <c r="C1050" t="s">
        <v>34</v>
      </c>
      <c r="D1050" t="s">
        <v>154</v>
      </c>
      <c r="E1050">
        <v>0.45630816353267001</v>
      </c>
      <c r="F1050" t="s">
        <v>151</v>
      </c>
      <c r="G1050">
        <v>0.45630816353267001</v>
      </c>
    </row>
    <row r="1051" spans="1:7" x14ac:dyDescent="0.25">
      <c r="A1051" t="s">
        <v>159</v>
      </c>
      <c r="B1051" t="s">
        <v>56</v>
      </c>
      <c r="C1051" t="s">
        <v>35</v>
      </c>
      <c r="D1051" t="s">
        <v>154</v>
      </c>
      <c r="E1051">
        <v>4.4370047500516312E-2</v>
      </c>
      <c r="F1051" t="s">
        <v>151</v>
      </c>
      <c r="G1051">
        <v>4.4370047500516312E-2</v>
      </c>
    </row>
    <row r="1052" spans="1:7" x14ac:dyDescent="0.25">
      <c r="A1052" t="s">
        <v>159</v>
      </c>
      <c r="B1052" t="s">
        <v>56</v>
      </c>
      <c r="C1052" t="s">
        <v>36</v>
      </c>
      <c r="D1052" t="s">
        <v>154</v>
      </c>
      <c r="E1052">
        <v>0.1883750452665103</v>
      </c>
      <c r="F1052" t="s">
        <v>151</v>
      </c>
      <c r="G1052">
        <v>0.1883750452665103</v>
      </c>
    </row>
    <row r="1053" spans="1:7" x14ac:dyDescent="0.25">
      <c r="A1053" t="s">
        <v>159</v>
      </c>
      <c r="B1053" t="s">
        <v>56</v>
      </c>
      <c r="C1053" t="s">
        <v>37</v>
      </c>
      <c r="D1053" t="s">
        <v>154</v>
      </c>
      <c r="E1053">
        <v>0.22286512267581851</v>
      </c>
      <c r="F1053" t="s">
        <v>151</v>
      </c>
      <c r="G1053">
        <v>0.22286512267581851</v>
      </c>
    </row>
    <row r="1054" spans="1:7" x14ac:dyDescent="0.25">
      <c r="A1054" t="s">
        <v>159</v>
      </c>
      <c r="B1054" t="s">
        <v>56</v>
      </c>
      <c r="C1054" t="s">
        <v>38</v>
      </c>
      <c r="D1054" t="s">
        <v>154</v>
      </c>
      <c r="E1054">
        <v>8.8081621024484816E-2</v>
      </c>
      <c r="F1054" t="s">
        <v>151</v>
      </c>
      <c r="G1054">
        <v>8.8081621024484816E-2</v>
      </c>
    </row>
    <row r="1055" spans="1:7" x14ac:dyDescent="0.25">
      <c r="A1055" t="s">
        <v>159</v>
      </c>
      <c r="B1055" t="s">
        <v>56</v>
      </c>
      <c r="C1055" t="s">
        <v>45</v>
      </c>
      <c r="D1055" t="s">
        <v>155</v>
      </c>
      <c r="E1055">
        <v>1</v>
      </c>
      <c r="F1055" t="s">
        <v>156</v>
      </c>
      <c r="G1055">
        <v>0.72982194479141249</v>
      </c>
    </row>
    <row r="1056" spans="1:7" x14ac:dyDescent="0.25">
      <c r="A1056" t="s">
        <v>159</v>
      </c>
      <c r="B1056" t="s">
        <v>56</v>
      </c>
      <c r="C1056" t="s">
        <v>46</v>
      </c>
      <c r="D1056" t="s">
        <v>155</v>
      </c>
      <c r="E1056">
        <v>0</v>
      </c>
      <c r="F1056" t="s">
        <v>156</v>
      </c>
      <c r="G1056">
        <v>0.27017805520858751</v>
      </c>
    </row>
    <row r="1057" spans="1:7" x14ac:dyDescent="0.25">
      <c r="A1057" t="s">
        <v>159</v>
      </c>
      <c r="B1057" t="s">
        <v>56</v>
      </c>
      <c r="C1057" t="s">
        <v>50</v>
      </c>
      <c r="D1057" t="s">
        <v>157</v>
      </c>
      <c r="E1057">
        <v>0.42162495143522749</v>
      </c>
      <c r="F1057" t="s">
        <v>151</v>
      </c>
      <c r="G1057">
        <v>0.42162495143522749</v>
      </c>
    </row>
    <row r="1058" spans="1:7" x14ac:dyDescent="0.25">
      <c r="A1058" t="s">
        <v>159</v>
      </c>
      <c r="B1058" t="s">
        <v>56</v>
      </c>
      <c r="C1058" t="s">
        <v>51</v>
      </c>
      <c r="D1058" t="s">
        <v>157</v>
      </c>
      <c r="E1058">
        <v>0.57837504856477251</v>
      </c>
      <c r="F1058" t="s">
        <v>151</v>
      </c>
      <c r="G1058">
        <v>0.57837504856477251</v>
      </c>
    </row>
    <row r="1059" spans="1:7" x14ac:dyDescent="0.25">
      <c r="A1059" t="s">
        <v>159</v>
      </c>
      <c r="B1059" t="s">
        <v>66</v>
      </c>
      <c r="C1059" t="s">
        <v>1</v>
      </c>
      <c r="D1059" t="s">
        <v>150</v>
      </c>
      <c r="E1059">
        <v>0.94299868264323294</v>
      </c>
      <c r="F1059" t="s">
        <v>151</v>
      </c>
      <c r="G1059">
        <v>0.94299868264323294</v>
      </c>
    </row>
    <row r="1060" spans="1:7" x14ac:dyDescent="0.25">
      <c r="A1060" t="s">
        <v>159</v>
      </c>
      <c r="B1060" t="s">
        <v>66</v>
      </c>
      <c r="C1060" t="s">
        <v>2</v>
      </c>
      <c r="D1060" t="s">
        <v>150</v>
      </c>
      <c r="E1060">
        <v>4.1765731369656618E-2</v>
      </c>
      <c r="F1060" t="s">
        <v>151</v>
      </c>
      <c r="G1060">
        <v>4.1765731369656618E-2</v>
      </c>
    </row>
    <row r="1061" spans="1:7" x14ac:dyDescent="0.25">
      <c r="A1061" t="s">
        <v>159</v>
      </c>
      <c r="B1061" t="s">
        <v>66</v>
      </c>
      <c r="C1061" t="s">
        <v>3</v>
      </c>
      <c r="D1061" t="s">
        <v>150</v>
      </c>
      <c r="E1061">
        <v>1.523558598711041E-2</v>
      </c>
      <c r="F1061" t="s">
        <v>151</v>
      </c>
      <c r="G1061">
        <v>1.523558598711041E-2</v>
      </c>
    </row>
    <row r="1062" spans="1:7" x14ac:dyDescent="0.25">
      <c r="A1062" t="s">
        <v>159</v>
      </c>
      <c r="B1062" t="s">
        <v>66</v>
      </c>
      <c r="C1062" t="s">
        <v>6</v>
      </c>
      <c r="D1062" t="s">
        <v>152</v>
      </c>
      <c r="E1062">
        <v>0.43273688361237522</v>
      </c>
      <c r="F1062" t="s">
        <v>151</v>
      </c>
      <c r="G1062">
        <v>0.43273688361237522</v>
      </c>
    </row>
    <row r="1063" spans="1:7" x14ac:dyDescent="0.25">
      <c r="A1063" t="s">
        <v>159</v>
      </c>
      <c r="B1063" t="s">
        <v>66</v>
      </c>
      <c r="C1063" t="s">
        <v>7</v>
      </c>
      <c r="D1063" t="s">
        <v>152</v>
      </c>
      <c r="E1063">
        <v>0.56726311638762483</v>
      </c>
      <c r="F1063" t="s">
        <v>151</v>
      </c>
      <c r="G1063">
        <v>0.56726311638762483</v>
      </c>
    </row>
    <row r="1064" spans="1:7" x14ac:dyDescent="0.25">
      <c r="A1064" t="s">
        <v>159</v>
      </c>
      <c r="B1064" t="s">
        <v>66</v>
      </c>
      <c r="C1064" t="s">
        <v>26</v>
      </c>
      <c r="D1064" t="s">
        <v>153</v>
      </c>
      <c r="E1064">
        <v>0.1171368722490322</v>
      </c>
      <c r="F1064" t="s">
        <v>151</v>
      </c>
      <c r="G1064">
        <v>0.1171368722490322</v>
      </c>
    </row>
    <row r="1065" spans="1:7" x14ac:dyDescent="0.25">
      <c r="A1065" t="s">
        <v>159</v>
      </c>
      <c r="B1065" t="s">
        <v>66</v>
      </c>
      <c r="C1065" t="s">
        <v>27</v>
      </c>
      <c r="D1065" t="s">
        <v>153</v>
      </c>
      <c r="E1065">
        <v>0.88286312775096776</v>
      </c>
      <c r="F1065" t="s">
        <v>151</v>
      </c>
      <c r="G1065">
        <v>0.88286312775096776</v>
      </c>
    </row>
    <row r="1066" spans="1:7" x14ac:dyDescent="0.25">
      <c r="A1066" t="s">
        <v>159</v>
      </c>
      <c r="B1066" t="s">
        <v>66</v>
      </c>
      <c r="C1066" t="s">
        <v>34</v>
      </c>
      <c r="D1066" t="s">
        <v>154</v>
      </c>
      <c r="E1066">
        <v>0.45630816353267001</v>
      </c>
      <c r="F1066" t="s">
        <v>151</v>
      </c>
      <c r="G1066">
        <v>0.45630816353267001</v>
      </c>
    </row>
    <row r="1067" spans="1:7" x14ac:dyDescent="0.25">
      <c r="A1067" t="s">
        <v>159</v>
      </c>
      <c r="B1067" t="s">
        <v>66</v>
      </c>
      <c r="C1067" t="s">
        <v>35</v>
      </c>
      <c r="D1067" t="s">
        <v>154</v>
      </c>
      <c r="E1067">
        <v>4.4370047500516312E-2</v>
      </c>
      <c r="F1067" t="s">
        <v>151</v>
      </c>
      <c r="G1067">
        <v>4.4370047500516312E-2</v>
      </c>
    </row>
    <row r="1068" spans="1:7" x14ac:dyDescent="0.25">
      <c r="A1068" t="s">
        <v>159</v>
      </c>
      <c r="B1068" t="s">
        <v>66</v>
      </c>
      <c r="C1068" t="s">
        <v>36</v>
      </c>
      <c r="D1068" t="s">
        <v>154</v>
      </c>
      <c r="E1068">
        <v>0.1883750452665103</v>
      </c>
      <c r="F1068" t="s">
        <v>151</v>
      </c>
      <c r="G1068">
        <v>0.1883750452665103</v>
      </c>
    </row>
    <row r="1069" spans="1:7" x14ac:dyDescent="0.25">
      <c r="A1069" t="s">
        <v>159</v>
      </c>
      <c r="B1069" t="s">
        <v>66</v>
      </c>
      <c r="C1069" t="s">
        <v>37</v>
      </c>
      <c r="D1069" t="s">
        <v>154</v>
      </c>
      <c r="E1069">
        <v>0.22286512267581851</v>
      </c>
      <c r="F1069" t="s">
        <v>151</v>
      </c>
      <c r="G1069">
        <v>0.22286512267581851</v>
      </c>
    </row>
    <row r="1070" spans="1:7" x14ac:dyDescent="0.25">
      <c r="A1070" t="s">
        <v>159</v>
      </c>
      <c r="B1070" t="s">
        <v>66</v>
      </c>
      <c r="C1070" t="s">
        <v>38</v>
      </c>
      <c r="D1070" t="s">
        <v>154</v>
      </c>
      <c r="E1070">
        <v>8.8081621024484816E-2</v>
      </c>
      <c r="F1070" t="s">
        <v>151</v>
      </c>
      <c r="G1070">
        <v>8.8081621024484816E-2</v>
      </c>
    </row>
    <row r="1071" spans="1:7" x14ac:dyDescent="0.25">
      <c r="A1071" t="s">
        <v>159</v>
      </c>
      <c r="B1071" t="s">
        <v>66</v>
      </c>
      <c r="C1071" t="s">
        <v>45</v>
      </c>
      <c r="D1071" t="s">
        <v>155</v>
      </c>
      <c r="E1071">
        <v>1</v>
      </c>
      <c r="F1071" t="s">
        <v>156</v>
      </c>
      <c r="G1071">
        <v>0.72982194479141249</v>
      </c>
    </row>
    <row r="1072" spans="1:7" x14ac:dyDescent="0.25">
      <c r="A1072" t="s">
        <v>159</v>
      </c>
      <c r="B1072" t="s">
        <v>66</v>
      </c>
      <c r="C1072" t="s">
        <v>46</v>
      </c>
      <c r="D1072" t="s">
        <v>155</v>
      </c>
      <c r="E1072">
        <v>0</v>
      </c>
      <c r="F1072" t="s">
        <v>156</v>
      </c>
      <c r="G1072">
        <v>0.27017805520858751</v>
      </c>
    </row>
    <row r="1073" spans="1:7" x14ac:dyDescent="0.25">
      <c r="A1073" t="s">
        <v>159</v>
      </c>
      <c r="B1073" t="s">
        <v>66</v>
      </c>
      <c r="C1073" t="s">
        <v>50</v>
      </c>
      <c r="D1073" t="s">
        <v>157</v>
      </c>
      <c r="E1073">
        <v>0.42162495143522749</v>
      </c>
      <c r="F1073" t="s">
        <v>151</v>
      </c>
      <c r="G1073">
        <v>0.42162495143522749</v>
      </c>
    </row>
    <row r="1074" spans="1:7" x14ac:dyDescent="0.25">
      <c r="A1074" t="s">
        <v>159</v>
      </c>
      <c r="B1074" t="s">
        <v>66</v>
      </c>
      <c r="C1074" t="s">
        <v>51</v>
      </c>
      <c r="D1074" t="s">
        <v>157</v>
      </c>
      <c r="E1074">
        <v>0.57837504856477251</v>
      </c>
      <c r="F1074" t="s">
        <v>151</v>
      </c>
      <c r="G1074">
        <v>0.57837504856477251</v>
      </c>
    </row>
    <row r="1075" spans="1:7" x14ac:dyDescent="0.25">
      <c r="A1075" t="s">
        <v>159</v>
      </c>
      <c r="B1075" t="s">
        <v>63</v>
      </c>
      <c r="C1075" t="s">
        <v>1</v>
      </c>
      <c r="D1075" t="s">
        <v>150</v>
      </c>
      <c r="E1075">
        <v>0.94299868264323294</v>
      </c>
      <c r="F1075" t="s">
        <v>151</v>
      </c>
      <c r="G1075">
        <v>0.94299868264323294</v>
      </c>
    </row>
    <row r="1076" spans="1:7" x14ac:dyDescent="0.25">
      <c r="A1076" t="s">
        <v>159</v>
      </c>
      <c r="B1076" t="s">
        <v>63</v>
      </c>
      <c r="C1076" t="s">
        <v>2</v>
      </c>
      <c r="D1076" t="s">
        <v>150</v>
      </c>
      <c r="E1076">
        <v>4.1765731369656618E-2</v>
      </c>
      <c r="F1076" t="s">
        <v>151</v>
      </c>
      <c r="G1076">
        <v>4.1765731369656618E-2</v>
      </c>
    </row>
    <row r="1077" spans="1:7" x14ac:dyDescent="0.25">
      <c r="A1077" t="s">
        <v>159</v>
      </c>
      <c r="B1077" t="s">
        <v>63</v>
      </c>
      <c r="C1077" t="s">
        <v>3</v>
      </c>
      <c r="D1077" t="s">
        <v>150</v>
      </c>
      <c r="E1077">
        <v>1.523558598711041E-2</v>
      </c>
      <c r="F1077" t="s">
        <v>151</v>
      </c>
      <c r="G1077">
        <v>1.523558598711041E-2</v>
      </c>
    </row>
    <row r="1078" spans="1:7" x14ac:dyDescent="0.25">
      <c r="A1078" t="s">
        <v>159</v>
      </c>
      <c r="B1078" t="s">
        <v>63</v>
      </c>
      <c r="C1078" t="s">
        <v>6</v>
      </c>
      <c r="D1078" t="s">
        <v>152</v>
      </c>
      <c r="E1078">
        <v>0.43273688361237522</v>
      </c>
      <c r="F1078" t="s">
        <v>151</v>
      </c>
      <c r="G1078">
        <v>0.43273688361237522</v>
      </c>
    </row>
    <row r="1079" spans="1:7" x14ac:dyDescent="0.25">
      <c r="A1079" t="s">
        <v>159</v>
      </c>
      <c r="B1079" t="s">
        <v>63</v>
      </c>
      <c r="C1079" t="s">
        <v>7</v>
      </c>
      <c r="D1079" t="s">
        <v>152</v>
      </c>
      <c r="E1079">
        <v>0.56726311638762483</v>
      </c>
      <c r="F1079" t="s">
        <v>151</v>
      </c>
      <c r="G1079">
        <v>0.56726311638762483</v>
      </c>
    </row>
    <row r="1080" spans="1:7" x14ac:dyDescent="0.25">
      <c r="A1080" t="s">
        <v>159</v>
      </c>
      <c r="B1080" t="s">
        <v>63</v>
      </c>
      <c r="C1080" t="s">
        <v>26</v>
      </c>
      <c r="D1080" t="s">
        <v>153</v>
      </c>
      <c r="E1080">
        <v>0.1171368722490322</v>
      </c>
      <c r="F1080" t="s">
        <v>151</v>
      </c>
      <c r="G1080">
        <v>0.1171368722490322</v>
      </c>
    </row>
    <row r="1081" spans="1:7" x14ac:dyDescent="0.25">
      <c r="A1081" t="s">
        <v>159</v>
      </c>
      <c r="B1081" t="s">
        <v>63</v>
      </c>
      <c r="C1081" t="s">
        <v>27</v>
      </c>
      <c r="D1081" t="s">
        <v>153</v>
      </c>
      <c r="E1081">
        <v>0.88286312775096776</v>
      </c>
      <c r="F1081" t="s">
        <v>151</v>
      </c>
      <c r="G1081">
        <v>0.88286312775096776</v>
      </c>
    </row>
    <row r="1082" spans="1:7" x14ac:dyDescent="0.25">
      <c r="A1082" t="s">
        <v>159</v>
      </c>
      <c r="B1082" t="s">
        <v>63</v>
      </c>
      <c r="C1082" t="s">
        <v>34</v>
      </c>
      <c r="D1082" t="s">
        <v>154</v>
      </c>
      <c r="E1082">
        <v>0.45630816353267001</v>
      </c>
      <c r="F1082" t="s">
        <v>151</v>
      </c>
      <c r="G1082">
        <v>0.45630816353267001</v>
      </c>
    </row>
    <row r="1083" spans="1:7" x14ac:dyDescent="0.25">
      <c r="A1083" t="s">
        <v>159</v>
      </c>
      <c r="B1083" t="s">
        <v>63</v>
      </c>
      <c r="C1083" t="s">
        <v>35</v>
      </c>
      <c r="D1083" t="s">
        <v>154</v>
      </c>
      <c r="E1083">
        <v>4.4370047500516312E-2</v>
      </c>
      <c r="F1083" t="s">
        <v>151</v>
      </c>
      <c r="G1083">
        <v>4.4370047500516312E-2</v>
      </c>
    </row>
    <row r="1084" spans="1:7" x14ac:dyDescent="0.25">
      <c r="A1084" t="s">
        <v>159</v>
      </c>
      <c r="B1084" t="s">
        <v>63</v>
      </c>
      <c r="C1084" t="s">
        <v>36</v>
      </c>
      <c r="D1084" t="s">
        <v>154</v>
      </c>
      <c r="E1084">
        <v>0.1883750452665103</v>
      </c>
      <c r="F1084" t="s">
        <v>151</v>
      </c>
      <c r="G1084">
        <v>0.1883750452665103</v>
      </c>
    </row>
    <row r="1085" spans="1:7" x14ac:dyDescent="0.25">
      <c r="A1085" t="s">
        <v>159</v>
      </c>
      <c r="B1085" t="s">
        <v>63</v>
      </c>
      <c r="C1085" t="s">
        <v>37</v>
      </c>
      <c r="D1085" t="s">
        <v>154</v>
      </c>
      <c r="E1085">
        <v>0.22286512267581851</v>
      </c>
      <c r="F1085" t="s">
        <v>151</v>
      </c>
      <c r="G1085">
        <v>0.22286512267581851</v>
      </c>
    </row>
    <row r="1086" spans="1:7" x14ac:dyDescent="0.25">
      <c r="A1086" t="s">
        <v>159</v>
      </c>
      <c r="B1086" t="s">
        <v>63</v>
      </c>
      <c r="C1086" t="s">
        <v>38</v>
      </c>
      <c r="D1086" t="s">
        <v>154</v>
      </c>
      <c r="E1086">
        <v>8.8081621024484816E-2</v>
      </c>
      <c r="F1086" t="s">
        <v>151</v>
      </c>
      <c r="G1086">
        <v>8.8081621024484816E-2</v>
      </c>
    </row>
    <row r="1087" spans="1:7" x14ac:dyDescent="0.25">
      <c r="A1087" t="s">
        <v>159</v>
      </c>
      <c r="B1087" t="s">
        <v>63</v>
      </c>
      <c r="C1087" t="s">
        <v>45</v>
      </c>
      <c r="D1087" t="s">
        <v>155</v>
      </c>
      <c r="E1087">
        <v>1</v>
      </c>
      <c r="F1087" t="s">
        <v>156</v>
      </c>
      <c r="G1087">
        <v>0.72982194479141249</v>
      </c>
    </row>
    <row r="1088" spans="1:7" x14ac:dyDescent="0.25">
      <c r="A1088" t="s">
        <v>159</v>
      </c>
      <c r="B1088" t="s">
        <v>63</v>
      </c>
      <c r="C1088" t="s">
        <v>46</v>
      </c>
      <c r="D1088" t="s">
        <v>155</v>
      </c>
      <c r="E1088">
        <v>0</v>
      </c>
      <c r="F1088" t="s">
        <v>156</v>
      </c>
      <c r="G1088">
        <v>0.27017805520858751</v>
      </c>
    </row>
    <row r="1089" spans="1:7" x14ac:dyDescent="0.25">
      <c r="A1089" t="s">
        <v>159</v>
      </c>
      <c r="B1089" t="s">
        <v>63</v>
      </c>
      <c r="C1089" t="s">
        <v>50</v>
      </c>
      <c r="D1089" t="s">
        <v>157</v>
      </c>
      <c r="E1089">
        <v>0.42162495143522749</v>
      </c>
      <c r="F1089" t="s">
        <v>151</v>
      </c>
      <c r="G1089">
        <v>0.42162495143522749</v>
      </c>
    </row>
    <row r="1090" spans="1:7" x14ac:dyDescent="0.25">
      <c r="A1090" t="s">
        <v>159</v>
      </c>
      <c r="B1090" t="s">
        <v>63</v>
      </c>
      <c r="C1090" t="s">
        <v>51</v>
      </c>
      <c r="D1090" t="s">
        <v>157</v>
      </c>
      <c r="E1090">
        <v>0.57837504856477251</v>
      </c>
      <c r="F1090" t="s">
        <v>151</v>
      </c>
      <c r="G1090">
        <v>0.57837504856477251</v>
      </c>
    </row>
    <row r="1091" spans="1:7" x14ac:dyDescent="0.25">
      <c r="A1091" t="s">
        <v>159</v>
      </c>
      <c r="B1091" t="s">
        <v>74</v>
      </c>
      <c r="C1091" t="s">
        <v>1</v>
      </c>
      <c r="D1091" t="s">
        <v>150</v>
      </c>
      <c r="E1091">
        <v>0.94299868264323294</v>
      </c>
      <c r="F1091" t="s">
        <v>151</v>
      </c>
      <c r="G1091">
        <v>0.94299868264323294</v>
      </c>
    </row>
    <row r="1092" spans="1:7" x14ac:dyDescent="0.25">
      <c r="A1092" t="s">
        <v>159</v>
      </c>
      <c r="B1092" t="s">
        <v>74</v>
      </c>
      <c r="C1092" t="s">
        <v>2</v>
      </c>
      <c r="D1092" t="s">
        <v>150</v>
      </c>
      <c r="E1092">
        <v>4.1765731369656618E-2</v>
      </c>
      <c r="F1092" t="s">
        <v>151</v>
      </c>
      <c r="G1092">
        <v>4.1765731369656618E-2</v>
      </c>
    </row>
    <row r="1093" spans="1:7" x14ac:dyDescent="0.25">
      <c r="A1093" t="s">
        <v>159</v>
      </c>
      <c r="B1093" t="s">
        <v>74</v>
      </c>
      <c r="C1093" t="s">
        <v>3</v>
      </c>
      <c r="D1093" t="s">
        <v>150</v>
      </c>
      <c r="E1093">
        <v>1.523558598711041E-2</v>
      </c>
      <c r="F1093" t="s">
        <v>151</v>
      </c>
      <c r="G1093">
        <v>1.523558598711041E-2</v>
      </c>
    </row>
    <row r="1094" spans="1:7" x14ac:dyDescent="0.25">
      <c r="A1094" t="s">
        <v>159</v>
      </c>
      <c r="B1094" t="s">
        <v>74</v>
      </c>
      <c r="C1094" t="s">
        <v>6</v>
      </c>
      <c r="D1094" t="s">
        <v>152</v>
      </c>
      <c r="E1094">
        <v>0.43273688361237522</v>
      </c>
      <c r="F1094" t="s">
        <v>151</v>
      </c>
      <c r="G1094">
        <v>0.43273688361237522</v>
      </c>
    </row>
    <row r="1095" spans="1:7" x14ac:dyDescent="0.25">
      <c r="A1095" t="s">
        <v>159</v>
      </c>
      <c r="B1095" t="s">
        <v>74</v>
      </c>
      <c r="C1095" t="s">
        <v>7</v>
      </c>
      <c r="D1095" t="s">
        <v>152</v>
      </c>
      <c r="E1095">
        <v>0.56726311638762483</v>
      </c>
      <c r="F1095" t="s">
        <v>151</v>
      </c>
      <c r="G1095">
        <v>0.56726311638762483</v>
      </c>
    </row>
    <row r="1096" spans="1:7" x14ac:dyDescent="0.25">
      <c r="A1096" t="s">
        <v>159</v>
      </c>
      <c r="B1096" t="s">
        <v>74</v>
      </c>
      <c r="C1096" t="s">
        <v>26</v>
      </c>
      <c r="D1096" t="s">
        <v>153</v>
      </c>
      <c r="E1096">
        <v>0.1171368722490322</v>
      </c>
      <c r="F1096" t="s">
        <v>151</v>
      </c>
      <c r="G1096">
        <v>0.1171368722490322</v>
      </c>
    </row>
    <row r="1097" spans="1:7" x14ac:dyDescent="0.25">
      <c r="A1097" t="s">
        <v>159</v>
      </c>
      <c r="B1097" t="s">
        <v>74</v>
      </c>
      <c r="C1097" t="s">
        <v>27</v>
      </c>
      <c r="D1097" t="s">
        <v>153</v>
      </c>
      <c r="E1097">
        <v>0.88286312775096776</v>
      </c>
      <c r="F1097" t="s">
        <v>151</v>
      </c>
      <c r="G1097">
        <v>0.88286312775096776</v>
      </c>
    </row>
    <row r="1098" spans="1:7" x14ac:dyDescent="0.25">
      <c r="A1098" t="s">
        <v>159</v>
      </c>
      <c r="B1098" t="s">
        <v>74</v>
      </c>
      <c r="C1098" t="s">
        <v>34</v>
      </c>
      <c r="D1098" t="s">
        <v>154</v>
      </c>
      <c r="E1098">
        <v>0.45630816353267001</v>
      </c>
      <c r="F1098" t="s">
        <v>151</v>
      </c>
      <c r="G1098">
        <v>0.45630816353267001</v>
      </c>
    </row>
    <row r="1099" spans="1:7" x14ac:dyDescent="0.25">
      <c r="A1099" t="s">
        <v>159</v>
      </c>
      <c r="B1099" t="s">
        <v>74</v>
      </c>
      <c r="C1099" t="s">
        <v>35</v>
      </c>
      <c r="D1099" t="s">
        <v>154</v>
      </c>
      <c r="E1099">
        <v>4.4370047500516312E-2</v>
      </c>
      <c r="F1099" t="s">
        <v>151</v>
      </c>
      <c r="G1099">
        <v>4.4370047500516312E-2</v>
      </c>
    </row>
    <row r="1100" spans="1:7" x14ac:dyDescent="0.25">
      <c r="A1100" t="s">
        <v>159</v>
      </c>
      <c r="B1100" t="s">
        <v>74</v>
      </c>
      <c r="C1100" t="s">
        <v>36</v>
      </c>
      <c r="D1100" t="s">
        <v>154</v>
      </c>
      <c r="E1100">
        <v>0.1883750452665103</v>
      </c>
      <c r="F1100" t="s">
        <v>151</v>
      </c>
      <c r="G1100">
        <v>0.1883750452665103</v>
      </c>
    </row>
    <row r="1101" spans="1:7" x14ac:dyDescent="0.25">
      <c r="A1101" t="s">
        <v>159</v>
      </c>
      <c r="B1101" t="s">
        <v>74</v>
      </c>
      <c r="C1101" t="s">
        <v>37</v>
      </c>
      <c r="D1101" t="s">
        <v>154</v>
      </c>
      <c r="E1101">
        <v>0.22286512267581851</v>
      </c>
      <c r="F1101" t="s">
        <v>151</v>
      </c>
      <c r="G1101">
        <v>0.22286512267581851</v>
      </c>
    </row>
    <row r="1102" spans="1:7" x14ac:dyDescent="0.25">
      <c r="A1102" t="s">
        <v>159</v>
      </c>
      <c r="B1102" t="s">
        <v>74</v>
      </c>
      <c r="C1102" t="s">
        <v>38</v>
      </c>
      <c r="D1102" t="s">
        <v>154</v>
      </c>
      <c r="E1102">
        <v>8.8081621024484816E-2</v>
      </c>
      <c r="F1102" t="s">
        <v>151</v>
      </c>
      <c r="G1102">
        <v>8.8081621024484816E-2</v>
      </c>
    </row>
    <row r="1103" spans="1:7" x14ac:dyDescent="0.25">
      <c r="A1103" t="s">
        <v>159</v>
      </c>
      <c r="B1103" t="s">
        <v>74</v>
      </c>
      <c r="C1103" t="s">
        <v>45</v>
      </c>
      <c r="D1103" t="s">
        <v>155</v>
      </c>
      <c r="E1103">
        <v>1</v>
      </c>
      <c r="F1103" t="s">
        <v>156</v>
      </c>
      <c r="G1103">
        <v>0.72982194479141249</v>
      </c>
    </row>
    <row r="1104" spans="1:7" x14ac:dyDescent="0.25">
      <c r="A1104" t="s">
        <v>159</v>
      </c>
      <c r="B1104" t="s">
        <v>74</v>
      </c>
      <c r="C1104" t="s">
        <v>46</v>
      </c>
      <c r="D1104" t="s">
        <v>155</v>
      </c>
      <c r="E1104">
        <v>0</v>
      </c>
      <c r="F1104" t="s">
        <v>156</v>
      </c>
      <c r="G1104">
        <v>0.27017805520858751</v>
      </c>
    </row>
    <row r="1105" spans="1:7" x14ac:dyDescent="0.25">
      <c r="A1105" t="s">
        <v>159</v>
      </c>
      <c r="B1105" t="s">
        <v>74</v>
      </c>
      <c r="C1105" t="s">
        <v>50</v>
      </c>
      <c r="D1105" t="s">
        <v>157</v>
      </c>
      <c r="E1105">
        <v>0.42162495143522749</v>
      </c>
      <c r="F1105" t="s">
        <v>151</v>
      </c>
      <c r="G1105">
        <v>0.42162495143522749</v>
      </c>
    </row>
    <row r="1106" spans="1:7" x14ac:dyDescent="0.25">
      <c r="A1106" t="s">
        <v>159</v>
      </c>
      <c r="B1106" t="s">
        <v>74</v>
      </c>
      <c r="C1106" t="s">
        <v>51</v>
      </c>
      <c r="D1106" t="s">
        <v>157</v>
      </c>
      <c r="E1106">
        <v>0.57837504856477251</v>
      </c>
      <c r="F1106" t="s">
        <v>151</v>
      </c>
      <c r="G1106">
        <v>0.57837504856477251</v>
      </c>
    </row>
    <row r="1107" spans="1:7" x14ac:dyDescent="0.25">
      <c r="A1107" t="s">
        <v>159</v>
      </c>
      <c r="B1107" t="s">
        <v>59</v>
      </c>
      <c r="C1107" t="s">
        <v>1</v>
      </c>
      <c r="D1107" t="s">
        <v>150</v>
      </c>
      <c r="E1107">
        <v>0.94299868264323294</v>
      </c>
      <c r="F1107" t="s">
        <v>151</v>
      </c>
      <c r="G1107">
        <v>0.94299868264323294</v>
      </c>
    </row>
    <row r="1108" spans="1:7" x14ac:dyDescent="0.25">
      <c r="A1108" t="s">
        <v>159</v>
      </c>
      <c r="B1108" t="s">
        <v>59</v>
      </c>
      <c r="C1108" t="s">
        <v>2</v>
      </c>
      <c r="D1108" t="s">
        <v>150</v>
      </c>
      <c r="E1108">
        <v>4.1765731369656618E-2</v>
      </c>
      <c r="F1108" t="s">
        <v>151</v>
      </c>
      <c r="G1108">
        <v>4.1765731369656618E-2</v>
      </c>
    </row>
    <row r="1109" spans="1:7" x14ac:dyDescent="0.25">
      <c r="A1109" t="s">
        <v>159</v>
      </c>
      <c r="B1109" t="s">
        <v>59</v>
      </c>
      <c r="C1109" t="s">
        <v>3</v>
      </c>
      <c r="D1109" t="s">
        <v>150</v>
      </c>
      <c r="E1109">
        <v>1.523558598711041E-2</v>
      </c>
      <c r="F1109" t="s">
        <v>151</v>
      </c>
      <c r="G1109">
        <v>1.523558598711041E-2</v>
      </c>
    </row>
    <row r="1110" spans="1:7" x14ac:dyDescent="0.25">
      <c r="A1110" t="s">
        <v>159</v>
      </c>
      <c r="B1110" t="s">
        <v>59</v>
      </c>
      <c r="C1110" t="s">
        <v>6</v>
      </c>
      <c r="D1110" t="s">
        <v>152</v>
      </c>
      <c r="E1110">
        <v>0.43273688361237522</v>
      </c>
      <c r="F1110" t="s">
        <v>151</v>
      </c>
      <c r="G1110">
        <v>0.43273688361237522</v>
      </c>
    </row>
    <row r="1111" spans="1:7" x14ac:dyDescent="0.25">
      <c r="A1111" t="s">
        <v>159</v>
      </c>
      <c r="B1111" t="s">
        <v>59</v>
      </c>
      <c r="C1111" t="s">
        <v>7</v>
      </c>
      <c r="D1111" t="s">
        <v>152</v>
      </c>
      <c r="E1111">
        <v>0.56726311638762483</v>
      </c>
      <c r="F1111" t="s">
        <v>151</v>
      </c>
      <c r="G1111">
        <v>0.56726311638762483</v>
      </c>
    </row>
    <row r="1112" spans="1:7" x14ac:dyDescent="0.25">
      <c r="A1112" t="s">
        <v>159</v>
      </c>
      <c r="B1112" t="s">
        <v>59</v>
      </c>
      <c r="C1112" t="s">
        <v>26</v>
      </c>
      <c r="D1112" t="s">
        <v>153</v>
      </c>
      <c r="E1112">
        <v>0.1171368722490322</v>
      </c>
      <c r="F1112" t="s">
        <v>151</v>
      </c>
      <c r="G1112">
        <v>0.1171368722490322</v>
      </c>
    </row>
    <row r="1113" spans="1:7" x14ac:dyDescent="0.25">
      <c r="A1113" t="s">
        <v>159</v>
      </c>
      <c r="B1113" t="s">
        <v>59</v>
      </c>
      <c r="C1113" t="s">
        <v>27</v>
      </c>
      <c r="D1113" t="s">
        <v>153</v>
      </c>
      <c r="E1113">
        <v>0.88286312775096776</v>
      </c>
      <c r="F1113" t="s">
        <v>151</v>
      </c>
      <c r="G1113">
        <v>0.88286312775096776</v>
      </c>
    </row>
    <row r="1114" spans="1:7" x14ac:dyDescent="0.25">
      <c r="A1114" t="s">
        <v>159</v>
      </c>
      <c r="B1114" t="s">
        <v>59</v>
      </c>
      <c r="C1114" t="s">
        <v>34</v>
      </c>
      <c r="D1114" t="s">
        <v>154</v>
      </c>
      <c r="E1114">
        <v>0.45630816353267001</v>
      </c>
      <c r="F1114" t="s">
        <v>151</v>
      </c>
      <c r="G1114">
        <v>0.45630816353267001</v>
      </c>
    </row>
    <row r="1115" spans="1:7" x14ac:dyDescent="0.25">
      <c r="A1115" t="s">
        <v>159</v>
      </c>
      <c r="B1115" t="s">
        <v>59</v>
      </c>
      <c r="C1115" t="s">
        <v>35</v>
      </c>
      <c r="D1115" t="s">
        <v>154</v>
      </c>
      <c r="E1115">
        <v>4.4370047500516312E-2</v>
      </c>
      <c r="F1115" t="s">
        <v>151</v>
      </c>
      <c r="G1115">
        <v>4.4370047500516312E-2</v>
      </c>
    </row>
    <row r="1116" spans="1:7" x14ac:dyDescent="0.25">
      <c r="A1116" t="s">
        <v>159</v>
      </c>
      <c r="B1116" t="s">
        <v>59</v>
      </c>
      <c r="C1116" t="s">
        <v>36</v>
      </c>
      <c r="D1116" t="s">
        <v>154</v>
      </c>
      <c r="E1116">
        <v>0.1883750452665103</v>
      </c>
      <c r="F1116" t="s">
        <v>151</v>
      </c>
      <c r="G1116">
        <v>0.1883750452665103</v>
      </c>
    </row>
    <row r="1117" spans="1:7" x14ac:dyDescent="0.25">
      <c r="A1117" t="s">
        <v>159</v>
      </c>
      <c r="B1117" t="s">
        <v>59</v>
      </c>
      <c r="C1117" t="s">
        <v>37</v>
      </c>
      <c r="D1117" t="s">
        <v>154</v>
      </c>
      <c r="E1117">
        <v>0.22286512267581851</v>
      </c>
      <c r="F1117" t="s">
        <v>151</v>
      </c>
      <c r="G1117">
        <v>0.22286512267581851</v>
      </c>
    </row>
    <row r="1118" spans="1:7" x14ac:dyDescent="0.25">
      <c r="A1118" t="s">
        <v>159</v>
      </c>
      <c r="B1118" t="s">
        <v>59</v>
      </c>
      <c r="C1118" t="s">
        <v>38</v>
      </c>
      <c r="D1118" t="s">
        <v>154</v>
      </c>
      <c r="E1118">
        <v>8.8081621024484816E-2</v>
      </c>
      <c r="F1118" t="s">
        <v>151</v>
      </c>
      <c r="G1118">
        <v>8.8081621024484816E-2</v>
      </c>
    </row>
    <row r="1119" spans="1:7" x14ac:dyDescent="0.25">
      <c r="A1119" t="s">
        <v>159</v>
      </c>
      <c r="B1119" t="s">
        <v>59</v>
      </c>
      <c r="C1119" t="s">
        <v>45</v>
      </c>
      <c r="D1119" t="s">
        <v>155</v>
      </c>
      <c r="E1119">
        <v>1</v>
      </c>
      <c r="F1119" t="s">
        <v>156</v>
      </c>
      <c r="G1119">
        <v>0.72982194479141249</v>
      </c>
    </row>
    <row r="1120" spans="1:7" x14ac:dyDescent="0.25">
      <c r="A1120" t="s">
        <v>159</v>
      </c>
      <c r="B1120" t="s">
        <v>59</v>
      </c>
      <c r="C1120" t="s">
        <v>46</v>
      </c>
      <c r="D1120" t="s">
        <v>155</v>
      </c>
      <c r="E1120">
        <v>0</v>
      </c>
      <c r="F1120" t="s">
        <v>156</v>
      </c>
      <c r="G1120">
        <v>0.27017805520858751</v>
      </c>
    </row>
    <row r="1121" spans="1:7" x14ac:dyDescent="0.25">
      <c r="A1121" t="s">
        <v>159</v>
      </c>
      <c r="B1121" t="s">
        <v>59</v>
      </c>
      <c r="C1121" t="s">
        <v>50</v>
      </c>
      <c r="D1121" t="s">
        <v>157</v>
      </c>
      <c r="E1121">
        <v>0.42162495143522749</v>
      </c>
      <c r="F1121" t="s">
        <v>151</v>
      </c>
      <c r="G1121">
        <v>0.42162495143522749</v>
      </c>
    </row>
    <row r="1122" spans="1:7" x14ac:dyDescent="0.25">
      <c r="A1122" t="s">
        <v>159</v>
      </c>
      <c r="B1122" t="s">
        <v>59</v>
      </c>
      <c r="C1122" t="s">
        <v>51</v>
      </c>
      <c r="D1122" t="s">
        <v>157</v>
      </c>
      <c r="E1122">
        <v>0.57837504856477251</v>
      </c>
      <c r="F1122" t="s">
        <v>151</v>
      </c>
      <c r="G1122">
        <v>0.57837504856477251</v>
      </c>
    </row>
    <row r="1123" spans="1:7" x14ac:dyDescent="0.25">
      <c r="A1123" t="s">
        <v>159</v>
      </c>
      <c r="B1123" t="s">
        <v>60</v>
      </c>
      <c r="C1123" t="s">
        <v>1</v>
      </c>
      <c r="D1123" t="s">
        <v>150</v>
      </c>
      <c r="E1123">
        <v>0.94299868264323294</v>
      </c>
      <c r="F1123" t="s">
        <v>151</v>
      </c>
      <c r="G1123">
        <v>0.94299868264323294</v>
      </c>
    </row>
    <row r="1124" spans="1:7" x14ac:dyDescent="0.25">
      <c r="A1124" t="s">
        <v>159</v>
      </c>
      <c r="B1124" t="s">
        <v>60</v>
      </c>
      <c r="C1124" t="s">
        <v>2</v>
      </c>
      <c r="D1124" t="s">
        <v>150</v>
      </c>
      <c r="E1124">
        <v>4.1765731369656618E-2</v>
      </c>
      <c r="F1124" t="s">
        <v>151</v>
      </c>
      <c r="G1124">
        <v>4.1765731369656618E-2</v>
      </c>
    </row>
    <row r="1125" spans="1:7" x14ac:dyDescent="0.25">
      <c r="A1125" t="s">
        <v>159</v>
      </c>
      <c r="B1125" t="s">
        <v>60</v>
      </c>
      <c r="C1125" t="s">
        <v>3</v>
      </c>
      <c r="D1125" t="s">
        <v>150</v>
      </c>
      <c r="E1125">
        <v>1.523558598711041E-2</v>
      </c>
      <c r="F1125" t="s">
        <v>151</v>
      </c>
      <c r="G1125">
        <v>1.523558598711041E-2</v>
      </c>
    </row>
    <row r="1126" spans="1:7" x14ac:dyDescent="0.25">
      <c r="A1126" t="s">
        <v>159</v>
      </c>
      <c r="B1126" t="s">
        <v>60</v>
      </c>
      <c r="C1126" t="s">
        <v>6</v>
      </c>
      <c r="D1126" t="s">
        <v>152</v>
      </c>
      <c r="E1126">
        <v>0.43273688361237522</v>
      </c>
      <c r="F1126" t="s">
        <v>151</v>
      </c>
      <c r="G1126">
        <v>0.43273688361237522</v>
      </c>
    </row>
    <row r="1127" spans="1:7" x14ac:dyDescent="0.25">
      <c r="A1127" t="s">
        <v>159</v>
      </c>
      <c r="B1127" t="s">
        <v>60</v>
      </c>
      <c r="C1127" t="s">
        <v>7</v>
      </c>
      <c r="D1127" t="s">
        <v>152</v>
      </c>
      <c r="E1127">
        <v>0.56726311638762483</v>
      </c>
      <c r="F1127" t="s">
        <v>151</v>
      </c>
      <c r="G1127">
        <v>0.56726311638762483</v>
      </c>
    </row>
    <row r="1128" spans="1:7" x14ac:dyDescent="0.25">
      <c r="A1128" t="s">
        <v>159</v>
      </c>
      <c r="B1128" t="s">
        <v>60</v>
      </c>
      <c r="C1128" t="s">
        <v>26</v>
      </c>
      <c r="D1128" t="s">
        <v>153</v>
      </c>
      <c r="E1128">
        <v>0.1171368722490322</v>
      </c>
      <c r="F1128" t="s">
        <v>151</v>
      </c>
      <c r="G1128">
        <v>0.1171368722490322</v>
      </c>
    </row>
    <row r="1129" spans="1:7" x14ac:dyDescent="0.25">
      <c r="A1129" t="s">
        <v>159</v>
      </c>
      <c r="B1129" t="s">
        <v>60</v>
      </c>
      <c r="C1129" t="s">
        <v>27</v>
      </c>
      <c r="D1129" t="s">
        <v>153</v>
      </c>
      <c r="E1129">
        <v>0.88286312775096776</v>
      </c>
      <c r="F1129" t="s">
        <v>151</v>
      </c>
      <c r="G1129">
        <v>0.88286312775096776</v>
      </c>
    </row>
    <row r="1130" spans="1:7" x14ac:dyDescent="0.25">
      <c r="A1130" t="s">
        <v>159</v>
      </c>
      <c r="B1130" t="s">
        <v>60</v>
      </c>
      <c r="C1130" t="s">
        <v>34</v>
      </c>
      <c r="D1130" t="s">
        <v>154</v>
      </c>
      <c r="E1130">
        <v>0.45630816353267001</v>
      </c>
      <c r="F1130" t="s">
        <v>151</v>
      </c>
      <c r="G1130">
        <v>0.45630816353267001</v>
      </c>
    </row>
    <row r="1131" spans="1:7" x14ac:dyDescent="0.25">
      <c r="A1131" t="s">
        <v>159</v>
      </c>
      <c r="B1131" t="s">
        <v>60</v>
      </c>
      <c r="C1131" t="s">
        <v>35</v>
      </c>
      <c r="D1131" t="s">
        <v>154</v>
      </c>
      <c r="E1131">
        <v>4.4370047500516312E-2</v>
      </c>
      <c r="F1131" t="s">
        <v>151</v>
      </c>
      <c r="G1131">
        <v>4.4370047500516312E-2</v>
      </c>
    </row>
    <row r="1132" spans="1:7" x14ac:dyDescent="0.25">
      <c r="A1132" t="s">
        <v>159</v>
      </c>
      <c r="B1132" t="s">
        <v>60</v>
      </c>
      <c r="C1132" t="s">
        <v>36</v>
      </c>
      <c r="D1132" t="s">
        <v>154</v>
      </c>
      <c r="E1132">
        <v>0.1883750452665103</v>
      </c>
      <c r="F1132" t="s">
        <v>151</v>
      </c>
      <c r="G1132">
        <v>0.1883750452665103</v>
      </c>
    </row>
    <row r="1133" spans="1:7" x14ac:dyDescent="0.25">
      <c r="A1133" t="s">
        <v>159</v>
      </c>
      <c r="B1133" t="s">
        <v>60</v>
      </c>
      <c r="C1133" t="s">
        <v>37</v>
      </c>
      <c r="D1133" t="s">
        <v>154</v>
      </c>
      <c r="E1133">
        <v>0.22286512267581851</v>
      </c>
      <c r="F1133" t="s">
        <v>151</v>
      </c>
      <c r="G1133">
        <v>0.22286512267581851</v>
      </c>
    </row>
    <row r="1134" spans="1:7" x14ac:dyDescent="0.25">
      <c r="A1134" t="s">
        <v>159</v>
      </c>
      <c r="B1134" t="s">
        <v>60</v>
      </c>
      <c r="C1134" t="s">
        <v>38</v>
      </c>
      <c r="D1134" t="s">
        <v>154</v>
      </c>
      <c r="E1134">
        <v>8.8081621024484816E-2</v>
      </c>
      <c r="F1134" t="s">
        <v>151</v>
      </c>
      <c r="G1134">
        <v>8.8081621024484816E-2</v>
      </c>
    </row>
    <row r="1135" spans="1:7" x14ac:dyDescent="0.25">
      <c r="A1135" t="s">
        <v>159</v>
      </c>
      <c r="B1135" t="s">
        <v>60</v>
      </c>
      <c r="C1135" t="s">
        <v>45</v>
      </c>
      <c r="D1135" t="s">
        <v>155</v>
      </c>
      <c r="E1135">
        <v>1</v>
      </c>
      <c r="F1135" t="s">
        <v>156</v>
      </c>
      <c r="G1135">
        <v>0.72982194479141249</v>
      </c>
    </row>
    <row r="1136" spans="1:7" x14ac:dyDescent="0.25">
      <c r="A1136" t="s">
        <v>159</v>
      </c>
      <c r="B1136" t="s">
        <v>60</v>
      </c>
      <c r="C1136" t="s">
        <v>46</v>
      </c>
      <c r="D1136" t="s">
        <v>155</v>
      </c>
      <c r="E1136">
        <v>0</v>
      </c>
      <c r="F1136" t="s">
        <v>156</v>
      </c>
      <c r="G1136">
        <v>0.27017805520858751</v>
      </c>
    </row>
    <row r="1137" spans="1:7" x14ac:dyDescent="0.25">
      <c r="A1137" t="s">
        <v>159</v>
      </c>
      <c r="B1137" t="s">
        <v>60</v>
      </c>
      <c r="C1137" t="s">
        <v>50</v>
      </c>
      <c r="D1137" t="s">
        <v>157</v>
      </c>
      <c r="E1137">
        <v>0.42162495143522749</v>
      </c>
      <c r="F1137" t="s">
        <v>151</v>
      </c>
      <c r="G1137">
        <v>0.42162495143522749</v>
      </c>
    </row>
    <row r="1138" spans="1:7" x14ac:dyDescent="0.25">
      <c r="A1138" t="s">
        <v>159</v>
      </c>
      <c r="B1138" t="s">
        <v>60</v>
      </c>
      <c r="C1138" t="s">
        <v>51</v>
      </c>
      <c r="D1138" t="s">
        <v>157</v>
      </c>
      <c r="E1138">
        <v>0.57837504856477251</v>
      </c>
      <c r="F1138" t="s">
        <v>151</v>
      </c>
      <c r="G1138">
        <v>0.57837504856477251</v>
      </c>
    </row>
    <row r="1139" spans="1:7" x14ac:dyDescent="0.25">
      <c r="A1139" t="s">
        <v>159</v>
      </c>
      <c r="B1139" t="s">
        <v>58</v>
      </c>
      <c r="C1139" t="s">
        <v>1</v>
      </c>
      <c r="D1139" t="s">
        <v>150</v>
      </c>
      <c r="E1139">
        <v>0.94299868264323294</v>
      </c>
      <c r="F1139" t="s">
        <v>151</v>
      </c>
      <c r="G1139">
        <v>0.94299868264323294</v>
      </c>
    </row>
    <row r="1140" spans="1:7" x14ac:dyDescent="0.25">
      <c r="A1140" t="s">
        <v>159</v>
      </c>
      <c r="B1140" t="s">
        <v>58</v>
      </c>
      <c r="C1140" t="s">
        <v>2</v>
      </c>
      <c r="D1140" t="s">
        <v>150</v>
      </c>
      <c r="E1140">
        <v>4.1765731369656618E-2</v>
      </c>
      <c r="F1140" t="s">
        <v>151</v>
      </c>
      <c r="G1140">
        <v>4.1765731369656618E-2</v>
      </c>
    </row>
    <row r="1141" spans="1:7" x14ac:dyDescent="0.25">
      <c r="A1141" t="s">
        <v>159</v>
      </c>
      <c r="B1141" t="s">
        <v>58</v>
      </c>
      <c r="C1141" t="s">
        <v>3</v>
      </c>
      <c r="D1141" t="s">
        <v>150</v>
      </c>
      <c r="E1141">
        <v>1.523558598711041E-2</v>
      </c>
      <c r="F1141" t="s">
        <v>151</v>
      </c>
      <c r="G1141">
        <v>1.523558598711041E-2</v>
      </c>
    </row>
    <row r="1142" spans="1:7" x14ac:dyDescent="0.25">
      <c r="A1142" t="s">
        <v>159</v>
      </c>
      <c r="B1142" t="s">
        <v>58</v>
      </c>
      <c r="C1142" t="s">
        <v>6</v>
      </c>
      <c r="D1142" t="s">
        <v>152</v>
      </c>
      <c r="E1142">
        <v>0.43273688361237522</v>
      </c>
      <c r="F1142" t="s">
        <v>151</v>
      </c>
      <c r="G1142">
        <v>0.43273688361237522</v>
      </c>
    </row>
    <row r="1143" spans="1:7" x14ac:dyDescent="0.25">
      <c r="A1143" t="s">
        <v>159</v>
      </c>
      <c r="B1143" t="s">
        <v>58</v>
      </c>
      <c r="C1143" t="s">
        <v>7</v>
      </c>
      <c r="D1143" t="s">
        <v>152</v>
      </c>
      <c r="E1143">
        <v>0.56726311638762483</v>
      </c>
      <c r="F1143" t="s">
        <v>151</v>
      </c>
      <c r="G1143">
        <v>0.56726311638762483</v>
      </c>
    </row>
    <row r="1144" spans="1:7" x14ac:dyDescent="0.25">
      <c r="A1144" t="s">
        <v>159</v>
      </c>
      <c r="B1144" t="s">
        <v>58</v>
      </c>
      <c r="C1144" t="s">
        <v>26</v>
      </c>
      <c r="D1144" t="s">
        <v>153</v>
      </c>
      <c r="E1144">
        <v>0.1171368722490322</v>
      </c>
      <c r="F1144" t="s">
        <v>151</v>
      </c>
      <c r="G1144">
        <v>0.1171368722490322</v>
      </c>
    </row>
    <row r="1145" spans="1:7" x14ac:dyDescent="0.25">
      <c r="A1145" t="s">
        <v>159</v>
      </c>
      <c r="B1145" t="s">
        <v>58</v>
      </c>
      <c r="C1145" t="s">
        <v>27</v>
      </c>
      <c r="D1145" t="s">
        <v>153</v>
      </c>
      <c r="E1145">
        <v>0.88286312775096776</v>
      </c>
      <c r="F1145" t="s">
        <v>151</v>
      </c>
      <c r="G1145">
        <v>0.88286312775096776</v>
      </c>
    </row>
    <row r="1146" spans="1:7" x14ac:dyDescent="0.25">
      <c r="A1146" t="s">
        <v>159</v>
      </c>
      <c r="B1146" t="s">
        <v>58</v>
      </c>
      <c r="C1146" t="s">
        <v>34</v>
      </c>
      <c r="D1146" t="s">
        <v>154</v>
      </c>
      <c r="E1146">
        <v>0.45630816353267001</v>
      </c>
      <c r="F1146" t="s">
        <v>151</v>
      </c>
      <c r="G1146">
        <v>0.45630816353267001</v>
      </c>
    </row>
    <row r="1147" spans="1:7" x14ac:dyDescent="0.25">
      <c r="A1147" t="s">
        <v>159</v>
      </c>
      <c r="B1147" t="s">
        <v>58</v>
      </c>
      <c r="C1147" t="s">
        <v>35</v>
      </c>
      <c r="D1147" t="s">
        <v>154</v>
      </c>
      <c r="E1147">
        <v>4.4370047500516312E-2</v>
      </c>
      <c r="F1147" t="s">
        <v>151</v>
      </c>
      <c r="G1147">
        <v>4.4370047500516312E-2</v>
      </c>
    </row>
    <row r="1148" spans="1:7" x14ac:dyDescent="0.25">
      <c r="A1148" t="s">
        <v>159</v>
      </c>
      <c r="B1148" t="s">
        <v>58</v>
      </c>
      <c r="C1148" t="s">
        <v>36</v>
      </c>
      <c r="D1148" t="s">
        <v>154</v>
      </c>
      <c r="E1148">
        <v>0.1883750452665103</v>
      </c>
      <c r="F1148" t="s">
        <v>151</v>
      </c>
      <c r="G1148">
        <v>0.1883750452665103</v>
      </c>
    </row>
    <row r="1149" spans="1:7" x14ac:dyDescent="0.25">
      <c r="A1149" t="s">
        <v>159</v>
      </c>
      <c r="B1149" t="s">
        <v>58</v>
      </c>
      <c r="C1149" t="s">
        <v>37</v>
      </c>
      <c r="D1149" t="s">
        <v>154</v>
      </c>
      <c r="E1149">
        <v>0.22286512267581851</v>
      </c>
      <c r="F1149" t="s">
        <v>151</v>
      </c>
      <c r="G1149">
        <v>0.22286512267581851</v>
      </c>
    </row>
    <row r="1150" spans="1:7" x14ac:dyDescent="0.25">
      <c r="A1150" t="s">
        <v>159</v>
      </c>
      <c r="B1150" t="s">
        <v>58</v>
      </c>
      <c r="C1150" t="s">
        <v>38</v>
      </c>
      <c r="D1150" t="s">
        <v>154</v>
      </c>
      <c r="E1150">
        <v>8.8081621024484816E-2</v>
      </c>
      <c r="F1150" t="s">
        <v>151</v>
      </c>
      <c r="G1150">
        <v>8.8081621024484816E-2</v>
      </c>
    </row>
    <row r="1151" spans="1:7" x14ac:dyDescent="0.25">
      <c r="A1151" t="s">
        <v>159</v>
      </c>
      <c r="B1151" t="s">
        <v>58</v>
      </c>
      <c r="C1151" t="s">
        <v>45</v>
      </c>
      <c r="D1151" t="s">
        <v>155</v>
      </c>
      <c r="E1151">
        <v>1</v>
      </c>
      <c r="F1151" t="s">
        <v>156</v>
      </c>
      <c r="G1151">
        <v>0.72982194479141249</v>
      </c>
    </row>
    <row r="1152" spans="1:7" x14ac:dyDescent="0.25">
      <c r="A1152" t="s">
        <v>159</v>
      </c>
      <c r="B1152" t="s">
        <v>58</v>
      </c>
      <c r="C1152" t="s">
        <v>46</v>
      </c>
      <c r="D1152" t="s">
        <v>155</v>
      </c>
      <c r="E1152">
        <v>0</v>
      </c>
      <c r="F1152" t="s">
        <v>156</v>
      </c>
      <c r="G1152">
        <v>0.27017805520858751</v>
      </c>
    </row>
    <row r="1153" spans="1:7" x14ac:dyDescent="0.25">
      <c r="A1153" t="s">
        <v>159</v>
      </c>
      <c r="B1153" t="s">
        <v>58</v>
      </c>
      <c r="C1153" t="s">
        <v>50</v>
      </c>
      <c r="D1153" t="s">
        <v>157</v>
      </c>
      <c r="E1153">
        <v>0.42162495143522749</v>
      </c>
      <c r="F1153" t="s">
        <v>151</v>
      </c>
      <c r="G1153">
        <v>0.42162495143522749</v>
      </c>
    </row>
    <row r="1154" spans="1:7" x14ac:dyDescent="0.25">
      <c r="A1154" t="s">
        <v>159</v>
      </c>
      <c r="B1154" t="s">
        <v>58</v>
      </c>
      <c r="C1154" t="s">
        <v>51</v>
      </c>
      <c r="D1154" t="s">
        <v>157</v>
      </c>
      <c r="E1154">
        <v>0.57837504856477251</v>
      </c>
      <c r="F1154" t="s">
        <v>151</v>
      </c>
      <c r="G1154">
        <v>0.57837504856477251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3"/>
  <sheetViews>
    <sheetView zoomScaleNormal="100" workbookViewId="0">
      <selection sqref="A1:B1048576"/>
    </sheetView>
  </sheetViews>
  <sheetFormatPr defaultRowHeight="15" x14ac:dyDescent="0.25"/>
  <cols>
    <col min="1" max="1" width="77.42578125" bestFit="1" customWidth="1"/>
    <col min="2" max="2" width="12.140625" bestFit="1" customWidth="1"/>
    <col min="3" max="3" width="20.42578125" bestFit="1" customWidth="1"/>
    <col min="4" max="4" width="17.7109375" bestFit="1" customWidth="1"/>
    <col min="5" max="5" width="17.7109375" customWidth="1"/>
    <col min="6" max="6" width="14" bestFit="1" customWidth="1"/>
    <col min="7" max="7" width="21.5703125" bestFit="1" customWidth="1"/>
    <col min="8" max="9" width="12" bestFit="1" customWidth="1"/>
  </cols>
  <sheetData>
    <row r="1" spans="1:2" s="71" customFormat="1" x14ac:dyDescent="0.25">
      <c r="A1" s="71" t="s">
        <v>160</v>
      </c>
      <c r="B1" s="71" t="s">
        <v>161</v>
      </c>
    </row>
    <row r="2" spans="1:2" x14ac:dyDescent="0.25">
      <c r="A2" t="s">
        <v>162</v>
      </c>
      <c r="B2" t="s">
        <v>150</v>
      </c>
    </row>
    <row r="3" spans="1:2" x14ac:dyDescent="0.25">
      <c r="A3" t="s">
        <v>163</v>
      </c>
      <c r="B3" t="s">
        <v>4</v>
      </c>
    </row>
    <row r="4" spans="1:2" x14ac:dyDescent="0.25">
      <c r="A4" t="s">
        <v>164</v>
      </c>
      <c r="B4" t="s">
        <v>5</v>
      </c>
    </row>
    <row r="5" spans="1:2" x14ac:dyDescent="0.25">
      <c r="A5" t="s">
        <v>165</v>
      </c>
      <c r="B5" t="s">
        <v>152</v>
      </c>
    </row>
    <row r="6" spans="1:2" x14ac:dyDescent="0.25">
      <c r="A6" t="s">
        <v>166</v>
      </c>
      <c r="B6" t="s">
        <v>8</v>
      </c>
    </row>
    <row r="7" spans="1:2" x14ac:dyDescent="0.25">
      <c r="A7" t="s">
        <v>167</v>
      </c>
      <c r="B7" t="s">
        <v>9</v>
      </c>
    </row>
    <row r="8" spans="1:2" x14ac:dyDescent="0.25">
      <c r="A8" t="s">
        <v>168</v>
      </c>
      <c r="B8" t="s">
        <v>10</v>
      </c>
    </row>
    <row r="9" spans="1:2" x14ac:dyDescent="0.25">
      <c r="A9" t="s">
        <v>169</v>
      </c>
      <c r="B9" t="s">
        <v>11</v>
      </c>
    </row>
    <row r="10" spans="1:2" x14ac:dyDescent="0.25">
      <c r="A10" t="s">
        <v>170</v>
      </c>
      <c r="B10" t="s">
        <v>12</v>
      </c>
    </row>
    <row r="11" spans="1:2" x14ac:dyDescent="0.25">
      <c r="A11" t="s">
        <v>171</v>
      </c>
      <c r="B11" t="s">
        <v>13</v>
      </c>
    </row>
    <row r="12" spans="1:2" x14ac:dyDescent="0.25">
      <c r="A12" t="s">
        <v>172</v>
      </c>
      <c r="B12" t="s">
        <v>14</v>
      </c>
    </row>
    <row r="13" spans="1:2" x14ac:dyDescent="0.25">
      <c r="A13" t="s">
        <v>173</v>
      </c>
      <c r="B13" t="s">
        <v>15</v>
      </c>
    </row>
    <row r="14" spans="1:2" x14ac:dyDescent="0.25">
      <c r="A14" t="s">
        <v>174</v>
      </c>
      <c r="B14" t="s">
        <v>16</v>
      </c>
    </row>
    <row r="15" spans="1:2" x14ac:dyDescent="0.25">
      <c r="A15" t="s">
        <v>175</v>
      </c>
      <c r="B15" t="s">
        <v>17</v>
      </c>
    </row>
    <row r="16" spans="1:2" x14ac:dyDescent="0.25">
      <c r="A16" t="s">
        <v>176</v>
      </c>
      <c r="B16" t="s">
        <v>18</v>
      </c>
    </row>
    <row r="17" spans="1:2" x14ac:dyDescent="0.25">
      <c r="A17" t="s">
        <v>177</v>
      </c>
      <c r="B17" t="s">
        <v>19</v>
      </c>
    </row>
    <row r="18" spans="1:2" x14ac:dyDescent="0.25">
      <c r="A18" t="s">
        <v>178</v>
      </c>
      <c r="B18" t="s">
        <v>20</v>
      </c>
    </row>
    <row r="19" spans="1:2" x14ac:dyDescent="0.25">
      <c r="A19" t="s">
        <v>179</v>
      </c>
      <c r="B19" t="s">
        <v>21</v>
      </c>
    </row>
    <row r="20" spans="1:2" x14ac:dyDescent="0.25">
      <c r="A20" t="s">
        <v>180</v>
      </c>
      <c r="B20" t="s">
        <v>22</v>
      </c>
    </row>
    <row r="21" spans="1:2" x14ac:dyDescent="0.25">
      <c r="A21" t="s">
        <v>181</v>
      </c>
      <c r="B21" t="s">
        <v>23</v>
      </c>
    </row>
    <row r="22" spans="1:2" x14ac:dyDescent="0.25">
      <c r="A22" t="s">
        <v>182</v>
      </c>
      <c r="B22" t="s">
        <v>24</v>
      </c>
    </row>
    <row r="23" spans="1:2" x14ac:dyDescent="0.25">
      <c r="A23" t="s">
        <v>183</v>
      </c>
      <c r="B23" t="s">
        <v>25</v>
      </c>
    </row>
    <row r="24" spans="1:2" x14ac:dyDescent="0.25">
      <c r="A24" t="s">
        <v>184</v>
      </c>
      <c r="B24" t="s">
        <v>153</v>
      </c>
    </row>
    <row r="25" spans="1:2" x14ac:dyDescent="0.25">
      <c r="A25" t="s">
        <v>185</v>
      </c>
      <c r="B25" t="s">
        <v>28</v>
      </c>
    </row>
    <row r="26" spans="1:2" x14ac:dyDescent="0.25">
      <c r="A26" t="s">
        <v>186</v>
      </c>
      <c r="B26" t="s">
        <v>29</v>
      </c>
    </row>
    <row r="27" spans="1:2" x14ac:dyDescent="0.25">
      <c r="A27" t="s">
        <v>187</v>
      </c>
      <c r="B27" t="s">
        <v>30</v>
      </c>
    </row>
    <row r="28" spans="1:2" x14ac:dyDescent="0.25">
      <c r="A28" t="s">
        <v>188</v>
      </c>
      <c r="B28" t="s">
        <v>31</v>
      </c>
    </row>
    <row r="29" spans="1:2" x14ac:dyDescent="0.25">
      <c r="A29" t="s">
        <v>189</v>
      </c>
      <c r="B29" t="s">
        <v>32</v>
      </c>
    </row>
    <row r="30" spans="1:2" x14ac:dyDescent="0.25">
      <c r="A30" t="s">
        <v>190</v>
      </c>
      <c r="B30" t="s">
        <v>33</v>
      </c>
    </row>
    <row r="31" spans="1:2" x14ac:dyDescent="0.25">
      <c r="A31" t="s">
        <v>191</v>
      </c>
      <c r="B31" t="s">
        <v>154</v>
      </c>
    </row>
    <row r="32" spans="1:2" x14ac:dyDescent="0.25">
      <c r="A32" t="s">
        <v>192</v>
      </c>
      <c r="B32" t="s">
        <v>39</v>
      </c>
    </row>
    <row r="33" spans="1:2" x14ac:dyDescent="0.25">
      <c r="A33" t="s">
        <v>193</v>
      </c>
      <c r="B33" t="s">
        <v>40</v>
      </c>
    </row>
    <row r="34" spans="1:2" x14ac:dyDescent="0.25">
      <c r="A34" t="s">
        <v>194</v>
      </c>
      <c r="B34" t="s">
        <v>41</v>
      </c>
    </row>
    <row r="35" spans="1:2" x14ac:dyDescent="0.25">
      <c r="A35" t="s">
        <v>195</v>
      </c>
      <c r="B35" t="s">
        <v>42</v>
      </c>
    </row>
    <row r="36" spans="1:2" x14ac:dyDescent="0.25">
      <c r="A36" t="s">
        <v>196</v>
      </c>
      <c r="B36" t="s">
        <v>43</v>
      </c>
    </row>
    <row r="37" spans="1:2" x14ac:dyDescent="0.25">
      <c r="A37" t="s">
        <v>197</v>
      </c>
      <c r="B37" t="s">
        <v>44</v>
      </c>
    </row>
    <row r="38" spans="1:2" x14ac:dyDescent="0.25">
      <c r="A38" t="s">
        <v>198</v>
      </c>
      <c r="B38" t="s">
        <v>155</v>
      </c>
    </row>
    <row r="39" spans="1:2" x14ac:dyDescent="0.25">
      <c r="A39" t="s">
        <v>199</v>
      </c>
      <c r="B39" t="s">
        <v>47</v>
      </c>
    </row>
    <row r="40" spans="1:2" x14ac:dyDescent="0.25">
      <c r="A40" t="s">
        <v>200</v>
      </c>
      <c r="B40" t="s">
        <v>48</v>
      </c>
    </row>
    <row r="41" spans="1:2" x14ac:dyDescent="0.25">
      <c r="A41" t="s">
        <v>201</v>
      </c>
      <c r="B41" t="s">
        <v>49</v>
      </c>
    </row>
    <row r="42" spans="1:2" x14ac:dyDescent="0.25">
      <c r="A42" t="s">
        <v>202</v>
      </c>
      <c r="B42" t="s">
        <v>157</v>
      </c>
    </row>
    <row r="43" spans="1:2" x14ac:dyDescent="0.25">
      <c r="A43" t="s">
        <v>203</v>
      </c>
      <c r="B43" t="s">
        <v>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81"/>
  <sheetViews>
    <sheetView topLeftCell="A249" zoomScale="85" zoomScaleNormal="85" workbookViewId="0">
      <selection activeCell="B114" sqref="B114"/>
    </sheetView>
  </sheetViews>
  <sheetFormatPr defaultRowHeight="15" x14ac:dyDescent="0.25"/>
  <cols>
    <col min="1" max="1" width="65.7109375" bestFit="1" customWidth="1"/>
    <col min="2" max="2" width="11.5703125" bestFit="1" customWidth="1"/>
    <col min="3" max="3" width="46.140625" customWidth="1"/>
    <col min="4" max="4" width="23.5703125" bestFit="1" customWidth="1"/>
    <col min="5" max="5" width="48.5703125" customWidth="1"/>
    <col min="6" max="6" width="60.42578125" customWidth="1"/>
  </cols>
  <sheetData>
    <row r="1" spans="1:6" ht="18.600000000000001" customHeight="1" x14ac:dyDescent="0.3">
      <c r="A1" s="128" t="s">
        <v>204</v>
      </c>
      <c r="B1" s="129"/>
      <c r="C1" s="129"/>
      <c r="D1" s="129"/>
      <c r="E1" s="129"/>
      <c r="F1" s="130"/>
    </row>
    <row r="2" spans="1:6" x14ac:dyDescent="0.25">
      <c r="A2" s="1" t="s">
        <v>205</v>
      </c>
      <c r="B2" s="2" t="s">
        <v>206</v>
      </c>
      <c r="C2" s="2" t="s">
        <v>207</v>
      </c>
      <c r="D2" s="2" t="s">
        <v>208</v>
      </c>
      <c r="E2" s="2" t="s">
        <v>209</v>
      </c>
      <c r="F2" s="4" t="s">
        <v>210</v>
      </c>
    </row>
    <row r="3" spans="1:6" x14ac:dyDescent="0.25">
      <c r="A3" s="5" t="s">
        <v>211</v>
      </c>
      <c r="B3" s="2" t="s">
        <v>212</v>
      </c>
      <c r="C3" s="21"/>
      <c r="D3" s="21"/>
      <c r="E3" s="21"/>
      <c r="F3" s="6"/>
    </row>
    <row r="4" spans="1:6" x14ac:dyDescent="0.25">
      <c r="A4" s="7" t="s">
        <v>213</v>
      </c>
      <c r="B4" s="112">
        <f>graphs_nrel!U5</f>
        <v>0.39285714285714285</v>
      </c>
      <c r="C4" s="74" t="str">
        <f>'OECD Mapping'!A20</f>
        <v>D26: Computer, electronic and optical products</v>
      </c>
      <c r="D4" s="74" t="str">
        <f>'OECD Mapping'!B20</f>
        <v>ISIC 26</v>
      </c>
      <c r="E4" s="88" t="s">
        <v>214</v>
      </c>
      <c r="F4" s="16" t="s">
        <v>215</v>
      </c>
    </row>
    <row r="5" spans="1:6" x14ac:dyDescent="0.25">
      <c r="A5" s="7" t="s">
        <v>216</v>
      </c>
      <c r="B5" s="112">
        <f>graphs_nrel!U6</f>
        <v>4.7619047619047616E-2</v>
      </c>
      <c r="C5" s="75" t="str">
        <f>'OECD Mapping'!A21</f>
        <v>D27: Electrical equipment</v>
      </c>
      <c r="D5" s="75" t="str">
        <f>'OECD Mapping'!B21</f>
        <v>ISIC 27</v>
      </c>
      <c r="E5" s="88" t="s">
        <v>214</v>
      </c>
      <c r="F5" s="16" t="s">
        <v>215</v>
      </c>
    </row>
    <row r="6" spans="1:6" x14ac:dyDescent="0.25">
      <c r="A6" s="7" t="s">
        <v>217</v>
      </c>
      <c r="B6" s="112">
        <f>graphs_nrel!U7</f>
        <v>8.3333333333333329E-2</v>
      </c>
      <c r="C6" s="74" t="str">
        <f>'OECD Mapping'!A21</f>
        <v>D27: Electrical equipment</v>
      </c>
      <c r="D6" s="74" t="str">
        <f>'OECD Mapping'!B21</f>
        <v>ISIC 27</v>
      </c>
      <c r="E6" s="88" t="s">
        <v>214</v>
      </c>
      <c r="F6" s="16" t="s">
        <v>215</v>
      </c>
    </row>
    <row r="7" spans="1:6" x14ac:dyDescent="0.25">
      <c r="A7" s="7" t="s">
        <v>218</v>
      </c>
      <c r="B7" s="112">
        <f>graphs_nrel!U8</f>
        <v>0.14285714285714285</v>
      </c>
      <c r="C7" s="74" t="str">
        <f>'OECD Mapping'!A29</f>
        <v>D41T43: Construction</v>
      </c>
      <c r="D7" s="74" t="str">
        <f>'OECD Mapping'!B29</f>
        <v>ISIC 41T43</v>
      </c>
      <c r="E7" s="88" t="s">
        <v>214</v>
      </c>
      <c r="F7" s="16" t="s">
        <v>215</v>
      </c>
    </row>
    <row r="8" spans="1:6" x14ac:dyDescent="0.25">
      <c r="A8" s="7" t="s">
        <v>219</v>
      </c>
      <c r="B8" s="112">
        <f>graphs_nrel!U9</f>
        <v>0.13095238095238096</v>
      </c>
      <c r="C8" s="74" t="str">
        <f>'OECD Mapping'!A29</f>
        <v>D41T43: Construction</v>
      </c>
      <c r="D8" s="74" t="str">
        <f>'OECD Mapping'!B29</f>
        <v>ISIC 41T43</v>
      </c>
      <c r="E8" s="88" t="s">
        <v>214</v>
      </c>
      <c r="F8" s="16" t="s">
        <v>215</v>
      </c>
    </row>
    <row r="9" spans="1:6" x14ac:dyDescent="0.25">
      <c r="A9" s="7" t="s">
        <v>220</v>
      </c>
      <c r="B9" s="112">
        <f>graphs_nrel!U10</f>
        <v>5.9523809523809521E-2</v>
      </c>
      <c r="C9" s="74" t="str">
        <f>'OECD Mapping'!A38</f>
        <v>D69T82: Other business sector services</v>
      </c>
      <c r="D9" s="74" t="str">
        <f>'OECD Mapping'!B38</f>
        <v>ISIC 69T82</v>
      </c>
      <c r="E9" s="88" t="s">
        <v>214</v>
      </c>
      <c r="F9" s="16" t="s">
        <v>215</v>
      </c>
    </row>
    <row r="10" spans="1:6" x14ac:dyDescent="0.25">
      <c r="A10" s="7" t="s">
        <v>221</v>
      </c>
      <c r="B10" s="112">
        <f>graphs_nrel!U11</f>
        <v>4.7619047619047616E-2</v>
      </c>
      <c r="C10" s="74" t="str">
        <f>'OECD Mapping'!A39</f>
        <v>D84: Public admin. and defence; compulsory social security</v>
      </c>
      <c r="D10" s="74" t="str">
        <f>'OECD Mapping'!B39</f>
        <v>ISIC 84</v>
      </c>
      <c r="E10" s="88" t="s">
        <v>214</v>
      </c>
      <c r="F10" s="16" t="s">
        <v>215</v>
      </c>
    </row>
    <row r="11" spans="1:6" x14ac:dyDescent="0.25">
      <c r="A11" s="7" t="s">
        <v>222</v>
      </c>
      <c r="B11" s="112">
        <f>graphs_nrel!U12</f>
        <v>2.3809523809523808E-2</v>
      </c>
      <c r="C11" s="74" t="str">
        <f>'OECD Mapping'!A38</f>
        <v>D69T82: Other business sector services</v>
      </c>
      <c r="D11" s="74" t="str">
        <f>'OECD Mapping'!B38</f>
        <v>ISIC 69T82</v>
      </c>
      <c r="E11" s="88" t="s">
        <v>214</v>
      </c>
      <c r="F11" s="16" t="s">
        <v>215</v>
      </c>
    </row>
    <row r="12" spans="1:6" x14ac:dyDescent="0.25">
      <c r="A12" s="7" t="s">
        <v>223</v>
      </c>
      <c r="B12" s="112">
        <f>graphs_nrel!U13</f>
        <v>2.3809523809523808E-2</v>
      </c>
      <c r="C12" s="74" t="str">
        <f>'OECD Mapping'!A38</f>
        <v>D69T82: Other business sector services</v>
      </c>
      <c r="D12" s="74" t="str">
        <f>'OECD Mapping'!B38</f>
        <v>ISIC 69T82</v>
      </c>
      <c r="E12" s="88" t="s">
        <v>214</v>
      </c>
      <c r="F12" s="16" t="s">
        <v>215</v>
      </c>
    </row>
    <row r="13" spans="1:6" ht="15" customHeight="1" thickBot="1" x14ac:dyDescent="0.3">
      <c r="A13" s="57" t="s">
        <v>224</v>
      </c>
      <c r="B13" s="112">
        <f>graphs_nrel!U14</f>
        <v>4.7619047619047616E-2</v>
      </c>
      <c r="C13" s="76" t="str">
        <f>'OECD Mapping'!A38</f>
        <v>D69T82: Other business sector services</v>
      </c>
      <c r="D13" s="76" t="str">
        <f>'OECD Mapping'!B38</f>
        <v>ISIC 69T82</v>
      </c>
      <c r="E13" s="92" t="s">
        <v>214</v>
      </c>
      <c r="F13" s="35" t="s">
        <v>215</v>
      </c>
    </row>
    <row r="14" spans="1:6" s="87" customFormat="1" x14ac:dyDescent="0.25">
      <c r="A14" s="11" t="s">
        <v>225</v>
      </c>
      <c r="B14" s="113"/>
      <c r="C14" s="13"/>
      <c r="D14" s="13"/>
      <c r="E14" s="13"/>
      <c r="F14" s="14"/>
    </row>
    <row r="15" spans="1:6" x14ac:dyDescent="0.25">
      <c r="A15" s="7" t="s">
        <v>226</v>
      </c>
      <c r="B15" s="114">
        <f>graphs_nrel!R23</f>
        <v>0.53533333333333422</v>
      </c>
      <c r="C15" s="8" t="str">
        <f>'OECD Mapping'!A29</f>
        <v>D41T43: Construction</v>
      </c>
      <c r="D15" s="8" t="str">
        <f>'OECD Mapping'!B29</f>
        <v>ISIC 41T43</v>
      </c>
      <c r="E15" s="88" t="s">
        <v>214</v>
      </c>
      <c r="F15" s="16" t="s">
        <v>117</v>
      </c>
    </row>
    <row r="16" spans="1:6" s="86" customFormat="1" ht="15" customHeight="1" thickBot="1" x14ac:dyDescent="0.3">
      <c r="A16" s="17" t="s">
        <v>227</v>
      </c>
      <c r="B16" s="114">
        <f>graphs_nrel!R24</f>
        <v>0.46466666666666573</v>
      </c>
      <c r="C16" s="9" t="str">
        <f>'OECD Mapping'!A20</f>
        <v>D26: Computer, electronic and optical products</v>
      </c>
      <c r="D16" s="9" t="str">
        <f>'OECD Mapping'!B20</f>
        <v>ISIC 26</v>
      </c>
      <c r="E16" s="91" t="s">
        <v>214</v>
      </c>
      <c r="F16" s="19" t="s">
        <v>117</v>
      </c>
    </row>
    <row r="17" spans="1:6" ht="15" customHeight="1" thickBot="1" x14ac:dyDescent="0.3"/>
    <row r="18" spans="1:6" ht="18.95" customHeight="1" thickBot="1" x14ac:dyDescent="0.35">
      <c r="A18" s="125" t="s">
        <v>228</v>
      </c>
      <c r="B18" s="126"/>
      <c r="C18" s="126"/>
      <c r="D18" s="126"/>
      <c r="E18" s="126"/>
      <c r="F18" s="127"/>
    </row>
    <row r="19" spans="1:6" x14ac:dyDescent="0.25">
      <c r="A19" s="89" t="s">
        <v>205</v>
      </c>
      <c r="B19" s="54" t="s">
        <v>206</v>
      </c>
      <c r="C19" s="54" t="s">
        <v>229</v>
      </c>
      <c r="D19" s="54" t="s">
        <v>208</v>
      </c>
      <c r="E19" s="54" t="s">
        <v>209</v>
      </c>
      <c r="F19" s="81" t="s">
        <v>210</v>
      </c>
    </row>
    <row r="20" spans="1:6" x14ac:dyDescent="0.25">
      <c r="A20" s="5" t="s">
        <v>211</v>
      </c>
      <c r="B20" s="2" t="s">
        <v>212</v>
      </c>
      <c r="C20" s="21"/>
      <c r="D20" s="21"/>
      <c r="E20" s="21"/>
      <c r="F20" s="6"/>
    </row>
    <row r="21" spans="1:6" x14ac:dyDescent="0.25">
      <c r="A21" s="20" t="s">
        <v>230</v>
      </c>
      <c r="B21" s="15"/>
      <c r="C21" s="21"/>
      <c r="D21" s="21"/>
      <c r="E21" s="88"/>
      <c r="F21" s="56"/>
    </row>
    <row r="22" spans="1:6" x14ac:dyDescent="0.25">
      <c r="A22" s="20" t="s">
        <v>231</v>
      </c>
      <c r="B22" s="15">
        <v>0.42238735529675892</v>
      </c>
      <c r="C22" s="21" t="str">
        <f>'OECD Mapping'!A22</f>
        <v>D28: Machinery and equipment, nec</v>
      </c>
      <c r="D22" s="21" t="str">
        <f>'OECD Mapping'!B22</f>
        <v>ISIC 28</v>
      </c>
      <c r="E22" s="88" t="s">
        <v>232</v>
      </c>
      <c r="F22" s="16"/>
    </row>
    <row r="23" spans="1:6" x14ac:dyDescent="0.25">
      <c r="A23" s="20" t="s">
        <v>233</v>
      </c>
      <c r="B23" s="15">
        <v>9.8886671808605733E-2</v>
      </c>
      <c r="C23" s="21" t="str">
        <f>'OECD Mapping'!A22</f>
        <v>D28: Machinery and equipment, nec</v>
      </c>
      <c r="D23" s="21" t="str">
        <f>'OECD Mapping'!B22</f>
        <v>ISIC 28</v>
      </c>
      <c r="E23" s="88" t="s">
        <v>232</v>
      </c>
      <c r="F23" s="16"/>
    </row>
    <row r="24" spans="1:6" x14ac:dyDescent="0.25">
      <c r="A24" s="20" t="s">
        <v>234</v>
      </c>
      <c r="B24" s="15">
        <v>0.1094816723595278</v>
      </c>
      <c r="C24" s="21" t="str">
        <f>'OECD Mapping'!A19</f>
        <v>D25: Fabricated metal products</v>
      </c>
      <c r="D24" s="21" t="str">
        <f>'OECD Mapping'!B19</f>
        <v>ISIC 25</v>
      </c>
      <c r="E24" s="88" t="s">
        <v>232</v>
      </c>
      <c r="F24" s="16"/>
    </row>
    <row r="25" spans="1:6" x14ac:dyDescent="0.25">
      <c r="A25" s="20" t="s">
        <v>235</v>
      </c>
      <c r="B25" s="15">
        <v>7.5577670596577259E-2</v>
      </c>
      <c r="C25" s="21" t="str">
        <f>'OECD Mapping'!A31</f>
        <v>D49T53: Transportation and storage</v>
      </c>
      <c r="D25" s="21" t="str">
        <f>'OECD Mapping'!B31</f>
        <v>ISIC 49T53</v>
      </c>
      <c r="E25" s="88" t="s">
        <v>232</v>
      </c>
      <c r="F25" s="16"/>
    </row>
    <row r="26" spans="1:6" x14ac:dyDescent="0.25">
      <c r="A26" s="20" t="s">
        <v>236</v>
      </c>
      <c r="B26" s="15">
        <v>0.70633337006146968</v>
      </c>
      <c r="C26" s="21"/>
      <c r="D26" s="21"/>
      <c r="E26" s="88"/>
      <c r="F26" s="16"/>
    </row>
    <row r="27" spans="1:6" x14ac:dyDescent="0.25">
      <c r="A27" s="20" t="s">
        <v>237</v>
      </c>
      <c r="B27" s="15"/>
      <c r="C27" s="21"/>
      <c r="D27" s="21"/>
      <c r="E27" s="88"/>
      <c r="F27" s="16"/>
    </row>
    <row r="28" spans="1:6" x14ac:dyDescent="0.25">
      <c r="A28" s="20" t="s">
        <v>238</v>
      </c>
      <c r="B28" s="15"/>
      <c r="C28" s="21"/>
      <c r="D28" s="21"/>
      <c r="E28" s="88"/>
      <c r="F28" s="16"/>
    </row>
    <row r="29" spans="1:6" x14ac:dyDescent="0.25">
      <c r="A29" s="20" t="s">
        <v>239</v>
      </c>
      <c r="B29" s="15">
        <v>0.10206517334414179</v>
      </c>
      <c r="C29" s="21" t="str">
        <f>'OECD Mapping'!A29</f>
        <v>D41T43: Construction</v>
      </c>
      <c r="D29" s="21" t="str">
        <f>'OECD Mapping'!B29</f>
        <v>ISIC 41T43</v>
      </c>
      <c r="E29" s="88" t="s">
        <v>232</v>
      </c>
      <c r="F29" s="16"/>
    </row>
    <row r="30" spans="1:6" x14ac:dyDescent="0.25">
      <c r="A30" s="20" t="s">
        <v>240</v>
      </c>
      <c r="B30" s="15">
        <v>1.1545687086842621E-2</v>
      </c>
      <c r="C30" s="21" t="str">
        <f>'OECD Mapping'!A22</f>
        <v>D28: Machinery and equipment, nec</v>
      </c>
      <c r="D30" s="21" t="str">
        <f>'OECD Mapping'!B22</f>
        <v>ISIC 28</v>
      </c>
      <c r="E30" s="88" t="s">
        <v>232</v>
      </c>
      <c r="F30" s="16"/>
    </row>
    <row r="31" spans="1:6" x14ac:dyDescent="0.25">
      <c r="A31" s="20" t="s">
        <v>241</v>
      </c>
      <c r="B31" s="15">
        <v>1.216993434476407E-2</v>
      </c>
      <c r="C31" s="21" t="str">
        <f>'OECD Mapping'!A21</f>
        <v>D27: Electrical equipment</v>
      </c>
      <c r="D31" s="21" t="str">
        <f>'OECD Mapping'!B21</f>
        <v>ISIC 27</v>
      </c>
      <c r="E31" s="88" t="s">
        <v>232</v>
      </c>
      <c r="F31" s="16"/>
    </row>
    <row r="32" spans="1:6" x14ac:dyDescent="0.25">
      <c r="A32" s="20" t="s">
        <v>242</v>
      </c>
      <c r="B32" s="15">
        <v>2.2230409954455549E-2</v>
      </c>
      <c r="C32" s="90" t="str">
        <f>'OECD Mapping'!A29</f>
        <v>D41T43: Construction</v>
      </c>
      <c r="D32" s="90" t="str">
        <f>'OECD Mapping'!B29</f>
        <v>ISIC 41T43</v>
      </c>
      <c r="E32" s="88" t="s">
        <v>232</v>
      </c>
      <c r="F32" s="6"/>
    </row>
    <row r="33" spans="1:6" x14ac:dyDescent="0.25">
      <c r="A33" s="20" t="s">
        <v>243</v>
      </c>
      <c r="B33" s="15">
        <v>0.1480112047302041</v>
      </c>
      <c r="C33" s="8"/>
      <c r="D33" s="8"/>
      <c r="E33" s="88"/>
      <c r="F33" s="16"/>
    </row>
    <row r="34" spans="1:6" x14ac:dyDescent="0.25">
      <c r="A34" s="20" t="s">
        <v>244</v>
      </c>
      <c r="B34" s="15"/>
      <c r="C34" s="8"/>
      <c r="D34" s="8"/>
      <c r="E34" s="88"/>
      <c r="F34" s="16"/>
    </row>
    <row r="35" spans="1:6" x14ac:dyDescent="0.25">
      <c r="A35" s="20" t="s">
        <v>245</v>
      </c>
      <c r="B35" s="15">
        <v>7.2733069481779617E-3</v>
      </c>
      <c r="C35" s="21" t="str">
        <f>'OECD Mapping'!A29</f>
        <v>D41T43: Construction</v>
      </c>
      <c r="D35" s="21" t="str">
        <f>'OECD Mapping'!B29</f>
        <v>ISIC 41T43</v>
      </c>
      <c r="E35" s="88" t="s">
        <v>232</v>
      </c>
      <c r="F35" s="6"/>
    </row>
    <row r="36" spans="1:6" x14ac:dyDescent="0.25">
      <c r="A36" s="20" t="s">
        <v>246</v>
      </c>
      <c r="B36" s="15">
        <v>8.238052356697197E-3</v>
      </c>
      <c r="C36" s="21" t="str">
        <f>'OECD Mapping'!A29</f>
        <v>D41T43: Construction</v>
      </c>
      <c r="D36" s="21" t="str">
        <f>'OECD Mapping'!B29</f>
        <v>ISIC 41T43</v>
      </c>
      <c r="E36" s="88" t="s">
        <v>232</v>
      </c>
      <c r="F36" s="6"/>
    </row>
    <row r="37" spans="1:6" x14ac:dyDescent="0.25">
      <c r="A37" s="20" t="s">
        <v>247</v>
      </c>
      <c r="B37" s="15">
        <v>1.200532362477911E-2</v>
      </c>
      <c r="C37" s="21" t="str">
        <f>'OECD Mapping'!A29</f>
        <v>D41T43: Construction</v>
      </c>
      <c r="D37" s="21" t="str">
        <f>'OECD Mapping'!B29</f>
        <v>ISIC 41T43</v>
      </c>
      <c r="E37" s="88" t="s">
        <v>232</v>
      </c>
      <c r="F37" s="6"/>
    </row>
    <row r="38" spans="1:6" x14ac:dyDescent="0.25">
      <c r="A38" s="20" t="s">
        <v>248</v>
      </c>
      <c r="B38" s="15">
        <v>6.2295846331787133E-3</v>
      </c>
      <c r="C38" s="21" t="str">
        <f>'OECD Mapping'!A29</f>
        <v>D41T43: Construction</v>
      </c>
      <c r="D38" s="21" t="str">
        <f>'OECD Mapping'!B29</f>
        <v>ISIC 41T43</v>
      </c>
      <c r="E38" s="88" t="s">
        <v>232</v>
      </c>
      <c r="F38" s="6"/>
    </row>
    <row r="39" spans="1:6" x14ac:dyDescent="0.25">
      <c r="A39" s="20" t="s">
        <v>249</v>
      </c>
      <c r="B39" s="15">
        <v>3.6113133534920093E-2</v>
      </c>
      <c r="C39" s="21" t="str">
        <f>'OECD Mapping'!A38</f>
        <v>D69T82: Other business sector services</v>
      </c>
      <c r="D39" s="21" t="str">
        <f>'OECD Mapping'!B38</f>
        <v>ISIC 69T82</v>
      </c>
      <c r="E39" s="88" t="s">
        <v>232</v>
      </c>
      <c r="F39" s="6"/>
    </row>
    <row r="40" spans="1:6" x14ac:dyDescent="0.25">
      <c r="A40" s="20" t="s">
        <v>250</v>
      </c>
      <c r="B40" s="15">
        <v>6.9859401097753071E-2</v>
      </c>
      <c r="C40" s="21"/>
      <c r="D40" s="21"/>
      <c r="E40" s="21"/>
      <c r="F40" s="6"/>
    </row>
    <row r="41" spans="1:6" x14ac:dyDescent="0.25">
      <c r="A41" s="20" t="s">
        <v>251</v>
      </c>
      <c r="B41" s="15"/>
      <c r="C41" s="21"/>
      <c r="D41" s="21"/>
      <c r="E41" s="21"/>
      <c r="F41" s="6"/>
    </row>
    <row r="42" spans="1:6" x14ac:dyDescent="0.25">
      <c r="A42" s="20" t="s">
        <v>252</v>
      </c>
      <c r="B42" s="15"/>
      <c r="C42" s="21"/>
      <c r="D42" s="21"/>
      <c r="E42" s="21"/>
      <c r="F42" s="6"/>
    </row>
    <row r="43" spans="1:6" x14ac:dyDescent="0.25">
      <c r="A43" s="20" t="s">
        <v>253</v>
      </c>
      <c r="B43" s="15">
        <v>7.014549101207153E-3</v>
      </c>
      <c r="C43" s="21" t="str">
        <f>'OECD Mapping'!A22</f>
        <v>D28: Machinery and equipment, nec</v>
      </c>
      <c r="D43" s="21" t="str">
        <f>'OECD Mapping'!B22</f>
        <v>ISIC 28</v>
      </c>
      <c r="E43" s="88" t="s">
        <v>232</v>
      </c>
      <c r="F43" s="6"/>
    </row>
    <row r="44" spans="1:6" x14ac:dyDescent="0.25">
      <c r="A44" s="20" t="s">
        <v>254</v>
      </c>
      <c r="B44" s="15">
        <v>2.1486946185092109E-3</v>
      </c>
      <c r="C44" s="21" t="str">
        <f>'OECD Mapping'!A29</f>
        <v>D41T43: Construction</v>
      </c>
      <c r="D44" s="21" t="str">
        <f>'OECD Mapping'!B29</f>
        <v>ISIC 41T43</v>
      </c>
      <c r="E44" s="88" t="s">
        <v>232</v>
      </c>
      <c r="F44" s="6"/>
    </row>
    <row r="45" spans="1:6" x14ac:dyDescent="0.25">
      <c r="A45" s="20" t="s">
        <v>255</v>
      </c>
      <c r="B45" s="15">
        <v>9.5450455413712103E-3</v>
      </c>
      <c r="C45" s="21" t="str">
        <f>'OECD Mapping'!A38</f>
        <v>D69T82: Other business sector services</v>
      </c>
      <c r="D45" s="21" t="str">
        <f>'OECD Mapping'!B38</f>
        <v>ISIC 69T82</v>
      </c>
      <c r="E45" s="88" t="s">
        <v>232</v>
      </c>
      <c r="F45" s="6"/>
    </row>
    <row r="46" spans="1:6" x14ac:dyDescent="0.25">
      <c r="A46" s="20" t="s">
        <v>256</v>
      </c>
      <c r="B46" s="15">
        <v>5.202049820047309E-3</v>
      </c>
      <c r="C46" s="21" t="str">
        <f>'OECD Mapping'!A38</f>
        <v>D69T82: Other business sector services</v>
      </c>
      <c r="D46" s="21" t="str">
        <f>'OECD Mapping'!B38</f>
        <v>ISIC 69T82</v>
      </c>
      <c r="E46" s="88" t="s">
        <v>232</v>
      </c>
      <c r="F46" s="6"/>
    </row>
    <row r="47" spans="1:6" x14ac:dyDescent="0.25">
      <c r="A47" s="20" t="s">
        <v>257</v>
      </c>
      <c r="B47" s="15">
        <v>0</v>
      </c>
      <c r="C47" s="21" t="str">
        <f>'OECD Mapping'!A37</f>
        <v>D68: Real estate activities</v>
      </c>
      <c r="D47" s="21" t="str">
        <f>'OECD Mapping'!B37</f>
        <v>ISIC 68</v>
      </c>
      <c r="E47" s="88" t="s">
        <v>232</v>
      </c>
      <c r="F47" s="6"/>
    </row>
    <row r="48" spans="1:6" x14ac:dyDescent="0.25">
      <c r="A48" s="20" t="s">
        <v>258</v>
      </c>
      <c r="B48" s="15">
        <v>2.43398661304966E-3</v>
      </c>
      <c r="C48" s="21" t="str">
        <f>'OECD Mapping'!A39</f>
        <v>D84: Public admin. and defence; compulsory social security</v>
      </c>
      <c r="D48" s="21" t="str">
        <f>'OECD Mapping'!B39</f>
        <v>ISIC 84</v>
      </c>
      <c r="E48" s="88" t="s">
        <v>232</v>
      </c>
      <c r="F48" s="6"/>
    </row>
    <row r="49" spans="1:6" x14ac:dyDescent="0.25">
      <c r="A49" s="20" t="s">
        <v>259</v>
      </c>
      <c r="B49" s="15">
        <v>2.6344325694184541E-2</v>
      </c>
      <c r="C49" s="21"/>
      <c r="D49" s="21"/>
      <c r="E49" s="21"/>
      <c r="F49" s="6"/>
    </row>
    <row r="50" spans="1:6" x14ac:dyDescent="0.25">
      <c r="A50" s="20" t="s">
        <v>260</v>
      </c>
      <c r="B50" s="15">
        <v>0.24421493152214169</v>
      </c>
      <c r="C50" s="21"/>
      <c r="D50" s="21"/>
      <c r="E50" s="21"/>
      <c r="F50" s="6"/>
    </row>
    <row r="51" spans="1:6" x14ac:dyDescent="0.25">
      <c r="A51" s="20" t="s">
        <v>261</v>
      </c>
      <c r="B51" s="15">
        <v>0.95054830158361137</v>
      </c>
      <c r="C51" s="21"/>
      <c r="D51" s="21"/>
      <c r="E51" s="21"/>
      <c r="F51" s="6"/>
    </row>
    <row r="52" spans="1:6" x14ac:dyDescent="0.25">
      <c r="A52" s="20" t="s">
        <v>262</v>
      </c>
      <c r="B52" s="15">
        <v>4.945169841638862E-2</v>
      </c>
      <c r="C52" s="21" t="str">
        <f>'OECD Mapping'!A39</f>
        <v>D84: Public admin. and defence; compulsory social security</v>
      </c>
      <c r="D52" s="21" t="str">
        <f>'OECD Mapping'!B39</f>
        <v>ISIC 84</v>
      </c>
      <c r="E52" s="88" t="s">
        <v>232</v>
      </c>
      <c r="F52" s="6"/>
    </row>
    <row r="53" spans="1:6" ht="15" customHeight="1" thickBot="1" x14ac:dyDescent="0.3">
      <c r="A53" s="24" t="s">
        <v>263</v>
      </c>
      <c r="B53" s="18">
        <v>1</v>
      </c>
      <c r="C53" s="25"/>
      <c r="D53" s="25"/>
      <c r="E53" s="25"/>
      <c r="F53" s="10"/>
    </row>
    <row r="54" spans="1:6" s="87" customFormat="1" x14ac:dyDescent="0.25">
      <c r="A54" s="11" t="s">
        <v>225</v>
      </c>
      <c r="B54" s="12"/>
      <c r="C54" s="13"/>
      <c r="D54" s="13"/>
      <c r="E54" s="13"/>
      <c r="F54" s="14"/>
    </row>
    <row r="55" spans="1:6" x14ac:dyDescent="0.25">
      <c r="A55" s="20" t="s">
        <v>264</v>
      </c>
      <c r="B55" s="21"/>
      <c r="C55" s="21"/>
      <c r="D55" s="21"/>
      <c r="E55" s="21"/>
      <c r="F55" s="6"/>
    </row>
    <row r="56" spans="1:6" x14ac:dyDescent="0.25">
      <c r="A56" s="20" t="s">
        <v>265</v>
      </c>
      <c r="B56" s="21"/>
      <c r="C56" s="21"/>
      <c r="D56" s="21"/>
      <c r="E56" s="21"/>
      <c r="F56" s="6"/>
    </row>
    <row r="57" spans="1:6" x14ac:dyDescent="0.25">
      <c r="A57" s="20" t="s">
        <v>266</v>
      </c>
      <c r="B57" s="15">
        <v>7.8764241372455399E-2</v>
      </c>
      <c r="C57" s="21" t="str">
        <f>'OECD Mapping'!A26</f>
        <v>D351: Electricity generation and distribution</v>
      </c>
      <c r="D57" s="21" t="str">
        <f>'OECD Mapping'!B26</f>
        <v>ISIC 351</v>
      </c>
      <c r="E57" s="88" t="s">
        <v>232</v>
      </c>
      <c r="F57" s="6"/>
    </row>
    <row r="58" spans="1:6" x14ac:dyDescent="0.25">
      <c r="A58" s="20" t="s">
        <v>267</v>
      </c>
      <c r="B58" s="15">
        <v>7.4680169597587352E-3</v>
      </c>
      <c r="C58" s="21" t="str">
        <f>'OECD Mapping'!A26</f>
        <v>D351: Electricity generation and distribution</v>
      </c>
      <c r="D58" s="21" t="str">
        <f>'OECD Mapping'!B26</f>
        <v>ISIC 351</v>
      </c>
      <c r="E58" s="88" t="s">
        <v>232</v>
      </c>
      <c r="F58" s="6"/>
    </row>
    <row r="59" spans="1:6" x14ac:dyDescent="0.25">
      <c r="A59" s="20" t="s">
        <v>268</v>
      </c>
      <c r="B59" s="15">
        <v>1.400253179954763E-2</v>
      </c>
      <c r="C59" s="21" t="str">
        <f>'OECD Mapping'!A26</f>
        <v>D351: Electricity generation and distribution</v>
      </c>
      <c r="D59" s="21" t="str">
        <f>'OECD Mapping'!B26</f>
        <v>ISIC 351</v>
      </c>
      <c r="E59" s="88" t="s">
        <v>232</v>
      </c>
      <c r="F59" s="6"/>
    </row>
    <row r="60" spans="1:6" x14ac:dyDescent="0.25">
      <c r="A60" s="20" t="s">
        <v>269</v>
      </c>
      <c r="B60" s="15">
        <v>0.1002347901317618</v>
      </c>
      <c r="C60" s="21"/>
      <c r="D60" s="21"/>
      <c r="E60" s="21"/>
      <c r="F60" s="6"/>
    </row>
    <row r="61" spans="1:6" x14ac:dyDescent="0.25">
      <c r="A61" s="20" t="s">
        <v>270</v>
      </c>
      <c r="B61" s="15"/>
      <c r="C61" s="21"/>
      <c r="D61" s="21"/>
      <c r="E61" s="21"/>
      <c r="F61" s="6"/>
    </row>
    <row r="62" spans="1:6" x14ac:dyDescent="0.25">
      <c r="A62" s="20" t="s">
        <v>271</v>
      </c>
      <c r="B62" s="15">
        <v>2.4556826972294402E-2</v>
      </c>
      <c r="C62" s="21" t="str">
        <f>'OECD Mapping'!A30</f>
        <v>D45T47: Wholesale and retail trade; repair of motor vehicles</v>
      </c>
      <c r="D62" s="21" t="str">
        <f>'OECD Mapping'!B30</f>
        <v>ISIC 45T47</v>
      </c>
      <c r="E62" s="88" t="s">
        <v>232</v>
      </c>
      <c r="F62" s="6"/>
    </row>
    <row r="63" spans="1:6" x14ac:dyDescent="0.25">
      <c r="A63" s="20" t="s">
        <v>272</v>
      </c>
      <c r="B63" s="15">
        <v>9.5771625191948158E-3</v>
      </c>
      <c r="C63" s="21" t="str">
        <f>'OECD Mapping'!A38</f>
        <v>D69T82: Other business sector services</v>
      </c>
      <c r="D63" s="21" t="str">
        <f>'OECD Mapping'!B38</f>
        <v>ISIC 69T82</v>
      </c>
      <c r="E63" s="88" t="s">
        <v>232</v>
      </c>
      <c r="F63" s="6"/>
    </row>
    <row r="64" spans="1:6" x14ac:dyDescent="0.25">
      <c r="A64" s="20" t="s">
        <v>273</v>
      </c>
      <c r="B64" s="15">
        <v>4.7885812595974079E-3</v>
      </c>
      <c r="C64" s="21" t="str">
        <f>'OECD Mapping'!A39</f>
        <v>D84: Public admin. and defence; compulsory social security</v>
      </c>
      <c r="D64" s="21" t="str">
        <f>'OECD Mapping'!B39</f>
        <v>ISIC 84</v>
      </c>
      <c r="E64" s="88" t="s">
        <v>232</v>
      </c>
      <c r="F64" s="6"/>
    </row>
    <row r="65" spans="1:6" x14ac:dyDescent="0.25">
      <c r="A65" s="20" t="s">
        <v>274</v>
      </c>
      <c r="B65" s="15">
        <v>1.9154325038389632E-2</v>
      </c>
      <c r="C65" s="21" t="str">
        <f>'OECD Mapping'!A26</f>
        <v>D351: Electricity generation and distribution</v>
      </c>
      <c r="D65" s="21" t="str">
        <f>'OECD Mapping'!B26</f>
        <v>ISIC 351</v>
      </c>
      <c r="E65" s="88" t="s">
        <v>232</v>
      </c>
      <c r="F65" s="6"/>
    </row>
    <row r="66" spans="1:6" x14ac:dyDescent="0.25">
      <c r="A66" s="20" t="s">
        <v>275</v>
      </c>
      <c r="B66" s="15">
        <v>0.18417620229220799</v>
      </c>
      <c r="C66" s="21" t="str">
        <f>'OECD Mapping'!A36</f>
        <v>D64T66: Financial and insurance activities</v>
      </c>
      <c r="D66" s="21" t="str">
        <f>'OECD Mapping'!B36</f>
        <v>ISIC 64T66</v>
      </c>
      <c r="E66" s="88" t="s">
        <v>232</v>
      </c>
      <c r="F66" s="6"/>
    </row>
    <row r="67" spans="1:6" x14ac:dyDescent="0.25">
      <c r="A67" s="20" t="s">
        <v>276</v>
      </c>
      <c r="B67" s="15">
        <v>9.5771625191948158E-3</v>
      </c>
      <c r="C67" s="21" t="str">
        <f>'OECD Mapping'!A11</f>
        <v>D19: Coke and refined petroleum products</v>
      </c>
      <c r="D67" s="21" t="str">
        <f>'OECD Mapping'!B11</f>
        <v>ISIC 19</v>
      </c>
      <c r="E67" s="88" t="s">
        <v>232</v>
      </c>
      <c r="F67" s="6"/>
    </row>
    <row r="68" spans="1:6" x14ac:dyDescent="0.25">
      <c r="A68" s="20" t="s">
        <v>277</v>
      </c>
      <c r="B68" s="15">
        <v>6.2251556374766308E-2</v>
      </c>
      <c r="C68" s="21" t="str">
        <f>'OECD Mapping'!A30</f>
        <v>D45T47: Wholesale and retail trade; repair of motor vehicles</v>
      </c>
      <c r="D68" s="21" t="str">
        <f>'OECD Mapping'!B30</f>
        <v>ISIC 45T47</v>
      </c>
      <c r="E68" s="88" t="s">
        <v>232</v>
      </c>
      <c r="F68" s="6"/>
    </row>
    <row r="69" spans="1:6" x14ac:dyDescent="0.25">
      <c r="A69" s="20" t="s">
        <v>278</v>
      </c>
      <c r="B69" s="15">
        <v>0.54552991118951999</v>
      </c>
      <c r="C69" s="21" t="str">
        <f>'OECD Mapping'!A22</f>
        <v>D28: Machinery and equipment, nec</v>
      </c>
      <c r="D69" s="21" t="str">
        <f>'OECD Mapping'!B22</f>
        <v>ISIC 28</v>
      </c>
      <c r="E69" s="88" t="s">
        <v>232</v>
      </c>
      <c r="F69" s="6"/>
    </row>
    <row r="70" spans="1:6" x14ac:dyDescent="0.25">
      <c r="A70" s="20" t="s">
        <v>279</v>
      </c>
      <c r="B70" s="15">
        <v>0.8596117281651654</v>
      </c>
      <c r="C70" s="21"/>
      <c r="D70" s="21"/>
      <c r="E70" s="21"/>
      <c r="F70" s="6"/>
    </row>
    <row r="71" spans="1:6" x14ac:dyDescent="0.25">
      <c r="A71" s="20" t="s">
        <v>280</v>
      </c>
      <c r="B71" s="15">
        <v>4.0153481703072882E-2</v>
      </c>
      <c r="C71" s="21" t="str">
        <f>'OECD Mapping'!A39</f>
        <v>D84: Public admin. and defence; compulsory social security</v>
      </c>
      <c r="D71" s="21" t="str">
        <f>'OECD Mapping'!B39</f>
        <v>ISIC 84</v>
      </c>
      <c r="E71" s="88" t="s">
        <v>232</v>
      </c>
      <c r="F71" s="6"/>
    </row>
    <row r="72" spans="1:6" x14ac:dyDescent="0.25">
      <c r="A72" s="20" t="s">
        <v>281</v>
      </c>
      <c r="B72" s="15">
        <v>0</v>
      </c>
      <c r="C72" s="21"/>
      <c r="D72" s="21"/>
      <c r="E72" s="21"/>
      <c r="F72" s="6"/>
    </row>
    <row r="73" spans="1:6" ht="15" customHeight="1" thickBot="1" x14ac:dyDescent="0.3">
      <c r="A73" s="24" t="s">
        <v>282</v>
      </c>
      <c r="B73" s="18">
        <v>1</v>
      </c>
      <c r="C73" s="25"/>
      <c r="D73" s="25"/>
      <c r="E73" s="25"/>
      <c r="F73" s="10"/>
    </row>
    <row r="74" spans="1:6" ht="15" customHeight="1" thickBot="1" x14ac:dyDescent="0.3"/>
    <row r="75" spans="1:6" ht="18.600000000000001" customHeight="1" x14ac:dyDescent="0.3">
      <c r="A75" s="128" t="s">
        <v>283</v>
      </c>
      <c r="B75" s="129"/>
      <c r="C75" s="129"/>
      <c r="D75" s="129"/>
      <c r="E75" s="129"/>
      <c r="F75" s="130"/>
    </row>
    <row r="76" spans="1:6" x14ac:dyDescent="0.25">
      <c r="A76" s="1" t="s">
        <v>205</v>
      </c>
      <c r="B76" s="2" t="s">
        <v>284</v>
      </c>
      <c r="C76" s="2" t="s">
        <v>229</v>
      </c>
      <c r="D76" s="3" t="s">
        <v>208</v>
      </c>
      <c r="E76" s="3" t="s">
        <v>209</v>
      </c>
      <c r="F76" s="4" t="s">
        <v>210</v>
      </c>
    </row>
    <row r="77" spans="1:6" x14ac:dyDescent="0.25">
      <c r="A77" s="5" t="s">
        <v>211</v>
      </c>
      <c r="B77" s="2" t="s">
        <v>212</v>
      </c>
    </row>
    <row r="78" spans="1:6" x14ac:dyDescent="0.25">
      <c r="A78" s="7" t="s">
        <v>285</v>
      </c>
      <c r="C78" s="2"/>
      <c r="D78" s="3"/>
      <c r="E78" s="3"/>
      <c r="F78" s="16" t="s">
        <v>91</v>
      </c>
    </row>
    <row r="79" spans="1:6" x14ac:dyDescent="0.25">
      <c r="A79" s="7" t="s">
        <v>286</v>
      </c>
      <c r="B79" s="27">
        <v>0.13719008264462809</v>
      </c>
      <c r="C79" s="28" t="str">
        <f>'OECD Mapping'!A22</f>
        <v>D28: Machinery and equipment, nec</v>
      </c>
      <c r="D79" s="28" t="str">
        <f>'OECD Mapping'!B22</f>
        <v>ISIC 28</v>
      </c>
      <c r="E79" s="73" t="s">
        <v>287</v>
      </c>
      <c r="F79" s="16" t="s">
        <v>91</v>
      </c>
    </row>
    <row r="80" spans="1:6" x14ac:dyDescent="0.25">
      <c r="A80" s="7" t="s">
        <v>288</v>
      </c>
      <c r="B80" s="27">
        <v>8.3850739074845304E-2</v>
      </c>
      <c r="C80" s="28" t="str">
        <f>'OECD Mapping'!A29</f>
        <v>D41T43: Construction</v>
      </c>
      <c r="D80" s="28" t="str">
        <f>'OECD Mapping'!B29</f>
        <v>ISIC 41T43</v>
      </c>
      <c r="E80" s="73" t="s">
        <v>287</v>
      </c>
      <c r="F80" s="16" t="s">
        <v>91</v>
      </c>
    </row>
    <row r="81" spans="1:6" x14ac:dyDescent="0.25">
      <c r="A81" s="7" t="s">
        <v>289</v>
      </c>
      <c r="B81" s="27">
        <v>0.23515752538796461</v>
      </c>
      <c r="C81" s="28" t="str">
        <f>'OECD Mapping'!A22</f>
        <v>D28: Machinery and equipment, nec</v>
      </c>
      <c r="D81" s="28" t="str">
        <f>'OECD Mapping'!B22</f>
        <v>ISIC 28</v>
      </c>
      <c r="E81" s="73" t="s">
        <v>287</v>
      </c>
      <c r="F81" s="16" t="s">
        <v>91</v>
      </c>
    </row>
    <row r="82" spans="1:6" x14ac:dyDescent="0.25">
      <c r="A82" s="30" t="s">
        <v>290</v>
      </c>
      <c r="B82" s="27">
        <f>SUM(B79:B81)</f>
        <v>0.45619834710743801</v>
      </c>
      <c r="C82" s="28"/>
      <c r="D82" s="28"/>
      <c r="E82" s="73"/>
      <c r="F82" s="16" t="s">
        <v>91</v>
      </c>
    </row>
    <row r="83" spans="1:6" x14ac:dyDescent="0.25">
      <c r="A83" s="7" t="s">
        <v>291</v>
      </c>
      <c r="B83" s="27"/>
      <c r="C83" s="28"/>
      <c r="D83" s="28"/>
      <c r="E83" s="73"/>
      <c r="F83" s="16" t="s">
        <v>91</v>
      </c>
    </row>
    <row r="84" spans="1:6" x14ac:dyDescent="0.25">
      <c r="A84" s="7" t="s">
        <v>292</v>
      </c>
      <c r="B84" s="27">
        <v>0.2294214876033058</v>
      </c>
      <c r="C84" s="28" t="str">
        <f>'OECD Mapping'!A29</f>
        <v>D41T43: Construction</v>
      </c>
      <c r="D84" s="28" t="str">
        <f>'OECD Mapping'!B29</f>
        <v>ISIC 41T43</v>
      </c>
      <c r="E84" s="73" t="s">
        <v>287</v>
      </c>
      <c r="F84" s="16" t="s">
        <v>91</v>
      </c>
    </row>
    <row r="85" spans="1:6" x14ac:dyDescent="0.25">
      <c r="A85" s="7" t="s">
        <v>293</v>
      </c>
      <c r="B85" s="27">
        <v>6.9421487603305793E-3</v>
      </c>
      <c r="C85" s="28" t="str">
        <f>'OECD Mapping'!A29</f>
        <v>D41T43: Construction</v>
      </c>
      <c r="D85" s="28" t="str">
        <f>'OECD Mapping'!B29</f>
        <v>ISIC 41T43</v>
      </c>
      <c r="E85" s="73" t="s">
        <v>287</v>
      </c>
      <c r="F85" s="16" t="s">
        <v>91</v>
      </c>
    </row>
    <row r="86" spans="1:6" x14ac:dyDescent="0.25">
      <c r="A86" s="30" t="s">
        <v>294</v>
      </c>
      <c r="B86" s="27">
        <f>B85+B84</f>
        <v>0.23636363636363639</v>
      </c>
      <c r="C86" s="28"/>
      <c r="D86" s="28"/>
      <c r="E86" s="73"/>
      <c r="F86" s="16" t="s">
        <v>91</v>
      </c>
    </row>
    <row r="87" spans="1:6" x14ac:dyDescent="0.25">
      <c r="A87" s="30" t="s">
        <v>295</v>
      </c>
      <c r="B87" s="27">
        <f>B86+B82</f>
        <v>0.69256198347107434</v>
      </c>
      <c r="C87" s="28"/>
      <c r="D87" s="28"/>
      <c r="E87" s="73"/>
      <c r="F87" s="16" t="s">
        <v>91</v>
      </c>
    </row>
    <row r="88" spans="1:6" x14ac:dyDescent="0.25">
      <c r="A88" s="5" t="s">
        <v>296</v>
      </c>
      <c r="B88" s="27"/>
      <c r="C88" s="28"/>
      <c r="D88" s="28"/>
      <c r="E88" s="73"/>
      <c r="F88" s="16" t="s">
        <v>91</v>
      </c>
    </row>
    <row r="89" spans="1:6" x14ac:dyDescent="0.25">
      <c r="A89" s="7" t="s">
        <v>297</v>
      </c>
      <c r="B89" s="27">
        <v>7.1074380165289275E-2</v>
      </c>
      <c r="C89" s="28" t="str">
        <f>'OECD Mapping'!A38</f>
        <v>D69T82: Other business sector services</v>
      </c>
      <c r="D89" s="28" t="str">
        <f>'OECD Mapping'!B38</f>
        <v>ISIC 69T82</v>
      </c>
      <c r="E89" s="73" t="s">
        <v>287</v>
      </c>
      <c r="F89" s="16" t="s">
        <v>91</v>
      </c>
    </row>
    <row r="90" spans="1:6" x14ac:dyDescent="0.25">
      <c r="A90" s="7" t="s">
        <v>298</v>
      </c>
      <c r="B90" s="27">
        <v>1.1626634167502739E-2</v>
      </c>
      <c r="C90" s="28" t="str">
        <f>'OECD Mapping'!A36</f>
        <v>D64T66: Financial and insurance activities</v>
      </c>
      <c r="D90" s="28" t="str">
        <f>'OECD Mapping'!B36</f>
        <v>ISIC 64T66</v>
      </c>
      <c r="E90" s="73" t="s">
        <v>287</v>
      </c>
      <c r="F90" s="16" t="s">
        <v>91</v>
      </c>
    </row>
    <row r="91" spans="1:6" x14ac:dyDescent="0.25">
      <c r="A91" s="7" t="s">
        <v>299</v>
      </c>
      <c r="B91" s="27">
        <v>0</v>
      </c>
      <c r="C91" s="28" t="str">
        <f>'OECD Mapping'!A37</f>
        <v>D68: Real estate activities</v>
      </c>
      <c r="D91" s="28" t="str">
        <f>'OECD Mapping'!B37</f>
        <v>ISIC 68</v>
      </c>
      <c r="E91" s="73" t="s">
        <v>287</v>
      </c>
      <c r="F91" s="16" t="s">
        <v>91</v>
      </c>
    </row>
    <row r="92" spans="1:6" x14ac:dyDescent="0.25">
      <c r="A92" s="7" t="s">
        <v>300</v>
      </c>
      <c r="B92" s="27">
        <v>1.298854801788919E-3</v>
      </c>
      <c r="C92" s="28" t="str">
        <f>'OECD Mapping'!A12</f>
        <v>D20: Chemicals</v>
      </c>
      <c r="D92" s="28" t="str">
        <f>'OECD Mapping'!B12</f>
        <v>ISIC 20</v>
      </c>
      <c r="E92" s="73" t="s">
        <v>287</v>
      </c>
      <c r="F92" s="16" t="s">
        <v>91</v>
      </c>
    </row>
    <row r="93" spans="1:6" x14ac:dyDescent="0.25">
      <c r="A93" s="7" t="s">
        <v>301</v>
      </c>
      <c r="B93" s="27">
        <v>6.8429752066115707E-2</v>
      </c>
      <c r="C93" s="28" t="str">
        <f>'OECD Mapping'!A29</f>
        <v>D41T43: Construction</v>
      </c>
      <c r="D93" s="28" t="str">
        <f>'OECD Mapping'!B29</f>
        <v>ISIC 41T43</v>
      </c>
      <c r="E93" s="73" t="s">
        <v>287</v>
      </c>
      <c r="F93" s="16" t="s">
        <v>91</v>
      </c>
    </row>
    <row r="94" spans="1:6" x14ac:dyDescent="0.25">
      <c r="A94" s="7" t="s">
        <v>302</v>
      </c>
      <c r="B94" s="27">
        <v>0.1163307093778158</v>
      </c>
      <c r="C94" s="28" t="str">
        <f>'OECD Mapping'!A38</f>
        <v>D69T82: Other business sector services</v>
      </c>
      <c r="D94" s="28" t="str">
        <f>'OECD Mapping'!B38</f>
        <v>ISIC 69T82</v>
      </c>
      <c r="E94" s="73" t="s">
        <v>287</v>
      </c>
      <c r="F94" s="16" t="s">
        <v>91</v>
      </c>
    </row>
    <row r="95" spans="1:6" x14ac:dyDescent="0.25">
      <c r="A95" s="7" t="s">
        <v>303</v>
      </c>
      <c r="B95" s="27">
        <v>3.8016528925619839E-2</v>
      </c>
      <c r="C95" s="28" t="str">
        <f>'OECD Mapping'!A38</f>
        <v>D69T82: Other business sector services</v>
      </c>
      <c r="D95" s="28" t="str">
        <f>'OECD Mapping'!B38</f>
        <v>ISIC 69T82</v>
      </c>
      <c r="E95" s="73" t="s">
        <v>287</v>
      </c>
      <c r="F95" s="16" t="s">
        <v>91</v>
      </c>
    </row>
    <row r="96" spans="1:6" x14ac:dyDescent="0.25">
      <c r="A96" s="7" t="s">
        <v>304</v>
      </c>
      <c r="B96" s="27">
        <v>6.6115702479338848E-4</v>
      </c>
      <c r="C96" s="28" t="str">
        <f>'OECD Mapping'!A22</f>
        <v>D28: Machinery and equipment, nec</v>
      </c>
      <c r="D96" s="28" t="str">
        <f>'OECD Mapping'!B22</f>
        <v>ISIC 28</v>
      </c>
      <c r="E96" s="73" t="s">
        <v>287</v>
      </c>
      <c r="F96" s="16" t="s">
        <v>91</v>
      </c>
    </row>
    <row r="97" spans="1:6" x14ac:dyDescent="0.25">
      <c r="A97" s="30" t="s">
        <v>305</v>
      </c>
      <c r="B97" s="27">
        <f>SUM(B89:B96)</f>
        <v>0.30743801652892572</v>
      </c>
      <c r="C97" s="28"/>
      <c r="D97" s="29"/>
      <c r="E97" s="73"/>
      <c r="F97" s="16"/>
    </row>
    <row r="98" spans="1:6" ht="15" customHeight="1" thickBot="1" x14ac:dyDescent="0.3">
      <c r="A98" s="31" t="s">
        <v>306</v>
      </c>
      <c r="B98" s="32">
        <f>B97+B87</f>
        <v>1</v>
      </c>
      <c r="C98" s="33"/>
      <c r="D98" s="34"/>
      <c r="E98" s="34"/>
      <c r="F98" s="35"/>
    </row>
    <row r="99" spans="1:6" x14ac:dyDescent="0.25">
      <c r="A99" s="11" t="s">
        <v>225</v>
      </c>
      <c r="B99" s="12"/>
      <c r="C99" s="36"/>
      <c r="D99" s="37"/>
      <c r="E99" s="37"/>
      <c r="F99" s="14"/>
    </row>
    <row r="100" spans="1:6" x14ac:dyDescent="0.25">
      <c r="A100" s="38" t="s">
        <v>291</v>
      </c>
      <c r="B100" s="27">
        <v>0.59740259740259738</v>
      </c>
      <c r="C100" s="39" t="str">
        <f>'OECD Mapping'!A26</f>
        <v>D351: Electricity generation and distribution</v>
      </c>
      <c r="D100" s="39" t="str">
        <f>'OECD Mapping'!B26</f>
        <v>ISIC 351</v>
      </c>
      <c r="E100" s="73" t="s">
        <v>287</v>
      </c>
      <c r="F100" s="16" t="s">
        <v>91</v>
      </c>
    </row>
    <row r="101" spans="1:6" x14ac:dyDescent="0.25">
      <c r="A101" s="38" t="s">
        <v>307</v>
      </c>
      <c r="B101" s="27">
        <v>0.25108225108225107</v>
      </c>
      <c r="C101" s="39" t="str">
        <f>'OECD Mapping'!A22</f>
        <v>D28: Machinery and equipment, nec</v>
      </c>
      <c r="D101" s="39" t="str">
        <f>'OECD Mapping'!B22</f>
        <v>ISIC 28</v>
      </c>
      <c r="E101" s="73" t="s">
        <v>287</v>
      </c>
      <c r="F101" s="16" t="s">
        <v>91</v>
      </c>
    </row>
    <row r="102" spans="1:6" x14ac:dyDescent="0.25">
      <c r="A102" s="38" t="s">
        <v>308</v>
      </c>
      <c r="B102" s="27">
        <v>0.15151515151515149</v>
      </c>
      <c r="C102" s="39" t="str">
        <f>'OECD Mapping'!A38</f>
        <v>D69T82: Other business sector services</v>
      </c>
      <c r="D102" s="39" t="str">
        <f>'OECD Mapping'!B38</f>
        <v>ISIC 69T82</v>
      </c>
      <c r="E102" s="73" t="s">
        <v>287</v>
      </c>
      <c r="F102" s="16" t="s">
        <v>91</v>
      </c>
    </row>
    <row r="103" spans="1:6" ht="15" customHeight="1" thickBot="1" x14ac:dyDescent="0.3">
      <c r="A103" s="40" t="s">
        <v>306</v>
      </c>
      <c r="B103" s="41">
        <f>SUM(B100:B102)</f>
        <v>0.99999999999999989</v>
      </c>
      <c r="C103" s="42"/>
      <c r="D103" s="43"/>
      <c r="E103" s="43"/>
      <c r="F103" s="10"/>
    </row>
    <row r="104" spans="1:6" x14ac:dyDescent="0.25">
      <c r="A104" s="11" t="s">
        <v>309</v>
      </c>
      <c r="B104" s="12"/>
      <c r="C104" s="36"/>
      <c r="D104" s="37"/>
      <c r="E104" s="37"/>
      <c r="F104" s="14"/>
    </row>
    <row r="105" spans="1:6" x14ac:dyDescent="0.25">
      <c r="A105" s="38" t="s">
        <v>310</v>
      </c>
      <c r="B105" s="27">
        <v>7.1038251366120214E-2</v>
      </c>
      <c r="C105" s="39" t="str">
        <f>'OECD Mapping'!A38</f>
        <v>D69T82: Other business sector services</v>
      </c>
      <c r="D105" s="39" t="str">
        <f>'OECD Mapping'!B38</f>
        <v>ISIC 69T82</v>
      </c>
      <c r="E105" s="73" t="s">
        <v>287</v>
      </c>
      <c r="F105" s="16" t="s">
        <v>91</v>
      </c>
    </row>
    <row r="106" spans="1:6" x14ac:dyDescent="0.25">
      <c r="A106" s="38" t="s">
        <v>311</v>
      </c>
      <c r="B106" s="27">
        <v>0.76502732240437155</v>
      </c>
      <c r="C106" s="39" t="str">
        <f>'OECD Mapping'!A28</f>
        <v>D36T39: Water and waste</v>
      </c>
      <c r="D106" s="39" t="str">
        <f>'OECD Mapping'!B28</f>
        <v>ISIC 36T39</v>
      </c>
      <c r="E106" s="73" t="s">
        <v>287</v>
      </c>
      <c r="F106" s="16" t="s">
        <v>91</v>
      </c>
    </row>
    <row r="107" spans="1:6" x14ac:dyDescent="0.25">
      <c r="A107" s="38" t="s">
        <v>300</v>
      </c>
      <c r="B107" s="27">
        <v>0.16393442622950821</v>
      </c>
      <c r="C107" s="39" t="str">
        <f>'OECD Mapping'!A12</f>
        <v>D20: Chemicals</v>
      </c>
      <c r="D107" s="39" t="str">
        <f>'OECD Mapping'!B12</f>
        <v>ISIC 20</v>
      </c>
      <c r="E107" s="73" t="s">
        <v>287</v>
      </c>
      <c r="F107" s="16" t="s">
        <v>91</v>
      </c>
    </row>
    <row r="108" spans="1:6" ht="15" customHeight="1" thickBot="1" x14ac:dyDescent="0.3">
      <c r="A108" s="40" t="s">
        <v>306</v>
      </c>
      <c r="B108" s="44">
        <f>SUM(B105:B107)</f>
        <v>1</v>
      </c>
      <c r="C108" s="42"/>
      <c r="D108" s="43"/>
      <c r="E108" s="43"/>
      <c r="F108" s="10"/>
    </row>
    <row r="109" spans="1:6" ht="15" customHeight="1" thickBot="1" x14ac:dyDescent="0.3"/>
    <row r="110" spans="1:6" ht="18.600000000000001" customHeight="1" x14ac:dyDescent="0.3">
      <c r="A110" s="128" t="s">
        <v>312</v>
      </c>
      <c r="B110" s="129"/>
      <c r="C110" s="129"/>
      <c r="D110" s="129"/>
      <c r="E110" s="129"/>
      <c r="F110" s="130"/>
    </row>
    <row r="111" spans="1:6" x14ac:dyDescent="0.25">
      <c r="A111" s="1" t="s">
        <v>205</v>
      </c>
      <c r="B111" s="2" t="s">
        <v>284</v>
      </c>
      <c r="C111" s="2" t="s">
        <v>229</v>
      </c>
      <c r="D111" s="3" t="s">
        <v>208</v>
      </c>
      <c r="E111" s="3" t="s">
        <v>209</v>
      </c>
      <c r="F111" s="4" t="s">
        <v>210</v>
      </c>
    </row>
    <row r="112" spans="1:6" x14ac:dyDescent="0.25">
      <c r="A112" s="5" t="s">
        <v>211</v>
      </c>
      <c r="B112" s="2" t="s">
        <v>212</v>
      </c>
      <c r="C112" s="2"/>
      <c r="D112" s="3"/>
      <c r="E112" s="3"/>
      <c r="F112" s="16"/>
    </row>
    <row r="113" spans="1:6" x14ac:dyDescent="0.25">
      <c r="A113" s="7" t="s">
        <v>285</v>
      </c>
    </row>
    <row r="114" spans="1:6" x14ac:dyDescent="0.25">
      <c r="A114" s="7" t="s">
        <v>286</v>
      </c>
      <c r="B114" s="45">
        <v>0.35294117647058831</v>
      </c>
      <c r="C114" s="28" t="str">
        <f>'OECD Mapping'!A22</f>
        <v>D28: Machinery and equipment, nec</v>
      </c>
      <c r="D114" s="28" t="str">
        <f>'OECD Mapping'!B22</f>
        <v>ISIC 28</v>
      </c>
      <c r="E114" s="73" t="s">
        <v>313</v>
      </c>
      <c r="F114" s="16" t="s">
        <v>107</v>
      </c>
    </row>
    <row r="115" spans="1:6" x14ac:dyDescent="0.25">
      <c r="A115" s="7" t="s">
        <v>288</v>
      </c>
      <c r="B115" s="45">
        <v>8.8235294117647065E-2</v>
      </c>
      <c r="C115" s="28" t="str">
        <f>'OECD Mapping'!A29</f>
        <v>D41T43: Construction</v>
      </c>
      <c r="D115" s="28" t="str">
        <f>'OECD Mapping'!B29</f>
        <v>ISIC 41T43</v>
      </c>
      <c r="E115" s="73" t="s">
        <v>313</v>
      </c>
      <c r="F115" s="16" t="s">
        <v>107</v>
      </c>
    </row>
    <row r="116" spans="1:6" x14ac:dyDescent="0.25">
      <c r="A116" s="7" t="s">
        <v>289</v>
      </c>
      <c r="B116" s="45">
        <v>0.1588235294117647</v>
      </c>
      <c r="C116" s="28" t="str">
        <f>'OECD Mapping'!A22</f>
        <v>D28: Machinery and equipment, nec</v>
      </c>
      <c r="D116" s="28" t="str">
        <f>'OECD Mapping'!B22</f>
        <v>ISIC 28</v>
      </c>
      <c r="E116" s="73" t="s">
        <v>313</v>
      </c>
      <c r="F116" s="16" t="s">
        <v>107</v>
      </c>
    </row>
    <row r="117" spans="1:6" x14ac:dyDescent="0.25">
      <c r="A117" s="7" t="s">
        <v>314</v>
      </c>
      <c r="B117" s="45">
        <v>0.60000000000000009</v>
      </c>
      <c r="C117" s="28"/>
      <c r="D117" s="28"/>
      <c r="E117" s="29"/>
      <c r="F117" s="16" t="s">
        <v>107</v>
      </c>
    </row>
    <row r="118" spans="1:6" x14ac:dyDescent="0.25">
      <c r="A118" s="7" t="s">
        <v>315</v>
      </c>
      <c r="B118" s="46"/>
      <c r="C118" s="28"/>
      <c r="D118" s="28"/>
      <c r="E118" s="29"/>
      <c r="F118" s="16" t="s">
        <v>107</v>
      </c>
    </row>
    <row r="119" spans="1:6" x14ac:dyDescent="0.25">
      <c r="A119" s="7" t="s">
        <v>292</v>
      </c>
      <c r="B119" s="46">
        <v>0.17058823529411771</v>
      </c>
      <c r="C119" s="28" t="str">
        <f>'OECD Mapping'!A29</f>
        <v>D41T43: Construction</v>
      </c>
      <c r="D119" s="28" t="str">
        <f>'OECD Mapping'!B29</f>
        <v>ISIC 41T43</v>
      </c>
      <c r="E119" s="73" t="s">
        <v>313</v>
      </c>
      <c r="F119" s="16" t="s">
        <v>107</v>
      </c>
    </row>
    <row r="120" spans="1:6" x14ac:dyDescent="0.25">
      <c r="A120" s="7" t="s">
        <v>316</v>
      </c>
      <c r="B120" s="45">
        <v>9.4117647058823528E-2</v>
      </c>
      <c r="C120" s="28" t="str">
        <f>'OECD Mapping'!A38</f>
        <v>D69T82: Other business sector services</v>
      </c>
      <c r="D120" s="28" t="str">
        <f>'OECD Mapping'!B38</f>
        <v>ISIC 69T82</v>
      </c>
      <c r="E120" s="73" t="s">
        <v>313</v>
      </c>
      <c r="F120" s="16" t="s">
        <v>107</v>
      </c>
    </row>
    <row r="121" spans="1:6" x14ac:dyDescent="0.25">
      <c r="A121" s="7" t="s">
        <v>317</v>
      </c>
      <c r="B121" s="45">
        <v>5.8823529411764714E-3</v>
      </c>
      <c r="C121" s="28" t="str">
        <f>'OECD Mapping'!A26</f>
        <v>D351: Electricity generation and distribution</v>
      </c>
      <c r="D121" s="28" t="str">
        <f>'OECD Mapping'!B26</f>
        <v>ISIC 351</v>
      </c>
      <c r="E121" s="73" t="s">
        <v>313</v>
      </c>
      <c r="F121" s="16" t="s">
        <v>107</v>
      </c>
    </row>
    <row r="122" spans="1:6" x14ac:dyDescent="0.25">
      <c r="A122" s="7" t="s">
        <v>314</v>
      </c>
      <c r="B122" s="45">
        <v>0.27058823529411757</v>
      </c>
      <c r="C122" s="28"/>
      <c r="D122" s="28"/>
      <c r="E122" s="29"/>
      <c r="F122" s="16" t="s">
        <v>107</v>
      </c>
    </row>
    <row r="123" spans="1:6" x14ac:dyDescent="0.25">
      <c r="A123" s="7" t="s">
        <v>295</v>
      </c>
      <c r="B123" s="46">
        <v>0.87058823529411766</v>
      </c>
      <c r="C123" s="28"/>
      <c r="D123" s="28"/>
      <c r="E123" s="29"/>
      <c r="F123" s="16" t="s">
        <v>107</v>
      </c>
    </row>
    <row r="124" spans="1:6" x14ac:dyDescent="0.25">
      <c r="A124" s="5" t="s">
        <v>296</v>
      </c>
      <c r="B124" s="46"/>
      <c r="C124" s="28"/>
      <c r="D124" s="28"/>
      <c r="E124" s="29"/>
      <c r="F124" s="16" t="s">
        <v>107</v>
      </c>
    </row>
    <row r="125" spans="1:6" x14ac:dyDescent="0.25">
      <c r="A125" s="7" t="s">
        <v>318</v>
      </c>
      <c r="B125" s="46">
        <v>2.3529411764705879E-2</v>
      </c>
      <c r="C125" s="28" t="str">
        <f>'OECD Mapping'!A38</f>
        <v>D69T82: Other business sector services</v>
      </c>
      <c r="D125" s="28" t="str">
        <f>'OECD Mapping'!B38</f>
        <v>ISIC 69T82</v>
      </c>
      <c r="E125" s="73" t="s">
        <v>313</v>
      </c>
      <c r="F125" s="16" t="s">
        <v>107</v>
      </c>
    </row>
    <row r="126" spans="1:6" x14ac:dyDescent="0.25">
      <c r="A126" s="7" t="s">
        <v>298</v>
      </c>
      <c r="B126" s="45">
        <v>5.8823529411764714E-3</v>
      </c>
      <c r="C126" s="28" t="str">
        <f>'OECD Mapping'!A36</f>
        <v>D64T66: Financial and insurance activities</v>
      </c>
      <c r="D126" s="28" t="str">
        <f>'OECD Mapping'!B36</f>
        <v>ISIC 64T66</v>
      </c>
      <c r="E126" s="73" t="s">
        <v>313</v>
      </c>
      <c r="F126" s="16" t="s">
        <v>107</v>
      </c>
    </row>
    <row r="127" spans="1:6" x14ac:dyDescent="0.25">
      <c r="A127" s="7" t="s">
        <v>299</v>
      </c>
      <c r="B127" s="45">
        <v>4.7058823529411757E-2</v>
      </c>
      <c r="C127" s="28" t="str">
        <f>'OECD Mapping'!A37</f>
        <v>D68: Real estate activities</v>
      </c>
      <c r="D127" s="28" t="str">
        <f>'OECD Mapping'!B37</f>
        <v>ISIC 68</v>
      </c>
      <c r="E127" s="73" t="s">
        <v>313</v>
      </c>
      <c r="F127" s="16" t="s">
        <v>107</v>
      </c>
    </row>
    <row r="128" spans="1:6" x14ac:dyDescent="0.25">
      <c r="A128" s="7" t="s">
        <v>319</v>
      </c>
      <c r="B128" s="45">
        <v>2.3529411764705879E-2</v>
      </c>
      <c r="C128" s="28" t="str">
        <f>'OECD Mapping'!A39</f>
        <v>D84: Public admin. and defence; compulsory social security</v>
      </c>
      <c r="D128" s="28" t="str">
        <f>'OECD Mapping'!B39</f>
        <v>ISIC 84</v>
      </c>
      <c r="E128" s="73" t="s">
        <v>313</v>
      </c>
      <c r="F128" s="16" t="s">
        <v>107</v>
      </c>
    </row>
    <row r="129" spans="1:6" x14ac:dyDescent="0.25">
      <c r="A129" s="7" t="s">
        <v>301</v>
      </c>
      <c r="B129" s="45">
        <v>2.3529411764705879E-2</v>
      </c>
      <c r="C129" s="28" t="str">
        <f>'OECD Mapping'!A29</f>
        <v>D41T43: Construction</v>
      </c>
      <c r="D129" s="28" t="str">
        <f>'OECD Mapping'!B29</f>
        <v>ISIC 41T43</v>
      </c>
      <c r="E129" s="73" t="s">
        <v>313</v>
      </c>
      <c r="F129" s="16" t="s">
        <v>107</v>
      </c>
    </row>
    <row r="130" spans="1:6" x14ac:dyDescent="0.25">
      <c r="A130" s="7" t="s">
        <v>304</v>
      </c>
      <c r="B130" s="45">
        <v>5.8823529411764714E-3</v>
      </c>
      <c r="C130" s="28" t="str">
        <f>'OECD Mapping'!A22</f>
        <v>D28: Machinery and equipment, nec</v>
      </c>
      <c r="D130" s="28" t="str">
        <f>'OECD Mapping'!B22</f>
        <v>ISIC 28</v>
      </c>
      <c r="E130" s="73" t="s">
        <v>313</v>
      </c>
      <c r="F130" s="16" t="s">
        <v>107</v>
      </c>
    </row>
    <row r="131" spans="1:6" x14ac:dyDescent="0.25">
      <c r="A131" s="7" t="s">
        <v>305</v>
      </c>
      <c r="B131" s="45">
        <v>0.12941176470588239</v>
      </c>
      <c r="C131" s="28"/>
      <c r="D131" s="28"/>
      <c r="E131" s="73"/>
      <c r="F131" s="16"/>
    </row>
    <row r="132" spans="1:6" x14ac:dyDescent="0.25">
      <c r="A132" s="5" t="s">
        <v>320</v>
      </c>
      <c r="B132" s="46">
        <v>1</v>
      </c>
      <c r="C132" s="28"/>
      <c r="D132" s="29"/>
      <c r="E132" s="29"/>
      <c r="F132" s="16" t="s">
        <v>107</v>
      </c>
    </row>
    <row r="133" spans="1:6" ht="15" customHeight="1" thickBot="1" x14ac:dyDescent="0.3">
      <c r="A133" s="47" t="s">
        <v>280</v>
      </c>
      <c r="B133" s="48">
        <f>B132+B124</f>
        <v>1</v>
      </c>
      <c r="C133" s="49"/>
      <c r="D133" s="50"/>
      <c r="E133" s="50"/>
      <c r="F133" s="19" t="s">
        <v>107</v>
      </c>
    </row>
    <row r="134" spans="1:6" x14ac:dyDescent="0.25">
      <c r="A134" s="11" t="s">
        <v>225</v>
      </c>
      <c r="B134" s="51"/>
      <c r="C134" s="36"/>
      <c r="D134" s="37"/>
      <c r="E134" s="37"/>
      <c r="F134" s="52" t="s">
        <v>107</v>
      </c>
    </row>
    <row r="135" spans="1:6" x14ac:dyDescent="0.25">
      <c r="A135" s="38" t="s">
        <v>291</v>
      </c>
      <c r="B135" s="23">
        <v>0.41820000000000018</v>
      </c>
      <c r="C135" s="39" t="str">
        <f>'OECD Mapping'!A26</f>
        <v>D351: Electricity generation and distribution</v>
      </c>
      <c r="D135" s="39" t="str">
        <f>'OECD Mapping'!B26</f>
        <v>ISIC 351</v>
      </c>
      <c r="E135" s="73" t="s">
        <v>313</v>
      </c>
      <c r="F135" s="16" t="s">
        <v>107</v>
      </c>
    </row>
    <row r="136" spans="1:6" x14ac:dyDescent="0.25">
      <c r="A136" s="38" t="s">
        <v>307</v>
      </c>
      <c r="B136" s="23">
        <v>6.0604166666666653E-2</v>
      </c>
      <c r="C136" s="39" t="str">
        <f>'OECD Mapping'!A22</f>
        <v>D28: Machinery and equipment, nec</v>
      </c>
      <c r="D136" s="39" t="str">
        <f>'OECD Mapping'!B22</f>
        <v>ISIC 28</v>
      </c>
      <c r="E136" s="73" t="s">
        <v>313</v>
      </c>
      <c r="F136" s="16" t="s">
        <v>107</v>
      </c>
    </row>
    <row r="137" spans="1:6" x14ac:dyDescent="0.25">
      <c r="A137" s="38" t="s">
        <v>308</v>
      </c>
      <c r="B137" s="23">
        <v>0.52119583333333308</v>
      </c>
      <c r="C137" s="39" t="str">
        <f>'OECD Mapping'!A38</f>
        <v>D69T82: Other business sector services</v>
      </c>
      <c r="D137" s="39" t="str">
        <f>'OECD Mapping'!B38</f>
        <v>ISIC 69T82</v>
      </c>
      <c r="E137" s="73" t="s">
        <v>313</v>
      </c>
      <c r="F137" s="16" t="s">
        <v>107</v>
      </c>
    </row>
    <row r="138" spans="1:6" ht="15" customHeight="1" thickBot="1" x14ac:dyDescent="0.3">
      <c r="A138" s="40" t="s">
        <v>306</v>
      </c>
      <c r="B138" s="53">
        <f>SUM(B135:B137)</f>
        <v>0.99999999999999989</v>
      </c>
      <c r="C138" s="25"/>
      <c r="D138" s="26"/>
      <c r="E138" s="26"/>
      <c r="F138" s="19" t="s">
        <v>107</v>
      </c>
    </row>
    <row r="139" spans="1:6" x14ac:dyDescent="0.25">
      <c r="A139" s="11" t="s">
        <v>309</v>
      </c>
      <c r="B139" s="12"/>
      <c r="C139" s="36"/>
      <c r="D139" s="37"/>
      <c r="E139" s="37"/>
      <c r="F139" s="14"/>
    </row>
    <row r="140" spans="1:6" x14ac:dyDescent="0.25">
      <c r="A140" s="38" t="s">
        <v>321</v>
      </c>
      <c r="B140" s="27">
        <v>0.84482758620689657</v>
      </c>
      <c r="C140" s="39" t="str">
        <f>'OECD Mapping'!A25</f>
        <v>D31T33: Other manufacturing; repair and installation of machinery and equipment</v>
      </c>
      <c r="D140" s="39" t="str">
        <f>'OECD Mapping'!B25</f>
        <v>ISIC 31T33</v>
      </c>
      <c r="E140" s="73" t="s">
        <v>313</v>
      </c>
      <c r="F140" s="16" t="s">
        <v>107</v>
      </c>
    </row>
    <row r="141" spans="1:6" x14ac:dyDescent="0.25">
      <c r="A141" s="38" t="s">
        <v>311</v>
      </c>
      <c r="B141" s="27">
        <v>5.1724137931034482E-2</v>
      </c>
      <c r="C141" s="39" t="str">
        <f>'OECD Mapping'!A28</f>
        <v>D36T39: Water and waste</v>
      </c>
      <c r="D141" s="39" t="str">
        <f>'OECD Mapping'!B28</f>
        <v>ISIC 36T39</v>
      </c>
      <c r="E141" s="73" t="s">
        <v>313</v>
      </c>
      <c r="F141" s="16" t="s">
        <v>107</v>
      </c>
    </row>
    <row r="142" spans="1:6" x14ac:dyDescent="0.25">
      <c r="A142" s="38" t="s">
        <v>300</v>
      </c>
      <c r="B142" s="27">
        <v>0.10344827586206901</v>
      </c>
      <c r="C142" s="39" t="str">
        <f>'OECD Mapping'!A12</f>
        <v>D20: Chemicals</v>
      </c>
      <c r="D142" s="39" t="str">
        <f>'OECD Mapping'!B12</f>
        <v>ISIC 20</v>
      </c>
      <c r="E142" s="73" t="s">
        <v>313</v>
      </c>
      <c r="F142" s="16" t="s">
        <v>107</v>
      </c>
    </row>
    <row r="143" spans="1:6" ht="15" customHeight="1" thickBot="1" x14ac:dyDescent="0.3">
      <c r="A143" s="40" t="s">
        <v>306</v>
      </c>
      <c r="B143" s="44">
        <f>SUM(B140:B142)</f>
        <v>1</v>
      </c>
      <c r="C143" s="25"/>
      <c r="D143" s="26"/>
      <c r="E143" s="26"/>
      <c r="F143" s="10"/>
    </row>
    <row r="144" spans="1:6" ht="15" customHeight="1" thickBot="1" x14ac:dyDescent="0.3"/>
    <row r="145" spans="1:6" ht="18.600000000000001" customHeight="1" x14ac:dyDescent="0.3">
      <c r="A145" s="125" t="s">
        <v>322</v>
      </c>
      <c r="B145" s="126"/>
      <c r="C145" s="126"/>
      <c r="D145" s="126"/>
      <c r="E145" s="126"/>
      <c r="F145" s="127"/>
    </row>
    <row r="146" spans="1:6" x14ac:dyDescent="0.25">
      <c r="A146" s="1" t="s">
        <v>205</v>
      </c>
      <c r="B146" s="2" t="s">
        <v>284</v>
      </c>
      <c r="C146" s="2" t="s">
        <v>229</v>
      </c>
      <c r="D146" s="3" t="s">
        <v>208</v>
      </c>
      <c r="E146" s="3" t="s">
        <v>209</v>
      </c>
      <c r="F146" s="4" t="s">
        <v>210</v>
      </c>
    </row>
    <row r="147" spans="1:6" x14ac:dyDescent="0.25">
      <c r="A147" s="5" t="s">
        <v>211</v>
      </c>
      <c r="B147" s="2" t="s">
        <v>212</v>
      </c>
      <c r="C147" s="2"/>
      <c r="D147" s="3"/>
      <c r="E147" s="3"/>
      <c r="F147" s="16"/>
    </row>
    <row r="148" spans="1:6" x14ac:dyDescent="0.25">
      <c r="A148" s="7" t="s">
        <v>323</v>
      </c>
      <c r="B148" s="55"/>
      <c r="C148" s="21"/>
      <c r="D148" s="22"/>
      <c r="E148" s="22"/>
      <c r="F148" s="6"/>
    </row>
    <row r="149" spans="1:6" x14ac:dyDescent="0.25">
      <c r="A149" s="7" t="s">
        <v>324</v>
      </c>
      <c r="B149" s="55">
        <v>0.12</v>
      </c>
      <c r="C149" s="21" t="str">
        <f>'OECD Mapping'!A22</f>
        <v>D28: Machinery and equipment, nec</v>
      </c>
      <c r="D149" s="21" t="str">
        <f>'OECD Mapping'!B22</f>
        <v>ISIC 28</v>
      </c>
      <c r="E149" s="21" t="s">
        <v>325</v>
      </c>
    </row>
    <row r="150" spans="1:6" x14ac:dyDescent="0.25">
      <c r="A150" s="7" t="s">
        <v>326</v>
      </c>
      <c r="B150" s="55">
        <v>0.12</v>
      </c>
      <c r="C150" s="21" t="str">
        <f>'OECD Mapping'!A22</f>
        <v>D28: Machinery and equipment, nec</v>
      </c>
      <c r="D150" s="21" t="str">
        <f>'OECD Mapping'!B22</f>
        <v>ISIC 28</v>
      </c>
      <c r="E150" s="21" t="s">
        <v>325</v>
      </c>
      <c r="F150" s="56" t="s">
        <v>92</v>
      </c>
    </row>
    <row r="151" spans="1:6" x14ac:dyDescent="0.25">
      <c r="A151" s="7" t="s">
        <v>327</v>
      </c>
      <c r="B151" s="55">
        <v>0.16</v>
      </c>
      <c r="C151" s="21" t="str">
        <f>'OECD Mapping'!A22</f>
        <v>D28: Machinery and equipment, nec</v>
      </c>
      <c r="D151" s="21" t="str">
        <f>'OECD Mapping'!B22</f>
        <v>ISIC 28</v>
      </c>
      <c r="E151" s="21" t="s">
        <v>325</v>
      </c>
      <c r="F151" s="56" t="s">
        <v>92</v>
      </c>
    </row>
    <row r="152" spans="1:6" x14ac:dyDescent="0.25">
      <c r="A152" s="7" t="s">
        <v>328</v>
      </c>
      <c r="B152" s="55">
        <v>0.08</v>
      </c>
      <c r="C152" s="21" t="str">
        <f>'OECD Mapping'!A22</f>
        <v>D28: Machinery and equipment, nec</v>
      </c>
      <c r="D152" s="21" t="str">
        <f>'OECD Mapping'!B22</f>
        <v>ISIC 28</v>
      </c>
      <c r="E152" s="21" t="s">
        <v>325</v>
      </c>
      <c r="F152" s="56" t="s">
        <v>92</v>
      </c>
    </row>
    <row r="153" spans="1:6" x14ac:dyDescent="0.25">
      <c r="A153" s="7" t="s">
        <v>329</v>
      </c>
      <c r="B153" s="55">
        <v>0.12</v>
      </c>
      <c r="C153" s="21" t="str">
        <f>'OECD Mapping'!A22</f>
        <v>D28: Machinery and equipment, nec</v>
      </c>
      <c r="D153" s="21" t="str">
        <f>'OECD Mapping'!B22</f>
        <v>ISIC 28</v>
      </c>
      <c r="E153" s="21" t="s">
        <v>325</v>
      </c>
      <c r="F153" s="56" t="s">
        <v>92</v>
      </c>
    </row>
    <row r="154" spans="1:6" x14ac:dyDescent="0.25">
      <c r="A154" s="7" t="s">
        <v>330</v>
      </c>
      <c r="B154" s="55">
        <v>0.25</v>
      </c>
      <c r="C154" s="21" t="str">
        <f>'OECD Mapping'!A29</f>
        <v>D41T43: Construction</v>
      </c>
      <c r="D154" s="21" t="str">
        <f>'OECD Mapping'!B29</f>
        <v>ISIC 41T43</v>
      </c>
      <c r="E154" s="21" t="s">
        <v>325</v>
      </c>
      <c r="F154" s="56" t="s">
        <v>92</v>
      </c>
    </row>
    <row r="155" spans="1:6" x14ac:dyDescent="0.25">
      <c r="A155" s="7" t="s">
        <v>331</v>
      </c>
      <c r="B155" s="55">
        <v>0.1</v>
      </c>
      <c r="C155" s="21" t="str">
        <f>'OECD Mapping'!A29</f>
        <v>D41T43: Construction</v>
      </c>
      <c r="D155" s="21" t="str">
        <f>'OECD Mapping'!B29</f>
        <v>ISIC 41T43</v>
      </c>
      <c r="E155" s="21" t="s">
        <v>325</v>
      </c>
      <c r="F155" s="56" t="s">
        <v>92</v>
      </c>
    </row>
    <row r="156" spans="1:6" x14ac:dyDescent="0.25">
      <c r="A156" s="7" t="s">
        <v>332</v>
      </c>
      <c r="B156" s="55">
        <v>0.02</v>
      </c>
      <c r="C156" s="21" t="str">
        <f>'OECD Mapping'!A38</f>
        <v>D69T82: Other business sector services</v>
      </c>
      <c r="D156" s="21" t="str">
        <f>'OECD Mapping'!B38</f>
        <v>ISIC 69T82</v>
      </c>
      <c r="E156" s="21" t="s">
        <v>325</v>
      </c>
      <c r="F156" s="56" t="s">
        <v>92</v>
      </c>
    </row>
    <row r="157" spans="1:6" x14ac:dyDescent="0.25">
      <c r="A157" s="7" t="s">
        <v>333</v>
      </c>
      <c r="B157" s="55">
        <v>0.03</v>
      </c>
      <c r="C157" s="21" t="str">
        <f>'OECD Mapping'!A5</f>
        <v>D07T08: Mining and quarrying of uranium and non-energy-producing products</v>
      </c>
      <c r="D157" s="21" t="str">
        <f>'OECD Mapping'!B5</f>
        <v>ISIC 07T08</v>
      </c>
      <c r="E157" s="21" t="s">
        <v>325</v>
      </c>
      <c r="F157" s="56" t="s">
        <v>92</v>
      </c>
    </row>
    <row r="158" spans="1:6" ht="15" customHeight="1" thickBot="1" x14ac:dyDescent="0.3">
      <c r="A158" s="57" t="s">
        <v>263</v>
      </c>
      <c r="B158" s="58">
        <v>1</v>
      </c>
      <c r="C158" s="59"/>
      <c r="D158" s="59"/>
      <c r="E158" s="59"/>
      <c r="F158" s="56" t="s">
        <v>92</v>
      </c>
    </row>
    <row r="159" spans="1:6" x14ac:dyDescent="0.25">
      <c r="A159" s="11" t="s">
        <v>225</v>
      </c>
      <c r="B159" s="60"/>
      <c r="C159" s="60"/>
      <c r="D159" s="60"/>
      <c r="E159" s="60"/>
      <c r="F159" s="14"/>
    </row>
    <row r="160" spans="1:6" ht="15" customHeight="1" thickBot="1" x14ac:dyDescent="0.3">
      <c r="A160" s="57" t="s">
        <v>264</v>
      </c>
      <c r="B160" s="61">
        <v>1</v>
      </c>
      <c r="C160" s="59" t="str">
        <f>'OECD Mapping'!A26</f>
        <v>D351: Electricity generation and distribution</v>
      </c>
      <c r="D160" s="59" t="str">
        <f>'OECD Mapping'!B26</f>
        <v>ISIC 351</v>
      </c>
      <c r="E160" s="59" t="s">
        <v>334</v>
      </c>
      <c r="F160" s="56" t="s">
        <v>335</v>
      </c>
    </row>
    <row r="161" spans="1:6" x14ac:dyDescent="0.25">
      <c r="A161" s="11" t="s">
        <v>309</v>
      </c>
      <c r="B161" s="60"/>
      <c r="C161" s="60"/>
      <c r="D161" s="60"/>
      <c r="E161" s="60"/>
      <c r="F161" s="14"/>
    </row>
    <row r="162" spans="1:6" ht="15" customHeight="1" thickBot="1" x14ac:dyDescent="0.3">
      <c r="A162" s="24" t="s">
        <v>336</v>
      </c>
      <c r="B162" s="53">
        <v>1</v>
      </c>
      <c r="C162" s="25" t="str">
        <f>'OECD Mapping'!A28</f>
        <v>D36T39: Water and waste</v>
      </c>
      <c r="D162" s="25" t="str">
        <f>'OECD Mapping'!B28</f>
        <v>ISIC 36T39</v>
      </c>
      <c r="E162" s="25" t="s">
        <v>337</v>
      </c>
      <c r="F162" s="19" t="s">
        <v>118</v>
      </c>
    </row>
    <row r="163" spans="1:6" ht="15" customHeight="1" thickBot="1" x14ac:dyDescent="0.3"/>
    <row r="164" spans="1:6" ht="18.600000000000001" customHeight="1" x14ac:dyDescent="0.3">
      <c r="A164" s="125" t="s">
        <v>338</v>
      </c>
      <c r="B164" s="126"/>
      <c r="C164" s="126"/>
      <c r="D164" s="126"/>
      <c r="E164" s="126"/>
      <c r="F164" s="127"/>
    </row>
    <row r="165" spans="1:6" x14ac:dyDescent="0.25">
      <c r="A165" s="1" t="s">
        <v>205</v>
      </c>
      <c r="B165" s="2" t="s">
        <v>284</v>
      </c>
      <c r="C165" s="2" t="s">
        <v>229</v>
      </c>
      <c r="D165" s="3" t="s">
        <v>208</v>
      </c>
      <c r="E165" s="3" t="s">
        <v>209</v>
      </c>
      <c r="F165" s="4" t="s">
        <v>210</v>
      </c>
    </row>
    <row r="166" spans="1:6" x14ac:dyDescent="0.25">
      <c r="A166" s="5" t="s">
        <v>211</v>
      </c>
      <c r="B166" s="2" t="s">
        <v>212</v>
      </c>
      <c r="C166" s="2"/>
      <c r="D166" s="3"/>
      <c r="E166" s="3"/>
      <c r="F166" s="16"/>
    </row>
    <row r="167" spans="1:6" x14ac:dyDescent="0.25">
      <c r="A167" s="62" t="s">
        <v>339</v>
      </c>
      <c r="C167" s="63"/>
      <c r="D167" s="63"/>
      <c r="E167" s="63"/>
      <c r="F167" s="64" t="s">
        <v>108</v>
      </c>
    </row>
    <row r="168" spans="1:6" x14ac:dyDescent="0.25">
      <c r="A168" s="7" t="s">
        <v>340</v>
      </c>
      <c r="B168" s="55">
        <v>5.4124290801400229E-3</v>
      </c>
      <c r="C168" s="21" t="str">
        <f>'OECD Mapping'!A37</f>
        <v>D68: Real estate activities</v>
      </c>
      <c r="D168" s="21" t="str">
        <f>'OECD Mapping'!B37</f>
        <v>ISIC 68</v>
      </c>
      <c r="E168" s="73" t="s">
        <v>341</v>
      </c>
      <c r="F168" s="65" t="s">
        <v>108</v>
      </c>
    </row>
    <row r="169" spans="1:6" x14ac:dyDescent="0.25">
      <c r="A169" s="7" t="s">
        <v>342</v>
      </c>
      <c r="B169" s="55">
        <v>1.312104019427885E-3</v>
      </c>
      <c r="C169" s="21" t="str">
        <f>'OECD Mapping'!A37</f>
        <v>D68: Real estate activities</v>
      </c>
      <c r="D169" s="21" t="str">
        <f>'OECD Mapping'!B37</f>
        <v>ISIC 68</v>
      </c>
      <c r="E169" s="73" t="s">
        <v>341</v>
      </c>
      <c r="F169" s="65" t="s">
        <v>108</v>
      </c>
    </row>
    <row r="170" spans="1:6" x14ac:dyDescent="0.25">
      <c r="A170" s="7" t="s">
        <v>343</v>
      </c>
      <c r="B170" s="55">
        <v>6.7245330995679073E-3</v>
      </c>
      <c r="C170" s="21"/>
      <c r="D170" s="21"/>
      <c r="E170" s="21"/>
      <c r="F170" s="65" t="s">
        <v>108</v>
      </c>
    </row>
    <row r="171" spans="1:6" x14ac:dyDescent="0.25">
      <c r="A171" s="7" t="s">
        <v>344</v>
      </c>
      <c r="B171" s="55"/>
      <c r="C171" s="21"/>
      <c r="D171" s="21"/>
      <c r="E171" s="21"/>
      <c r="F171" s="65" t="s">
        <v>108</v>
      </c>
    </row>
    <row r="172" spans="1:6" x14ac:dyDescent="0.25">
      <c r="A172" s="7" t="s">
        <v>345</v>
      </c>
      <c r="B172" s="55">
        <v>0.35570483914680229</v>
      </c>
      <c r="C172" s="21" t="str">
        <f>'OECD Mapping'!A29</f>
        <v>D41T43: Construction</v>
      </c>
      <c r="D172" s="21" t="str">
        <f>'OECD Mapping'!B29</f>
        <v>ISIC 41T43</v>
      </c>
      <c r="E172" s="73" t="s">
        <v>341</v>
      </c>
      <c r="F172" s="65" t="s">
        <v>108</v>
      </c>
    </row>
    <row r="173" spans="1:6" x14ac:dyDescent="0.25">
      <c r="A173" s="7" t="s">
        <v>346</v>
      </c>
      <c r="B173" s="55">
        <v>0.35570483914680229</v>
      </c>
      <c r="C173" s="21"/>
      <c r="D173" s="21"/>
      <c r="E173" s="21"/>
      <c r="F173" s="65" t="s">
        <v>108</v>
      </c>
    </row>
    <row r="174" spans="1:6" x14ac:dyDescent="0.25">
      <c r="A174" s="7" t="s">
        <v>347</v>
      </c>
      <c r="B174" s="55"/>
      <c r="C174" s="21"/>
      <c r="D174" s="21"/>
      <c r="E174" s="21"/>
      <c r="F174" s="65" t="s">
        <v>108</v>
      </c>
    </row>
    <row r="175" spans="1:6" x14ac:dyDescent="0.25">
      <c r="A175" s="7" t="s">
        <v>348</v>
      </c>
      <c r="B175" s="55">
        <v>9.0207151335667049E-2</v>
      </c>
      <c r="C175" s="21" t="str">
        <f>'OECD Mapping'!A22</f>
        <v>D28: Machinery and equipment, nec</v>
      </c>
      <c r="D175" s="21" t="str">
        <f>'OECD Mapping'!B22</f>
        <v>ISIC 28</v>
      </c>
      <c r="E175" s="73" t="s">
        <v>341</v>
      </c>
      <c r="F175" s="65" t="s">
        <v>108</v>
      </c>
    </row>
    <row r="176" spans="1:6" x14ac:dyDescent="0.25">
      <c r="A176" s="7" t="s">
        <v>349</v>
      </c>
      <c r="B176" s="55">
        <v>5.4124290801400229E-2</v>
      </c>
      <c r="C176" s="21" t="str">
        <f>'OECD Mapping'!A21</f>
        <v>D27: Electrical equipment</v>
      </c>
      <c r="D176" s="21" t="str">
        <f>'OECD Mapping'!B21</f>
        <v>ISIC 27</v>
      </c>
      <c r="E176" s="73" t="s">
        <v>341</v>
      </c>
      <c r="F176" s="65" t="s">
        <v>108</v>
      </c>
    </row>
    <row r="177" spans="1:6" x14ac:dyDescent="0.25">
      <c r="A177" s="7" t="s">
        <v>350</v>
      </c>
      <c r="B177" s="55">
        <v>1.894350178049008E-2</v>
      </c>
      <c r="C177" s="21" t="str">
        <f>'OECD Mapping'!A21</f>
        <v>D27: Electrical equipment</v>
      </c>
      <c r="D177" s="21" t="str">
        <f>'OECD Mapping'!B21</f>
        <v>ISIC 27</v>
      </c>
      <c r="E177" s="73" t="s">
        <v>341</v>
      </c>
      <c r="F177" s="65" t="s">
        <v>108</v>
      </c>
    </row>
    <row r="178" spans="1:6" x14ac:dyDescent="0.25">
      <c r="A178" s="7" t="s">
        <v>351</v>
      </c>
      <c r="B178" s="55">
        <v>1.804143026713341E-2</v>
      </c>
      <c r="C178" s="21" t="str">
        <f>'OECD Mapping'!A22</f>
        <v>D28: Machinery and equipment, nec</v>
      </c>
      <c r="D178" s="21" t="str">
        <f>'OECD Mapping'!B22</f>
        <v>ISIC 28</v>
      </c>
      <c r="E178" s="73" t="s">
        <v>341</v>
      </c>
      <c r="F178" s="65" t="s">
        <v>108</v>
      </c>
    </row>
    <row r="179" spans="1:6" x14ac:dyDescent="0.25">
      <c r="A179" s="7" t="s">
        <v>352</v>
      </c>
      <c r="B179" s="15">
        <v>5.7835544865704122E-3</v>
      </c>
      <c r="C179" s="21" t="str">
        <f>'OECD Mapping'!A21</f>
        <v>D27: Electrical equipment</v>
      </c>
      <c r="D179" s="21" t="str">
        <f>'OECD Mapping'!B21</f>
        <v>ISIC 27</v>
      </c>
      <c r="E179" s="73" t="s">
        <v>341</v>
      </c>
      <c r="F179" s="65" t="s">
        <v>108</v>
      </c>
    </row>
    <row r="180" spans="1:6" x14ac:dyDescent="0.25">
      <c r="A180" s="7" t="s">
        <v>353</v>
      </c>
      <c r="B180" s="15">
        <v>1.804143026713341E-2</v>
      </c>
      <c r="C180" s="21" t="str">
        <f>'OECD Mapping'!A21</f>
        <v>D27: Electrical equipment</v>
      </c>
      <c r="D180" s="21" t="str">
        <f>'OECD Mapping'!B21</f>
        <v>ISIC 27</v>
      </c>
      <c r="E180" s="73" t="s">
        <v>341</v>
      </c>
      <c r="F180" s="65" t="s">
        <v>108</v>
      </c>
    </row>
    <row r="181" spans="1:6" x14ac:dyDescent="0.25">
      <c r="A181" s="7" t="s">
        <v>354</v>
      </c>
      <c r="B181" s="15">
        <v>8.2990579228813689E-3</v>
      </c>
      <c r="C181" s="21" t="str">
        <f>'OECD Mapping'!A21</f>
        <v>D27: Electrical equipment</v>
      </c>
      <c r="D181" s="21" t="str">
        <f>'OECD Mapping'!B21</f>
        <v>ISIC 27</v>
      </c>
      <c r="E181" s="73" t="s">
        <v>341</v>
      </c>
      <c r="F181" s="65" t="s">
        <v>108</v>
      </c>
    </row>
    <row r="182" spans="1:6" x14ac:dyDescent="0.25">
      <c r="A182" s="7" t="s">
        <v>355</v>
      </c>
      <c r="B182" s="15">
        <v>0.21344041686127599</v>
      </c>
      <c r="C182" s="21"/>
      <c r="D182" s="21"/>
      <c r="E182" s="21"/>
      <c r="F182" s="65" t="s">
        <v>108</v>
      </c>
    </row>
    <row r="183" spans="1:6" x14ac:dyDescent="0.25">
      <c r="A183" s="7" t="s">
        <v>356</v>
      </c>
      <c r="B183" s="15"/>
      <c r="C183" s="21"/>
      <c r="D183" s="21"/>
      <c r="E183" s="21"/>
      <c r="F183" s="65" t="s">
        <v>108</v>
      </c>
    </row>
    <row r="184" spans="1:6" x14ac:dyDescent="0.25">
      <c r="A184" s="7" t="s">
        <v>345</v>
      </c>
      <c r="B184" s="15">
        <v>0.1956376615307413</v>
      </c>
      <c r="C184" s="21" t="str">
        <f>'OECD Mapping'!A29</f>
        <v>D41T43: Construction</v>
      </c>
      <c r="D184" s="21" t="str">
        <f>'OECD Mapping'!B29</f>
        <v>ISIC 41T43</v>
      </c>
      <c r="E184" s="73" t="s">
        <v>341</v>
      </c>
      <c r="F184" s="65" t="s">
        <v>108</v>
      </c>
    </row>
    <row r="185" spans="1:6" x14ac:dyDescent="0.25">
      <c r="A185" s="7" t="s">
        <v>357</v>
      </c>
      <c r="B185" s="15">
        <v>1.434293706237106E-2</v>
      </c>
      <c r="C185" s="21" t="str">
        <f>'OECD Mapping'!A29</f>
        <v>D41T43: Construction</v>
      </c>
      <c r="D185" s="21" t="str">
        <f>'OECD Mapping'!B29</f>
        <v>ISIC 41T43</v>
      </c>
      <c r="E185" s="73" t="s">
        <v>341</v>
      </c>
      <c r="F185" s="65" t="s">
        <v>108</v>
      </c>
    </row>
    <row r="186" spans="1:6" x14ac:dyDescent="0.25">
      <c r="A186" s="7" t="s">
        <v>358</v>
      </c>
      <c r="B186" s="15">
        <v>8.6057622374226365E-3</v>
      </c>
      <c r="C186" s="21" t="str">
        <f>'OECD Mapping'!A29</f>
        <v>D41T43: Construction</v>
      </c>
      <c r="D186" s="21" t="str">
        <f>'OECD Mapping'!B29</f>
        <v>ISIC 41T43</v>
      </c>
      <c r="E186" s="73" t="s">
        <v>341</v>
      </c>
      <c r="F186" s="65" t="s">
        <v>108</v>
      </c>
    </row>
    <row r="187" spans="1:6" x14ac:dyDescent="0.25">
      <c r="A187" s="7" t="s">
        <v>359</v>
      </c>
      <c r="B187" s="15">
        <v>3.0120167830979231E-3</v>
      </c>
      <c r="C187" s="21" t="str">
        <f>'OECD Mapping'!A29</f>
        <v>D41T43: Construction</v>
      </c>
      <c r="D187" s="21" t="str">
        <f>'OECD Mapping'!B29</f>
        <v>ISIC 41T43</v>
      </c>
      <c r="E187" s="73" t="s">
        <v>341</v>
      </c>
      <c r="F187" s="65" t="s">
        <v>108</v>
      </c>
    </row>
    <row r="188" spans="1:6" x14ac:dyDescent="0.25">
      <c r="A188" s="7" t="s">
        <v>360</v>
      </c>
      <c r="B188" s="15">
        <v>2.868587412474212E-3</v>
      </c>
      <c r="C188" s="21" t="str">
        <f>'OECD Mapping'!A29</f>
        <v>D41T43: Construction</v>
      </c>
      <c r="D188" s="21" t="str">
        <f>'OECD Mapping'!B29</f>
        <v>ISIC 41T43</v>
      </c>
      <c r="E188" s="73" t="s">
        <v>341</v>
      </c>
      <c r="F188" s="65" t="s">
        <v>108</v>
      </c>
    </row>
    <row r="189" spans="1:6" x14ac:dyDescent="0.25">
      <c r="A189" s="7" t="s">
        <v>361</v>
      </c>
      <c r="B189" s="15">
        <v>7.1714685311855312E-4</v>
      </c>
      <c r="C189" s="21" t="str">
        <f>'OECD Mapping'!A29</f>
        <v>D41T43: Construction</v>
      </c>
      <c r="D189" s="21" t="str">
        <f>'OECD Mapping'!B29</f>
        <v>ISIC 41T43</v>
      </c>
      <c r="E189" s="73" t="s">
        <v>341</v>
      </c>
      <c r="F189" s="65" t="s">
        <v>108</v>
      </c>
    </row>
    <row r="190" spans="1:6" x14ac:dyDescent="0.25">
      <c r="A190" s="7" t="s">
        <v>362</v>
      </c>
      <c r="B190" s="15">
        <v>2.868587412474212E-3</v>
      </c>
      <c r="C190" s="21" t="str">
        <f>'OECD Mapping'!A29</f>
        <v>D41T43: Construction</v>
      </c>
      <c r="D190" s="21" t="str">
        <f>'OECD Mapping'!B29</f>
        <v>ISIC 41T43</v>
      </c>
      <c r="E190" s="73" t="s">
        <v>341</v>
      </c>
      <c r="F190" s="65" t="s">
        <v>108</v>
      </c>
    </row>
    <row r="191" spans="1:6" x14ac:dyDescent="0.25">
      <c r="A191" s="7" t="s">
        <v>363</v>
      </c>
      <c r="B191" s="15">
        <v>4.8383507690398378E-3</v>
      </c>
      <c r="C191" s="21" t="str">
        <f>'OECD Mapping'!A29</f>
        <v>D41T43: Construction</v>
      </c>
      <c r="D191" s="21" t="str">
        <f>'OECD Mapping'!B29</f>
        <v>ISIC 41T43</v>
      </c>
      <c r="E191" s="73" t="s">
        <v>341</v>
      </c>
      <c r="F191" s="65" t="s">
        <v>108</v>
      </c>
    </row>
    <row r="192" spans="1:6" x14ac:dyDescent="0.25">
      <c r="A192" s="7" t="s">
        <v>364</v>
      </c>
      <c r="B192" s="15">
        <v>0.23289105006073971</v>
      </c>
      <c r="C192" s="21"/>
      <c r="D192" s="21"/>
      <c r="E192" s="21"/>
      <c r="F192" s="65" t="s">
        <v>108</v>
      </c>
    </row>
    <row r="193" spans="1:6" x14ac:dyDescent="0.25">
      <c r="A193" s="7" t="s">
        <v>296</v>
      </c>
      <c r="B193" s="15"/>
      <c r="C193" s="21"/>
      <c r="D193" s="21"/>
      <c r="E193" s="21"/>
      <c r="F193" s="65" t="s">
        <v>108</v>
      </c>
    </row>
    <row r="194" spans="1:6" x14ac:dyDescent="0.25">
      <c r="A194" s="7" t="s">
        <v>365</v>
      </c>
      <c r="B194" s="15">
        <v>0</v>
      </c>
      <c r="C194" s="21" t="str">
        <f>'OECD Mapping'!A29</f>
        <v>D41T43: Construction</v>
      </c>
      <c r="D194" s="21" t="str">
        <f>'OECD Mapping'!B29</f>
        <v>ISIC 41T43</v>
      </c>
      <c r="E194" s="73" t="s">
        <v>341</v>
      </c>
      <c r="F194" s="65" t="s">
        <v>108</v>
      </c>
    </row>
    <row r="195" spans="1:6" x14ac:dyDescent="0.25">
      <c r="A195" s="7" t="s">
        <v>366</v>
      </c>
      <c r="B195" s="15">
        <v>5.7371748249484253E-2</v>
      </c>
      <c r="C195" s="21" t="str">
        <f>'OECD Mapping'!A38</f>
        <v>D69T82: Other business sector services</v>
      </c>
      <c r="D195" s="21" t="str">
        <f>'OECD Mapping'!B38</f>
        <v>ISIC 69T82</v>
      </c>
      <c r="E195" s="73" t="s">
        <v>341</v>
      </c>
      <c r="F195" s="65" t="s">
        <v>108</v>
      </c>
    </row>
    <row r="196" spans="1:6" x14ac:dyDescent="0.25">
      <c r="A196" s="7" t="s">
        <v>367</v>
      </c>
      <c r="B196" s="15">
        <v>0.13386741258212989</v>
      </c>
      <c r="C196" s="21" t="str">
        <f>'OECD Mapping'!A38</f>
        <v>D69T82: Other business sector services</v>
      </c>
      <c r="D196" s="21" t="str">
        <f>'OECD Mapping'!B38</f>
        <v>ISIC 69T82</v>
      </c>
      <c r="E196" s="73" t="s">
        <v>341</v>
      </c>
      <c r="F196" s="65" t="s">
        <v>108</v>
      </c>
    </row>
    <row r="197" spans="1:6" x14ac:dyDescent="0.25">
      <c r="A197" s="7" t="s">
        <v>368</v>
      </c>
      <c r="B197" s="15">
        <v>0</v>
      </c>
      <c r="C197" s="21" t="str">
        <f>'OECD Mapping'!A36</f>
        <v>D64T66: Financial and insurance activities</v>
      </c>
      <c r="D197" s="21" t="str">
        <f>'OECD Mapping'!B36</f>
        <v>ISIC 64T66</v>
      </c>
      <c r="E197" s="73" t="s">
        <v>341</v>
      </c>
      <c r="F197" s="65" t="s">
        <v>108</v>
      </c>
    </row>
    <row r="198" spans="1:6" x14ac:dyDescent="0.25">
      <c r="A198" s="7" t="s">
        <v>369</v>
      </c>
      <c r="B198" s="15">
        <v>0</v>
      </c>
      <c r="C198" s="21" t="str">
        <f>'OECD Mapping'!A38</f>
        <v>D69T82: Other business sector services</v>
      </c>
      <c r="D198" s="21" t="str">
        <f>'OECD Mapping'!B38</f>
        <v>ISIC 69T82</v>
      </c>
      <c r="E198" s="73" t="s">
        <v>341</v>
      </c>
      <c r="F198" s="65" t="s">
        <v>108</v>
      </c>
    </row>
    <row r="199" spans="1:6" x14ac:dyDescent="0.25">
      <c r="A199" s="7" t="s">
        <v>305</v>
      </c>
      <c r="B199" s="15">
        <v>0.19123916083161421</v>
      </c>
      <c r="C199" s="21"/>
      <c r="D199" s="21"/>
      <c r="E199" s="21"/>
      <c r="F199" s="65" t="s">
        <v>108</v>
      </c>
    </row>
    <row r="200" spans="1:6" x14ac:dyDescent="0.25">
      <c r="A200" s="7" t="s">
        <v>370</v>
      </c>
      <c r="B200" s="15">
        <v>1</v>
      </c>
      <c r="C200" s="21"/>
      <c r="D200" s="21"/>
      <c r="E200" s="21"/>
      <c r="F200" s="65" t="s">
        <v>108</v>
      </c>
    </row>
    <row r="201" spans="1:6" x14ac:dyDescent="0.25">
      <c r="A201" s="7" t="s">
        <v>280</v>
      </c>
      <c r="B201" s="15">
        <v>0</v>
      </c>
      <c r="C201" s="21"/>
      <c r="D201" s="21"/>
      <c r="E201" s="21"/>
      <c r="F201" s="65" t="s">
        <v>108</v>
      </c>
    </row>
    <row r="202" spans="1:6" ht="15" customHeight="1" thickBot="1" x14ac:dyDescent="0.3">
      <c r="A202" s="57" t="s">
        <v>263</v>
      </c>
      <c r="B202" s="66">
        <v>1</v>
      </c>
      <c r="C202" s="59"/>
      <c r="D202" s="59"/>
      <c r="E202" s="59"/>
      <c r="F202" s="35" t="s">
        <v>108</v>
      </c>
    </row>
    <row r="203" spans="1:6" x14ac:dyDescent="0.25">
      <c r="A203" s="11" t="s">
        <v>225</v>
      </c>
      <c r="B203" s="60"/>
      <c r="C203" s="60"/>
      <c r="D203" s="60"/>
      <c r="E203" s="60"/>
      <c r="F203" s="52" t="s">
        <v>108</v>
      </c>
    </row>
    <row r="204" spans="1:6" x14ac:dyDescent="0.25">
      <c r="A204" s="7" t="s">
        <v>371</v>
      </c>
      <c r="B204" s="15">
        <v>0.21705639003696489</v>
      </c>
      <c r="C204" s="21" t="str">
        <f>'OECD Mapping'!A26</f>
        <v>D351: Electricity generation and distribution</v>
      </c>
      <c r="D204" s="21" t="str">
        <f>'OECD Mapping'!B26</f>
        <v>ISIC 351</v>
      </c>
      <c r="E204" s="73" t="s">
        <v>341</v>
      </c>
      <c r="F204" s="16" t="s">
        <v>108</v>
      </c>
    </row>
    <row r="205" spans="1:6" x14ac:dyDescent="0.25">
      <c r="A205" s="7" t="s">
        <v>270</v>
      </c>
      <c r="B205" s="15"/>
      <c r="C205" s="21"/>
      <c r="D205" s="21"/>
      <c r="E205" s="21"/>
      <c r="F205" s="16" t="s">
        <v>108</v>
      </c>
    </row>
    <row r="206" spans="1:6" x14ac:dyDescent="0.25">
      <c r="A206" s="7" t="s">
        <v>372</v>
      </c>
      <c r="B206" s="15">
        <v>9.6589707207620543E-2</v>
      </c>
      <c r="C206" s="21" t="str">
        <f>'OECD Mapping'!A22</f>
        <v>D28: Machinery and equipment, nec</v>
      </c>
      <c r="D206" s="21" t="str">
        <f>'OECD Mapping'!B22</f>
        <v>ISIC 28</v>
      </c>
      <c r="E206" s="73" t="s">
        <v>341</v>
      </c>
      <c r="F206" s="16" t="s">
        <v>108</v>
      </c>
    </row>
    <row r="207" spans="1:6" x14ac:dyDescent="0.25">
      <c r="A207" s="7" t="s">
        <v>368</v>
      </c>
      <c r="B207" s="15">
        <v>0.31251599767025628</v>
      </c>
      <c r="C207" s="21" t="str">
        <f>'OECD Mapping'!A36</f>
        <v>D64T66: Financial and insurance activities</v>
      </c>
      <c r="D207" s="21" t="str">
        <f>'OECD Mapping'!B36</f>
        <v>ISIC 64T66</v>
      </c>
      <c r="E207" s="73" t="s">
        <v>341</v>
      </c>
      <c r="F207" s="16" t="s">
        <v>108</v>
      </c>
    </row>
    <row r="208" spans="1:6" x14ac:dyDescent="0.25">
      <c r="A208" s="7" t="s">
        <v>373</v>
      </c>
      <c r="B208" s="15">
        <v>0</v>
      </c>
      <c r="C208" s="21" t="str">
        <f>'OECD Mapping'!A39</f>
        <v>D84: Public admin. and defence; compulsory social security</v>
      </c>
      <c r="D208" s="21" t="str">
        <f>'OECD Mapping'!B39</f>
        <v>ISIC 84</v>
      </c>
      <c r="E208" s="73" t="s">
        <v>341</v>
      </c>
      <c r="F208" s="16" t="s">
        <v>108</v>
      </c>
    </row>
    <row r="209" spans="1:6" x14ac:dyDescent="0.25">
      <c r="A209" s="7" t="s">
        <v>374</v>
      </c>
      <c r="B209" s="15">
        <v>0.18065849066991721</v>
      </c>
      <c r="C209" s="21" t="str">
        <f>'OECD Mapping'!A38</f>
        <v>D69T82: Other business sector services</v>
      </c>
      <c r="D209" s="21" t="str">
        <f>'OECD Mapping'!B38</f>
        <v>ISIC 69T82</v>
      </c>
      <c r="E209" s="73" t="s">
        <v>341</v>
      </c>
      <c r="F209" s="16" t="s">
        <v>108</v>
      </c>
    </row>
    <row r="210" spans="1:6" x14ac:dyDescent="0.25">
      <c r="A210" s="7" t="s">
        <v>375</v>
      </c>
      <c r="B210" s="15">
        <v>0</v>
      </c>
      <c r="C210" s="21" t="str">
        <f>'OECD Mapping'!A37</f>
        <v>D68: Real estate activities</v>
      </c>
      <c r="D210" s="21" t="str">
        <f>'OECD Mapping'!B37</f>
        <v>ISIC 68</v>
      </c>
      <c r="E210" s="73" t="s">
        <v>341</v>
      </c>
      <c r="F210" s="16" t="s">
        <v>108</v>
      </c>
    </row>
    <row r="211" spans="1:6" x14ac:dyDescent="0.25">
      <c r="A211" s="7" t="s">
        <v>376</v>
      </c>
      <c r="B211" s="15">
        <v>0.19317941441524111</v>
      </c>
      <c r="C211" s="21" t="str">
        <f>'OECD Mapping'!A21</f>
        <v>D27: Electrical equipment</v>
      </c>
      <c r="D211" s="21" t="str">
        <f>'OECD Mapping'!B21</f>
        <v>ISIC 27</v>
      </c>
      <c r="E211" s="73" t="s">
        <v>341</v>
      </c>
      <c r="F211" s="16" t="s">
        <v>108</v>
      </c>
    </row>
    <row r="212" spans="1:6" x14ac:dyDescent="0.25">
      <c r="A212" s="7" t="s">
        <v>377</v>
      </c>
      <c r="B212" s="15">
        <v>0.78294360996303514</v>
      </c>
      <c r="C212" s="21"/>
      <c r="D212" s="21"/>
      <c r="E212" s="21"/>
      <c r="F212" s="16" t="s">
        <v>108</v>
      </c>
    </row>
    <row r="213" spans="1:6" x14ac:dyDescent="0.25">
      <c r="A213" s="7" t="s">
        <v>370</v>
      </c>
      <c r="B213" s="15">
        <v>1</v>
      </c>
      <c r="C213" s="21"/>
      <c r="D213" s="21"/>
      <c r="E213" s="21"/>
      <c r="F213" s="16" t="s">
        <v>108</v>
      </c>
    </row>
    <row r="214" spans="1:6" x14ac:dyDescent="0.25">
      <c r="A214" s="7" t="s">
        <v>280</v>
      </c>
      <c r="B214" s="15">
        <v>0</v>
      </c>
      <c r="C214" s="21"/>
      <c r="D214" s="21"/>
      <c r="E214" s="21"/>
      <c r="F214" s="16" t="s">
        <v>108</v>
      </c>
    </row>
    <row r="215" spans="1:6" ht="15" customHeight="1" thickBot="1" x14ac:dyDescent="0.3">
      <c r="A215" s="57" t="s">
        <v>378</v>
      </c>
      <c r="B215" s="66">
        <v>1</v>
      </c>
      <c r="C215" s="59"/>
      <c r="D215" s="59"/>
      <c r="E215" s="59"/>
      <c r="F215" s="35" t="s">
        <v>108</v>
      </c>
    </row>
    <row r="216" spans="1:6" x14ac:dyDescent="0.25">
      <c r="A216" s="11" t="s">
        <v>309</v>
      </c>
      <c r="B216" s="60"/>
      <c r="C216" s="60"/>
      <c r="D216" s="60"/>
      <c r="E216" s="60"/>
      <c r="F216" s="14"/>
    </row>
    <row r="217" spans="1:6" ht="15" customHeight="1" thickBot="1" x14ac:dyDescent="0.3">
      <c r="A217" s="17" t="s">
        <v>379</v>
      </c>
      <c r="B217" s="53">
        <v>1</v>
      </c>
      <c r="C217" s="25" t="str">
        <f>'OECD Mapping'!A28</f>
        <v>D36T39: Water and waste</v>
      </c>
      <c r="D217" s="25" t="str">
        <f>'OECD Mapping'!B28</f>
        <v>ISIC 36T39</v>
      </c>
      <c r="E217" s="25" t="s">
        <v>380</v>
      </c>
      <c r="F217" s="19" t="s">
        <v>119</v>
      </c>
    </row>
    <row r="218" spans="1:6" ht="15" customHeight="1" thickBot="1" x14ac:dyDescent="0.3"/>
    <row r="219" spans="1:6" ht="18.600000000000001" customHeight="1" x14ac:dyDescent="0.3">
      <c r="A219" s="125" t="s">
        <v>381</v>
      </c>
      <c r="B219" s="126"/>
      <c r="C219" s="126"/>
      <c r="D219" s="126"/>
      <c r="E219" s="126"/>
      <c r="F219" s="127"/>
    </row>
    <row r="220" spans="1:6" x14ac:dyDescent="0.25">
      <c r="A220" s="1" t="s">
        <v>205</v>
      </c>
      <c r="B220" s="2" t="s">
        <v>284</v>
      </c>
      <c r="C220" s="2" t="s">
        <v>229</v>
      </c>
      <c r="D220" s="3" t="s">
        <v>208</v>
      </c>
      <c r="E220" s="3" t="s">
        <v>209</v>
      </c>
      <c r="F220" s="4" t="s">
        <v>210</v>
      </c>
    </row>
    <row r="221" spans="1:6" x14ac:dyDescent="0.25">
      <c r="A221" s="5" t="s">
        <v>211</v>
      </c>
      <c r="B221" s="2" t="s">
        <v>212</v>
      </c>
      <c r="C221" s="2"/>
      <c r="D221" s="3"/>
      <c r="E221" s="3"/>
      <c r="F221" s="16"/>
    </row>
    <row r="222" spans="1:6" x14ac:dyDescent="0.25">
      <c r="A222" s="20" t="s">
        <v>382</v>
      </c>
      <c r="B222" s="15">
        <v>0.14000000000000001</v>
      </c>
      <c r="C222" s="21" t="str">
        <f>'OECD Mapping'!A22</f>
        <v>D28: Machinery and equipment, nec</v>
      </c>
      <c r="D222" s="21" t="str">
        <f>'OECD Mapping'!B22</f>
        <v>ISIC 28</v>
      </c>
      <c r="E222" s="73" t="s">
        <v>214</v>
      </c>
      <c r="F222" s="56" t="s">
        <v>117</v>
      </c>
    </row>
    <row r="223" spans="1:6" x14ac:dyDescent="0.25">
      <c r="A223" s="20" t="s">
        <v>383</v>
      </c>
      <c r="B223" s="15">
        <v>0.42</v>
      </c>
      <c r="C223" s="21" t="str">
        <f>'OECD Mapping'!A22</f>
        <v>D28: Machinery and equipment, nec</v>
      </c>
      <c r="D223" s="21" t="str">
        <f>'OECD Mapping'!B22</f>
        <v>ISIC 28</v>
      </c>
      <c r="E223" s="73" t="s">
        <v>214</v>
      </c>
      <c r="F223" s="56" t="s">
        <v>117</v>
      </c>
    </row>
    <row r="224" spans="1:6" x14ac:dyDescent="0.25">
      <c r="A224" s="20" t="s">
        <v>384</v>
      </c>
      <c r="B224" s="15">
        <v>0</v>
      </c>
      <c r="C224" s="21" t="str">
        <f>'OECD Mapping'!A22</f>
        <v>D28: Machinery and equipment, nec</v>
      </c>
      <c r="D224" s="21" t="str">
        <f>'OECD Mapping'!B22</f>
        <v>ISIC 28</v>
      </c>
      <c r="E224" s="73" t="s">
        <v>214</v>
      </c>
      <c r="F224" s="56" t="s">
        <v>117</v>
      </c>
    </row>
    <row r="225" spans="1:6" x14ac:dyDescent="0.25">
      <c r="A225" s="20" t="s">
        <v>385</v>
      </c>
      <c r="B225" s="15">
        <v>0.14000000000000001</v>
      </c>
      <c r="C225" s="21" t="str">
        <f>'OECD Mapping'!A29</f>
        <v>D41T43: Construction</v>
      </c>
      <c r="D225" s="21" t="str">
        <f>'OECD Mapping'!B29</f>
        <v>ISIC 41T43</v>
      </c>
      <c r="E225" s="73" t="s">
        <v>214</v>
      </c>
      <c r="F225" s="56" t="s">
        <v>117</v>
      </c>
    </row>
    <row r="226" spans="1:6" x14ac:dyDescent="0.25">
      <c r="A226" s="20" t="s">
        <v>237</v>
      </c>
      <c r="B226" s="15">
        <v>0.12</v>
      </c>
      <c r="C226" s="21" t="str">
        <f>'OECD Mapping'!A22</f>
        <v>D28: Machinery and equipment, nec</v>
      </c>
      <c r="D226" s="21" t="str">
        <f>'OECD Mapping'!B22</f>
        <v>ISIC 28</v>
      </c>
      <c r="E226" s="73" t="s">
        <v>214</v>
      </c>
      <c r="F226" s="56" t="s">
        <v>117</v>
      </c>
    </row>
    <row r="227" spans="1:6" ht="15" customHeight="1" thickBot="1" x14ac:dyDescent="0.3">
      <c r="A227" s="67" t="s">
        <v>386</v>
      </c>
      <c r="B227" s="66">
        <v>0.18</v>
      </c>
      <c r="C227" s="59" t="str">
        <f>'OECD Mapping'!A38</f>
        <v>D69T82: Other business sector services</v>
      </c>
      <c r="D227" s="59" t="str">
        <f>'OECD Mapping'!B38</f>
        <v>ISIC 69T82</v>
      </c>
      <c r="E227" s="73" t="s">
        <v>214</v>
      </c>
      <c r="F227" s="56" t="s">
        <v>117</v>
      </c>
    </row>
    <row r="228" spans="1:6" x14ac:dyDescent="0.25">
      <c r="A228" s="11" t="s">
        <v>225</v>
      </c>
      <c r="B228" s="60"/>
      <c r="C228" s="60"/>
      <c r="D228" s="60"/>
      <c r="E228" s="60"/>
      <c r="F228" s="52"/>
    </row>
    <row r="229" spans="1:6" ht="15" customHeight="1" thickBot="1" x14ac:dyDescent="0.3">
      <c r="A229" s="24" t="s">
        <v>264</v>
      </c>
      <c r="B229" s="53">
        <v>1</v>
      </c>
      <c r="C229" s="25" t="str">
        <f>'OECD Mapping'!A26</f>
        <v>D351: Electricity generation and distribution</v>
      </c>
      <c r="D229" s="25" t="str">
        <f>'OECD Mapping'!B26</f>
        <v>ISIC 351</v>
      </c>
      <c r="E229" s="73" t="s">
        <v>214</v>
      </c>
      <c r="F229" s="68" t="s">
        <v>117</v>
      </c>
    </row>
    <row r="230" spans="1:6" x14ac:dyDescent="0.25">
      <c r="A230" s="11" t="s">
        <v>309</v>
      </c>
      <c r="B230" s="60"/>
      <c r="C230" s="60"/>
      <c r="D230" s="60"/>
      <c r="E230" s="60"/>
      <c r="F230" s="14"/>
    </row>
    <row r="231" spans="1:6" x14ac:dyDescent="0.25">
      <c r="A231" s="7" t="s">
        <v>387</v>
      </c>
      <c r="B231" s="69">
        <v>0.73616786946062651</v>
      </c>
      <c r="C231" s="21" t="str">
        <f>'OECD Mapping'!A12</f>
        <v>D20: Chemicals</v>
      </c>
      <c r="D231" s="21" t="str">
        <f>'OECD Mapping'!B12</f>
        <v>ISIC 20</v>
      </c>
      <c r="E231" s="73" t="s">
        <v>214</v>
      </c>
      <c r="F231" s="56" t="s">
        <v>117</v>
      </c>
    </row>
    <row r="232" spans="1:6" x14ac:dyDescent="0.25">
      <c r="A232" s="7" t="s">
        <v>388</v>
      </c>
      <c r="B232" s="69">
        <v>7.83410138248848E-2</v>
      </c>
      <c r="C232" s="21" t="str">
        <f>'OECD Mapping'!A28</f>
        <v>D36T39: Water and waste</v>
      </c>
      <c r="D232" s="21" t="str">
        <f>'OECD Mapping'!B28</f>
        <v>ISIC 36T39</v>
      </c>
      <c r="E232" s="73" t="s">
        <v>214</v>
      </c>
      <c r="F232" s="56" t="s">
        <v>117</v>
      </c>
    </row>
    <row r="233" spans="1:6" ht="15" customHeight="1" thickBot="1" x14ac:dyDescent="0.3">
      <c r="A233" s="17" t="s">
        <v>389</v>
      </c>
      <c r="B233" s="70">
        <v>0.18549111671448859</v>
      </c>
      <c r="C233" s="25" t="str">
        <f>'OECD Mapping'!A28</f>
        <v>D36T39: Water and waste</v>
      </c>
      <c r="D233" s="25" t="str">
        <f>'OECD Mapping'!B28</f>
        <v>ISIC 36T39</v>
      </c>
      <c r="E233" s="73" t="s">
        <v>214</v>
      </c>
      <c r="F233" s="68" t="s">
        <v>117</v>
      </c>
    </row>
    <row r="234" spans="1:6" ht="15" customHeight="1" thickBot="1" x14ac:dyDescent="0.3"/>
    <row r="235" spans="1:6" ht="18.600000000000001" customHeight="1" x14ac:dyDescent="0.3">
      <c r="A235" s="125" t="s">
        <v>390</v>
      </c>
      <c r="B235" s="126"/>
      <c r="C235" s="126"/>
      <c r="D235" s="126"/>
      <c r="E235" s="126"/>
      <c r="F235" s="127"/>
    </row>
    <row r="236" spans="1:6" x14ac:dyDescent="0.25">
      <c r="A236" s="1" t="s">
        <v>205</v>
      </c>
      <c r="B236" s="2" t="s">
        <v>284</v>
      </c>
      <c r="C236" s="2" t="s">
        <v>229</v>
      </c>
      <c r="D236" s="2" t="s">
        <v>208</v>
      </c>
      <c r="E236" s="2" t="s">
        <v>209</v>
      </c>
      <c r="F236" s="4" t="s">
        <v>210</v>
      </c>
    </row>
    <row r="237" spans="1:6" x14ac:dyDescent="0.25">
      <c r="A237" s="5" t="s">
        <v>211</v>
      </c>
      <c r="B237" s="2" t="s">
        <v>212</v>
      </c>
      <c r="C237" s="2"/>
      <c r="D237" s="2"/>
      <c r="E237" s="2"/>
      <c r="F237" s="16"/>
    </row>
    <row r="238" spans="1:6" x14ac:dyDescent="0.25">
      <c r="A238" s="82" t="s">
        <v>238</v>
      </c>
      <c r="B238" s="21"/>
      <c r="C238" s="21"/>
      <c r="D238" s="21"/>
      <c r="E238" s="21"/>
      <c r="F238" s="56"/>
    </row>
    <row r="239" spans="1:6" x14ac:dyDescent="0.25">
      <c r="A239" s="82" t="s">
        <v>391</v>
      </c>
      <c r="B239" s="15">
        <v>2.668443741023771E-2</v>
      </c>
      <c r="C239" s="21" t="str">
        <f>'OECD Mapping'!A29</f>
        <v>D41T43: Construction</v>
      </c>
      <c r="D239" s="21" t="str">
        <f>'OECD Mapping'!B29</f>
        <v>ISIC 41T43</v>
      </c>
      <c r="E239" s="21" t="s">
        <v>392</v>
      </c>
      <c r="F239" s="56" t="s">
        <v>128</v>
      </c>
    </row>
    <row r="240" spans="1:6" x14ac:dyDescent="0.25">
      <c r="A240" s="82" t="s">
        <v>393</v>
      </c>
      <c r="B240" s="15">
        <v>2.668443741023771E-2</v>
      </c>
      <c r="C240" s="21"/>
      <c r="D240" s="21"/>
      <c r="E240" s="21"/>
      <c r="F240" s="16"/>
    </row>
    <row r="241" spans="1:6" x14ac:dyDescent="0.25">
      <c r="A241" s="82" t="s">
        <v>244</v>
      </c>
      <c r="B241" s="15"/>
      <c r="C241" s="21"/>
      <c r="D241" s="21"/>
      <c r="E241" s="21"/>
      <c r="F241" s="16"/>
    </row>
    <row r="242" spans="1:6" x14ac:dyDescent="0.25">
      <c r="A242" s="82" t="s">
        <v>394</v>
      </c>
      <c r="B242" s="15">
        <v>7.5284333648528773E-3</v>
      </c>
      <c r="C242" s="21" t="str">
        <f>'OECD Mapping'!A29</f>
        <v>D41T43: Construction</v>
      </c>
      <c r="D242" s="21" t="str">
        <f>'OECD Mapping'!B29</f>
        <v>ISIC 41T43</v>
      </c>
      <c r="E242" s="21" t="s">
        <v>392</v>
      </c>
      <c r="F242" s="56" t="s">
        <v>128</v>
      </c>
    </row>
    <row r="243" spans="1:6" x14ac:dyDescent="0.25">
      <c r="A243" s="82" t="s">
        <v>395</v>
      </c>
      <c r="B243" s="15">
        <v>8.9987349448319778E-2</v>
      </c>
      <c r="C243" s="21" t="str">
        <f>'OECD Mapping'!A29</f>
        <v>D41T43: Construction</v>
      </c>
      <c r="D243" s="21" t="str">
        <f>'OECD Mapping'!B29</f>
        <v>ISIC 41T43</v>
      </c>
      <c r="E243" s="21" t="s">
        <v>392</v>
      </c>
      <c r="F243" s="56" t="s">
        <v>128</v>
      </c>
    </row>
    <row r="244" spans="1:6" x14ac:dyDescent="0.25">
      <c r="A244" s="38" t="s">
        <v>396</v>
      </c>
      <c r="B244" s="15">
        <v>5.3165010087191204E-3</v>
      </c>
      <c r="C244" s="21" t="str">
        <f>'OECD Mapping'!A29</f>
        <v>D41T43: Construction</v>
      </c>
      <c r="D244" s="21" t="str">
        <f>'OECD Mapping'!B29</f>
        <v>ISIC 41T43</v>
      </c>
      <c r="E244" s="21" t="s">
        <v>392</v>
      </c>
      <c r="F244" s="56" t="s">
        <v>128</v>
      </c>
    </row>
    <row r="245" spans="1:6" x14ac:dyDescent="0.25">
      <c r="A245" s="82" t="s">
        <v>397</v>
      </c>
      <c r="B245" s="15">
        <v>2.9357977769593591E-2</v>
      </c>
      <c r="C245" s="21" t="str">
        <f>'OECD Mapping'!A29</f>
        <v>D41T43: Construction</v>
      </c>
      <c r="D245" s="21" t="str">
        <f>'OECD Mapping'!B29</f>
        <v>ISIC 41T43</v>
      </c>
      <c r="E245" s="21" t="s">
        <v>392</v>
      </c>
      <c r="F245" s="56" t="s">
        <v>128</v>
      </c>
    </row>
    <row r="246" spans="1:6" x14ac:dyDescent="0.25">
      <c r="A246" s="38" t="s">
        <v>247</v>
      </c>
      <c r="B246" s="15">
        <v>1.171348510384459E-2</v>
      </c>
      <c r="C246" s="21" t="str">
        <f>'OECD Mapping'!A29</f>
        <v>D41T43: Construction</v>
      </c>
      <c r="D246" s="21" t="str">
        <f>'OECD Mapping'!B29</f>
        <v>ISIC 41T43</v>
      </c>
      <c r="E246" s="21" t="s">
        <v>392</v>
      </c>
      <c r="F246" s="56" t="s">
        <v>128</v>
      </c>
    </row>
    <row r="247" spans="1:6" x14ac:dyDescent="0.25">
      <c r="A247" s="7" t="s">
        <v>393</v>
      </c>
      <c r="B247" s="15">
        <v>0.14390374669532999</v>
      </c>
      <c r="C247" s="21"/>
      <c r="D247" s="21"/>
      <c r="E247" s="21"/>
      <c r="F247" s="16"/>
    </row>
    <row r="248" spans="1:6" x14ac:dyDescent="0.25">
      <c r="A248" s="7" t="s">
        <v>343</v>
      </c>
      <c r="B248" s="15">
        <v>0.1705881841055677</v>
      </c>
      <c r="C248" s="21"/>
      <c r="D248" s="21"/>
      <c r="E248" s="21"/>
      <c r="F248" s="16"/>
    </row>
    <row r="249" spans="1:6" x14ac:dyDescent="0.25">
      <c r="A249" s="7" t="s">
        <v>230</v>
      </c>
      <c r="B249" s="15"/>
      <c r="C249" s="21"/>
      <c r="D249" s="21"/>
      <c r="E249" s="21"/>
      <c r="F249" s="16"/>
    </row>
    <row r="250" spans="1:6" x14ac:dyDescent="0.25">
      <c r="A250" s="82" t="s">
        <v>398</v>
      </c>
      <c r="B250" s="15">
        <v>5.9171738835744038E-2</v>
      </c>
      <c r="C250" s="21" t="str">
        <f>'OECD Mapping'!A15</f>
        <v>D231: Glass</v>
      </c>
      <c r="D250" s="21" t="str">
        <f>'OECD Mapping'!B15</f>
        <v>ISIC 231</v>
      </c>
      <c r="E250" s="21" t="s">
        <v>392</v>
      </c>
      <c r="F250" s="56" t="s">
        <v>128</v>
      </c>
    </row>
    <row r="251" spans="1:6" x14ac:dyDescent="0.25">
      <c r="A251" s="82" t="s">
        <v>399</v>
      </c>
      <c r="B251" s="15">
        <v>0.18761234551146611</v>
      </c>
      <c r="C251" s="21" t="str">
        <f>'OECD Mapping'!A19</f>
        <v>D25: Fabricated metal products</v>
      </c>
      <c r="D251" s="21" t="str">
        <f>'OECD Mapping'!B19</f>
        <v>ISIC 25</v>
      </c>
      <c r="E251" s="21" t="s">
        <v>392</v>
      </c>
      <c r="F251" s="56" t="s">
        <v>128</v>
      </c>
    </row>
    <row r="252" spans="1:6" x14ac:dyDescent="0.25">
      <c r="A252" s="82" t="s">
        <v>400</v>
      </c>
      <c r="B252" s="15">
        <v>5.4478481440208087E-2</v>
      </c>
      <c r="C252" s="21" t="str">
        <f>'OECD Mapping'!A19</f>
        <v>D25: Fabricated metal products</v>
      </c>
      <c r="D252" s="21" t="str">
        <f>'OECD Mapping'!B19</f>
        <v>ISIC 25</v>
      </c>
      <c r="E252" s="21" t="s">
        <v>392</v>
      </c>
      <c r="F252" s="56" t="s">
        <v>128</v>
      </c>
    </row>
    <row r="253" spans="1:6" x14ac:dyDescent="0.25">
      <c r="A253" s="82" t="s">
        <v>401</v>
      </c>
      <c r="B253" s="15">
        <v>4.0472974263582373E-2</v>
      </c>
      <c r="C253" s="21" t="str">
        <f>'OECD Mapping'!A19</f>
        <v>D25: Fabricated metal products</v>
      </c>
      <c r="D253" s="21" t="str">
        <f>'OECD Mapping'!B19</f>
        <v>ISIC 25</v>
      </c>
      <c r="E253" s="21" t="s">
        <v>392</v>
      </c>
      <c r="F253" s="56" t="s">
        <v>128</v>
      </c>
    </row>
    <row r="254" spans="1:6" x14ac:dyDescent="0.25">
      <c r="A254" s="82" t="s">
        <v>402</v>
      </c>
      <c r="B254" s="15">
        <v>3.3202284168667398E-2</v>
      </c>
      <c r="C254" s="21" t="str">
        <f>'OECD Mapping'!A19</f>
        <v>D25: Fabricated metal products</v>
      </c>
      <c r="D254" s="21" t="str">
        <f>'OECD Mapping'!B19</f>
        <v>ISIC 25</v>
      </c>
      <c r="E254" s="21" t="s">
        <v>392</v>
      </c>
      <c r="F254" s="56" t="s">
        <v>128</v>
      </c>
    </row>
    <row r="255" spans="1:6" x14ac:dyDescent="0.25">
      <c r="A255" s="82" t="s">
        <v>403</v>
      </c>
      <c r="B255" s="15">
        <v>0.1171843610451007</v>
      </c>
      <c r="C255" s="21" t="str">
        <f>'OECD Mapping'!A22</f>
        <v>D28: Machinery and equipment, nec</v>
      </c>
      <c r="D255" s="21" t="str">
        <f>'OECD Mapping'!B22</f>
        <v>ISIC 28</v>
      </c>
      <c r="E255" s="21" t="s">
        <v>392</v>
      </c>
      <c r="F255" s="56" t="s">
        <v>128</v>
      </c>
    </row>
    <row r="256" spans="1:6" x14ac:dyDescent="0.25">
      <c r="A256" s="82" t="s">
        <v>404</v>
      </c>
      <c r="B256" s="15">
        <v>7.9186887114255214E-2</v>
      </c>
      <c r="C256" s="21" t="str">
        <f>'OECD Mapping'!A22</f>
        <v>D28: Machinery and equipment, nec</v>
      </c>
      <c r="D256" s="21" t="str">
        <f>'OECD Mapping'!B22</f>
        <v>ISIC 28</v>
      </c>
      <c r="E256" s="21" t="s">
        <v>392</v>
      </c>
      <c r="F256" s="56" t="s">
        <v>128</v>
      </c>
    </row>
    <row r="257" spans="1:6" x14ac:dyDescent="0.25">
      <c r="A257" s="82" t="s">
        <v>405</v>
      </c>
      <c r="B257" s="15">
        <v>2.6662594760242971E-3</v>
      </c>
      <c r="C257" s="21" t="str">
        <f>'OECD Mapping'!A21</f>
        <v>D27: Electrical equipment</v>
      </c>
      <c r="D257" s="21" t="str">
        <f>'OECD Mapping'!B21</f>
        <v>ISIC 27</v>
      </c>
      <c r="E257" s="21" t="s">
        <v>392</v>
      </c>
      <c r="F257" s="56" t="s">
        <v>128</v>
      </c>
    </row>
    <row r="258" spans="1:6" x14ac:dyDescent="0.25">
      <c r="A258" s="82" t="s">
        <v>406</v>
      </c>
      <c r="B258" s="15">
        <v>2.3065838394442859E-3</v>
      </c>
      <c r="C258" s="21" t="str">
        <f>'OECD Mapping'!A22</f>
        <v>D28: Machinery and equipment, nec</v>
      </c>
      <c r="D258" s="21" t="str">
        <f>'OECD Mapping'!B22</f>
        <v>ISIC 28</v>
      </c>
      <c r="E258" s="21" t="s">
        <v>392</v>
      </c>
      <c r="F258" s="56" t="s">
        <v>128</v>
      </c>
    </row>
    <row r="259" spans="1:6" x14ac:dyDescent="0.25">
      <c r="A259" s="82" t="s">
        <v>407</v>
      </c>
      <c r="B259" s="15">
        <v>3.5527798304773789E-2</v>
      </c>
      <c r="C259" s="21" t="str">
        <f>'OECD Mapping'!A19</f>
        <v>D25: Fabricated metal products</v>
      </c>
      <c r="D259" s="21" t="str">
        <f>'OECD Mapping'!B19</f>
        <v>ISIC 25</v>
      </c>
      <c r="E259" s="21" t="s">
        <v>392</v>
      </c>
      <c r="F259" s="56" t="s">
        <v>128</v>
      </c>
    </row>
    <row r="260" spans="1:6" x14ac:dyDescent="0.25">
      <c r="A260" s="82" t="s">
        <v>408</v>
      </c>
      <c r="B260" s="15">
        <v>5.1620006644230103E-2</v>
      </c>
      <c r="C260" s="21" t="str">
        <f>'OECD Mapping'!A22</f>
        <v>D28: Machinery and equipment, nec</v>
      </c>
      <c r="D260" s="21" t="str">
        <f>'OECD Mapping'!B22</f>
        <v>ISIC 28</v>
      </c>
      <c r="E260" s="21" t="s">
        <v>392</v>
      </c>
      <c r="F260" s="56" t="s">
        <v>128</v>
      </c>
    </row>
    <row r="261" spans="1:6" x14ac:dyDescent="0.25">
      <c r="A261" s="82" t="s">
        <v>409</v>
      </c>
      <c r="B261" s="15">
        <v>1.784544504570058E-2</v>
      </c>
      <c r="C261" s="21" t="str">
        <f>'OECD Mapping'!A21</f>
        <v>D27: Electrical equipment</v>
      </c>
      <c r="D261" s="21" t="str">
        <f>'OECD Mapping'!B21</f>
        <v>ISIC 27</v>
      </c>
      <c r="E261" s="21" t="s">
        <v>392</v>
      </c>
      <c r="F261" s="56" t="s">
        <v>128</v>
      </c>
    </row>
    <row r="262" spans="1:6" x14ac:dyDescent="0.25">
      <c r="A262" s="82" t="s">
        <v>410</v>
      </c>
      <c r="B262" s="15">
        <v>2.0360262148428031E-2</v>
      </c>
      <c r="C262" s="21" t="str">
        <f>'OECD Mapping'!A22</f>
        <v>D28: Machinery and equipment, nec</v>
      </c>
      <c r="D262" s="21" t="str">
        <f>'OECD Mapping'!B22</f>
        <v>ISIC 28</v>
      </c>
      <c r="E262" s="21" t="s">
        <v>392</v>
      </c>
      <c r="F262" s="56" t="s">
        <v>128</v>
      </c>
    </row>
    <row r="263" spans="1:6" x14ac:dyDescent="0.25">
      <c r="A263" s="82" t="s">
        <v>343</v>
      </c>
      <c r="B263" s="15">
        <v>0.701635427837625</v>
      </c>
      <c r="C263" s="21"/>
      <c r="D263" s="21"/>
      <c r="E263" s="21"/>
      <c r="F263" s="6"/>
    </row>
    <row r="264" spans="1:6" x14ac:dyDescent="0.25">
      <c r="A264" s="82" t="s">
        <v>296</v>
      </c>
      <c r="B264" s="15"/>
      <c r="C264" s="21"/>
      <c r="D264" s="21"/>
      <c r="E264" s="21"/>
      <c r="F264" s="6"/>
    </row>
    <row r="265" spans="1:6" x14ac:dyDescent="0.25">
      <c r="A265" s="82" t="s">
        <v>411</v>
      </c>
      <c r="B265" s="15">
        <v>0</v>
      </c>
      <c r="C265" s="21" t="str">
        <f>'OECD Mapping'!A31</f>
        <v>D49T53: Transportation and storage</v>
      </c>
      <c r="D265" s="21" t="str">
        <f>'OECD Mapping'!B31</f>
        <v>ISIC 49T53</v>
      </c>
      <c r="E265" s="21" t="s">
        <v>392</v>
      </c>
      <c r="F265" s="56" t="s">
        <v>128</v>
      </c>
    </row>
    <row r="266" spans="1:6" x14ac:dyDescent="0.25">
      <c r="A266" s="82" t="s">
        <v>412</v>
      </c>
      <c r="B266" s="15">
        <v>0.1036201619535093</v>
      </c>
      <c r="C266" s="21" t="str">
        <f>'OECD Mapping'!A38</f>
        <v>D69T82: Other business sector services</v>
      </c>
      <c r="D266" s="21" t="str">
        <f>'OECD Mapping'!B38</f>
        <v>ISIC 69T82</v>
      </c>
      <c r="E266" s="21" t="s">
        <v>392</v>
      </c>
      <c r="F266" s="56" t="s">
        <v>128</v>
      </c>
    </row>
    <row r="267" spans="1:6" x14ac:dyDescent="0.25">
      <c r="A267" s="82" t="s">
        <v>413</v>
      </c>
      <c r="B267" s="15">
        <v>2.4156226103298119E-2</v>
      </c>
      <c r="C267" s="21" t="str">
        <f>'OECD Mapping'!A38</f>
        <v>D69T82: Other business sector services</v>
      </c>
      <c r="D267" s="21" t="str">
        <f>'OECD Mapping'!B38</f>
        <v>ISIC 69T82</v>
      </c>
      <c r="E267" s="21" t="s">
        <v>392</v>
      </c>
      <c r="F267" s="56" t="s">
        <v>128</v>
      </c>
    </row>
    <row r="268" spans="1:6" x14ac:dyDescent="0.25">
      <c r="A268" s="82" t="s">
        <v>343</v>
      </c>
      <c r="B268" s="15">
        <v>0.12777638805680741</v>
      </c>
      <c r="C268" s="21"/>
      <c r="D268" s="21"/>
      <c r="E268" s="21"/>
      <c r="F268" s="6"/>
    </row>
    <row r="269" spans="1:6" x14ac:dyDescent="0.25">
      <c r="A269" s="82" t="s">
        <v>370</v>
      </c>
      <c r="B269" s="15">
        <v>1</v>
      </c>
      <c r="C269" s="21"/>
      <c r="D269" s="21"/>
      <c r="E269" s="21"/>
      <c r="F269" s="6"/>
    </row>
    <row r="270" spans="1:6" x14ac:dyDescent="0.25">
      <c r="A270" s="82" t="s">
        <v>414</v>
      </c>
      <c r="B270" s="21"/>
      <c r="C270" s="21"/>
      <c r="D270" s="21"/>
      <c r="E270" s="21"/>
      <c r="F270" s="6"/>
    </row>
    <row r="271" spans="1:6" ht="15" customHeight="1" thickBot="1" x14ac:dyDescent="0.3">
      <c r="A271" s="84" t="s">
        <v>263</v>
      </c>
      <c r="B271" s="25"/>
      <c r="C271" s="25"/>
      <c r="D271" s="25"/>
      <c r="E271" s="25"/>
      <c r="F271" s="10"/>
    </row>
    <row r="272" spans="1:6" ht="15" customHeight="1" thickBot="1" x14ac:dyDescent="0.3">
      <c r="A272" s="93" t="s">
        <v>225</v>
      </c>
      <c r="B272" s="94"/>
      <c r="C272" s="94"/>
      <c r="D272" s="94"/>
      <c r="E272" s="94"/>
      <c r="F272" s="95"/>
    </row>
    <row r="273" spans="1:6" x14ac:dyDescent="0.25">
      <c r="A273" s="96" t="s">
        <v>265</v>
      </c>
      <c r="B273" s="60"/>
      <c r="C273" s="60"/>
      <c r="D273" s="60"/>
      <c r="E273" s="60"/>
      <c r="F273" s="14"/>
    </row>
    <row r="274" spans="1:6" x14ac:dyDescent="0.25">
      <c r="A274" s="82" t="s">
        <v>415</v>
      </c>
      <c r="B274" s="15">
        <v>0.1095713816368082</v>
      </c>
      <c r="C274" s="21" t="str">
        <f>'OECD Mapping'!A26</f>
        <v>D351: Electricity generation and distribution</v>
      </c>
      <c r="D274" s="21" t="str">
        <f>'OECD Mapping'!B26</f>
        <v>ISIC 351</v>
      </c>
      <c r="E274" s="21" t="s">
        <v>416</v>
      </c>
      <c r="F274" s="65" t="s">
        <v>128</v>
      </c>
    </row>
    <row r="275" spans="1:6" x14ac:dyDescent="0.25">
      <c r="A275" s="82" t="s">
        <v>267</v>
      </c>
      <c r="B275" s="15">
        <v>0.10103758199684271</v>
      </c>
      <c r="C275" s="21" t="str">
        <f>'OECD Mapping'!A26</f>
        <v>D351: Electricity generation and distribution</v>
      </c>
      <c r="D275" s="21" t="str">
        <f>'OECD Mapping'!B26</f>
        <v>ISIC 351</v>
      </c>
      <c r="E275" s="21" t="s">
        <v>416</v>
      </c>
      <c r="F275" s="65" t="s">
        <v>128</v>
      </c>
    </row>
    <row r="276" spans="1:6" x14ac:dyDescent="0.25">
      <c r="A276" s="82" t="s">
        <v>417</v>
      </c>
      <c r="B276" s="15">
        <v>6.9437413759806402E-2</v>
      </c>
      <c r="C276" s="21" t="str">
        <f>'OECD Mapping'!A26</f>
        <v>D351: Electricity generation and distribution</v>
      </c>
      <c r="D276" s="21" t="str">
        <f>'OECD Mapping'!B26</f>
        <v>ISIC 351</v>
      </c>
      <c r="E276" s="21" t="s">
        <v>416</v>
      </c>
      <c r="F276" s="65" t="s">
        <v>128</v>
      </c>
    </row>
    <row r="277" spans="1:6" x14ac:dyDescent="0.25">
      <c r="A277" s="82" t="s">
        <v>418</v>
      </c>
      <c r="B277" s="15">
        <v>9.465351814404413E-2</v>
      </c>
      <c r="C277" s="21" t="str">
        <f>'OECD Mapping'!A26</f>
        <v>D351: Electricity generation and distribution</v>
      </c>
      <c r="D277" s="21" t="str">
        <f>'OECD Mapping'!B26</f>
        <v>ISIC 351</v>
      </c>
      <c r="E277" s="21" t="s">
        <v>416</v>
      </c>
      <c r="F277" s="65" t="s">
        <v>128</v>
      </c>
    </row>
    <row r="278" spans="1:6" x14ac:dyDescent="0.25">
      <c r="A278" s="82" t="s">
        <v>419</v>
      </c>
      <c r="B278" s="15">
        <v>0.37469989553750138</v>
      </c>
      <c r="C278" s="21"/>
      <c r="D278" s="21"/>
      <c r="E278" s="21"/>
      <c r="F278" s="6"/>
    </row>
    <row r="279" spans="1:6" x14ac:dyDescent="0.25">
      <c r="A279" s="82" t="s">
        <v>270</v>
      </c>
      <c r="B279" s="15"/>
      <c r="C279" s="21"/>
      <c r="D279" s="21"/>
      <c r="E279" s="21"/>
      <c r="F279" s="6"/>
    </row>
    <row r="280" spans="1:6" x14ac:dyDescent="0.25">
      <c r="A280" s="82" t="s">
        <v>420</v>
      </c>
      <c r="B280" s="15">
        <v>6.6213883181614627E-2</v>
      </c>
      <c r="C280" s="21" t="str">
        <f>'OECD Mapping'!A28</f>
        <v>D36T39: Water and waste</v>
      </c>
      <c r="D280" s="21" t="str">
        <f>'OECD Mapping'!B28</f>
        <v>ISIC 36T39</v>
      </c>
      <c r="E280" s="21" t="s">
        <v>421</v>
      </c>
      <c r="F280" s="6"/>
    </row>
    <row r="281" spans="1:6" x14ac:dyDescent="0.25">
      <c r="A281" s="82" t="s">
        <v>422</v>
      </c>
      <c r="B281" s="15">
        <v>1.7192251878116429E-2</v>
      </c>
      <c r="C281" s="21" t="str">
        <f>'OECD Mapping'!A12</f>
        <v>D20: Chemicals</v>
      </c>
      <c r="D281" s="21" t="str">
        <f>'OECD Mapping'!B12</f>
        <v>ISIC 20</v>
      </c>
      <c r="E281" s="21" t="s">
        <v>423</v>
      </c>
      <c r="F281" s="65" t="s">
        <v>128</v>
      </c>
    </row>
    <row r="282" spans="1:6" x14ac:dyDescent="0.25">
      <c r="A282" s="82" t="s">
        <v>424</v>
      </c>
      <c r="B282" s="15">
        <v>7.7661551587353536E-2</v>
      </c>
      <c r="C282" s="21" t="str">
        <f>'OECD Mapping'!A38</f>
        <v>D69T82: Other business sector services</v>
      </c>
      <c r="D282" s="21" t="str">
        <f>'OECD Mapping'!B38</f>
        <v>ISIC 69T82</v>
      </c>
      <c r="E282" s="21" t="s">
        <v>421</v>
      </c>
      <c r="F282" s="65" t="s">
        <v>128</v>
      </c>
    </row>
    <row r="283" spans="1:6" x14ac:dyDescent="0.25">
      <c r="A283" s="82" t="s">
        <v>274</v>
      </c>
      <c r="B283" s="15">
        <v>4.145585480458365E-2</v>
      </c>
      <c r="C283" s="21" t="str">
        <f>'OECD Mapping'!A26</f>
        <v>D351: Electricity generation and distribution</v>
      </c>
      <c r="D283" s="21" t="str">
        <f>'OECD Mapping'!B26</f>
        <v>ISIC 351</v>
      </c>
      <c r="E283" s="21" t="s">
        <v>421</v>
      </c>
      <c r="F283" s="65" t="s">
        <v>128</v>
      </c>
    </row>
    <row r="284" spans="1:6" x14ac:dyDescent="0.25">
      <c r="A284" s="82" t="s">
        <v>276</v>
      </c>
      <c r="B284" s="15">
        <v>0</v>
      </c>
      <c r="C284" s="21" t="str">
        <f>'OECD Mapping'!A11</f>
        <v>D19: Coke and refined petroleum products</v>
      </c>
      <c r="D284" s="21" t="str">
        <f>'OECD Mapping'!B11</f>
        <v>ISIC 19</v>
      </c>
      <c r="E284" s="21" t="s">
        <v>421</v>
      </c>
      <c r="F284" s="65" t="s">
        <v>128</v>
      </c>
    </row>
    <row r="285" spans="1:6" x14ac:dyDescent="0.25">
      <c r="A285" s="82" t="s">
        <v>425</v>
      </c>
      <c r="B285" s="15">
        <v>0.42277656301083039</v>
      </c>
      <c r="C285" s="21" t="str">
        <f>'OECD Mapping'!A19</f>
        <v>D25: Fabricated metal products</v>
      </c>
      <c r="D285" s="21" t="str">
        <f>'OECD Mapping'!B19</f>
        <v>ISIC 25</v>
      </c>
      <c r="E285" s="21" t="s">
        <v>421</v>
      </c>
      <c r="F285" s="65" t="s">
        <v>128</v>
      </c>
    </row>
    <row r="286" spans="1:6" x14ac:dyDescent="0.25">
      <c r="A286" s="82" t="s">
        <v>426</v>
      </c>
      <c r="B286" s="15">
        <v>0</v>
      </c>
      <c r="C286" s="21" t="str">
        <f>'OECD Mapping'!A22</f>
        <v>D28: Machinery and equipment, nec</v>
      </c>
      <c r="D286" s="21" t="str">
        <f>'OECD Mapping'!B22</f>
        <v>ISIC 28</v>
      </c>
      <c r="E286" s="21" t="s">
        <v>421</v>
      </c>
      <c r="F286" s="65" t="s">
        <v>128</v>
      </c>
    </row>
    <row r="287" spans="1:6" x14ac:dyDescent="0.25">
      <c r="A287" s="82" t="s">
        <v>279</v>
      </c>
      <c r="B287" s="15">
        <v>0.62530010446249862</v>
      </c>
      <c r="C287" s="21"/>
      <c r="D287" s="21"/>
      <c r="E287" s="21"/>
      <c r="F287" s="6"/>
    </row>
    <row r="288" spans="1:6" ht="15" customHeight="1" thickBot="1" x14ac:dyDescent="0.3">
      <c r="A288" s="84" t="s">
        <v>263</v>
      </c>
      <c r="B288" s="18">
        <v>1</v>
      </c>
      <c r="C288" s="25"/>
      <c r="D288" s="25"/>
      <c r="E288" s="25"/>
      <c r="F288" s="10"/>
    </row>
    <row r="289" spans="1:6" ht="18.95" customHeight="1" thickBot="1" x14ac:dyDescent="0.35">
      <c r="A289" s="125" t="s">
        <v>427</v>
      </c>
      <c r="B289" s="126"/>
      <c r="C289" s="126"/>
      <c r="D289" s="126"/>
      <c r="E289" s="126"/>
      <c r="F289" s="127"/>
    </row>
    <row r="290" spans="1:6" x14ac:dyDescent="0.25">
      <c r="A290" s="89" t="s">
        <v>205</v>
      </c>
      <c r="B290" s="54" t="s">
        <v>284</v>
      </c>
      <c r="C290" s="54" t="s">
        <v>229</v>
      </c>
      <c r="D290" s="54" t="s">
        <v>208</v>
      </c>
      <c r="E290" s="54" t="s">
        <v>209</v>
      </c>
      <c r="F290" s="81" t="s">
        <v>210</v>
      </c>
    </row>
    <row r="291" spans="1:6" x14ac:dyDescent="0.25">
      <c r="A291" s="5" t="s">
        <v>211</v>
      </c>
      <c r="B291" s="2" t="s">
        <v>212</v>
      </c>
      <c r="C291" s="2"/>
      <c r="D291" s="2"/>
      <c r="E291" s="2"/>
      <c r="F291" s="16"/>
    </row>
    <row r="292" spans="1:6" x14ac:dyDescent="0.25">
      <c r="A292" s="85" t="s">
        <v>428</v>
      </c>
      <c r="B292" s="21"/>
      <c r="C292" s="21"/>
      <c r="D292" s="21"/>
      <c r="E292" s="21"/>
      <c r="F292" s="6"/>
    </row>
    <row r="293" spans="1:6" x14ac:dyDescent="0.25">
      <c r="A293" s="82" t="s">
        <v>429</v>
      </c>
      <c r="B293" s="15">
        <v>5.8784250379308753E-4</v>
      </c>
      <c r="C293" s="15" t="str">
        <f>'OECD Mapping'!A5</f>
        <v>D07T08: Mining and quarrying of uranium and non-energy-producing products</v>
      </c>
      <c r="D293" s="15" t="str">
        <f>'OECD Mapping'!B5</f>
        <v>ISIC 07T08</v>
      </c>
      <c r="E293" s="21" t="s">
        <v>421</v>
      </c>
      <c r="F293" s="16" t="s">
        <v>117</v>
      </c>
    </row>
    <row r="294" spans="1:6" x14ac:dyDescent="0.25">
      <c r="A294" s="82" t="s">
        <v>430</v>
      </c>
      <c r="B294" s="15">
        <v>2.2103717917625509E-2</v>
      </c>
      <c r="C294" s="15" t="str">
        <f>'OECD Mapping'!A5</f>
        <v>D07T08: Mining and quarrying of uranium and non-energy-producing products</v>
      </c>
      <c r="D294" s="15" t="str">
        <f>'OECD Mapping'!B5</f>
        <v>ISIC 07T08</v>
      </c>
      <c r="E294" s="21" t="s">
        <v>421</v>
      </c>
      <c r="F294" s="16" t="s">
        <v>117</v>
      </c>
    </row>
    <row r="295" spans="1:6" x14ac:dyDescent="0.25">
      <c r="A295" s="82" t="s">
        <v>431</v>
      </c>
      <c r="B295" s="15">
        <v>3.6648621011477341E-4</v>
      </c>
      <c r="C295" s="15" t="str">
        <f>'OECD Mapping'!A16</f>
        <v>D239: Cement and other nometallic minerals</v>
      </c>
      <c r="D295" s="15" t="str">
        <f>'OECD Mapping'!B16</f>
        <v>ISIC 239</v>
      </c>
      <c r="E295" s="21" t="s">
        <v>421</v>
      </c>
      <c r="F295" s="16" t="s">
        <v>117</v>
      </c>
    </row>
    <row r="296" spans="1:6" x14ac:dyDescent="0.25">
      <c r="A296" s="82" t="s">
        <v>432</v>
      </c>
      <c r="B296" s="15">
        <v>2.3001470420079329E-3</v>
      </c>
      <c r="C296" s="15" t="str">
        <f>'OECD Mapping'!A11</f>
        <v>D19: Coke and refined petroleum products</v>
      </c>
      <c r="D296" s="15" t="str">
        <f>'OECD Mapping'!B11</f>
        <v>ISIC 19</v>
      </c>
      <c r="E296" s="21" t="s">
        <v>421</v>
      </c>
      <c r="F296" s="16" t="s">
        <v>117</v>
      </c>
    </row>
    <row r="297" spans="1:6" x14ac:dyDescent="0.25">
      <c r="A297" s="82" t="s">
        <v>433</v>
      </c>
      <c r="B297" s="15">
        <v>1.5283905098620279E-3</v>
      </c>
      <c r="C297" s="15" t="str">
        <f>'OECD Mapping'!A19</f>
        <v>D25: Fabricated metal products</v>
      </c>
      <c r="D297" s="15" t="str">
        <f>'OECD Mapping'!B19</f>
        <v>ISIC 25</v>
      </c>
      <c r="E297" s="21" t="s">
        <v>421</v>
      </c>
      <c r="F297" s="16" t="s">
        <v>117</v>
      </c>
    </row>
    <row r="298" spans="1:6" x14ac:dyDescent="0.25">
      <c r="A298" s="82" t="s">
        <v>434</v>
      </c>
      <c r="B298" s="15">
        <v>4.8507419772996922E-4</v>
      </c>
      <c r="C298" s="15" t="str">
        <f>'OECD Mapping'!A12</f>
        <v>D20: Chemicals</v>
      </c>
      <c r="D298" s="15" t="str">
        <f>'OECD Mapping'!B12</f>
        <v>ISIC 20</v>
      </c>
      <c r="E298" s="21" t="s">
        <v>421</v>
      </c>
      <c r="F298" s="16" t="s">
        <v>117</v>
      </c>
    </row>
    <row r="299" spans="1:6" x14ac:dyDescent="0.25">
      <c r="A299" s="82" t="s">
        <v>435</v>
      </c>
      <c r="B299" s="15">
        <v>5.827473972334983E-3</v>
      </c>
      <c r="C299" s="15" t="str">
        <f>'OECD Mapping'!A5</f>
        <v>D07T08: Mining and quarrying of uranium and non-energy-producing products</v>
      </c>
      <c r="D299" s="15" t="str">
        <f>'OECD Mapping'!B5</f>
        <v>ISIC 07T08</v>
      </c>
      <c r="E299" s="21" t="s">
        <v>421</v>
      </c>
      <c r="F299" s="16" t="s">
        <v>117</v>
      </c>
    </row>
    <row r="300" spans="1:6" x14ac:dyDescent="0.25">
      <c r="A300" s="82" t="s">
        <v>436</v>
      </c>
      <c r="B300" s="15">
        <v>6.8886743694495669E-4</v>
      </c>
      <c r="C300" s="15" t="str">
        <f>'OECD Mapping'!A32</f>
        <v>D55T56: Accomodation and food services</v>
      </c>
      <c r="D300" s="15" t="str">
        <f>'OECD Mapping'!B32</f>
        <v>ISIC 55T56</v>
      </c>
      <c r="E300" s="21" t="s">
        <v>421</v>
      </c>
      <c r="F300" s="16" t="s">
        <v>117</v>
      </c>
    </row>
    <row r="301" spans="1:6" x14ac:dyDescent="0.25">
      <c r="A301" s="82" t="s">
        <v>437</v>
      </c>
      <c r="B301" s="15">
        <v>2.9735306400568511E-3</v>
      </c>
      <c r="C301" s="21" t="str">
        <f>'OECD Mapping'!A26</f>
        <v>D351: Electricity generation and distribution</v>
      </c>
      <c r="D301" s="21" t="str">
        <f>'OECD Mapping'!B26</f>
        <v>ISIC 351</v>
      </c>
      <c r="E301" s="21" t="s">
        <v>438</v>
      </c>
      <c r="F301" s="16" t="s">
        <v>117</v>
      </c>
    </row>
    <row r="302" spans="1:6" x14ac:dyDescent="0.25">
      <c r="A302" s="85" t="s">
        <v>439</v>
      </c>
      <c r="B302" s="15"/>
      <c r="C302" s="15"/>
      <c r="D302" s="98"/>
      <c r="E302" s="21"/>
      <c r="F302" s="6"/>
    </row>
    <row r="303" spans="1:6" x14ac:dyDescent="0.25">
      <c r="A303" s="82" t="s">
        <v>440</v>
      </c>
      <c r="B303" s="15">
        <v>0.50174694509567619</v>
      </c>
      <c r="C303" s="21" t="str">
        <f>'OECD Mapping'!A26</f>
        <v>D351: Electricity generation and distribution</v>
      </c>
      <c r="D303" s="21" t="str">
        <f>'OECD Mapping'!B26</f>
        <v>ISIC 351</v>
      </c>
      <c r="E303" s="21" t="s">
        <v>438</v>
      </c>
      <c r="F303" s="16" t="s">
        <v>117</v>
      </c>
    </row>
    <row r="304" spans="1:6" x14ac:dyDescent="0.25">
      <c r="A304" s="82" t="s">
        <v>441</v>
      </c>
      <c r="B304" s="15">
        <v>0.46056987354185758</v>
      </c>
      <c r="C304" s="15" t="str">
        <f>'OECD Mapping'!A22</f>
        <v>D28: Machinery and equipment, nec</v>
      </c>
      <c r="D304" s="15" t="str">
        <f>'OECD Mapping'!B22</f>
        <v>ISIC 28</v>
      </c>
      <c r="E304" s="21" t="s">
        <v>421</v>
      </c>
      <c r="F304" s="16" t="s">
        <v>117</v>
      </c>
    </row>
    <row r="305" spans="1:6" x14ac:dyDescent="0.25">
      <c r="A305" s="82" t="s">
        <v>442</v>
      </c>
      <c r="B305" s="15">
        <v>8.2165093199600733E-4</v>
      </c>
      <c r="C305" s="15" t="str">
        <f>'OECD Mapping'!A39</f>
        <v>D84: Public admin. and defence; compulsory social security</v>
      </c>
      <c r="D305" s="15" t="str">
        <f>'OECD Mapping'!B39</f>
        <v>ISIC 84</v>
      </c>
      <c r="E305" s="21" t="s">
        <v>421</v>
      </c>
      <c r="F305" s="16" t="s">
        <v>117</v>
      </c>
    </row>
    <row r="306" spans="1:6" ht="15" customHeight="1" thickBot="1" x14ac:dyDescent="0.3">
      <c r="A306" s="83" t="s">
        <v>443</v>
      </c>
      <c r="B306" s="66">
        <v>0</v>
      </c>
      <c r="C306" s="66" t="str">
        <f>'OECD Mapping'!A29</f>
        <v>D41T43: Construction</v>
      </c>
      <c r="D306" s="66" t="str">
        <f>'OECD Mapping'!B29</f>
        <v>ISIC 41T43</v>
      </c>
      <c r="E306" s="21" t="s">
        <v>421</v>
      </c>
      <c r="F306" s="35" t="s">
        <v>117</v>
      </c>
    </row>
    <row r="307" spans="1:6" x14ac:dyDescent="0.25">
      <c r="A307" s="11" t="s">
        <v>225</v>
      </c>
      <c r="B307" s="60"/>
      <c r="C307" s="99"/>
      <c r="D307" s="100"/>
      <c r="E307" s="60"/>
      <c r="F307" s="14"/>
    </row>
    <row r="308" spans="1:6" x14ac:dyDescent="0.25">
      <c r="A308" s="82" t="s">
        <v>264</v>
      </c>
      <c r="B308" s="15">
        <v>0.22871545929798351</v>
      </c>
      <c r="C308" s="15" t="str">
        <f>'OECD Mapping'!A26</f>
        <v>D351: Electricity generation and distribution</v>
      </c>
      <c r="D308" s="15" t="str">
        <f>'OECD Mapping'!B26</f>
        <v>ISIC 351</v>
      </c>
      <c r="E308" s="21" t="s">
        <v>416</v>
      </c>
      <c r="F308" s="65" t="s">
        <v>118</v>
      </c>
    </row>
    <row r="309" spans="1:6" x14ac:dyDescent="0.25">
      <c r="A309" s="82" t="s">
        <v>444</v>
      </c>
      <c r="B309" s="15">
        <v>0.58345780433159067</v>
      </c>
      <c r="C309" s="15" t="str">
        <f>'OECD Mapping'!A25</f>
        <v>D31T33: Other manufacturing; repair and installation of machinery and equipment</v>
      </c>
      <c r="D309" s="15" t="str">
        <f>'OECD Mapping'!B25</f>
        <v>ISIC 31T33</v>
      </c>
      <c r="E309" s="21" t="s">
        <v>416</v>
      </c>
      <c r="F309" s="65" t="s">
        <v>118</v>
      </c>
    </row>
    <row r="310" spans="1:6" x14ac:dyDescent="0.25">
      <c r="A310" s="82" t="s">
        <v>445</v>
      </c>
      <c r="B310" s="15">
        <v>0.1029686333084391</v>
      </c>
      <c r="C310" s="21" t="str">
        <f>'OECD Mapping'!A38</f>
        <v>D69T82: Other business sector services</v>
      </c>
      <c r="D310" s="21" t="str">
        <f>'OECD Mapping'!B38</f>
        <v>ISIC 69T82</v>
      </c>
      <c r="E310" s="21" t="s">
        <v>416</v>
      </c>
      <c r="F310" s="65" t="s">
        <v>118</v>
      </c>
    </row>
    <row r="311" spans="1:6" ht="15" customHeight="1" thickBot="1" x14ac:dyDescent="0.3">
      <c r="A311" s="83" t="s">
        <v>446</v>
      </c>
      <c r="B311" s="66">
        <v>8.4858103061986545E-2</v>
      </c>
      <c r="C311" s="59" t="str">
        <f>'OECD Mapping'!A26</f>
        <v>D351: Electricity generation and distribution</v>
      </c>
      <c r="D311" s="59" t="str">
        <f>'OECD Mapping'!B26</f>
        <v>ISIC 351</v>
      </c>
      <c r="E311" s="59" t="s">
        <v>416</v>
      </c>
      <c r="F311" s="65" t="s">
        <v>118</v>
      </c>
    </row>
    <row r="312" spans="1:6" x14ac:dyDescent="0.25">
      <c r="A312" s="11" t="s">
        <v>309</v>
      </c>
      <c r="B312" s="101"/>
      <c r="C312" s="99"/>
      <c r="D312" s="100"/>
      <c r="E312" s="60"/>
      <c r="F312" s="14"/>
    </row>
    <row r="313" spans="1:6" ht="26.45" customHeight="1" thickBot="1" x14ac:dyDescent="0.3">
      <c r="A313" s="102" t="s">
        <v>447</v>
      </c>
      <c r="B313" s="70">
        <v>1</v>
      </c>
      <c r="C313" s="18" t="str">
        <f>'OECD Mapping'!A28</f>
        <v>D36T39: Water and waste</v>
      </c>
      <c r="D313" s="18" t="str">
        <f>'OECD Mapping'!B28</f>
        <v>ISIC 36T39</v>
      </c>
      <c r="E313" s="25" t="s">
        <v>448</v>
      </c>
      <c r="F313" s="65" t="s">
        <v>118</v>
      </c>
    </row>
    <row r="314" spans="1:6" ht="15" customHeight="1" thickBot="1" x14ac:dyDescent="0.3">
      <c r="B314" s="80"/>
      <c r="C314" s="79"/>
      <c r="D314" s="97"/>
    </row>
    <row r="315" spans="1:6" ht="18.95" customHeight="1" thickBot="1" x14ac:dyDescent="0.35">
      <c r="A315" s="125" t="s">
        <v>124</v>
      </c>
      <c r="B315" s="126"/>
      <c r="C315" s="126"/>
      <c r="D315" s="126"/>
      <c r="E315" s="126"/>
      <c r="F315" s="127"/>
    </row>
    <row r="316" spans="1:6" x14ac:dyDescent="0.25">
      <c r="A316" s="89" t="s">
        <v>205</v>
      </c>
      <c r="B316" s="54" t="s">
        <v>206</v>
      </c>
      <c r="C316" s="54" t="s">
        <v>229</v>
      </c>
      <c r="D316" s="54" t="s">
        <v>208</v>
      </c>
      <c r="E316" s="54" t="s">
        <v>209</v>
      </c>
      <c r="F316" s="81" t="s">
        <v>210</v>
      </c>
    </row>
    <row r="317" spans="1:6" x14ac:dyDescent="0.25">
      <c r="A317" s="5" t="s">
        <v>211</v>
      </c>
      <c r="B317" s="2" t="s">
        <v>212</v>
      </c>
      <c r="C317" s="21"/>
      <c r="D317" s="21"/>
      <c r="E317" s="21"/>
      <c r="F317" s="6"/>
    </row>
    <row r="318" spans="1:6" x14ac:dyDescent="0.25">
      <c r="A318" s="20" t="s">
        <v>449</v>
      </c>
      <c r="B318" s="21"/>
      <c r="C318" s="21"/>
      <c r="D318" s="21"/>
      <c r="E318" s="88"/>
      <c r="F318" s="16"/>
    </row>
    <row r="319" spans="1:6" x14ac:dyDescent="0.25">
      <c r="A319" s="20" t="s">
        <v>450</v>
      </c>
      <c r="B319" s="15">
        <v>3.2241374243532309E-2</v>
      </c>
      <c r="C319" s="21" t="str">
        <f>'OECD Mapping'!A22</f>
        <v>D28: Machinery and equipment, nec</v>
      </c>
      <c r="D319" s="21" t="str">
        <f>'OECD Mapping'!B22</f>
        <v>ISIC 28</v>
      </c>
      <c r="E319" s="88" t="s">
        <v>451</v>
      </c>
      <c r="F319" s="16"/>
    </row>
    <row r="320" spans="1:6" x14ac:dyDescent="0.25">
      <c r="A320" s="20" t="s">
        <v>452</v>
      </c>
      <c r="B320" s="15">
        <v>1.6038016902321799E-2</v>
      </c>
      <c r="C320" s="21" t="str">
        <f>'OECD Mapping'!A22</f>
        <v>D28: Machinery and equipment, nec</v>
      </c>
      <c r="D320" s="21" t="str">
        <f>'OECD Mapping'!B22</f>
        <v>ISIC 28</v>
      </c>
      <c r="E320" s="88" t="s">
        <v>451</v>
      </c>
      <c r="F320" s="16"/>
    </row>
    <row r="321" spans="1:6" x14ac:dyDescent="0.25">
      <c r="A321" s="20" t="s">
        <v>453</v>
      </c>
      <c r="B321" s="15">
        <v>1.240052858086031E-2</v>
      </c>
      <c r="C321" s="21" t="str">
        <f>'OECD Mapping'!A19</f>
        <v>D25: Fabricated metal products</v>
      </c>
      <c r="D321" s="21" t="str">
        <f>'OECD Mapping'!B19</f>
        <v>ISIC 25</v>
      </c>
      <c r="E321" s="88" t="s">
        <v>451</v>
      </c>
      <c r="F321" s="16"/>
    </row>
    <row r="322" spans="1:6" x14ac:dyDescent="0.25">
      <c r="A322" s="20" t="s">
        <v>454</v>
      </c>
      <c r="B322" s="15">
        <v>0</v>
      </c>
      <c r="C322" s="21" t="str">
        <f>'OECD Mapping'!A31</f>
        <v>D49T53: Transportation and storage</v>
      </c>
      <c r="D322" s="21" t="str">
        <f>'OECD Mapping'!B31</f>
        <v>ISIC 49T53</v>
      </c>
      <c r="E322" s="88" t="s">
        <v>451</v>
      </c>
      <c r="F322" s="16"/>
    </row>
    <row r="323" spans="1:6" x14ac:dyDescent="0.25">
      <c r="A323" s="20" t="s">
        <v>455</v>
      </c>
      <c r="B323" s="15">
        <v>0</v>
      </c>
      <c r="C323" s="21" t="str">
        <f>'OECD Mapping'!A22</f>
        <v>D28: Machinery and equipment, nec</v>
      </c>
      <c r="D323" s="21" t="str">
        <f>'OECD Mapping'!B22</f>
        <v>ISIC 28</v>
      </c>
      <c r="E323" s="88" t="s">
        <v>451</v>
      </c>
      <c r="F323" s="16"/>
    </row>
    <row r="324" spans="1:6" x14ac:dyDescent="0.25">
      <c r="A324" s="20" t="s">
        <v>456</v>
      </c>
      <c r="B324" s="15">
        <v>6.0679919726714417E-2</v>
      </c>
      <c r="C324" s="21"/>
      <c r="D324" s="21"/>
      <c r="E324" s="88"/>
      <c r="F324" s="16"/>
    </row>
    <row r="325" spans="1:6" x14ac:dyDescent="0.25">
      <c r="A325" s="20" t="s">
        <v>457</v>
      </c>
      <c r="B325" s="15"/>
      <c r="C325" s="21"/>
      <c r="D325" s="21"/>
      <c r="E325" s="88"/>
      <c r="F325" s="16"/>
    </row>
    <row r="326" spans="1:6" x14ac:dyDescent="0.25">
      <c r="A326" s="20" t="s">
        <v>458</v>
      </c>
      <c r="B326" s="15">
        <v>5.9790282669963217E-3</v>
      </c>
      <c r="C326" s="21" t="str">
        <f>'OECD Mapping'!A22</f>
        <v>D28: Machinery and equipment, nec</v>
      </c>
      <c r="D326" s="21" t="str">
        <f>'OECD Mapping'!B22</f>
        <v>ISIC 28</v>
      </c>
      <c r="E326" s="88" t="s">
        <v>451</v>
      </c>
      <c r="F326" s="16"/>
    </row>
    <row r="327" spans="1:6" x14ac:dyDescent="0.25">
      <c r="A327" s="20" t="s">
        <v>459</v>
      </c>
      <c r="B327" s="15">
        <v>2.0458601035032161E-2</v>
      </c>
      <c r="C327" s="21" t="str">
        <f>'OECD Mapping'!A19</f>
        <v>D25: Fabricated metal products</v>
      </c>
      <c r="D327" s="21" t="str">
        <f>'OECD Mapping'!B19</f>
        <v>ISIC 25</v>
      </c>
      <c r="E327" s="88" t="s">
        <v>451</v>
      </c>
      <c r="F327" s="16"/>
    </row>
    <row r="328" spans="1:6" x14ac:dyDescent="0.25">
      <c r="A328" s="20" t="s">
        <v>460</v>
      </c>
      <c r="B328" s="15">
        <v>1.371763344164712E-2</v>
      </c>
      <c r="C328" s="90" t="str">
        <f>'OECD Mapping'!A19</f>
        <v>D25: Fabricated metal products</v>
      </c>
      <c r="D328" s="90" t="str">
        <f>'OECD Mapping'!B19</f>
        <v>ISIC 25</v>
      </c>
      <c r="E328" s="88" t="s">
        <v>451</v>
      </c>
      <c r="F328" s="6"/>
    </row>
    <row r="329" spans="1:6" x14ac:dyDescent="0.25">
      <c r="A329" s="20" t="s">
        <v>461</v>
      </c>
      <c r="B329" s="15">
        <v>4.9670766079714648E-3</v>
      </c>
      <c r="C329" s="88" t="str">
        <f>'OECD Mapping'!A21</f>
        <v>D27: Electrical equipment</v>
      </c>
      <c r="D329" s="88" t="str">
        <f>'OECD Mapping'!B21</f>
        <v>ISIC 27</v>
      </c>
      <c r="E329" s="88" t="s">
        <v>451</v>
      </c>
      <c r="F329" s="16"/>
    </row>
    <row r="330" spans="1:6" x14ac:dyDescent="0.25">
      <c r="A330" s="20" t="s">
        <v>462</v>
      </c>
      <c r="B330" s="15">
        <v>0.1323879981420561</v>
      </c>
      <c r="C330" s="88" t="str">
        <f>'OECD Mapping'!A21</f>
        <v>D27: Electrical equipment</v>
      </c>
      <c r="D330" s="88" t="str">
        <f>'OECD Mapping'!B21</f>
        <v>ISIC 27</v>
      </c>
      <c r="E330" s="88" t="s">
        <v>451</v>
      </c>
      <c r="F330" s="16"/>
    </row>
    <row r="331" spans="1:6" x14ac:dyDescent="0.25">
      <c r="A331" s="20" t="s">
        <v>463</v>
      </c>
      <c r="B331" s="15">
        <v>5.6797062509543479E-2</v>
      </c>
      <c r="C331" s="21" t="str">
        <f>'OECD Mapping'!A21</f>
        <v>D27: Electrical equipment</v>
      </c>
      <c r="D331" s="21" t="str">
        <f>'OECD Mapping'!B21</f>
        <v>ISIC 27</v>
      </c>
      <c r="E331" s="88" t="s">
        <v>451</v>
      </c>
      <c r="F331" s="6"/>
    </row>
    <row r="332" spans="1:6" x14ac:dyDescent="0.25">
      <c r="A332" s="20" t="s">
        <v>464</v>
      </c>
      <c r="B332" s="15">
        <v>8.1471472548051413E-2</v>
      </c>
      <c r="C332" s="21" t="str">
        <f>'OECD Mapping'!A21</f>
        <v>D27: Electrical equipment</v>
      </c>
      <c r="D332" s="21" t="str">
        <f>'OECD Mapping'!B21</f>
        <v>ISIC 27</v>
      </c>
      <c r="E332" s="88" t="s">
        <v>451</v>
      </c>
      <c r="F332" s="6"/>
    </row>
    <row r="333" spans="1:6" x14ac:dyDescent="0.25">
      <c r="A333" s="20" t="s">
        <v>465</v>
      </c>
      <c r="B333" s="15">
        <v>0.31577887255129811</v>
      </c>
      <c r="C333" s="21"/>
      <c r="D333" s="21"/>
      <c r="E333" s="88"/>
      <c r="F333" s="6"/>
    </row>
    <row r="334" spans="1:6" x14ac:dyDescent="0.25">
      <c r="A334" s="20" t="s">
        <v>466</v>
      </c>
      <c r="B334" s="15"/>
      <c r="C334" s="21"/>
      <c r="D334" s="21"/>
      <c r="E334" s="88"/>
      <c r="F334" s="6"/>
    </row>
    <row r="335" spans="1:6" x14ac:dyDescent="0.25">
      <c r="A335" s="20" t="s">
        <v>245</v>
      </c>
      <c r="B335" s="15">
        <v>6.2166597276063201E-3</v>
      </c>
      <c r="C335" s="21" t="str">
        <f>'OECD Mapping'!A29</f>
        <v>D41T43: Construction</v>
      </c>
      <c r="D335" s="21" t="str">
        <f>'OECD Mapping'!B29</f>
        <v>ISIC 41T43</v>
      </c>
      <c r="E335" s="88" t="s">
        <v>451</v>
      </c>
      <c r="F335" s="6"/>
    </row>
    <row r="336" spans="1:6" x14ac:dyDescent="0.25">
      <c r="A336" s="20" t="s">
        <v>467</v>
      </c>
      <c r="B336" s="15">
        <v>4.1683133284005254E-3</v>
      </c>
      <c r="C336" s="21" t="str">
        <f>'OECD Mapping'!A29</f>
        <v>D41T43: Construction</v>
      </c>
      <c r="D336" s="21" t="str">
        <f>'OECD Mapping'!B29</f>
        <v>ISIC 41T43</v>
      </c>
      <c r="E336" s="88" t="s">
        <v>451</v>
      </c>
      <c r="F336" s="6"/>
    </row>
    <row r="337" spans="1:6" x14ac:dyDescent="0.25">
      <c r="A337" s="20" t="s">
        <v>468</v>
      </c>
      <c r="B337" s="15">
        <v>4.2334724953147114E-3</v>
      </c>
      <c r="C337" s="21" t="str">
        <f>'OECD Mapping'!A29</f>
        <v>D41T43: Construction</v>
      </c>
      <c r="D337" s="21" t="str">
        <f>'OECD Mapping'!B29</f>
        <v>ISIC 41T43</v>
      </c>
      <c r="E337" s="88" t="s">
        <v>451</v>
      </c>
      <c r="F337" s="6"/>
    </row>
    <row r="338" spans="1:6" x14ac:dyDescent="0.25">
      <c r="A338" s="20" t="s">
        <v>469</v>
      </c>
      <c r="B338" s="15">
        <v>7.206943770706753E-2</v>
      </c>
      <c r="C338" s="21" t="str">
        <f>'OECD Mapping'!A29</f>
        <v>D41T43: Construction</v>
      </c>
      <c r="D338" s="21" t="str">
        <f>'OECD Mapping'!B29</f>
        <v>ISIC 41T43</v>
      </c>
      <c r="E338" s="88" t="s">
        <v>451</v>
      </c>
      <c r="F338" s="6"/>
    </row>
    <row r="339" spans="1:6" x14ac:dyDescent="0.25">
      <c r="A339" s="20" t="s">
        <v>470</v>
      </c>
      <c r="B339" s="15">
        <v>5.6737713489452599E-2</v>
      </c>
      <c r="C339" s="21" t="str">
        <f>'OECD Mapping'!A29</f>
        <v>D41T43: Construction</v>
      </c>
      <c r="D339" s="21" t="str">
        <f>'OECD Mapping'!B29</f>
        <v>ISIC 41T43</v>
      </c>
      <c r="E339" s="88" t="s">
        <v>451</v>
      </c>
      <c r="F339" s="6"/>
    </row>
    <row r="340" spans="1:6" x14ac:dyDescent="0.25">
      <c r="A340" s="20" t="s">
        <v>248</v>
      </c>
      <c r="B340" s="15">
        <v>2.5443069457383741E-2</v>
      </c>
      <c r="C340" s="21" t="str">
        <f>'OECD Mapping'!A38</f>
        <v>D69T82: Other business sector services</v>
      </c>
      <c r="D340" s="21" t="str">
        <f>'OECD Mapping'!B38</f>
        <v>ISIC 69T82</v>
      </c>
      <c r="E340" s="88" t="s">
        <v>451</v>
      </c>
      <c r="F340" s="6"/>
    </row>
    <row r="341" spans="1:6" x14ac:dyDescent="0.25">
      <c r="A341" s="20" t="s">
        <v>471</v>
      </c>
      <c r="B341" s="15">
        <v>0.16886866620522539</v>
      </c>
      <c r="C341" s="21"/>
      <c r="D341" s="21"/>
      <c r="E341" s="88"/>
      <c r="F341" s="6"/>
    </row>
    <row r="342" spans="1:6" x14ac:dyDescent="0.25">
      <c r="A342" s="20" t="s">
        <v>472</v>
      </c>
      <c r="B342" s="15"/>
      <c r="C342" s="21"/>
      <c r="D342" s="21"/>
      <c r="E342" s="88"/>
      <c r="F342" s="6"/>
    </row>
    <row r="343" spans="1:6" x14ac:dyDescent="0.25">
      <c r="A343" s="20" t="s">
        <v>473</v>
      </c>
      <c r="B343" s="15">
        <v>8.7151669566778289E-3</v>
      </c>
      <c r="C343" s="21" t="str">
        <f>'OECD Mapping'!A36</f>
        <v>D64T66: Financial and insurance activities</v>
      </c>
      <c r="D343" s="21" t="str">
        <f>'OECD Mapping'!B36</f>
        <v>ISIC 64T66</v>
      </c>
      <c r="E343" s="88" t="s">
        <v>451</v>
      </c>
      <c r="F343" s="6"/>
    </row>
    <row r="344" spans="1:6" x14ac:dyDescent="0.25">
      <c r="A344" s="20" t="s">
        <v>474</v>
      </c>
      <c r="B344" s="15"/>
      <c r="C344" s="21"/>
      <c r="D344" s="21"/>
      <c r="E344" s="88"/>
      <c r="F344" s="6"/>
    </row>
    <row r="345" spans="1:6" x14ac:dyDescent="0.25">
      <c r="A345" s="20" t="s">
        <v>255</v>
      </c>
      <c r="B345" s="15">
        <v>6.067991972671441E-2</v>
      </c>
      <c r="C345" s="21" t="str">
        <f>'OECD Mapping'!A38</f>
        <v>D69T82: Other business sector services</v>
      </c>
      <c r="D345" s="21" t="str">
        <f>'OECD Mapping'!B38</f>
        <v>ISIC 69T82</v>
      </c>
      <c r="E345" s="88" t="s">
        <v>451</v>
      </c>
      <c r="F345" s="6"/>
    </row>
    <row r="346" spans="1:6" x14ac:dyDescent="0.25">
      <c r="A346" s="20" t="s">
        <v>256</v>
      </c>
      <c r="B346" s="15">
        <v>1.533150424508801E-2</v>
      </c>
      <c r="C346" s="21" t="str">
        <f>'OECD Mapping'!A38</f>
        <v>D69T82: Other business sector services</v>
      </c>
      <c r="D346" s="21" t="str">
        <f>'OECD Mapping'!B38</f>
        <v>ISIC 69T82</v>
      </c>
      <c r="E346" s="88" t="s">
        <v>451</v>
      </c>
      <c r="F346" s="6"/>
    </row>
    <row r="347" spans="1:6" x14ac:dyDescent="0.25">
      <c r="A347" s="20" t="s">
        <v>475</v>
      </c>
      <c r="B347" s="15">
        <v>4.5994538507349268E-3</v>
      </c>
      <c r="C347" s="21" t="str">
        <f>'OECD Mapping'!A38</f>
        <v>D69T82: Other business sector services</v>
      </c>
      <c r="D347" s="21" t="str">
        <f>'OECD Mapping'!B38</f>
        <v>ISIC 69T82</v>
      </c>
      <c r="E347" s="88" t="s">
        <v>451</v>
      </c>
      <c r="F347" s="6"/>
    </row>
    <row r="348" spans="1:6" x14ac:dyDescent="0.25">
      <c r="A348" s="20" t="s">
        <v>476</v>
      </c>
      <c r="B348" s="15">
        <v>3.4346170594054541E-3</v>
      </c>
      <c r="C348" s="21" t="str">
        <f>'OECD Mapping'!A31</f>
        <v>D49T53: Transportation and storage</v>
      </c>
      <c r="D348" s="21" t="str">
        <f>'OECD Mapping'!B31</f>
        <v>ISIC 49T53</v>
      </c>
      <c r="E348" s="88" t="s">
        <v>451</v>
      </c>
      <c r="F348" s="6"/>
    </row>
    <row r="349" spans="1:6" x14ac:dyDescent="0.25">
      <c r="A349" s="20" t="s">
        <v>258</v>
      </c>
      <c r="B349" s="15">
        <v>5.1105001264250743E-2</v>
      </c>
      <c r="C349" s="21" t="str">
        <f>'OECD Mapping'!A38</f>
        <v>D69T82: Other business sector services</v>
      </c>
      <c r="D349" s="21" t="str">
        <f>'OECD Mapping'!B38</f>
        <v>ISIC 69T82</v>
      </c>
      <c r="E349" s="88" t="s">
        <v>451</v>
      </c>
      <c r="F349" s="6"/>
    </row>
    <row r="350" spans="1:6" x14ac:dyDescent="0.25">
      <c r="A350" s="20" t="s">
        <v>477</v>
      </c>
      <c r="B350" s="15">
        <v>0</v>
      </c>
      <c r="C350" s="90" t="str">
        <f>'OECD Mapping'!A31</f>
        <v>D49T53: Transportation and storage</v>
      </c>
      <c r="D350" s="90" t="str">
        <f>'OECD Mapping'!B31</f>
        <v>ISIC 49T53</v>
      </c>
      <c r="E350" s="88" t="s">
        <v>451</v>
      </c>
      <c r="F350" s="6"/>
    </row>
    <row r="351" spans="1:6" x14ac:dyDescent="0.25">
      <c r="A351" s="20" t="s">
        <v>478</v>
      </c>
      <c r="B351" s="15">
        <v>0.18243254907596901</v>
      </c>
      <c r="C351" s="21" t="str">
        <f>'OECD Mapping'!A31</f>
        <v>D49T53: Transportation and storage</v>
      </c>
      <c r="D351" s="21" t="str">
        <f>'OECD Mapping'!B31</f>
        <v>ISIC 49T53</v>
      </c>
      <c r="E351" s="88" t="s">
        <v>451</v>
      </c>
      <c r="F351" s="6"/>
    </row>
    <row r="352" spans="1:6" x14ac:dyDescent="0.25">
      <c r="A352" s="20" t="s">
        <v>479</v>
      </c>
      <c r="B352" s="15">
        <v>7.2083450595899117E-3</v>
      </c>
      <c r="C352" s="21" t="str">
        <f>'OECD Mapping'!A38</f>
        <v>D69T82: Other business sector services</v>
      </c>
      <c r="D352" s="21" t="str">
        <f>'OECD Mapping'!B38</f>
        <v>ISIC 69T82</v>
      </c>
      <c r="E352" s="88" t="s">
        <v>451</v>
      </c>
      <c r="F352" s="6"/>
    </row>
    <row r="353" spans="1:6" x14ac:dyDescent="0.25">
      <c r="A353" s="20" t="s">
        <v>480</v>
      </c>
      <c r="B353" s="15">
        <v>2.6145500870033481E-2</v>
      </c>
      <c r="C353" s="21" t="str">
        <f>'OECD Mapping'!A36</f>
        <v>D64T66: Financial and insurance activities</v>
      </c>
      <c r="D353" s="21" t="str">
        <f>'OECD Mapping'!B36</f>
        <v>ISIC 64T66</v>
      </c>
      <c r="E353" s="88" t="s">
        <v>451</v>
      </c>
      <c r="F353" s="6"/>
    </row>
    <row r="354" spans="1:6" x14ac:dyDescent="0.25">
      <c r="A354" s="20" t="s">
        <v>481</v>
      </c>
      <c r="B354" s="15">
        <v>0.35093689115178589</v>
      </c>
      <c r="C354" s="21"/>
      <c r="D354" s="21"/>
      <c r="E354" s="88"/>
      <c r="F354" s="6"/>
    </row>
    <row r="355" spans="1:6" x14ac:dyDescent="0.25">
      <c r="A355" s="20" t="s">
        <v>482</v>
      </c>
      <c r="B355" s="15"/>
      <c r="C355" s="21"/>
      <c r="D355" s="21"/>
      <c r="E355" s="88"/>
      <c r="F355" s="6"/>
    </row>
    <row r="356" spans="1:6" x14ac:dyDescent="0.25">
      <c r="A356" s="20" t="s">
        <v>483</v>
      </c>
      <c r="B356" s="15">
        <v>0</v>
      </c>
      <c r="C356" s="21" t="str">
        <f>'OECD Mapping'!A36</f>
        <v>D64T66: Financial and insurance activities</v>
      </c>
      <c r="D356" s="21" t="str">
        <f>'OECD Mapping'!B36</f>
        <v>ISIC 64T66</v>
      </c>
      <c r="E356" s="88" t="s">
        <v>451</v>
      </c>
      <c r="F356" s="6"/>
    </row>
    <row r="357" spans="1:6" x14ac:dyDescent="0.25">
      <c r="A357" s="20" t="s">
        <v>484</v>
      </c>
      <c r="B357" s="15">
        <v>0</v>
      </c>
      <c r="C357" s="21" t="str">
        <f>'OECD Mapping'!A38</f>
        <v>D69T82: Other business sector services</v>
      </c>
      <c r="D357" s="21" t="str">
        <f>'OECD Mapping'!B38</f>
        <v>ISIC 69T82</v>
      </c>
      <c r="E357" s="88" t="s">
        <v>451</v>
      </c>
      <c r="F357" s="6"/>
    </row>
    <row r="358" spans="1:6" x14ac:dyDescent="0.25">
      <c r="A358" s="20" t="s">
        <v>485</v>
      </c>
      <c r="B358" s="15">
        <v>0</v>
      </c>
      <c r="C358" s="21" t="str">
        <f>'OECD Mapping'!A36</f>
        <v>D64T66: Financial and insurance activities</v>
      </c>
      <c r="D358" s="21" t="str">
        <f>'OECD Mapping'!B36</f>
        <v>ISIC 64T66</v>
      </c>
      <c r="E358" s="88" t="s">
        <v>451</v>
      </c>
      <c r="F358" s="6"/>
    </row>
    <row r="359" spans="1:6" x14ac:dyDescent="0.25">
      <c r="A359" s="20" t="s">
        <v>486</v>
      </c>
      <c r="B359" s="15">
        <v>0</v>
      </c>
      <c r="C359" s="21" t="str">
        <f>'OECD Mapping'!A36</f>
        <v>D64T66: Financial and insurance activities</v>
      </c>
      <c r="D359" s="21" t="str">
        <f>'OECD Mapping'!B36</f>
        <v>ISIC 64T66</v>
      </c>
      <c r="E359" s="88" t="s">
        <v>451</v>
      </c>
      <c r="F359" s="6"/>
    </row>
    <row r="360" spans="1:6" x14ac:dyDescent="0.25">
      <c r="A360" s="20" t="s">
        <v>487</v>
      </c>
      <c r="B360" s="15">
        <v>0</v>
      </c>
      <c r="C360" s="21"/>
      <c r="D360" s="21"/>
      <c r="E360" s="88"/>
      <c r="F360" s="6"/>
    </row>
    <row r="361" spans="1:6" x14ac:dyDescent="0.25">
      <c r="A361" s="20" t="s">
        <v>488</v>
      </c>
      <c r="B361" s="15">
        <v>9.5020483408298523E-2</v>
      </c>
      <c r="C361" s="21" t="str">
        <f>'OECD Mapping'!A38</f>
        <v>D69T82: Other business sector services</v>
      </c>
      <c r="D361" s="21" t="str">
        <f>'OECD Mapping'!B38</f>
        <v>ISIC 69T82</v>
      </c>
      <c r="E361" s="88" t="s">
        <v>451</v>
      </c>
      <c r="F361" s="6"/>
    </row>
    <row r="362" spans="1:6" x14ac:dyDescent="0.25">
      <c r="A362" s="20" t="s">
        <v>489</v>
      </c>
      <c r="B362" s="15">
        <v>1</v>
      </c>
      <c r="C362" s="21"/>
      <c r="D362" s="21"/>
      <c r="E362" s="88"/>
      <c r="F362" s="6"/>
    </row>
    <row r="363" spans="1:6" x14ac:dyDescent="0.25">
      <c r="A363" s="20" t="s">
        <v>262</v>
      </c>
      <c r="B363" s="15">
        <v>0</v>
      </c>
      <c r="C363" s="21" t="str">
        <f>'OECD Mapping'!A39</f>
        <v>D84: Public admin. and defence; compulsory social security</v>
      </c>
      <c r="D363" s="21" t="str">
        <f>'OECD Mapping'!B39</f>
        <v>ISIC 84</v>
      </c>
      <c r="E363" s="88" t="s">
        <v>451</v>
      </c>
      <c r="F363" s="6"/>
    </row>
    <row r="364" spans="1:6" ht="15" customHeight="1" thickBot="1" x14ac:dyDescent="0.3">
      <c r="A364" s="67" t="s">
        <v>490</v>
      </c>
      <c r="B364" s="66">
        <v>1</v>
      </c>
      <c r="C364" s="59"/>
      <c r="D364" s="59"/>
      <c r="E364" s="92"/>
      <c r="F364" s="72"/>
    </row>
    <row r="365" spans="1:6" x14ac:dyDescent="0.25">
      <c r="A365" s="11" t="s">
        <v>225</v>
      </c>
      <c r="B365" s="60"/>
      <c r="C365" s="99"/>
      <c r="D365" s="100"/>
      <c r="E365" s="60"/>
      <c r="F365" s="14"/>
    </row>
    <row r="366" spans="1:6" x14ac:dyDescent="0.25">
      <c r="A366" s="20" t="s">
        <v>264</v>
      </c>
      <c r="B366" s="15"/>
      <c r="C366" s="21"/>
      <c r="D366" s="21"/>
      <c r="E366" s="21"/>
      <c r="F366" s="6"/>
    </row>
    <row r="367" spans="1:6" x14ac:dyDescent="0.25">
      <c r="A367" s="20" t="s">
        <v>491</v>
      </c>
      <c r="B367" s="15">
        <v>6.3182869088423882E-2</v>
      </c>
      <c r="C367" s="21" t="str">
        <f>'OECD Mapping'!A26</f>
        <v>D351: Electricity generation and distribution</v>
      </c>
      <c r="D367" s="21" t="str">
        <f>'OECD Mapping'!B26</f>
        <v>ISIC 351</v>
      </c>
      <c r="E367" s="88" t="s">
        <v>451</v>
      </c>
      <c r="F367" s="6"/>
    </row>
    <row r="368" spans="1:6" x14ac:dyDescent="0.25">
      <c r="A368" s="20" t="s">
        <v>492</v>
      </c>
      <c r="B368" s="15">
        <v>0</v>
      </c>
      <c r="C368" s="21" t="str">
        <f>'OECD Mapping'!A26</f>
        <v>D351: Electricity generation and distribution</v>
      </c>
      <c r="D368" s="21" t="str">
        <f>'OECD Mapping'!B26</f>
        <v>ISIC 351</v>
      </c>
      <c r="E368" s="88" t="s">
        <v>451</v>
      </c>
      <c r="F368" s="6"/>
    </row>
    <row r="369" spans="1:6" x14ac:dyDescent="0.25">
      <c r="A369" s="20" t="s">
        <v>493</v>
      </c>
      <c r="B369" s="15">
        <v>1.1700531406933209E-2</v>
      </c>
      <c r="C369" s="21" t="str">
        <f>'OECD Mapping'!A26</f>
        <v>D351: Electricity generation and distribution</v>
      </c>
      <c r="D369" s="21" t="str">
        <f>'OECD Mapping'!B26</f>
        <v>ISIC 351</v>
      </c>
      <c r="E369" s="88" t="s">
        <v>451</v>
      </c>
      <c r="F369" s="6"/>
    </row>
    <row r="370" spans="1:6" x14ac:dyDescent="0.25">
      <c r="A370" s="20" t="s">
        <v>248</v>
      </c>
      <c r="B370" s="15">
        <v>5.6162549668272839E-2</v>
      </c>
      <c r="C370" s="21" t="str">
        <f>'OECD Mapping'!A26</f>
        <v>D351: Electricity generation and distribution</v>
      </c>
      <c r="D370" s="21" t="str">
        <f>'OECD Mapping'!B26</f>
        <v>ISIC 351</v>
      </c>
      <c r="E370" s="88" t="s">
        <v>451</v>
      </c>
      <c r="F370" s="6"/>
    </row>
    <row r="371" spans="1:6" x14ac:dyDescent="0.25">
      <c r="A371" s="20" t="s">
        <v>494</v>
      </c>
      <c r="B371" s="15">
        <v>0.13104595016362991</v>
      </c>
      <c r="C371" s="21"/>
      <c r="D371" s="21"/>
      <c r="E371" s="21"/>
      <c r="F371" s="6"/>
    </row>
    <row r="372" spans="1:6" x14ac:dyDescent="0.25">
      <c r="A372" s="20" t="s">
        <v>270</v>
      </c>
      <c r="B372" s="15"/>
      <c r="C372" s="21"/>
      <c r="D372" s="21"/>
      <c r="E372" s="21"/>
      <c r="F372" s="6"/>
    </row>
    <row r="373" spans="1:6" x14ac:dyDescent="0.25">
      <c r="A373" s="20" t="s">
        <v>495</v>
      </c>
      <c r="B373" s="15">
        <v>0.19943207701162591</v>
      </c>
      <c r="C373" s="21" t="str">
        <f>'OECD Mapping'!A31</f>
        <v>D49T53: Transportation and storage</v>
      </c>
      <c r="D373" s="21" t="str">
        <f>'OECD Mapping'!B31</f>
        <v>ISIC 49T53</v>
      </c>
      <c r="E373" s="88" t="s">
        <v>451</v>
      </c>
      <c r="F373" s="6"/>
    </row>
    <row r="374" spans="1:6" x14ac:dyDescent="0.25">
      <c r="A374" s="20" t="s">
        <v>496</v>
      </c>
      <c r="B374" s="15">
        <v>9.9716038505812954E-2</v>
      </c>
      <c r="C374" s="21" t="str">
        <f>'OECD Mapping'!A38</f>
        <v>D69T82: Other business sector services</v>
      </c>
      <c r="D374" s="21" t="str">
        <f>'OECD Mapping'!B38</f>
        <v>ISIC 69T82</v>
      </c>
      <c r="E374" s="88" t="s">
        <v>451</v>
      </c>
      <c r="F374" s="6"/>
    </row>
    <row r="375" spans="1:6" x14ac:dyDescent="0.25">
      <c r="A375" s="20" t="s">
        <v>497</v>
      </c>
      <c r="B375" s="15">
        <v>4.2735445073919839E-2</v>
      </c>
      <c r="C375" s="21" t="str">
        <f>'OECD Mapping'!A22</f>
        <v>D28: Machinery and equipment, nec</v>
      </c>
      <c r="D375" s="21" t="str">
        <f>'OECD Mapping'!B22</f>
        <v>ISIC 28</v>
      </c>
      <c r="E375" s="88" t="s">
        <v>451</v>
      </c>
      <c r="F375" s="6"/>
    </row>
    <row r="376" spans="1:6" x14ac:dyDescent="0.25">
      <c r="A376" s="20" t="s">
        <v>498</v>
      </c>
      <c r="B376" s="15">
        <v>6.4103167610879766E-2</v>
      </c>
      <c r="C376" s="21" t="str">
        <f>'OECD Mapping'!A29</f>
        <v>D41T43: Construction</v>
      </c>
      <c r="D376" s="21" t="str">
        <f>'OECD Mapping'!B29</f>
        <v>ISIC 41T43</v>
      </c>
      <c r="E376" s="88" t="s">
        <v>451</v>
      </c>
      <c r="F376" s="6"/>
    </row>
    <row r="377" spans="1:6" x14ac:dyDescent="0.25">
      <c r="A377" s="20" t="s">
        <v>499</v>
      </c>
      <c r="B377" s="15">
        <v>0.46296732163413162</v>
      </c>
      <c r="C377" s="21" t="str">
        <f>'OECD Mapping'!A22</f>
        <v>D28: Machinery and equipment, nec</v>
      </c>
      <c r="D377" s="21" t="str">
        <f>'OECD Mapping'!B22</f>
        <v>ISIC 28</v>
      </c>
      <c r="E377" s="88" t="s">
        <v>451</v>
      </c>
      <c r="F377" s="6"/>
    </row>
    <row r="378" spans="1:6" x14ac:dyDescent="0.25">
      <c r="A378" s="20" t="s">
        <v>500</v>
      </c>
      <c r="B378" s="15">
        <v>0.86895404983637015</v>
      </c>
      <c r="C378" s="21"/>
      <c r="D378" s="21"/>
      <c r="E378" s="21"/>
      <c r="F378" s="6"/>
    </row>
    <row r="379" spans="1:6" x14ac:dyDescent="0.25">
      <c r="A379" s="20" t="s">
        <v>489</v>
      </c>
      <c r="B379" s="15">
        <v>1</v>
      </c>
      <c r="C379" s="21"/>
      <c r="D379" s="21"/>
      <c r="E379" s="21"/>
      <c r="F379" s="6"/>
    </row>
    <row r="380" spans="1:6" x14ac:dyDescent="0.25">
      <c r="A380" s="20" t="s">
        <v>262</v>
      </c>
      <c r="B380" s="15">
        <v>0</v>
      </c>
      <c r="C380" s="21" t="str">
        <f>'OECD Mapping'!A39</f>
        <v>D84: Public admin. and defence; compulsory social security</v>
      </c>
      <c r="D380" s="21" t="str">
        <f>'OECD Mapping'!B39</f>
        <v>ISIC 84</v>
      </c>
      <c r="E380" s="88" t="s">
        <v>451</v>
      </c>
      <c r="F380" s="6"/>
    </row>
    <row r="381" spans="1:6" ht="15" customHeight="1" thickBot="1" x14ac:dyDescent="0.3">
      <c r="A381" s="24" t="s">
        <v>501</v>
      </c>
      <c r="B381" s="18">
        <v>1</v>
      </c>
      <c r="C381" s="25"/>
      <c r="D381" s="25"/>
      <c r="E381" s="25"/>
      <c r="F381" s="10"/>
    </row>
  </sheetData>
  <mergeCells count="10">
    <mergeCell ref="A315:F315"/>
    <mergeCell ref="A18:F18"/>
    <mergeCell ref="A145:F145"/>
    <mergeCell ref="A235:F235"/>
    <mergeCell ref="A219:F219"/>
    <mergeCell ref="A1:F1"/>
    <mergeCell ref="A75:F75"/>
    <mergeCell ref="A289:F289"/>
    <mergeCell ref="A110:F110"/>
    <mergeCell ref="A164:F164"/>
  </mergeCells>
  <dataValidations disablePrompts="1" count="1">
    <dataValidation type="decimal" allowBlank="1" showErrorMessage="1" errorTitle="Expenditures" error="Expenditures must be a number that is greater than or equal to zero." sqref="B17" xr:uid="{00000000-0002-0000-0300-000000000000}">
      <formula1>0</formula1>
      <formula2>9000000000000000000</formula2>
    </dataValidation>
  </dataValidations>
  <hyperlinks>
    <hyperlink ref="F4" r:id="rId1" xr:uid="{00000000-0004-0000-0300-000000000000}"/>
    <hyperlink ref="F5" r:id="rId2" xr:uid="{00000000-0004-0000-0300-000001000000}"/>
    <hyperlink ref="F6" r:id="rId3" xr:uid="{00000000-0004-0000-0300-000002000000}"/>
    <hyperlink ref="F7" r:id="rId4" xr:uid="{00000000-0004-0000-0300-000003000000}"/>
    <hyperlink ref="F8" r:id="rId5" xr:uid="{00000000-0004-0000-0300-000004000000}"/>
    <hyperlink ref="F9" r:id="rId6" xr:uid="{00000000-0004-0000-0300-000005000000}"/>
    <hyperlink ref="F10" r:id="rId7" xr:uid="{00000000-0004-0000-0300-000006000000}"/>
    <hyperlink ref="F11" r:id="rId8" xr:uid="{00000000-0004-0000-0300-000007000000}"/>
    <hyperlink ref="F12" r:id="rId9" xr:uid="{00000000-0004-0000-0300-000008000000}"/>
    <hyperlink ref="F13" r:id="rId10" xr:uid="{00000000-0004-0000-0300-000009000000}"/>
    <hyperlink ref="F15" r:id="rId11" xr:uid="{00000000-0004-0000-0300-00000A000000}"/>
    <hyperlink ref="F16" r:id="rId12" xr:uid="{00000000-0004-0000-0300-00000B000000}"/>
    <hyperlink ref="F78" r:id="rId13" xr:uid="{00000000-0004-0000-0300-00000C000000}"/>
    <hyperlink ref="F100" r:id="rId14" xr:uid="{00000000-0004-0000-0300-00000D000000}"/>
    <hyperlink ref="F101" r:id="rId15" xr:uid="{00000000-0004-0000-0300-00000E000000}"/>
    <hyperlink ref="F102" r:id="rId16" xr:uid="{00000000-0004-0000-0300-00000F000000}"/>
    <hyperlink ref="F105" r:id="rId17" xr:uid="{00000000-0004-0000-0300-000010000000}"/>
    <hyperlink ref="F106" r:id="rId18" xr:uid="{00000000-0004-0000-0300-000011000000}"/>
    <hyperlink ref="F107" r:id="rId19" xr:uid="{00000000-0004-0000-0300-000012000000}"/>
    <hyperlink ref="F140" r:id="rId20" xr:uid="{00000000-0004-0000-0300-000013000000}"/>
    <hyperlink ref="F141" r:id="rId21" xr:uid="{00000000-0004-0000-0300-000014000000}"/>
    <hyperlink ref="F142" r:id="rId22" xr:uid="{00000000-0004-0000-0300-000015000000}"/>
    <hyperlink ref="F150" r:id="rId23" xr:uid="{00000000-0004-0000-0300-000016000000}"/>
    <hyperlink ref="F151" r:id="rId24" xr:uid="{00000000-0004-0000-0300-000017000000}"/>
    <hyperlink ref="F152" r:id="rId25" xr:uid="{00000000-0004-0000-0300-000018000000}"/>
    <hyperlink ref="F153" r:id="rId26" xr:uid="{00000000-0004-0000-0300-000019000000}"/>
    <hyperlink ref="F154" r:id="rId27" xr:uid="{00000000-0004-0000-0300-00001A000000}"/>
    <hyperlink ref="F155" r:id="rId28" xr:uid="{00000000-0004-0000-0300-00001B000000}"/>
    <hyperlink ref="F156" r:id="rId29" xr:uid="{00000000-0004-0000-0300-00001C000000}"/>
    <hyperlink ref="F157" r:id="rId30" xr:uid="{00000000-0004-0000-0300-00001D000000}"/>
    <hyperlink ref="F158" r:id="rId31" xr:uid="{00000000-0004-0000-0300-00001E000000}"/>
    <hyperlink ref="F160" r:id="rId32" xr:uid="{00000000-0004-0000-0300-00001F000000}"/>
    <hyperlink ref="F162" r:id="rId33" xr:uid="{00000000-0004-0000-0300-000020000000}"/>
    <hyperlink ref="F167" r:id="rId34" xr:uid="{00000000-0004-0000-0300-000021000000}"/>
    <hyperlink ref="F202" r:id="rId35" xr:uid="{00000000-0004-0000-0300-000022000000}"/>
    <hyperlink ref="F203" r:id="rId36" xr:uid="{00000000-0004-0000-0300-000023000000}"/>
    <hyperlink ref="F204" r:id="rId37" xr:uid="{00000000-0004-0000-0300-000024000000}"/>
    <hyperlink ref="F205" r:id="rId38" xr:uid="{00000000-0004-0000-0300-000025000000}"/>
    <hyperlink ref="F206" r:id="rId39" xr:uid="{00000000-0004-0000-0300-000026000000}"/>
    <hyperlink ref="F207" r:id="rId40" xr:uid="{00000000-0004-0000-0300-000027000000}"/>
    <hyperlink ref="F208" r:id="rId41" xr:uid="{00000000-0004-0000-0300-000028000000}"/>
    <hyperlink ref="F209" r:id="rId42" xr:uid="{00000000-0004-0000-0300-000029000000}"/>
    <hyperlink ref="F210" r:id="rId43" xr:uid="{00000000-0004-0000-0300-00002A000000}"/>
    <hyperlink ref="F211" r:id="rId44" xr:uid="{00000000-0004-0000-0300-00002B000000}"/>
    <hyperlink ref="F212" r:id="rId45" xr:uid="{00000000-0004-0000-0300-00002C000000}"/>
    <hyperlink ref="F213" r:id="rId46" xr:uid="{00000000-0004-0000-0300-00002D000000}"/>
    <hyperlink ref="F214" r:id="rId47" xr:uid="{00000000-0004-0000-0300-00002E000000}"/>
    <hyperlink ref="F215" r:id="rId48" xr:uid="{00000000-0004-0000-0300-00002F000000}"/>
    <hyperlink ref="F217" r:id="rId49" xr:uid="{00000000-0004-0000-0300-000030000000}"/>
    <hyperlink ref="F222" r:id="rId50" xr:uid="{00000000-0004-0000-0300-000031000000}"/>
    <hyperlink ref="F223" r:id="rId51" xr:uid="{00000000-0004-0000-0300-000032000000}"/>
    <hyperlink ref="F224" r:id="rId52" xr:uid="{00000000-0004-0000-0300-000033000000}"/>
    <hyperlink ref="F225" r:id="rId53" xr:uid="{00000000-0004-0000-0300-000034000000}"/>
    <hyperlink ref="F226" r:id="rId54" xr:uid="{00000000-0004-0000-0300-000035000000}"/>
    <hyperlink ref="F227" r:id="rId55" xr:uid="{00000000-0004-0000-0300-000036000000}"/>
    <hyperlink ref="F229" r:id="rId56" xr:uid="{00000000-0004-0000-0300-000037000000}"/>
    <hyperlink ref="F231" r:id="rId57" xr:uid="{00000000-0004-0000-0300-000038000000}"/>
    <hyperlink ref="F232" r:id="rId58" xr:uid="{00000000-0004-0000-0300-000039000000}"/>
    <hyperlink ref="F233" r:id="rId59" xr:uid="{00000000-0004-0000-0300-00003A000000}"/>
    <hyperlink ref="F239" r:id="rId60" xr:uid="{00000000-0004-0000-0300-00003B000000}"/>
    <hyperlink ref="F242" r:id="rId61" xr:uid="{00000000-0004-0000-0300-00003C000000}"/>
    <hyperlink ref="F243" r:id="rId62" xr:uid="{00000000-0004-0000-0300-00003D000000}"/>
    <hyperlink ref="F244" r:id="rId63" xr:uid="{00000000-0004-0000-0300-00003E000000}"/>
    <hyperlink ref="F245" r:id="rId64" xr:uid="{00000000-0004-0000-0300-00003F000000}"/>
    <hyperlink ref="F246" r:id="rId65" xr:uid="{00000000-0004-0000-0300-000040000000}"/>
    <hyperlink ref="F250" r:id="rId66" xr:uid="{00000000-0004-0000-0300-000041000000}"/>
    <hyperlink ref="F251" r:id="rId67" xr:uid="{00000000-0004-0000-0300-000042000000}"/>
    <hyperlink ref="F252" r:id="rId68" xr:uid="{00000000-0004-0000-0300-000043000000}"/>
    <hyperlink ref="F253" r:id="rId69" xr:uid="{00000000-0004-0000-0300-000044000000}"/>
    <hyperlink ref="F254" r:id="rId70" xr:uid="{00000000-0004-0000-0300-000045000000}"/>
    <hyperlink ref="F255" r:id="rId71" xr:uid="{00000000-0004-0000-0300-000046000000}"/>
    <hyperlink ref="F256" r:id="rId72" xr:uid="{00000000-0004-0000-0300-000047000000}"/>
    <hyperlink ref="F257" r:id="rId73" xr:uid="{00000000-0004-0000-0300-000048000000}"/>
    <hyperlink ref="F258" r:id="rId74" xr:uid="{00000000-0004-0000-0300-000049000000}"/>
    <hyperlink ref="F259" r:id="rId75" xr:uid="{00000000-0004-0000-0300-00004A000000}"/>
    <hyperlink ref="F260" r:id="rId76" xr:uid="{00000000-0004-0000-0300-00004B000000}"/>
    <hyperlink ref="F261" r:id="rId77" xr:uid="{00000000-0004-0000-0300-00004C000000}"/>
    <hyperlink ref="F262" r:id="rId78" xr:uid="{00000000-0004-0000-0300-00004D000000}"/>
    <hyperlink ref="F265" r:id="rId79" xr:uid="{00000000-0004-0000-0300-00004E000000}"/>
    <hyperlink ref="F266" r:id="rId80" xr:uid="{00000000-0004-0000-0300-00004F000000}"/>
    <hyperlink ref="F267" r:id="rId81" xr:uid="{00000000-0004-0000-0300-000050000000}"/>
    <hyperlink ref="F274" r:id="rId82" xr:uid="{00000000-0004-0000-0300-000051000000}"/>
    <hyperlink ref="F275" r:id="rId83" xr:uid="{00000000-0004-0000-0300-000052000000}"/>
    <hyperlink ref="F276" r:id="rId84" xr:uid="{00000000-0004-0000-0300-000053000000}"/>
    <hyperlink ref="F277" r:id="rId85" xr:uid="{00000000-0004-0000-0300-000054000000}"/>
    <hyperlink ref="F281" r:id="rId86" xr:uid="{00000000-0004-0000-0300-000055000000}"/>
    <hyperlink ref="F282" r:id="rId87" xr:uid="{00000000-0004-0000-0300-000056000000}"/>
    <hyperlink ref="F283" r:id="rId88" xr:uid="{00000000-0004-0000-0300-000057000000}"/>
    <hyperlink ref="F284" r:id="rId89" xr:uid="{00000000-0004-0000-0300-000058000000}"/>
    <hyperlink ref="F285" r:id="rId90" xr:uid="{00000000-0004-0000-0300-000059000000}"/>
    <hyperlink ref="F286" r:id="rId91" xr:uid="{00000000-0004-0000-0300-00005A000000}"/>
    <hyperlink ref="F293" r:id="rId92" xr:uid="{00000000-0004-0000-0300-00005B000000}"/>
    <hyperlink ref="F294" r:id="rId93" xr:uid="{00000000-0004-0000-0300-00005C000000}"/>
    <hyperlink ref="F295" r:id="rId94" xr:uid="{00000000-0004-0000-0300-00005D000000}"/>
    <hyperlink ref="F296" r:id="rId95" xr:uid="{00000000-0004-0000-0300-00005E000000}"/>
    <hyperlink ref="F297" r:id="rId96" xr:uid="{00000000-0004-0000-0300-00005F000000}"/>
    <hyperlink ref="F298" r:id="rId97" xr:uid="{00000000-0004-0000-0300-000060000000}"/>
    <hyperlink ref="F299" r:id="rId98" xr:uid="{00000000-0004-0000-0300-000061000000}"/>
    <hyperlink ref="F300" r:id="rId99" xr:uid="{00000000-0004-0000-0300-000062000000}"/>
    <hyperlink ref="F301" r:id="rId100" xr:uid="{00000000-0004-0000-0300-000063000000}"/>
    <hyperlink ref="F303" r:id="rId101" xr:uid="{00000000-0004-0000-0300-000064000000}"/>
    <hyperlink ref="F304" r:id="rId102" xr:uid="{00000000-0004-0000-0300-000065000000}"/>
    <hyperlink ref="F305" r:id="rId103" xr:uid="{00000000-0004-0000-0300-000066000000}"/>
    <hyperlink ref="F306" r:id="rId104" xr:uid="{00000000-0004-0000-0300-000067000000}"/>
    <hyperlink ref="F308" r:id="rId105" xr:uid="{00000000-0004-0000-0300-000068000000}"/>
    <hyperlink ref="F309" r:id="rId106" xr:uid="{00000000-0004-0000-0300-000069000000}"/>
    <hyperlink ref="F310" r:id="rId107" xr:uid="{00000000-0004-0000-0300-00006A000000}"/>
    <hyperlink ref="F311" r:id="rId108" xr:uid="{00000000-0004-0000-0300-00006B000000}"/>
    <hyperlink ref="F313" r:id="rId109" xr:uid="{00000000-0004-0000-0300-00006C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4"/>
  <sheetViews>
    <sheetView zoomScaleNormal="100" workbookViewId="0">
      <selection activeCell="T14" sqref="T14"/>
    </sheetView>
  </sheetViews>
  <sheetFormatPr defaultRowHeight="15" x14ac:dyDescent="0.25"/>
  <cols>
    <col min="16" max="16" width="21.140625" customWidth="1"/>
    <col min="20" max="20" width="20" customWidth="1"/>
  </cols>
  <sheetData>
    <row r="1" spans="1:23" x14ac:dyDescent="0.25">
      <c r="A1" s="110" t="s">
        <v>204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</row>
    <row r="3" spans="1:23" x14ac:dyDescent="0.25">
      <c r="T3" s="115" t="s">
        <v>502</v>
      </c>
      <c r="U3" s="116"/>
      <c r="V3" s="108">
        <f>SUM(U5:U14)</f>
        <v>1.0000000000000002</v>
      </c>
    </row>
    <row r="4" spans="1:23" x14ac:dyDescent="0.25">
      <c r="Q4" t="s">
        <v>503</v>
      </c>
      <c r="R4" t="s">
        <v>504</v>
      </c>
    </row>
    <row r="5" spans="1:23" x14ac:dyDescent="0.25">
      <c r="P5" s="71" t="s">
        <v>505</v>
      </c>
      <c r="Q5" s="71">
        <v>4</v>
      </c>
      <c r="R5" s="109">
        <f>Q5/$Q$20</f>
        <v>4.7619047619047616E-2</v>
      </c>
      <c r="T5" s="117" t="s">
        <v>213</v>
      </c>
      <c r="U5" s="108">
        <f>R19</f>
        <v>0.39285714285714285</v>
      </c>
    </row>
    <row r="6" spans="1:23" x14ac:dyDescent="0.25">
      <c r="P6" s="71" t="s">
        <v>506</v>
      </c>
      <c r="Q6" s="71">
        <v>2</v>
      </c>
      <c r="R6" s="109">
        <f>Q6/$Q$20</f>
        <v>2.3809523809523808E-2</v>
      </c>
      <c r="T6" s="117" t="s">
        <v>216</v>
      </c>
      <c r="U6" s="108">
        <f>R17</f>
        <v>4.7619047619047616E-2</v>
      </c>
    </row>
    <row r="7" spans="1:23" x14ac:dyDescent="0.25">
      <c r="P7" s="71" t="s">
        <v>507</v>
      </c>
      <c r="Q7" s="71">
        <v>2</v>
      </c>
      <c r="R7" s="109">
        <f>Q7/$Q$20</f>
        <v>2.3809523809523808E-2</v>
      </c>
      <c r="T7" s="117" t="s">
        <v>217</v>
      </c>
      <c r="U7" s="108">
        <f>R14</f>
        <v>8.3333333333333329E-2</v>
      </c>
    </row>
    <row r="8" spans="1:23" x14ac:dyDescent="0.25">
      <c r="P8" t="s">
        <v>508</v>
      </c>
      <c r="Q8">
        <v>2</v>
      </c>
      <c r="R8" s="107"/>
      <c r="T8" s="117" t="s">
        <v>218</v>
      </c>
      <c r="U8" s="108">
        <f>R15</f>
        <v>0.14285714285714285</v>
      </c>
    </row>
    <row r="9" spans="1:23" x14ac:dyDescent="0.25">
      <c r="P9" t="s">
        <v>509</v>
      </c>
      <c r="Q9">
        <v>2</v>
      </c>
      <c r="R9" s="107"/>
      <c r="T9" s="117" t="s">
        <v>219</v>
      </c>
      <c r="U9" s="108">
        <f>R13</f>
        <v>0.13095238095238096</v>
      </c>
    </row>
    <row r="10" spans="1:23" x14ac:dyDescent="0.25">
      <c r="P10" t="s">
        <v>510</v>
      </c>
      <c r="Q10">
        <v>2</v>
      </c>
      <c r="R10" s="107"/>
      <c r="T10" s="117" t="s">
        <v>220</v>
      </c>
      <c r="U10" s="108">
        <f>R12</f>
        <v>5.9523809523809521E-2</v>
      </c>
    </row>
    <row r="11" spans="1:23" x14ac:dyDescent="0.25">
      <c r="P11" s="71" t="s">
        <v>511</v>
      </c>
      <c r="Q11" s="71">
        <v>4</v>
      </c>
      <c r="R11" s="109">
        <f>Q11/$Q$20</f>
        <v>4.7619047619047616E-2</v>
      </c>
      <c r="T11" s="117" t="s">
        <v>221</v>
      </c>
      <c r="U11" s="108">
        <f>R11</f>
        <v>4.7619047619047616E-2</v>
      </c>
    </row>
    <row r="12" spans="1:23" x14ac:dyDescent="0.25">
      <c r="P12" s="71" t="s">
        <v>512</v>
      </c>
      <c r="Q12" s="71">
        <v>5</v>
      </c>
      <c r="R12" s="109">
        <f>Q12/$Q$20</f>
        <v>5.9523809523809521E-2</v>
      </c>
      <c r="T12" s="117" t="s">
        <v>222</v>
      </c>
      <c r="U12" s="108">
        <f>R6</f>
        <v>2.3809523809523808E-2</v>
      </c>
    </row>
    <row r="13" spans="1:23" x14ac:dyDescent="0.25">
      <c r="P13" s="71" t="s">
        <v>513</v>
      </c>
      <c r="Q13" s="71">
        <v>11</v>
      </c>
      <c r="R13" s="109">
        <f>Q13/$Q$20</f>
        <v>0.13095238095238096</v>
      </c>
      <c r="T13" s="117" t="s">
        <v>223</v>
      </c>
      <c r="U13" s="108">
        <f>R7</f>
        <v>2.3809523809523808E-2</v>
      </c>
    </row>
    <row r="14" spans="1:23" x14ac:dyDescent="0.25">
      <c r="P14" s="71" t="s">
        <v>514</v>
      </c>
      <c r="Q14" s="71">
        <v>7</v>
      </c>
      <c r="R14" s="109">
        <f>Q14/$Q$20</f>
        <v>8.3333333333333329E-2</v>
      </c>
      <c r="T14" s="117" t="s">
        <v>224</v>
      </c>
      <c r="U14" s="108">
        <f>R5</f>
        <v>4.7619047619047616E-2</v>
      </c>
    </row>
    <row r="15" spans="1:23" x14ac:dyDescent="0.25">
      <c r="P15" s="71" t="s">
        <v>515</v>
      </c>
      <c r="Q15" s="71">
        <v>12</v>
      </c>
      <c r="R15" s="109">
        <f>Q15/$Q$20</f>
        <v>0.14285714285714285</v>
      </c>
      <c r="T15" s="118"/>
      <c r="U15" s="119"/>
    </row>
    <row r="16" spans="1:23" x14ac:dyDescent="0.25">
      <c r="P16" t="s">
        <v>516</v>
      </c>
      <c r="Q16">
        <v>0</v>
      </c>
      <c r="R16" s="107"/>
      <c r="T16" s="117"/>
      <c r="U16" s="79"/>
    </row>
    <row r="17" spans="16:21" x14ac:dyDescent="0.25">
      <c r="P17" s="71" t="s">
        <v>517</v>
      </c>
      <c r="Q17" s="71">
        <v>4</v>
      </c>
      <c r="R17" s="109">
        <f>Q17/$Q$20</f>
        <v>4.7619047619047616E-2</v>
      </c>
      <c r="T17" s="117"/>
      <c r="U17" s="79"/>
    </row>
    <row r="18" spans="16:21" x14ac:dyDescent="0.25">
      <c r="P18" t="s">
        <v>518</v>
      </c>
      <c r="Q18">
        <v>0</v>
      </c>
      <c r="R18" s="107"/>
    </row>
    <row r="19" spans="16:21" x14ac:dyDescent="0.25">
      <c r="P19" s="71" t="s">
        <v>519</v>
      </c>
      <c r="Q19" s="71">
        <v>33</v>
      </c>
      <c r="R19" s="109">
        <f>Q19/$Q$20</f>
        <v>0.39285714285714285</v>
      </c>
    </row>
    <row r="20" spans="16:21" x14ac:dyDescent="0.25">
      <c r="Q20" s="71">
        <f>SUM(Q5:Q7,Q11:Q15,Q17,Q19)</f>
        <v>84</v>
      </c>
    </row>
    <row r="22" spans="16:21" x14ac:dyDescent="0.25">
      <c r="P22" s="71" t="s">
        <v>421</v>
      </c>
    </row>
    <row r="23" spans="16:21" x14ac:dyDescent="0.25">
      <c r="P23" t="s">
        <v>226</v>
      </c>
      <c r="Q23">
        <v>1581937.886280458</v>
      </c>
      <c r="R23" s="107">
        <f>Q23/SUM($Q$23:$Q$24)</f>
        <v>0.53533333333333422</v>
      </c>
    </row>
    <row r="24" spans="16:21" x14ac:dyDescent="0.25">
      <c r="P24" t="s">
        <v>227</v>
      </c>
      <c r="Q24">
        <v>1373114.2051525221</v>
      </c>
      <c r="R24" s="107">
        <f>Q24/SUM($Q$23:$Q$24)</f>
        <v>0.46466666666666573</v>
      </c>
    </row>
  </sheetData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101"/>
  <sheetViews>
    <sheetView topLeftCell="A7" workbookViewId="0">
      <selection activeCell="A4" sqref="A4:XFD16"/>
    </sheetView>
  </sheetViews>
  <sheetFormatPr defaultRowHeight="15" x14ac:dyDescent="0.25"/>
  <cols>
    <col min="1" max="1" width="26.140625" customWidth="1"/>
    <col min="2" max="2" width="25.42578125" customWidth="1"/>
  </cols>
  <sheetData>
    <row r="1" spans="1:31" x14ac:dyDescent="0.25">
      <c r="A1" t="s">
        <v>520</v>
      </c>
    </row>
    <row r="2" spans="1:31" x14ac:dyDescent="0.25">
      <c r="A2" t="s">
        <v>521</v>
      </c>
    </row>
    <row r="4" spans="1:31" x14ac:dyDescent="0.25">
      <c r="A4" t="s">
        <v>522</v>
      </c>
    </row>
    <row r="5" spans="1:31" x14ac:dyDescent="0.25">
      <c r="B5">
        <v>2021</v>
      </c>
      <c r="C5">
        <v>2022</v>
      </c>
      <c r="D5">
        <v>2023</v>
      </c>
      <c r="E5">
        <v>2024</v>
      </c>
      <c r="F5">
        <v>2025</v>
      </c>
      <c r="G5">
        <v>2026</v>
      </c>
      <c r="H5">
        <v>2027</v>
      </c>
      <c r="I5">
        <v>2028</v>
      </c>
      <c r="J5">
        <v>2029</v>
      </c>
      <c r="K5">
        <v>2030</v>
      </c>
      <c r="L5">
        <v>2031</v>
      </c>
      <c r="M5">
        <v>2032</v>
      </c>
      <c r="N5">
        <v>2033</v>
      </c>
      <c r="O5">
        <v>2034</v>
      </c>
      <c r="P5">
        <v>2035</v>
      </c>
      <c r="Q5">
        <v>2036</v>
      </c>
      <c r="R5">
        <v>2037</v>
      </c>
      <c r="S5">
        <v>2038</v>
      </c>
      <c r="T5">
        <v>2039</v>
      </c>
      <c r="U5">
        <v>2040</v>
      </c>
      <c r="V5">
        <v>2041</v>
      </c>
      <c r="W5">
        <v>2042</v>
      </c>
      <c r="X5">
        <v>2043</v>
      </c>
      <c r="Y5">
        <v>2044</v>
      </c>
      <c r="Z5">
        <v>2045</v>
      </c>
      <c r="AA5">
        <v>2046</v>
      </c>
      <c r="AB5">
        <v>2047</v>
      </c>
      <c r="AC5">
        <v>2048</v>
      </c>
      <c r="AD5">
        <v>2049</v>
      </c>
      <c r="AE5">
        <v>2050</v>
      </c>
    </row>
    <row r="6" spans="1:31" x14ac:dyDescent="0.25">
      <c r="A6" t="s">
        <v>53</v>
      </c>
      <c r="B6" s="119">
        <v>2103947.1325892219</v>
      </c>
      <c r="C6" s="119">
        <v>2103947.1325892219</v>
      </c>
      <c r="D6" s="119">
        <v>2058678.3176273331</v>
      </c>
      <c r="E6" s="119">
        <v>2013514.7789793089</v>
      </c>
      <c r="F6" s="119">
        <v>1968456.5166451491</v>
      </c>
      <c r="G6" s="119">
        <v>1923187.7016832591</v>
      </c>
      <c r="H6" s="119">
        <v>1878024.163035234</v>
      </c>
      <c r="I6" s="119">
        <v>1832755.348073344</v>
      </c>
      <c r="J6" s="119">
        <v>1787591.80942532</v>
      </c>
      <c r="K6" s="119">
        <v>1742428.270777293</v>
      </c>
      <c r="L6" s="119">
        <v>1697264.732129269</v>
      </c>
      <c r="M6" s="119">
        <v>1651995.91716738</v>
      </c>
      <c r="N6" s="119">
        <v>1606832.3785193551</v>
      </c>
      <c r="O6" s="119">
        <v>1561668.839871329</v>
      </c>
      <c r="P6" s="119">
        <v>1516505.301223306</v>
      </c>
      <c r="Q6" s="119">
        <v>1496186.972647388</v>
      </c>
      <c r="R6" s="119">
        <v>1476079.1966991981</v>
      </c>
      <c r="S6" s="119">
        <v>1455866.1444371459</v>
      </c>
      <c r="T6" s="119">
        <v>1435653.0921750939</v>
      </c>
      <c r="U6" s="119">
        <v>1415440.0399130399</v>
      </c>
      <c r="V6" s="119">
        <v>1395226.9876509861</v>
      </c>
      <c r="W6" s="119">
        <v>1375013.9353889341</v>
      </c>
      <c r="X6" s="119">
        <v>1354800.883126881</v>
      </c>
      <c r="Y6" s="119">
        <v>1334587.8308648281</v>
      </c>
      <c r="Z6" s="119">
        <v>1314374.778602774</v>
      </c>
      <c r="AA6" s="119">
        <v>1294161.7263407221</v>
      </c>
      <c r="AB6" s="119">
        <v>1273843.3977648029</v>
      </c>
      <c r="AC6" s="119">
        <v>1253735.621816616</v>
      </c>
      <c r="AD6" s="119">
        <v>1233417.2932406969</v>
      </c>
      <c r="AE6" s="119">
        <v>1213309.5172925079</v>
      </c>
    </row>
    <row r="7" spans="1:31" x14ac:dyDescent="0.25">
      <c r="A7" t="s">
        <v>55</v>
      </c>
      <c r="B7" s="119">
        <v>1088381.509670428</v>
      </c>
      <c r="C7" s="119">
        <v>1088381.509670428</v>
      </c>
      <c r="D7" s="119">
        <v>1059692.5494764191</v>
      </c>
      <c r="E7" s="119">
        <v>1030908.906245466</v>
      </c>
      <c r="F7" s="119">
        <v>1002219.946051456</v>
      </c>
      <c r="G7" s="119">
        <v>973530.9858574461</v>
      </c>
      <c r="H7" s="119">
        <v>944842.02566343674</v>
      </c>
      <c r="I7" s="119">
        <v>916058.38243248337</v>
      </c>
      <c r="J7" s="119">
        <v>887369.42223847343</v>
      </c>
      <c r="K7" s="119">
        <v>858680.46204446396</v>
      </c>
      <c r="L7" s="119">
        <v>829896.8188135107</v>
      </c>
      <c r="M7" s="119">
        <v>801207.858619501</v>
      </c>
      <c r="N7" s="119">
        <v>772518.89842549199</v>
      </c>
      <c r="O7" s="119">
        <v>743829.93823148217</v>
      </c>
      <c r="P7" s="119">
        <v>715046.29500052845</v>
      </c>
      <c r="Q7" s="119">
        <v>703779.01360420149</v>
      </c>
      <c r="R7" s="119">
        <v>692606.41524481808</v>
      </c>
      <c r="S7" s="119">
        <v>681339.13384849124</v>
      </c>
      <c r="T7" s="119">
        <v>670071.85245216393</v>
      </c>
      <c r="U7" s="119">
        <v>658804.57105583663</v>
      </c>
      <c r="V7" s="119">
        <v>647631.97269645345</v>
      </c>
      <c r="W7" s="119">
        <v>636364.69130012603</v>
      </c>
      <c r="X7" s="119">
        <v>625097.40990379918</v>
      </c>
      <c r="Y7" s="119">
        <v>613924.81154441554</v>
      </c>
      <c r="Z7" s="119">
        <v>602657.53014808858</v>
      </c>
      <c r="AA7" s="119">
        <v>591390.24875176116</v>
      </c>
      <c r="AB7" s="119">
        <v>580217.6503923781</v>
      </c>
      <c r="AC7" s="119">
        <v>568950.36899605079</v>
      </c>
      <c r="AD7" s="119">
        <v>557683.08759972372</v>
      </c>
      <c r="AE7" s="119">
        <v>546510.48924034019</v>
      </c>
    </row>
    <row r="8" spans="1:31" x14ac:dyDescent="0.25">
      <c r="A8" t="s">
        <v>61</v>
      </c>
      <c r="B8" s="119">
        <v>1289895.7980194129</v>
      </c>
      <c r="C8" s="119">
        <v>1424324.126407417</v>
      </c>
      <c r="D8" s="119">
        <v>1558752.454795422</v>
      </c>
      <c r="E8" s="119">
        <v>1693180.7831834271</v>
      </c>
      <c r="F8" s="119">
        <v>1796492.548244192</v>
      </c>
      <c r="G8" s="119">
        <v>1852795.2520174449</v>
      </c>
      <c r="H8" s="119">
        <v>1874191.2898811989</v>
      </c>
      <c r="I8" s="119">
        <v>1881812.378460882</v>
      </c>
      <c r="J8" s="119">
        <v>1887554.654982066</v>
      </c>
      <c r="K8" s="119">
        <v>1892600.822962204</v>
      </c>
      <c r="L8" s="119">
        <v>1905769.0332217179</v>
      </c>
      <c r="M8" s="119">
        <v>1916724.9766968859</v>
      </c>
      <c r="N8" s="119">
        <v>1923267.4696774059</v>
      </c>
      <c r="O8" s="119">
        <v>1930862.8540630611</v>
      </c>
      <c r="P8" s="119">
        <v>1937772.61151279</v>
      </c>
      <c r="Q8" s="119">
        <v>1948062.5376181661</v>
      </c>
      <c r="R8" s="119">
        <v>1958121.390541563</v>
      </c>
      <c r="S8" s="119">
        <v>1965944.372737021</v>
      </c>
      <c r="T8" s="119">
        <v>1977867.6285998139</v>
      </c>
      <c r="U8" s="119">
        <v>1986058.7633075011</v>
      </c>
      <c r="V8" s="119">
        <v>1991682.6657695849</v>
      </c>
      <c r="W8" s="119">
        <v>2001284.5248759091</v>
      </c>
      <c r="X8" s="119">
        <v>2007869.097264851</v>
      </c>
      <c r="Y8" s="119">
        <v>2016326.5933504989</v>
      </c>
      <c r="Z8" s="119">
        <v>2026393.7738523481</v>
      </c>
      <c r="AA8" s="119">
        <v>2035925.2315814239</v>
      </c>
      <c r="AB8" s="119">
        <v>2044107.679105334</v>
      </c>
      <c r="AC8" s="119">
        <v>2053831.5934090291</v>
      </c>
      <c r="AD8" s="119">
        <v>2065027.9763754751</v>
      </c>
      <c r="AE8" s="119">
        <v>2090069.7248419831</v>
      </c>
    </row>
    <row r="9" spans="1:31" x14ac:dyDescent="0.25">
      <c r="A9" t="s">
        <v>65</v>
      </c>
      <c r="B9" s="119">
        <v>2438353.2875842112</v>
      </c>
      <c r="C9" s="119">
        <v>2438353.2875842112</v>
      </c>
      <c r="D9" s="119">
        <v>2385889.3439434199</v>
      </c>
      <c r="E9" s="119">
        <v>2333547.4094738881</v>
      </c>
      <c r="F9" s="119">
        <v>2281327.4841756122</v>
      </c>
      <c r="G9" s="119">
        <v>2228863.5405348209</v>
      </c>
      <c r="H9" s="119">
        <v>2176521.6060652859</v>
      </c>
      <c r="I9" s="119">
        <v>2124057.662424495</v>
      </c>
      <c r="J9" s="119">
        <v>2071715.727954963</v>
      </c>
      <c r="K9" s="119">
        <v>2019373.793485428</v>
      </c>
      <c r="L9" s="119">
        <v>1967031.8590158951</v>
      </c>
      <c r="M9" s="119">
        <v>1914567.9153751051</v>
      </c>
      <c r="N9" s="119">
        <v>1862225.9809055701</v>
      </c>
      <c r="O9" s="119">
        <v>1809884.046436036</v>
      </c>
      <c r="P9" s="119">
        <v>1757542.1119665031</v>
      </c>
      <c r="Q9" s="119">
        <v>1733994.3419137769</v>
      </c>
      <c r="R9" s="119">
        <v>1710690.5902035639</v>
      </c>
      <c r="S9" s="119">
        <v>1687264.829322095</v>
      </c>
      <c r="T9" s="119">
        <v>1663839.0684406259</v>
      </c>
      <c r="U9" s="119">
        <v>1640413.3075591561</v>
      </c>
      <c r="V9" s="119">
        <v>1616987.546677686</v>
      </c>
      <c r="W9" s="119">
        <v>1593561.7857962169</v>
      </c>
      <c r="X9" s="119">
        <v>1570136.0249147471</v>
      </c>
      <c r="Y9" s="119">
        <v>1546710.2640332771</v>
      </c>
      <c r="Z9" s="119">
        <v>1523284.503151807</v>
      </c>
      <c r="AA9" s="119">
        <v>1499858.742270339</v>
      </c>
      <c r="AB9" s="119">
        <v>1476310.972217611</v>
      </c>
      <c r="AC9" s="119">
        <v>1453007.2205074001</v>
      </c>
      <c r="AD9" s="119">
        <v>1429459.4504546721</v>
      </c>
      <c r="AE9" s="119">
        <v>1406155.69874446</v>
      </c>
    </row>
    <row r="11" spans="1:31" x14ac:dyDescent="0.25">
      <c r="A11" t="s">
        <v>523</v>
      </c>
    </row>
    <row r="12" spans="1:31" x14ac:dyDescent="0.25">
      <c r="B12">
        <v>2021</v>
      </c>
      <c r="C12">
        <v>2022</v>
      </c>
      <c r="D12">
        <v>2023</v>
      </c>
      <c r="E12">
        <v>2024</v>
      </c>
      <c r="F12">
        <v>2025</v>
      </c>
      <c r="G12">
        <v>2026</v>
      </c>
      <c r="H12">
        <v>2027</v>
      </c>
      <c r="I12">
        <v>2028</v>
      </c>
      <c r="J12">
        <v>2029</v>
      </c>
      <c r="K12">
        <v>2030</v>
      </c>
      <c r="L12">
        <v>2031</v>
      </c>
      <c r="M12">
        <v>2032</v>
      </c>
      <c r="N12">
        <v>2033</v>
      </c>
      <c r="O12">
        <v>2034</v>
      </c>
      <c r="P12">
        <v>2035</v>
      </c>
      <c r="Q12">
        <v>2036</v>
      </c>
      <c r="R12">
        <v>2037</v>
      </c>
      <c r="S12">
        <v>2038</v>
      </c>
      <c r="T12">
        <v>2039</v>
      </c>
      <c r="U12">
        <v>2040</v>
      </c>
      <c r="V12">
        <v>2041</v>
      </c>
      <c r="W12">
        <v>2042</v>
      </c>
      <c r="X12">
        <v>2043</v>
      </c>
      <c r="Y12">
        <v>2044</v>
      </c>
      <c r="Z12">
        <v>2045</v>
      </c>
      <c r="AA12">
        <v>2046</v>
      </c>
      <c r="AB12">
        <v>2047</v>
      </c>
      <c r="AC12">
        <v>2048</v>
      </c>
      <c r="AD12">
        <v>2049</v>
      </c>
      <c r="AE12">
        <v>2050</v>
      </c>
    </row>
    <row r="13" spans="1:31" x14ac:dyDescent="0.25">
      <c r="A13" t="s">
        <v>53</v>
      </c>
      <c r="B13">
        <v>3007428.4581774501</v>
      </c>
      <c r="C13">
        <v>3007428.4581774501</v>
      </c>
      <c r="D13">
        <v>2991110.6295283958</v>
      </c>
      <c r="E13">
        <v>2974687.5245654779</v>
      </c>
      <c r="F13">
        <v>2958264.4196025599</v>
      </c>
      <c r="G13">
        <v>2941946.590953507</v>
      </c>
      <c r="H13">
        <v>2925523.485990589</v>
      </c>
      <c r="I13">
        <v>2909205.6573415361</v>
      </c>
      <c r="J13">
        <v>2892782.5523786172</v>
      </c>
      <c r="K13">
        <v>2876464.7237295639</v>
      </c>
      <c r="L13">
        <v>2860041.6187666459</v>
      </c>
      <c r="M13">
        <v>2843723.7901175921</v>
      </c>
      <c r="N13">
        <v>2827300.6851546741</v>
      </c>
      <c r="O13">
        <v>2810982.8565056212</v>
      </c>
      <c r="P13">
        <v>2794559.7515427028</v>
      </c>
      <c r="Q13">
        <v>2767819.5678210291</v>
      </c>
      <c r="R13">
        <v>2740974.1077854889</v>
      </c>
      <c r="S13">
        <v>2714128.6477499502</v>
      </c>
      <c r="T13">
        <v>2687388.464028276</v>
      </c>
      <c r="U13">
        <v>2660543.0039927359</v>
      </c>
      <c r="V13">
        <v>2633802.8202710631</v>
      </c>
      <c r="W13">
        <v>2606957.360235523</v>
      </c>
      <c r="X13">
        <v>2580217.1765138488</v>
      </c>
      <c r="Y13">
        <v>2553371.7164783091</v>
      </c>
      <c r="Z13">
        <v>2526631.532756635</v>
      </c>
      <c r="AA13">
        <v>2499786.0727210948</v>
      </c>
      <c r="AB13">
        <v>2473045.8889994221</v>
      </c>
      <c r="AC13">
        <v>2446200.4289638819</v>
      </c>
      <c r="AD13">
        <v>2419460.2452422078</v>
      </c>
      <c r="AE13">
        <v>2392614.785206669</v>
      </c>
    </row>
    <row r="14" spans="1:31" x14ac:dyDescent="0.25">
      <c r="A14" t="s">
        <v>55</v>
      </c>
      <c r="B14">
        <v>1087150.630190158</v>
      </c>
      <c r="C14">
        <v>1087150.630190158</v>
      </c>
      <c r="D14">
        <v>1076735.496126326</v>
      </c>
      <c r="E14">
        <v>1066415.045099437</v>
      </c>
      <c r="F14">
        <v>1055999.9110356059</v>
      </c>
      <c r="G14">
        <v>1045584.7769717739</v>
      </c>
      <c r="H14">
        <v>1035169.6429079419</v>
      </c>
      <c r="I14">
        <v>1024849.191881054</v>
      </c>
      <c r="J14">
        <v>1014434.057817222</v>
      </c>
      <c r="K14">
        <v>1004018.923753391</v>
      </c>
      <c r="L14">
        <v>993698.47272650246</v>
      </c>
      <c r="M14">
        <v>983283.33866267081</v>
      </c>
      <c r="N14">
        <v>972868.20459883893</v>
      </c>
      <c r="O14">
        <v>962453.07053500693</v>
      </c>
      <c r="P14">
        <v>952132.61950811907</v>
      </c>
      <c r="Q14">
        <v>944273.92744177312</v>
      </c>
      <c r="R14">
        <v>936415.23537542752</v>
      </c>
      <c r="S14">
        <v>928651.22634602536</v>
      </c>
      <c r="T14">
        <v>920792.53427967953</v>
      </c>
      <c r="U14">
        <v>913028.5252502776</v>
      </c>
      <c r="V14">
        <v>905169.83318393177</v>
      </c>
      <c r="W14">
        <v>897311.14111758606</v>
      </c>
      <c r="X14">
        <v>889547.13208818412</v>
      </c>
      <c r="Y14">
        <v>881688.44002183829</v>
      </c>
      <c r="Z14">
        <v>873829.74795549235</v>
      </c>
      <c r="AA14">
        <v>866065.73892609053</v>
      </c>
      <c r="AB14">
        <v>858207.04685974459</v>
      </c>
      <c r="AC14">
        <v>850348.35479339876</v>
      </c>
      <c r="AD14">
        <v>842584.34576399683</v>
      </c>
      <c r="AE14">
        <v>834725.65369765111</v>
      </c>
    </row>
    <row r="15" spans="1:31" x14ac:dyDescent="0.25">
      <c r="A15" t="s">
        <v>61</v>
      </c>
      <c r="B15">
        <v>4567459.2942504622</v>
      </c>
      <c r="C15">
        <v>4415131.4446385521</v>
      </c>
      <c r="D15">
        <v>4262803.5950266421</v>
      </c>
      <c r="E15">
        <v>4110475.745414732</v>
      </c>
      <c r="F15">
        <v>3989264.4591300599</v>
      </c>
      <c r="G15">
        <v>3915062.2341329022</v>
      </c>
      <c r="H15">
        <v>3875766.6750452421</v>
      </c>
      <c r="I15">
        <v>3850246.065241653</v>
      </c>
      <c r="J15">
        <v>3826604.267496563</v>
      </c>
      <c r="K15">
        <v>3803658.5782925189</v>
      </c>
      <c r="L15">
        <v>3774170.216328857</v>
      </c>
      <c r="M15">
        <v>3746894.121149539</v>
      </c>
      <c r="N15">
        <v>3724031.476464869</v>
      </c>
      <c r="O15">
        <v>3700115.940375064</v>
      </c>
      <c r="P15">
        <v>3676886.0312211872</v>
      </c>
      <c r="Q15">
        <v>3650275.9534116611</v>
      </c>
      <c r="R15">
        <v>3623896.9487841139</v>
      </c>
      <c r="S15">
        <v>3599753.8148845071</v>
      </c>
      <c r="T15">
        <v>3571510.4073175648</v>
      </c>
      <c r="U15">
        <v>3546999.120905729</v>
      </c>
      <c r="V15">
        <v>3525055.0667394949</v>
      </c>
      <c r="W15">
        <v>3499133.0559290219</v>
      </c>
      <c r="X15">
        <v>3476228.3318359298</v>
      </c>
      <c r="Y15">
        <v>3451450.684046133</v>
      </c>
      <c r="Z15">
        <v>3425063.3518401352</v>
      </c>
      <c r="AA15">
        <v>3399211.742406908</v>
      </c>
      <c r="AB15">
        <v>3374709.143178849</v>
      </c>
      <c r="AC15">
        <v>3348665.0771710048</v>
      </c>
      <c r="AD15">
        <v>7950962.5122480858</v>
      </c>
      <c r="AE15">
        <v>7911207.6996868448</v>
      </c>
    </row>
    <row r="16" spans="1:31" x14ac:dyDescent="0.25">
      <c r="A16" t="s">
        <v>65</v>
      </c>
      <c r="B16">
        <v>3485435.9953173972</v>
      </c>
      <c r="C16">
        <v>3485435.9953173972</v>
      </c>
      <c r="D16">
        <v>3466524.5737724612</v>
      </c>
      <c r="E16">
        <v>3447491.143056266</v>
      </c>
      <c r="F16">
        <v>3428457.7123400732</v>
      </c>
      <c r="G16">
        <v>3409546.2907951372</v>
      </c>
      <c r="H16">
        <v>3390512.860078942</v>
      </c>
      <c r="I16">
        <v>3371601.438534006</v>
      </c>
      <c r="J16">
        <v>3352568.0078178118</v>
      </c>
      <c r="K16">
        <v>3333656.5862728748</v>
      </c>
      <c r="L16">
        <v>3314623.155556682</v>
      </c>
      <c r="M16">
        <v>3295711.7340117451</v>
      </c>
      <c r="N16">
        <v>3276678.3032955509</v>
      </c>
      <c r="O16">
        <v>3257766.8817506148</v>
      </c>
      <c r="P16">
        <v>3238733.4510344211</v>
      </c>
      <c r="Q16">
        <v>3207743.1215349771</v>
      </c>
      <c r="R16">
        <v>3176630.7828642749</v>
      </c>
      <c r="S16">
        <v>3145518.4441935732</v>
      </c>
      <c r="T16">
        <v>3114528.1146941292</v>
      </c>
      <c r="U16">
        <v>3083415.776023427</v>
      </c>
      <c r="V16">
        <v>3052425.446523984</v>
      </c>
      <c r="W16">
        <v>3021313.1078532818</v>
      </c>
      <c r="X16">
        <v>2990322.7783538378</v>
      </c>
      <c r="Y16">
        <v>2959210.4396831361</v>
      </c>
      <c r="Z16">
        <v>2928220.1101836921</v>
      </c>
      <c r="AA16">
        <v>2897107.7715129899</v>
      </c>
      <c r="AB16">
        <v>2866117.4420135459</v>
      </c>
      <c r="AC16">
        <v>2835005.1033428442</v>
      </c>
      <c r="AD16">
        <v>2804014.7738434011</v>
      </c>
      <c r="AE16">
        <v>2772902.4351726989</v>
      </c>
    </row>
    <row r="18" spans="1:31" x14ac:dyDescent="0.25">
      <c r="A18" t="s">
        <v>524</v>
      </c>
    </row>
    <row r="19" spans="1:31" x14ac:dyDescent="0.25">
      <c r="B19">
        <v>2021</v>
      </c>
    </row>
    <row r="20" spans="1:31" x14ac:dyDescent="0.25">
      <c r="A20" t="s">
        <v>53</v>
      </c>
      <c r="B20" s="119">
        <v>39823.29409159685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</row>
    <row r="21" spans="1:31" x14ac:dyDescent="0.25">
      <c r="A21" t="s">
        <v>55</v>
      </c>
      <c r="B21" s="119">
        <v>24826.010997527399</v>
      </c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</row>
    <row r="22" spans="1:31" x14ac:dyDescent="0.25">
      <c r="A22" t="s">
        <v>61</v>
      </c>
      <c r="B22" s="119">
        <v>37358.75287665092</v>
      </c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</row>
    <row r="23" spans="1:31" x14ac:dyDescent="0.25">
      <c r="A23" t="s">
        <v>65</v>
      </c>
      <c r="B23" s="119">
        <v>39823.29409159685</v>
      </c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</row>
    <row r="25" spans="1:31" x14ac:dyDescent="0.25">
      <c r="A25" t="s">
        <v>525</v>
      </c>
    </row>
    <row r="26" spans="1:31" x14ac:dyDescent="0.25">
      <c r="B26">
        <v>2021</v>
      </c>
    </row>
    <row r="27" spans="1:31" x14ac:dyDescent="0.25">
      <c r="A27" t="s">
        <v>53</v>
      </c>
      <c r="B27" s="119">
        <v>65750.800457615216</v>
      </c>
    </row>
    <row r="28" spans="1:31" x14ac:dyDescent="0.25">
      <c r="A28" t="s">
        <v>55</v>
      </c>
      <c r="B28" s="119">
        <v>26096.967191940061</v>
      </c>
    </row>
    <row r="29" spans="1:31" x14ac:dyDescent="0.25">
      <c r="A29" t="s">
        <v>61</v>
      </c>
      <c r="B29" s="119">
        <v>133213.1552570395</v>
      </c>
    </row>
    <row r="30" spans="1:31" x14ac:dyDescent="0.25">
      <c r="A30" t="s">
        <v>65</v>
      </c>
      <c r="B30" s="119">
        <v>65750.800457615216</v>
      </c>
    </row>
    <row r="32" spans="1:31" x14ac:dyDescent="0.25">
      <c r="A32" t="s">
        <v>526</v>
      </c>
    </row>
    <row r="33" spans="1:31" x14ac:dyDescent="0.25">
      <c r="B33">
        <v>2021</v>
      </c>
    </row>
    <row r="34" spans="1:31" x14ac:dyDescent="0.25">
      <c r="A34" t="s">
        <v>53</v>
      </c>
      <c r="B34" s="119">
        <v>5.5837342141196444</v>
      </c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</row>
    <row r="35" spans="1:31" x14ac:dyDescent="0.25">
      <c r="A35" t="s">
        <v>55</v>
      </c>
      <c r="B35" s="119">
        <v>2.1352064066132779</v>
      </c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</row>
    <row r="36" spans="1:31" x14ac:dyDescent="0.25">
      <c r="A36" t="s">
        <v>61</v>
      </c>
      <c r="B36" s="119">
        <v>13.20794320541086</v>
      </c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</row>
    <row r="37" spans="1:31" x14ac:dyDescent="0.25">
      <c r="A37" t="s">
        <v>65</v>
      </c>
      <c r="B37" s="119">
        <v>9.4595026686262198</v>
      </c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</row>
    <row r="39" spans="1:31" x14ac:dyDescent="0.25">
      <c r="A39" t="s">
        <v>527</v>
      </c>
    </row>
    <row r="40" spans="1:31" x14ac:dyDescent="0.25">
      <c r="B40">
        <v>2021</v>
      </c>
    </row>
    <row r="41" spans="1:31" x14ac:dyDescent="0.25">
      <c r="A41" t="s">
        <v>53</v>
      </c>
      <c r="B41" s="119">
        <v>7.1681929364874337</v>
      </c>
    </row>
    <row r="42" spans="1:31" x14ac:dyDescent="0.25">
      <c r="A42" t="s">
        <v>55</v>
      </c>
      <c r="B42" s="119">
        <v>1.6607160940325489</v>
      </c>
    </row>
    <row r="43" spans="1:31" x14ac:dyDescent="0.25">
      <c r="A43" t="s">
        <v>61</v>
      </c>
      <c r="B43" s="119">
        <v>4.2704128132265557</v>
      </c>
    </row>
    <row r="44" spans="1:31" x14ac:dyDescent="0.25">
      <c r="A44" t="s">
        <v>65</v>
      </c>
      <c r="B44" s="119">
        <v>12.14376215122577</v>
      </c>
    </row>
    <row r="45" spans="1:31" x14ac:dyDescent="0.25">
      <c r="B45" s="119"/>
    </row>
    <row r="46" spans="1:31" x14ac:dyDescent="0.25">
      <c r="A46" t="s">
        <v>528</v>
      </c>
    </row>
    <row r="47" spans="1:31" x14ac:dyDescent="0.25">
      <c r="B47" t="s">
        <v>529</v>
      </c>
      <c r="C47">
        <v>91.94</v>
      </c>
    </row>
    <row r="48" spans="1:31" x14ac:dyDescent="0.25">
      <c r="B48" t="s">
        <v>530</v>
      </c>
      <c r="C48">
        <v>10.199999999999999</v>
      </c>
    </row>
    <row r="49" spans="1:43" x14ac:dyDescent="0.25">
      <c r="B49" t="s">
        <v>531</v>
      </c>
      <c r="C49">
        <v>48.75</v>
      </c>
    </row>
    <row r="50" spans="1:43" x14ac:dyDescent="0.25">
      <c r="A50" t="s">
        <v>532</v>
      </c>
    </row>
    <row r="51" spans="1:43" x14ac:dyDescent="0.25">
      <c r="B51" t="s">
        <v>533</v>
      </c>
      <c r="C51">
        <v>8.35</v>
      </c>
      <c r="D51" t="s">
        <v>534</v>
      </c>
    </row>
    <row r="52" spans="1:43" x14ac:dyDescent="0.25">
      <c r="B52" t="s">
        <v>535</v>
      </c>
      <c r="C52">
        <v>1.62</v>
      </c>
      <c r="D52" t="s">
        <v>536</v>
      </c>
    </row>
    <row r="53" spans="1:43" x14ac:dyDescent="0.25">
      <c r="B53" t="s">
        <v>537</v>
      </c>
      <c r="C53">
        <v>2.5299999999999998</v>
      </c>
      <c r="D53" t="s">
        <v>536</v>
      </c>
    </row>
    <row r="54" spans="1:43" x14ac:dyDescent="0.25">
      <c r="B54" t="s">
        <v>538</v>
      </c>
      <c r="C54">
        <v>0.63</v>
      </c>
      <c r="D54" t="s">
        <v>536</v>
      </c>
    </row>
    <row r="55" spans="1:43" x14ac:dyDescent="0.25">
      <c r="B55" t="s">
        <v>264</v>
      </c>
      <c r="C55">
        <v>18.100000000000001</v>
      </c>
      <c r="D55" t="s">
        <v>539</v>
      </c>
    </row>
    <row r="58" spans="1:43" x14ac:dyDescent="0.25">
      <c r="A58" t="s">
        <v>540</v>
      </c>
    </row>
    <row r="59" spans="1:43" x14ac:dyDescent="0.25">
      <c r="A59" s="120"/>
      <c r="B59" s="106" t="s">
        <v>150</v>
      </c>
      <c r="C59" s="106" t="s">
        <v>4</v>
      </c>
      <c r="D59" s="106" t="s">
        <v>5</v>
      </c>
      <c r="E59" s="106" t="s">
        <v>152</v>
      </c>
      <c r="F59" s="106" t="s">
        <v>8</v>
      </c>
      <c r="G59" s="106" t="s">
        <v>9</v>
      </c>
      <c r="H59" s="106" t="s">
        <v>10</v>
      </c>
      <c r="I59" s="106" t="s">
        <v>11</v>
      </c>
      <c r="J59" s="106" t="s">
        <v>12</v>
      </c>
      <c r="K59" s="106" t="s">
        <v>13</v>
      </c>
      <c r="L59" s="106" t="s">
        <v>14</v>
      </c>
      <c r="M59" s="106" t="s">
        <v>15</v>
      </c>
      <c r="N59" s="106" t="s">
        <v>16</v>
      </c>
      <c r="O59" s="106" t="s">
        <v>17</v>
      </c>
      <c r="P59" s="106" t="s">
        <v>18</v>
      </c>
      <c r="Q59" s="106" t="s">
        <v>19</v>
      </c>
      <c r="R59" s="106" t="s">
        <v>20</v>
      </c>
      <c r="S59" s="106" t="s">
        <v>21</v>
      </c>
      <c r="T59" s="106" t="s">
        <v>22</v>
      </c>
      <c r="U59" s="106" t="s">
        <v>23</v>
      </c>
      <c r="V59" s="106" t="s">
        <v>24</v>
      </c>
      <c r="W59" s="106" t="s">
        <v>25</v>
      </c>
      <c r="X59" s="106" t="s">
        <v>153</v>
      </c>
      <c r="Y59" s="106" t="s">
        <v>28</v>
      </c>
      <c r="Z59" s="106" t="s">
        <v>29</v>
      </c>
      <c r="AA59" s="106" t="s">
        <v>30</v>
      </c>
      <c r="AB59" s="106" t="s">
        <v>31</v>
      </c>
      <c r="AC59" s="106" t="s">
        <v>32</v>
      </c>
      <c r="AD59" s="106" t="s">
        <v>33</v>
      </c>
      <c r="AE59" s="106" t="s">
        <v>154</v>
      </c>
      <c r="AF59" s="106" t="s">
        <v>39</v>
      </c>
      <c r="AG59" s="106" t="s">
        <v>40</v>
      </c>
      <c r="AH59" s="106" t="s">
        <v>41</v>
      </c>
      <c r="AI59" s="106" t="s">
        <v>42</v>
      </c>
      <c r="AJ59" s="106" t="s">
        <v>43</v>
      </c>
      <c r="AK59" s="106" t="s">
        <v>44</v>
      </c>
      <c r="AL59" s="106" t="s">
        <v>155</v>
      </c>
      <c r="AM59" s="106" t="s">
        <v>47</v>
      </c>
      <c r="AN59" s="106" t="s">
        <v>48</v>
      </c>
      <c r="AO59" s="106" t="s">
        <v>49</v>
      </c>
      <c r="AP59" s="106" t="s">
        <v>157</v>
      </c>
      <c r="AQ59" s="106" t="s">
        <v>52</v>
      </c>
    </row>
    <row r="60" spans="1:43" x14ac:dyDescent="0.25">
      <c r="A60" t="s">
        <v>53</v>
      </c>
      <c r="B60" s="122">
        <f>'SoESCaOMCbIC-capital'!B2*($B13/SUM($B13,$B6))</f>
        <v>0</v>
      </c>
      <c r="C60" s="122">
        <f>'SoESCaOMCbIC-capital'!E2*($B13/SUM($B13,$B6))</f>
        <v>0</v>
      </c>
      <c r="D60" s="122">
        <f>'SoESCaOMCbIC-capital'!F2*($B13/SUM($B13,$B6))</f>
        <v>0</v>
      </c>
      <c r="E60" s="122">
        <f>'SoESCaOMCbIC-capital'!H2*($B13/SUM($B13,$B6))</f>
        <v>0</v>
      </c>
      <c r="F60" s="122">
        <f>'SoESCaOMCbIC-capital'!I2*($B13/SUM($B13,$B6))</f>
        <v>0</v>
      </c>
      <c r="G60" s="122">
        <f>'SoESCaOMCbIC-capital'!J2*($B13/SUM($B13,$B6))</f>
        <v>0</v>
      </c>
      <c r="H60" s="122">
        <f>'SoESCaOMCbIC-capital'!K2*($B13/SUM($B13,$B6))</f>
        <v>0</v>
      </c>
      <c r="I60" s="122">
        <f>'SoESCaOMCbIC-capital'!L2*($B13/SUM($B13,$B6))</f>
        <v>0</v>
      </c>
      <c r="J60" s="122">
        <f>'SoESCaOMCbIC-capital'!M2*($B13/SUM($B13,$B6))</f>
        <v>0</v>
      </c>
      <c r="K60" s="122">
        <f>'SoESCaOMCbIC-capital'!N2*($B13/SUM($B13,$B6))</f>
        <v>0</v>
      </c>
      <c r="L60" s="122">
        <f>'SoESCaOMCbIC-capital'!O2*($B13/SUM($B13,$B6))</f>
        <v>7.6421949914944921E-4</v>
      </c>
      <c r="M60" s="122">
        <f>'SoESCaOMCbIC-capital'!P2*($B13/SUM($B13,$B6))</f>
        <v>0</v>
      </c>
      <c r="N60" s="122">
        <f>'SoESCaOMCbIC-capital'!Q2*($B13/SUM($B13,$B6))</f>
        <v>0</v>
      </c>
      <c r="O60" s="122">
        <f>'SoESCaOMCbIC-capital'!R2*($B13/SUM($B13,$B6))</f>
        <v>0</v>
      </c>
      <c r="P60" s="122">
        <f>'SoESCaOMCbIC-capital'!S2*($B13/SUM($B13,$B6))</f>
        <v>0</v>
      </c>
      <c r="Q60" s="122">
        <f>'SoESCaOMCbIC-capital'!T2*($B13/SUM($B13,$B6))</f>
        <v>0</v>
      </c>
      <c r="R60" s="122">
        <f>'SoESCaOMCbIC-capital'!U2*($B13/SUM($B13,$B6))</f>
        <v>0</v>
      </c>
      <c r="S60" s="122">
        <f>'SoESCaOMCbIC-capital'!V2*($B13/SUM($B13,$B6))</f>
        <v>0</v>
      </c>
      <c r="T60" s="122">
        <f>'SoESCaOMCbIC-capital'!W2*($B13/SUM($B13,$B6))</f>
        <v>0</v>
      </c>
      <c r="U60" s="122">
        <f>'SoESCaOMCbIC-capital'!X2*($B13/SUM($B13,$B6))</f>
        <v>0</v>
      </c>
      <c r="V60" s="122">
        <f>'SoESCaOMCbIC-capital'!Y2*($B13/SUM($B13,$B6))</f>
        <v>0.21947069927900709</v>
      </c>
      <c r="W60" s="122">
        <f>'SoESCaOMCbIC-capital'!Z2*($B13/SUM($B13,$B6))</f>
        <v>0</v>
      </c>
      <c r="X60" s="122">
        <f>'SoESCaOMCbIC-capital'!AB2*($B13/SUM($B13,$B6))</f>
        <v>0</v>
      </c>
      <c r="Y60" s="122">
        <f>'SoESCaOMCbIC-capital'!AC2*($B13/SUM($B13,$B6))</f>
        <v>0</v>
      </c>
      <c r="Z60" s="122">
        <f>'SoESCaOMCbIC-capital'!AD2*($B13/SUM($B13,$B6))</f>
        <v>0</v>
      </c>
      <c r="AA60" s="122">
        <f>'SoESCaOMCbIC-capital'!AE2*($B13/SUM($B13,$B6))</f>
        <v>0</v>
      </c>
      <c r="AB60" s="122">
        <f>'SoESCaOMCbIC-capital'!AF2*($B13/SUM($B13,$B6))</f>
        <v>0</v>
      </c>
      <c r="AC60" s="122">
        <f>'SoESCaOMCbIC-capital'!AG2*($B13/SUM($B13,$B6))</f>
        <v>0.22867022554011857</v>
      </c>
      <c r="AD60" s="122">
        <f>'SoESCaOMCbIC-capital'!AH2*($B13/SUM($B13,$B6))</f>
        <v>0</v>
      </c>
      <c r="AE60" s="122">
        <f>'SoESCaOMCbIC-capital'!AI2*($B13/SUM($B13,$B6))</f>
        <v>0</v>
      </c>
      <c r="AF60" s="122">
        <f>'SoESCaOMCbIC-capital'!AN2*($B13/SUM($B13,$B6))</f>
        <v>0</v>
      </c>
      <c r="AG60" s="122">
        <f>'SoESCaOMCbIC-capital'!AO2*($B13/SUM($B13,$B6))</f>
        <v>0</v>
      </c>
      <c r="AH60" s="122">
        <f>'SoESCaOMCbIC-capital'!AP2*($B13/SUM($B13,$B6))</f>
        <v>0</v>
      </c>
      <c r="AI60" s="122">
        <f>'SoESCaOMCbIC-capital'!AQ2*($B13/SUM($B13,$B6))</f>
        <v>0</v>
      </c>
      <c r="AJ60" s="122">
        <f>'SoESCaOMCbIC-capital'!AR2*($B13/SUM($B13,$B6))</f>
        <v>6.8408728427881618E-3</v>
      </c>
      <c r="AK60" s="122">
        <f>'SoESCaOMCbIC-capital'!AS2*($B13/SUM($B13,$B6))</f>
        <v>0</v>
      </c>
      <c r="AL60" s="122">
        <f>'SoESCaOMCbIC-capital'!AT2*($B13/SUM($B13,$B6))</f>
        <v>0.13263345227376971</v>
      </c>
      <c r="AM60" s="122">
        <f>'SoESCaOMCbIC-capital'!AV2*($B13/SUM($B13,$B6))</f>
        <v>0</v>
      </c>
      <c r="AN60" s="122">
        <f>'SoESCaOMCbIC-capital'!AW2*($B13/SUM($B13,$B6))</f>
        <v>0</v>
      </c>
      <c r="AO60" s="122">
        <f>'SoESCaOMCbIC-capital'!AX2*($B13/SUM($B13,$B6))</f>
        <v>0</v>
      </c>
      <c r="AP60" s="122">
        <f>'SoESCaOMCbIC-capital'!AZ2*($B13/SUM($B13,$B6))</f>
        <v>0</v>
      </c>
      <c r="AQ60" s="122">
        <f>'SoESCaOMCbIC-capital'!BA2*($B13/SUM($B13,$B6))</f>
        <v>0</v>
      </c>
    </row>
    <row r="61" spans="1:43" x14ac:dyDescent="0.25">
      <c r="A61" t="s">
        <v>55</v>
      </c>
      <c r="B61" s="122">
        <f>'SoESCaOMCbIC-capital'!B4*($B14/SUM($B14,$B7))</f>
        <v>0</v>
      </c>
      <c r="C61" s="122">
        <f>'SoESCaOMCbIC-capital'!E4*($B14/SUM($B14,$B7))</f>
        <v>0</v>
      </c>
      <c r="D61" s="122">
        <f>'SoESCaOMCbIC-capital'!F4*($B14/SUM($B14,$B7))</f>
        <v>0</v>
      </c>
      <c r="E61" s="122">
        <f>'SoESCaOMCbIC-capital'!H4*($B14/SUM($B14,$B7))</f>
        <v>0</v>
      </c>
      <c r="F61" s="122">
        <f>'SoESCaOMCbIC-capital'!I4*($B14/SUM($B14,$B7))</f>
        <v>0</v>
      </c>
      <c r="G61" s="122">
        <f>'SoESCaOMCbIC-capital'!J4*($B14/SUM($B14,$B7))</f>
        <v>0</v>
      </c>
      <c r="H61" s="122">
        <f>'SoESCaOMCbIC-capital'!K4*($B14/SUM($B14,$B7))</f>
        <v>0</v>
      </c>
      <c r="I61" s="122">
        <f>'SoESCaOMCbIC-capital'!L4*($B14/SUM($B14,$B7))</f>
        <v>0</v>
      </c>
      <c r="J61" s="122">
        <f>'SoESCaOMCbIC-capital'!M4*($B14/SUM($B14,$B7))</f>
        <v>0</v>
      </c>
      <c r="K61" s="122">
        <f>'SoESCaOMCbIC-capital'!N4*($B14/SUM($B14,$B7))</f>
        <v>0</v>
      </c>
      <c r="L61" s="122">
        <f>'SoESCaOMCbIC-capital'!O4*($B14/SUM($B14,$B7))</f>
        <v>0</v>
      </c>
      <c r="M61" s="122">
        <f>'SoESCaOMCbIC-capital'!P4*($B14/SUM($B14,$B7))</f>
        <v>0</v>
      </c>
      <c r="N61" s="122">
        <f>'SoESCaOMCbIC-capital'!Q4*($B14/SUM($B14,$B7))</f>
        <v>0</v>
      </c>
      <c r="O61" s="122">
        <f>'SoESCaOMCbIC-capital'!R4*($B14/SUM($B14,$B7))</f>
        <v>0</v>
      </c>
      <c r="P61" s="122">
        <f>'SoESCaOMCbIC-capital'!S4*($B14/SUM($B14,$B7))</f>
        <v>0</v>
      </c>
      <c r="Q61" s="122">
        <f>'SoESCaOMCbIC-capital'!T4*($B14/SUM($B14,$B7))</f>
        <v>0</v>
      </c>
      <c r="R61" s="122">
        <f>'SoESCaOMCbIC-capital'!U4*($B14/SUM($B14,$B7))</f>
        <v>0</v>
      </c>
      <c r="S61" s="122">
        <f>'SoESCaOMCbIC-capital'!V4*($B14/SUM($B14,$B7))</f>
        <v>0</v>
      </c>
      <c r="T61" s="122">
        <f>'SoESCaOMCbIC-capital'!W4*($B14/SUM($B14,$B7))</f>
        <v>0</v>
      </c>
      <c r="U61" s="122">
        <f>'SoESCaOMCbIC-capital'!X4*($B14/SUM($B14,$B7))</f>
        <v>0</v>
      </c>
      <c r="V61" s="122">
        <f>'SoESCaOMCbIC-capital'!Y4*($B14/SUM($B14,$B7))</f>
        <v>0.25867709141366441</v>
      </c>
      <c r="W61" s="122">
        <f>'SoESCaOMCbIC-capital'!Z4*($B14/SUM($B14,$B7))</f>
        <v>0</v>
      </c>
      <c r="X61" s="122">
        <f>'SoESCaOMCbIC-capital'!AB4*($B14/SUM($B14,$B7))</f>
        <v>0</v>
      </c>
      <c r="Y61" s="122">
        <f>'SoESCaOMCbIC-capital'!AC4*($B14/SUM($B14,$B7))</f>
        <v>0</v>
      </c>
      <c r="Z61" s="122">
        <f>'SoESCaOMCbIC-capital'!AD4*($B14/SUM($B14,$B7))</f>
        <v>2.939512402428005E-3</v>
      </c>
      <c r="AA61" s="122">
        <f>'SoESCaOMCbIC-capital'!AE4*($B14/SUM($B14,$B7))</f>
        <v>0</v>
      </c>
      <c r="AB61" s="122">
        <f>'SoESCaOMCbIC-capital'!AF4*($B14/SUM($B14,$B7))</f>
        <v>0</v>
      </c>
      <c r="AC61" s="122">
        <f>'SoESCaOMCbIC-capital'!AG4*($B14/SUM($B14,$B7))</f>
        <v>0.14109659531654425</v>
      </c>
      <c r="AD61" s="122">
        <f>'SoESCaOMCbIC-capital'!AH4*($B14/SUM($B14,$B7))</f>
        <v>0</v>
      </c>
      <c r="AE61" s="122">
        <f>'SoESCaOMCbIC-capital'!AI4*($B14/SUM($B14,$B7))</f>
        <v>0</v>
      </c>
      <c r="AF61" s="122">
        <f>'SoESCaOMCbIC-capital'!AN4*($B14/SUM($B14,$B7))</f>
        <v>0</v>
      </c>
      <c r="AG61" s="122">
        <f>'SoESCaOMCbIC-capital'!AO4*($B14/SUM($B14,$B7))</f>
        <v>0</v>
      </c>
      <c r="AH61" s="122">
        <f>'SoESCaOMCbIC-capital'!AP4*($B14/SUM($B14,$B7))</f>
        <v>0</v>
      </c>
      <c r="AI61" s="122">
        <f>'SoESCaOMCbIC-capital'!AQ4*($B14/SUM($B14,$B7))</f>
        <v>0</v>
      </c>
      <c r="AJ61" s="122">
        <f>'SoESCaOMCbIC-capital'!AR4*($B14/SUM($B14,$B7))</f>
        <v>2.939512402428005E-3</v>
      </c>
      <c r="AK61" s="122">
        <f>'SoESCaOMCbIC-capital'!AS4*($B14/SUM($B14,$B7))</f>
        <v>2.3516099219424033E-2</v>
      </c>
      <c r="AL61" s="122">
        <f>'SoESCaOMCbIC-capital'!AT4*($B14/SUM($B14,$B7))</f>
        <v>5.879024804856009E-2</v>
      </c>
      <c r="AM61" s="122">
        <f>'SoESCaOMCbIC-capital'!AV4*($B14/SUM($B14,$B7))</f>
        <v>1.1758049609712017E-2</v>
      </c>
      <c r="AN61" s="122">
        <f>'SoESCaOMCbIC-capital'!AW4*($B14/SUM($B14,$B7))</f>
        <v>0</v>
      </c>
      <c r="AO61" s="122">
        <f>'SoESCaOMCbIC-capital'!AX4*($B14/SUM($B14,$B7))</f>
        <v>0</v>
      </c>
      <c r="AP61" s="122">
        <f>'SoESCaOMCbIC-capital'!AZ4*($B14/SUM($B14,$B7))</f>
        <v>0</v>
      </c>
      <c r="AQ61" s="122">
        <f>'SoESCaOMCbIC-capital'!BA4*($B14/SUM($B14,$B7))</f>
        <v>0</v>
      </c>
    </row>
    <row r="62" spans="1:43" x14ac:dyDescent="0.25">
      <c r="A62" t="s">
        <v>61</v>
      </c>
      <c r="B62" s="122">
        <f>'SoESCaOMCbIC-capital'!B10*$B15/SUM($B15,$B8)</f>
        <v>0</v>
      </c>
      <c r="C62" s="122">
        <f>'SoESCaOMCbIC-capital'!E10*$B15/SUM($B15,$B8)</f>
        <v>0</v>
      </c>
      <c r="D62" s="122">
        <f>'SoESCaOMCbIC-capital'!F10*$B15/SUM($B15,$B8)</f>
        <v>0</v>
      </c>
      <c r="E62" s="122">
        <f>'SoESCaOMCbIC-capital'!H10*$B15/SUM($B15,$B8)</f>
        <v>0</v>
      </c>
      <c r="F62" s="122">
        <f>'SoESCaOMCbIC-capital'!I10*$B15/SUM($B15,$B8)</f>
        <v>0</v>
      </c>
      <c r="G62" s="122">
        <f>'SoESCaOMCbIC-capital'!J10*$B15/SUM($B15,$B8)</f>
        <v>0</v>
      </c>
      <c r="H62" s="122">
        <f>'SoESCaOMCbIC-capital'!K10*$B15/SUM($B15,$B8)</f>
        <v>0</v>
      </c>
      <c r="I62" s="122">
        <f>'SoESCaOMCbIC-capital'!L10*$B15/SUM($B15,$B8)</f>
        <v>0</v>
      </c>
      <c r="J62" s="122">
        <f>'SoESCaOMCbIC-capital'!M10*$B15/SUM($B15,$B8)</f>
        <v>0</v>
      </c>
      <c r="K62" s="122">
        <f>'SoESCaOMCbIC-capital'!N10*$B15/SUM($B15,$B8)</f>
        <v>0</v>
      </c>
      <c r="L62" s="122">
        <f>'SoESCaOMCbIC-capital'!O10*$B15/SUM($B15,$B8)</f>
        <v>0</v>
      </c>
      <c r="M62" s="122">
        <f>'SoESCaOMCbIC-capital'!P10*$B15/SUM($B15,$B8)</f>
        <v>0</v>
      </c>
      <c r="N62" s="122">
        <f>'SoESCaOMCbIC-capital'!Q10*$B15/SUM($B15,$B8)</f>
        <v>0</v>
      </c>
      <c r="O62" s="122">
        <f>'SoESCaOMCbIC-capital'!R10*$B15/SUM($B15,$B8)</f>
        <v>0</v>
      </c>
      <c r="P62" s="122">
        <f>'SoESCaOMCbIC-capital'!S10*$B15/SUM($B15,$B8)</f>
        <v>0</v>
      </c>
      <c r="Q62" s="122">
        <f>'SoESCaOMCbIC-capital'!T10*$B15/SUM($B15,$B8)</f>
        <v>0</v>
      </c>
      <c r="R62" s="122">
        <f>'SoESCaOMCbIC-capital'!U10*$B15/SUM($B15,$B8)</f>
        <v>0</v>
      </c>
      <c r="S62" s="122">
        <f>'SoESCaOMCbIC-capital'!V10*$B15/SUM($B15,$B8)</f>
        <v>0</v>
      </c>
      <c r="T62" s="122">
        <f>'SoESCaOMCbIC-capital'!W10*$B15/SUM($B15,$B8)</f>
        <v>0</v>
      </c>
      <c r="U62" s="122">
        <f>'SoESCaOMCbIC-capital'!X10*$B15/SUM($B15,$B8)</f>
        <v>0</v>
      </c>
      <c r="V62" s="122">
        <f>'SoESCaOMCbIC-capital'!Y10*$B15/SUM($B15,$B8)</f>
        <v>0.53025167010776353</v>
      </c>
      <c r="W62" s="122">
        <f>'SoESCaOMCbIC-capital'!Z10*$B15/SUM($B15,$B8)</f>
        <v>0</v>
      </c>
      <c r="X62" s="122">
        <f>'SoESCaOMCbIC-capital'!AB10*$B15/SUM($B15,$B8)</f>
        <v>0</v>
      </c>
      <c r="Y62" s="122">
        <f>'SoESCaOMCbIC-capital'!AC10*$B15/SUM($B15,$B8)</f>
        <v>0</v>
      </c>
      <c r="Z62" s="122">
        <f>'SoESCaOMCbIC-capital'!AD10*$B15/SUM($B15,$B8)</f>
        <v>0</v>
      </c>
      <c r="AA62" s="122">
        <f>'SoESCaOMCbIC-capital'!AE10*$B15/SUM($B15,$B8)</f>
        <v>0</v>
      </c>
      <c r="AB62" s="122">
        <f>'SoESCaOMCbIC-capital'!AF10*$B15/SUM($B15,$B8)</f>
        <v>0</v>
      </c>
      <c r="AC62" s="122">
        <f>'SoESCaOMCbIC-capital'!AG10*$B15/SUM($B15,$B8)</f>
        <v>0.10916946149277484</v>
      </c>
      <c r="AD62" s="122">
        <f>'SoESCaOMCbIC-capital'!AH10*$B15/SUM($B15,$B8)</f>
        <v>0</v>
      </c>
      <c r="AE62" s="122">
        <f>'SoESCaOMCbIC-capital'!AI10*$B15/SUM($B15,$B8)</f>
        <v>0</v>
      </c>
      <c r="AF62" s="122">
        <f>'SoESCaOMCbIC-capital'!AN10*$B15/SUM($B15,$B8)</f>
        <v>0</v>
      </c>
      <c r="AG62" s="122">
        <f>'SoESCaOMCbIC-capital'!AO10*$B15/SUM($B15,$B8)</f>
        <v>0</v>
      </c>
      <c r="AH62" s="122">
        <f>'SoESCaOMCbIC-capital'!AP10*$B15/SUM($B15,$B8)</f>
        <v>0</v>
      </c>
      <c r="AI62" s="122">
        <f>'SoESCaOMCbIC-capital'!AQ10*$B15/SUM($B15,$B8)</f>
        <v>0</v>
      </c>
      <c r="AJ62" s="122">
        <f>'SoESCaOMCbIC-capital'!AR10*$B15/SUM($B15,$B8)</f>
        <v>0</v>
      </c>
      <c r="AK62" s="122">
        <f>'SoESCaOMCbIC-capital'!AS10*$B15/SUM($B15,$B8)</f>
        <v>0</v>
      </c>
      <c r="AL62" s="122">
        <f>'SoESCaOMCbIC-capital'!AT10*$B15/SUM($B15,$B8)</f>
        <v>0.1403607362049962</v>
      </c>
      <c r="AM62" s="122">
        <f>'SoESCaOMCbIC-capital'!AV10*$B15/SUM($B15,$B8)</f>
        <v>0</v>
      </c>
      <c r="AN62" s="122">
        <f>'SoESCaOMCbIC-capital'!AW10*$B15/SUM($B15,$B8)</f>
        <v>0</v>
      </c>
      <c r="AO62" s="122">
        <f>'SoESCaOMCbIC-capital'!AX10*$B15/SUM($B15,$B8)</f>
        <v>0</v>
      </c>
      <c r="AP62" s="122">
        <f>'SoESCaOMCbIC-capital'!AZ10*$B15/SUM($B15,$B8)</f>
        <v>0</v>
      </c>
      <c r="AQ62" s="122">
        <f>'SoESCaOMCbIC-capital'!BA10*$B15/SUM($B15,$B8)</f>
        <v>0</v>
      </c>
    </row>
    <row r="63" spans="1:43" x14ac:dyDescent="0.25">
      <c r="A63" t="s">
        <v>65</v>
      </c>
      <c r="B63" s="122">
        <f>'SoESCaOMCbIC-capital'!B14*($B16/SUM($B16,$B9))</f>
        <v>0</v>
      </c>
      <c r="C63" s="122">
        <f>'SoESCaOMCbIC-capital'!E14*($B16/SUM($B16,$B9))</f>
        <v>0</v>
      </c>
      <c r="D63" s="122">
        <f>'SoESCaOMCbIC-capital'!F14*($B16/SUM($B16,$B9))</f>
        <v>0</v>
      </c>
      <c r="E63" s="122">
        <f>'SoESCaOMCbIC-capital'!H14*($B16/SUM($B16,$B9))</f>
        <v>0</v>
      </c>
      <c r="F63" s="122">
        <f>'SoESCaOMCbIC-capital'!I14*($B16/SUM($B16,$B9))</f>
        <v>0</v>
      </c>
      <c r="G63" s="122">
        <f>'SoESCaOMCbIC-capital'!J14*($B16/SUM($B16,$B9))</f>
        <v>0</v>
      </c>
      <c r="H63" s="122">
        <f>'SoESCaOMCbIC-capital'!K14*($B16/SUM($B16,$B9))</f>
        <v>0</v>
      </c>
      <c r="I63" s="122">
        <f>'SoESCaOMCbIC-capital'!L14*($B16/SUM($B16,$B9))</f>
        <v>0</v>
      </c>
      <c r="J63" s="122">
        <f>'SoESCaOMCbIC-capital'!M14*($B16/SUM($B16,$B9))</f>
        <v>0</v>
      </c>
      <c r="K63" s="122">
        <f>'SoESCaOMCbIC-capital'!N14*($B16/SUM($B16,$B9))</f>
        <v>0</v>
      </c>
      <c r="L63" s="122">
        <f>'SoESCaOMCbIC-capital'!O14*($B16/SUM($B16,$B9))</f>
        <v>7.6421949914944921E-4</v>
      </c>
      <c r="M63" s="122">
        <f>'SoESCaOMCbIC-capital'!P14*($B16/SUM($B16,$B9))</f>
        <v>0</v>
      </c>
      <c r="N63" s="122">
        <f>'SoESCaOMCbIC-capital'!Q14*($B16/SUM($B16,$B9))</f>
        <v>0</v>
      </c>
      <c r="O63" s="122">
        <f>'SoESCaOMCbIC-capital'!R14*($B16/SUM($B16,$B9))</f>
        <v>0</v>
      </c>
      <c r="P63" s="122">
        <f>'SoESCaOMCbIC-capital'!S14*($B16/SUM($B16,$B9))</f>
        <v>0</v>
      </c>
      <c r="Q63" s="122">
        <f>'SoESCaOMCbIC-capital'!T14*($B16/SUM($B16,$B9))</f>
        <v>0</v>
      </c>
      <c r="R63" s="122">
        <f>'SoESCaOMCbIC-capital'!U14*($B16/SUM($B16,$B9))</f>
        <v>0</v>
      </c>
      <c r="S63" s="122">
        <f>'SoESCaOMCbIC-capital'!V14*($B16/SUM($B16,$B9))</f>
        <v>0</v>
      </c>
      <c r="T63" s="122">
        <f>'SoESCaOMCbIC-capital'!W14*($B16/SUM($B16,$B9))</f>
        <v>0</v>
      </c>
      <c r="U63" s="122">
        <f>'SoESCaOMCbIC-capital'!X14*($B16/SUM($B16,$B9))</f>
        <v>0</v>
      </c>
      <c r="V63" s="122">
        <f>'SoESCaOMCbIC-capital'!Y14*($B16/SUM($B16,$B9))</f>
        <v>0.21947069927900709</v>
      </c>
      <c r="W63" s="122">
        <f>'SoESCaOMCbIC-capital'!Z14*($B16/SUM($B16,$B9))</f>
        <v>0</v>
      </c>
      <c r="X63" s="122">
        <f>'SoESCaOMCbIC-capital'!AB14*($B16/SUM($B16,$B9))</f>
        <v>0</v>
      </c>
      <c r="Y63" s="122">
        <f>'SoESCaOMCbIC-capital'!AC14*($B16/SUM($B16,$B9))</f>
        <v>0</v>
      </c>
      <c r="Z63" s="122">
        <f>'SoESCaOMCbIC-capital'!AD14*($B16/SUM($B16,$B9))</f>
        <v>0</v>
      </c>
      <c r="AA63" s="122">
        <f>'SoESCaOMCbIC-capital'!AE14*($B16/SUM($B16,$B9))</f>
        <v>0</v>
      </c>
      <c r="AB63" s="122">
        <f>'SoESCaOMCbIC-capital'!AF14*($B16/SUM($B16,$B9))</f>
        <v>0</v>
      </c>
      <c r="AC63" s="122">
        <f>'SoESCaOMCbIC-capital'!AG14*($B16/SUM($B16,$B9))</f>
        <v>0.22867022554011857</v>
      </c>
      <c r="AD63" s="122">
        <f>'SoESCaOMCbIC-capital'!AH14*($B16/SUM($B16,$B9))</f>
        <v>0</v>
      </c>
      <c r="AE63" s="122">
        <f>'SoESCaOMCbIC-capital'!AI14*($B16/SUM($B16,$B9))</f>
        <v>0</v>
      </c>
      <c r="AF63" s="122">
        <f>'SoESCaOMCbIC-capital'!AN14*($B16/SUM($B16,$B9))</f>
        <v>0</v>
      </c>
      <c r="AG63" s="122">
        <f>'SoESCaOMCbIC-capital'!AO14*($B16/SUM($B16,$B9))</f>
        <v>0</v>
      </c>
      <c r="AH63" s="122">
        <f>'SoESCaOMCbIC-capital'!AP14*($B16/SUM($B16,$B9))</f>
        <v>0</v>
      </c>
      <c r="AI63" s="122">
        <f>'SoESCaOMCbIC-capital'!AQ14*($B16/SUM($B16,$B9))</f>
        <v>0</v>
      </c>
      <c r="AJ63" s="122">
        <f>'SoESCaOMCbIC-capital'!AR14*($B16/SUM($B16,$B9))</f>
        <v>6.8408728427881618E-3</v>
      </c>
      <c r="AK63" s="122">
        <f>'SoESCaOMCbIC-capital'!AS14*($B16/SUM($B16,$B9))</f>
        <v>0</v>
      </c>
      <c r="AL63" s="122">
        <f>'SoESCaOMCbIC-capital'!AT14*($B16/SUM($B16,$B9))</f>
        <v>0.13263345227376971</v>
      </c>
      <c r="AM63" s="122">
        <f>'SoESCaOMCbIC-capital'!AV14*($B16/SUM($B16,$B9))</f>
        <v>0</v>
      </c>
      <c r="AN63" s="122">
        <f>'SoESCaOMCbIC-capital'!AW14*($B16/SUM($B16,$B9))</f>
        <v>0</v>
      </c>
      <c r="AO63" s="122">
        <f>'SoESCaOMCbIC-capital'!AX14*($B16/SUM($B16,$B9))</f>
        <v>0</v>
      </c>
      <c r="AP63" s="122">
        <f>'SoESCaOMCbIC-capital'!AZ14*($B16/SUM($B16,$B9))</f>
        <v>0</v>
      </c>
      <c r="AQ63" s="122">
        <f>'SoESCaOMCbIC-capital'!BA14*($B16/SUM($B16,$B9))</f>
        <v>0</v>
      </c>
    </row>
    <row r="64" spans="1:43" x14ac:dyDescent="0.25">
      <c r="B64" s="121"/>
    </row>
    <row r="65" spans="1:43" x14ac:dyDescent="0.25">
      <c r="A65" t="s">
        <v>541</v>
      </c>
    </row>
    <row r="66" spans="1:43" x14ac:dyDescent="0.25">
      <c r="A66" t="s">
        <v>542</v>
      </c>
    </row>
    <row r="67" spans="1:43" x14ac:dyDescent="0.25">
      <c r="A67" s="120"/>
      <c r="B67" s="106" t="s">
        <v>150</v>
      </c>
      <c r="C67" s="106" t="s">
        <v>4</v>
      </c>
      <c r="D67" s="106" t="s">
        <v>5</v>
      </c>
      <c r="E67" s="106" t="s">
        <v>152</v>
      </c>
      <c r="F67" s="106" t="s">
        <v>8</v>
      </c>
      <c r="G67" s="106" t="s">
        <v>9</v>
      </c>
      <c r="H67" s="106" t="s">
        <v>10</v>
      </c>
      <c r="I67" s="106" t="s">
        <v>11</v>
      </c>
      <c r="J67" s="106" t="s">
        <v>12</v>
      </c>
      <c r="K67" s="106" t="s">
        <v>13</v>
      </c>
      <c r="L67" s="106" t="s">
        <v>14</v>
      </c>
      <c r="M67" s="106" t="s">
        <v>15</v>
      </c>
      <c r="N67" s="106" t="s">
        <v>16</v>
      </c>
      <c r="O67" s="106" t="s">
        <v>17</v>
      </c>
      <c r="P67" s="106" t="s">
        <v>18</v>
      </c>
      <c r="Q67" s="106" t="s">
        <v>19</v>
      </c>
      <c r="R67" s="106" t="s">
        <v>20</v>
      </c>
      <c r="S67" s="106" t="s">
        <v>21</v>
      </c>
      <c r="T67" s="106" t="s">
        <v>22</v>
      </c>
      <c r="U67" s="106" t="s">
        <v>23</v>
      </c>
      <c r="V67" s="106" t="s">
        <v>24</v>
      </c>
      <c r="W67" s="106" t="s">
        <v>25</v>
      </c>
      <c r="X67" s="106" t="s">
        <v>153</v>
      </c>
      <c r="Y67" s="106" t="s">
        <v>28</v>
      </c>
      <c r="Z67" s="106" t="s">
        <v>29</v>
      </c>
      <c r="AA67" s="106" t="s">
        <v>30</v>
      </c>
      <c r="AB67" s="106" t="s">
        <v>31</v>
      </c>
      <c r="AC67" s="106" t="s">
        <v>32</v>
      </c>
      <c r="AD67" s="106" t="s">
        <v>33</v>
      </c>
      <c r="AE67" s="106" t="s">
        <v>154</v>
      </c>
      <c r="AF67" s="106" t="s">
        <v>39</v>
      </c>
      <c r="AG67" s="106" t="s">
        <v>40</v>
      </c>
      <c r="AH67" s="106" t="s">
        <v>41</v>
      </c>
      <c r="AI67" s="106" t="s">
        <v>42</v>
      </c>
      <c r="AJ67" s="106" t="s">
        <v>43</v>
      </c>
      <c r="AK67" s="106" t="s">
        <v>44</v>
      </c>
      <c r="AL67" s="106" t="s">
        <v>155</v>
      </c>
      <c r="AM67" s="106" t="s">
        <v>47</v>
      </c>
      <c r="AN67" s="106" t="s">
        <v>48</v>
      </c>
      <c r="AO67" s="106" t="s">
        <v>49</v>
      </c>
      <c r="AP67" s="106" t="s">
        <v>157</v>
      </c>
      <c r="AQ67" s="106" t="s">
        <v>52</v>
      </c>
    </row>
    <row r="68" spans="1:43" x14ac:dyDescent="0.25">
      <c r="A68" t="s">
        <v>53</v>
      </c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>
        <f>$B6/SUM($B6,$B13)-AC68</f>
        <v>0.2516466286006882</v>
      </c>
      <c r="W68" s="122"/>
      <c r="X68" s="122"/>
      <c r="Y68" s="122"/>
      <c r="Z68" s="122"/>
      <c r="AA68" s="122"/>
      <c r="AB68" s="122"/>
      <c r="AC68" s="122">
        <f>$B6/SUM($B6,$B13)*'SoESCaOMCbIC-capital'!AG2</f>
        <v>0.15997390196447883</v>
      </c>
      <c r="AD68" s="122"/>
      <c r="AE68" s="122"/>
      <c r="AF68" s="122"/>
      <c r="AG68" s="122"/>
      <c r="AH68" s="122"/>
      <c r="AI68" s="122"/>
      <c r="AJ68" s="122"/>
      <c r="AK68" s="122"/>
      <c r="AL68" s="122"/>
      <c r="AM68" s="122"/>
      <c r="AN68" s="122"/>
      <c r="AO68" s="122"/>
      <c r="AP68" s="122"/>
      <c r="AQ68" s="122"/>
    </row>
    <row r="69" spans="1:43" x14ac:dyDescent="0.25">
      <c r="A69" t="s">
        <v>55</v>
      </c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>
        <f>$B7/SUM($B7,$B14)-AC69</f>
        <v>0.35902654572731274</v>
      </c>
      <c r="W69" s="122"/>
      <c r="X69" s="122"/>
      <c r="Y69" s="122"/>
      <c r="Z69" s="122"/>
      <c r="AA69" s="122"/>
      <c r="AB69" s="122"/>
      <c r="AC69" s="122">
        <f>$B7/SUM($B7,$B14)*'SoESCaOMCbIC-capital'!AG4</f>
        <v>0.14125634585992639</v>
      </c>
      <c r="AD69" s="122"/>
      <c r="AE69" s="122"/>
      <c r="AF69" s="122"/>
      <c r="AG69" s="122"/>
      <c r="AH69" s="122"/>
      <c r="AI69" s="122"/>
      <c r="AJ69" s="122"/>
      <c r="AK69" s="122"/>
      <c r="AL69" s="122"/>
      <c r="AM69" s="122"/>
      <c r="AN69" s="122"/>
      <c r="AO69" s="122"/>
      <c r="AP69" s="122"/>
      <c r="AQ69" s="122"/>
    </row>
    <row r="70" spans="1:43" x14ac:dyDescent="0.25">
      <c r="A70" t="s">
        <v>61</v>
      </c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>
        <f>$B8/SUM($B8,$B15)-AC70</f>
        <v>0.18938759368724031</v>
      </c>
      <c r="W70" s="122"/>
      <c r="X70" s="122"/>
      <c r="Y70" s="122"/>
      <c r="Z70" s="122"/>
      <c r="AA70" s="122"/>
      <c r="AB70" s="122"/>
      <c r="AC70" s="122">
        <f>$B8/SUM($B8,$B15)*'SoESCaOMCbIC-capital'!AG10</f>
        <v>3.0830538507225169E-2</v>
      </c>
      <c r="AD70" s="122"/>
      <c r="AE70" s="122"/>
      <c r="AF70" s="122"/>
      <c r="AG70" s="122"/>
      <c r="AH70" s="122"/>
      <c r="AI70" s="122"/>
      <c r="AJ70" s="122"/>
      <c r="AK70" s="122"/>
      <c r="AL70" s="122"/>
      <c r="AM70" s="122"/>
      <c r="AN70" s="122"/>
      <c r="AO70" s="122"/>
      <c r="AP70" s="122"/>
      <c r="AQ70" s="122"/>
    </row>
    <row r="71" spans="1:43" x14ac:dyDescent="0.25">
      <c r="A71" t="s">
        <v>65</v>
      </c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>
        <f>$B9/SUM($B9,$B16)-AC71</f>
        <v>0.25164662860068832</v>
      </c>
      <c r="W71" s="122"/>
      <c r="X71" s="122"/>
      <c r="Y71" s="122"/>
      <c r="Z71" s="122"/>
      <c r="AA71" s="122"/>
      <c r="AB71" s="122"/>
      <c r="AC71" s="122">
        <f>$B9/SUM($B9,$B16)*'SoESCaOMCbIC-capital'!AG14</f>
        <v>0.15997390196447886</v>
      </c>
      <c r="AD71" s="122"/>
      <c r="AE71" s="122"/>
      <c r="AF71" s="122"/>
      <c r="AG71" s="122"/>
      <c r="AH71" s="122"/>
      <c r="AI71" s="122"/>
      <c r="AJ71" s="122"/>
      <c r="AK71" s="122"/>
      <c r="AL71" s="122"/>
      <c r="AM71" s="122"/>
      <c r="AN71" s="122"/>
      <c r="AO71" s="122"/>
      <c r="AP71" s="122"/>
      <c r="AQ71" s="122"/>
    </row>
    <row r="73" spans="1:43" x14ac:dyDescent="0.25">
      <c r="A73" t="s">
        <v>543</v>
      </c>
    </row>
    <row r="74" spans="1:43" x14ac:dyDescent="0.25">
      <c r="A74" s="120"/>
      <c r="B74" s="106" t="s">
        <v>150</v>
      </c>
      <c r="C74" s="106" t="s">
        <v>4</v>
      </c>
      <c r="D74" s="106" t="s">
        <v>5</v>
      </c>
      <c r="E74" s="106" t="s">
        <v>152</v>
      </c>
      <c r="F74" s="106" t="s">
        <v>8</v>
      </c>
      <c r="G74" s="106" t="s">
        <v>9</v>
      </c>
      <c r="H74" s="106" t="s">
        <v>10</v>
      </c>
      <c r="I74" s="106" t="s">
        <v>11</v>
      </c>
      <c r="J74" s="106" t="s">
        <v>12</v>
      </c>
      <c r="K74" s="106" t="s">
        <v>13</v>
      </c>
      <c r="L74" s="106" t="s">
        <v>14</v>
      </c>
      <c r="M74" s="106" t="s">
        <v>15</v>
      </c>
      <c r="N74" s="106" t="s">
        <v>16</v>
      </c>
      <c r="O74" s="106" t="s">
        <v>17</v>
      </c>
      <c r="P74" s="106" t="s">
        <v>18</v>
      </c>
      <c r="Q74" s="106" t="s">
        <v>19</v>
      </c>
      <c r="R74" s="106" t="s">
        <v>20</v>
      </c>
      <c r="S74" s="106" t="s">
        <v>21</v>
      </c>
      <c r="T74" s="106" t="s">
        <v>22</v>
      </c>
      <c r="U74" s="106" t="s">
        <v>23</v>
      </c>
      <c r="V74" s="106" t="s">
        <v>24</v>
      </c>
      <c r="W74" s="106" t="s">
        <v>25</v>
      </c>
      <c r="X74" s="106" t="s">
        <v>153</v>
      </c>
      <c r="Y74" s="106" t="s">
        <v>28</v>
      </c>
      <c r="Z74" s="106" t="s">
        <v>29</v>
      </c>
      <c r="AA74" s="106" t="s">
        <v>30</v>
      </c>
      <c r="AB74" s="106" t="s">
        <v>31</v>
      </c>
      <c r="AC74" s="106" t="s">
        <v>32</v>
      </c>
      <c r="AD74" s="106" t="s">
        <v>33</v>
      </c>
      <c r="AE74" s="106" t="s">
        <v>154</v>
      </c>
      <c r="AF74" s="106" t="s">
        <v>39</v>
      </c>
      <c r="AG74" s="106" t="s">
        <v>40</v>
      </c>
      <c r="AH74" s="106" t="s">
        <v>41</v>
      </c>
      <c r="AI74" s="106" t="s">
        <v>42</v>
      </c>
      <c r="AJ74" s="106" t="s">
        <v>43</v>
      </c>
      <c r="AK74" s="106" t="s">
        <v>44</v>
      </c>
      <c r="AL74" s="106" t="s">
        <v>155</v>
      </c>
      <c r="AM74" s="106" t="s">
        <v>47</v>
      </c>
      <c r="AN74" s="106" t="s">
        <v>48</v>
      </c>
      <c r="AO74" s="106" t="s">
        <v>49</v>
      </c>
      <c r="AP74" s="106" t="s">
        <v>157</v>
      </c>
      <c r="AQ74" s="106" t="s">
        <v>52</v>
      </c>
    </row>
    <row r="75" spans="1:43" x14ac:dyDescent="0.25">
      <c r="A75" t="s">
        <v>53</v>
      </c>
      <c r="B75" s="122">
        <f>'SoESCaOMCbIC-fixedOM'!B2*($B27/SUM($B27,$B20))</f>
        <v>0</v>
      </c>
      <c r="C75" s="122">
        <f>'SoESCaOMCbIC-fixedOM'!E2*($B27/SUM($B27,$B20))</f>
        <v>0</v>
      </c>
      <c r="D75" s="122">
        <f>'SoESCaOMCbIC-fixedOM'!F2*($B27/SUM($B27,$B20))</f>
        <v>0</v>
      </c>
      <c r="E75" s="122">
        <f>'SoESCaOMCbIC-fixedOM'!H2*($B27/SUM($B27,$B20))</f>
        <v>0</v>
      </c>
      <c r="F75" s="122">
        <f>'SoESCaOMCbIC-fixedOM'!I2*($B27/SUM($B27,$B20))</f>
        <v>0</v>
      </c>
      <c r="G75" s="122">
        <f>'SoESCaOMCbIC-fixedOM'!J2*($B27/SUM($B27,$B20))</f>
        <v>0</v>
      </c>
      <c r="H75" s="122">
        <f>'SoESCaOMCbIC-fixedOM'!K2*($B27/SUM($B27,$B20))</f>
        <v>0</v>
      </c>
      <c r="I75" s="122">
        <f>'SoESCaOMCbIC-fixedOM'!L2*($B27/SUM($B27,$B20))</f>
        <v>0</v>
      </c>
      <c r="J75" s="122">
        <f>'SoESCaOMCbIC-fixedOM'!M2*($B27/SUM($B27,$B20))</f>
        <v>0</v>
      </c>
      <c r="K75" s="122">
        <f>'SoESCaOMCbIC-fixedOM'!N2*($B27/SUM($B27,$B20))</f>
        <v>0</v>
      </c>
      <c r="L75" s="122">
        <f>'SoESCaOMCbIC-fixedOM'!O2*($B27/SUM($B27,$B20))</f>
        <v>0</v>
      </c>
      <c r="M75" s="122">
        <f>'SoESCaOMCbIC-fixedOM'!P2*($B27/SUM($B27,$B20))</f>
        <v>0</v>
      </c>
      <c r="N75" s="122">
        <f>'SoESCaOMCbIC-fixedOM'!Q2*($B27/SUM($B27,$B20))</f>
        <v>0</v>
      </c>
      <c r="O75" s="122">
        <f>'SoESCaOMCbIC-fixedOM'!R2*($B27/SUM($B27,$B20))</f>
        <v>0</v>
      </c>
      <c r="P75" s="122">
        <f>'SoESCaOMCbIC-fixedOM'!S2*($B27/SUM($B27,$B20))</f>
        <v>0</v>
      </c>
      <c r="Q75" s="122">
        <f>'SoESCaOMCbIC-fixedOM'!T2*($B27/SUM($B27,$B20))</f>
        <v>0</v>
      </c>
      <c r="R75" s="122">
        <f>'SoESCaOMCbIC-fixedOM'!U2*($B27/SUM($B27,$B20))</f>
        <v>0</v>
      </c>
      <c r="S75" s="122">
        <f>'SoESCaOMCbIC-fixedOM'!V2*($B27/SUM($B27,$B20))</f>
        <v>0</v>
      </c>
      <c r="T75" s="122">
        <f>'SoESCaOMCbIC-fixedOM'!W2*($B27/SUM($B27,$B20))</f>
        <v>0</v>
      </c>
      <c r="U75" s="122">
        <f>'SoESCaOMCbIC-fixedOM'!X2*($B27/SUM($B27,$B20))</f>
        <v>0</v>
      </c>
      <c r="V75" s="122">
        <f>'SoESCaOMCbIC-fixedOM'!Y2*($B27/SUM($B27,$B20))</f>
        <v>0.15637225268043886</v>
      </c>
      <c r="W75" s="122">
        <f>'SoESCaOMCbIC-fixedOM'!Z2*($B27/SUM($B27,$B20))</f>
        <v>0</v>
      </c>
      <c r="X75" s="122">
        <f>'SoESCaOMCbIC-fixedOM'!AB2*($B27/SUM($B27,$B20))</f>
        <v>0</v>
      </c>
      <c r="Y75" s="122">
        <f>'SoESCaOMCbIC-fixedOM'!AC2*($B27/SUM($B27,$B20))</f>
        <v>0</v>
      </c>
      <c r="Z75" s="122">
        <f>'SoESCaOMCbIC-fixedOM'!AD2*($B27/SUM($B27,$B20))</f>
        <v>0.37205811844656139</v>
      </c>
      <c r="AA75" s="122">
        <f>'SoESCaOMCbIC-fixedOM'!AE2*($B27/SUM($B27,$B20))</f>
        <v>0</v>
      </c>
      <c r="AB75" s="122">
        <f>'SoESCaOMCbIC-fixedOM'!AF2*($B27/SUM($B27,$B20))</f>
        <v>0</v>
      </c>
      <c r="AC75" s="122">
        <f>'SoESCaOMCbIC-fixedOM'!AG2*($B27/SUM($B27,$B20))</f>
        <v>0</v>
      </c>
      <c r="AD75" s="122">
        <f>'SoESCaOMCbIC-fixedOM'!AH2*($B27/SUM($B27,$B20))</f>
        <v>0</v>
      </c>
      <c r="AE75" s="122">
        <f>'SoESCaOMCbIC-fixedOM'!AI2*($B27/SUM($B27,$B20))</f>
        <v>0</v>
      </c>
      <c r="AF75" s="122">
        <f>'SoESCaOMCbIC-fixedOM'!AN2*($B27/SUM($B27,$B20))</f>
        <v>0</v>
      </c>
      <c r="AG75" s="122">
        <f>'SoESCaOMCbIC-fixedOM'!AO2*($B27/SUM($B27,$B20))</f>
        <v>0</v>
      </c>
      <c r="AH75" s="122">
        <f>'SoESCaOMCbIC-fixedOM'!AP2*($B27/SUM($B27,$B20))</f>
        <v>0</v>
      </c>
      <c r="AI75" s="122">
        <f>'SoESCaOMCbIC-fixedOM'!AQ2*($B27/SUM($B27,$B20))</f>
        <v>0</v>
      </c>
      <c r="AJ75" s="122">
        <f>'SoESCaOMCbIC-fixedOM'!AR2*($B27/SUM($B27,$B20))</f>
        <v>0</v>
      </c>
      <c r="AK75" s="122">
        <f>'SoESCaOMCbIC-fixedOM'!AS2*($B27/SUM($B27,$B20))</f>
        <v>0</v>
      </c>
      <c r="AL75" s="122">
        <f>'SoESCaOMCbIC-fixedOM'!AT2*($B27/SUM($B27,$B20))</f>
        <v>9.4362566272678611E-2</v>
      </c>
      <c r="AM75" s="122">
        <f>'SoESCaOMCbIC-fixedOM'!AV2*($B27/SUM($B27,$B20))</f>
        <v>0</v>
      </c>
      <c r="AN75" s="122">
        <f>'SoESCaOMCbIC-fixedOM'!AW2*($B27/SUM($B27,$B20))</f>
        <v>0</v>
      </c>
      <c r="AO75" s="122">
        <f>'SoESCaOMCbIC-fixedOM'!AX2*($B27/SUM($B27,$B20))</f>
        <v>0</v>
      </c>
      <c r="AP75" s="122">
        <f>'SoESCaOMCbIC-fixedOM'!AZ2*($B27/SUM($B27,$B20))</f>
        <v>0</v>
      </c>
      <c r="AQ75" s="122">
        <f>'SoESCaOMCbIC-fixedOM'!BA2*($B27/SUM($B27,$B20))</f>
        <v>0</v>
      </c>
    </row>
    <row r="76" spans="1:43" x14ac:dyDescent="0.25">
      <c r="A76" t="s">
        <v>55</v>
      </c>
      <c r="B76" s="122">
        <f>'SoESCaOMCbIC-fixedOM'!B4*($B28/SUM($B28,$B21))</f>
        <v>0</v>
      </c>
      <c r="C76" s="122">
        <f>'SoESCaOMCbIC-fixedOM'!E4*($B28/SUM($B28,$B21))</f>
        <v>0</v>
      </c>
      <c r="D76" s="122">
        <f>'SoESCaOMCbIC-fixedOM'!F4*($B28/SUM($B28,$B21))</f>
        <v>0</v>
      </c>
      <c r="E76" s="122">
        <f>'SoESCaOMCbIC-fixedOM'!H4*($B28/SUM($B28,$B21))</f>
        <v>0</v>
      </c>
      <c r="F76" s="122">
        <f>'SoESCaOMCbIC-fixedOM'!I4*($B28/SUM($B28,$B21))</f>
        <v>0</v>
      </c>
      <c r="G76" s="122">
        <f>'SoESCaOMCbIC-fixedOM'!J4*($B28/SUM($B28,$B21))</f>
        <v>0</v>
      </c>
      <c r="H76" s="122">
        <f>'SoESCaOMCbIC-fixedOM'!K4*($B28/SUM($B28,$B21))</f>
        <v>0</v>
      </c>
      <c r="I76" s="122">
        <f>'SoESCaOMCbIC-fixedOM'!L4*($B28/SUM($B28,$B21))</f>
        <v>0</v>
      </c>
      <c r="J76" s="122">
        <f>'SoESCaOMCbIC-fixedOM'!M4*($B28/SUM($B28,$B21))</f>
        <v>0</v>
      </c>
      <c r="K76" s="122">
        <f>'SoESCaOMCbIC-fixedOM'!N4*($B28/SUM($B28,$B21))</f>
        <v>0</v>
      </c>
      <c r="L76" s="122">
        <f>'SoESCaOMCbIC-fixedOM'!O4*($B28/SUM($B28,$B21))</f>
        <v>0</v>
      </c>
      <c r="M76" s="122">
        <f>'SoESCaOMCbIC-fixedOM'!P4*($B28/SUM($B28,$B21))</f>
        <v>0</v>
      </c>
      <c r="N76" s="122">
        <f>'SoESCaOMCbIC-fixedOM'!Q4*($B28/SUM($B28,$B21))</f>
        <v>0</v>
      </c>
      <c r="O76" s="122">
        <f>'SoESCaOMCbIC-fixedOM'!R4*($B28/SUM($B28,$B21))</f>
        <v>0</v>
      </c>
      <c r="P76" s="122">
        <f>'SoESCaOMCbIC-fixedOM'!S4*($B28/SUM($B28,$B21))</f>
        <v>0</v>
      </c>
      <c r="Q76" s="122">
        <f>'SoESCaOMCbIC-fixedOM'!T4*($B28/SUM($B28,$B21))</f>
        <v>0</v>
      </c>
      <c r="R76" s="122">
        <f>'SoESCaOMCbIC-fixedOM'!U4*($B28/SUM($B28,$B21))</f>
        <v>0</v>
      </c>
      <c r="S76" s="122">
        <f>'SoESCaOMCbIC-fixedOM'!V4*($B28/SUM($B28,$B21))</f>
        <v>0</v>
      </c>
      <c r="T76" s="122">
        <f>'SoESCaOMCbIC-fixedOM'!W4*($B28/SUM($B28,$B21))</f>
        <v>0</v>
      </c>
      <c r="U76" s="122">
        <f>'SoESCaOMCbIC-fixedOM'!X4*($B28/SUM($B28,$B21))</f>
        <v>0</v>
      </c>
      <c r="V76" s="122">
        <f>'SoESCaOMCbIC-fixedOM'!Y4*($B28/SUM($B28,$B21))</f>
        <v>3.1058374930671095E-2</v>
      </c>
      <c r="W76" s="122">
        <f>'SoESCaOMCbIC-fixedOM'!Z4*($B28/SUM($B28,$B21))</f>
        <v>0</v>
      </c>
      <c r="X76" s="122">
        <f>'SoESCaOMCbIC-fixedOM'!AB4*($B28/SUM($B28,$B21))</f>
        <v>0</v>
      </c>
      <c r="Y76" s="122">
        <f>'SoESCaOMCbIC-fixedOM'!AC4*($B28/SUM($B28,$B21))</f>
        <v>0</v>
      </c>
      <c r="Z76" s="122">
        <f>'SoESCaOMCbIC-fixedOM'!AD4*($B28/SUM($B28,$B21))</f>
        <v>0.2143188019966723</v>
      </c>
      <c r="AA76" s="122">
        <f>'SoESCaOMCbIC-fixedOM'!AE4*($B28/SUM($B28,$B21))</f>
        <v>0</v>
      </c>
      <c r="AB76" s="122">
        <f>'SoESCaOMCbIC-fixedOM'!AF4*($B28/SUM($B28,$B21))</f>
        <v>0</v>
      </c>
      <c r="AC76" s="122">
        <f>'SoESCaOMCbIC-fixedOM'!AG4*($B28/SUM($B28,$B21))</f>
        <v>0</v>
      </c>
      <c r="AD76" s="122">
        <f>'SoESCaOMCbIC-fixedOM'!AH4*($B28/SUM($B28,$B21))</f>
        <v>0</v>
      </c>
      <c r="AE76" s="122">
        <f>'SoESCaOMCbIC-fixedOM'!AI4*($B28/SUM($B28,$B21))</f>
        <v>0</v>
      </c>
      <c r="AF76" s="122">
        <f>'SoESCaOMCbIC-fixedOM'!AN4*($B28/SUM($B28,$B21))</f>
        <v>0</v>
      </c>
      <c r="AG76" s="122">
        <f>'SoESCaOMCbIC-fixedOM'!AO4*($B28/SUM($B28,$B21))</f>
        <v>0</v>
      </c>
      <c r="AH76" s="122">
        <f>'SoESCaOMCbIC-fixedOM'!AP4*($B28/SUM($B28,$B21))</f>
        <v>0</v>
      </c>
      <c r="AI76" s="122">
        <f>'SoESCaOMCbIC-fixedOM'!AQ4*($B28/SUM($B28,$B21))</f>
        <v>0</v>
      </c>
      <c r="AJ76" s="122">
        <f>'SoESCaOMCbIC-fixedOM'!AR4*($B28/SUM($B28,$B21))</f>
        <v>0</v>
      </c>
      <c r="AK76" s="122">
        <f>'SoESCaOMCbIC-fixedOM'!AS4*($B28/SUM($B28,$B21))</f>
        <v>0</v>
      </c>
      <c r="AL76" s="122">
        <f>'SoESCaOMCbIC-fixedOM'!AT4*($B28/SUM($B28,$B21))</f>
        <v>0.26710202440377134</v>
      </c>
      <c r="AM76" s="122">
        <f>'SoESCaOMCbIC-fixedOM'!AV4*($B28/SUM($B28,$B21))</f>
        <v>0</v>
      </c>
      <c r="AN76" s="122">
        <f>'SoESCaOMCbIC-fixedOM'!AW4*($B28/SUM($B28,$B21))</f>
        <v>0</v>
      </c>
      <c r="AO76" s="122">
        <f>'SoESCaOMCbIC-fixedOM'!AX4*($B28/SUM($B28,$B21))</f>
        <v>0</v>
      </c>
      <c r="AP76" s="122">
        <f>'SoESCaOMCbIC-fixedOM'!AZ4*($B28/SUM($B28,$B21))</f>
        <v>0</v>
      </c>
      <c r="AQ76" s="122">
        <f>'SoESCaOMCbIC-fixedOM'!BA4*($B28/SUM($B28,$B21))</f>
        <v>0</v>
      </c>
    </row>
    <row r="77" spans="1:43" x14ac:dyDescent="0.25">
      <c r="A77" t="s">
        <v>61</v>
      </c>
      <c r="B77" s="122">
        <f>'SoESCaOMCbIC-fixedOM'!B10*($B29/SUM($B29,$B22))</f>
        <v>0</v>
      </c>
      <c r="C77" s="122">
        <f>'SoESCaOMCbIC-fixedOM'!E10*($B29/SUM($B29,$B22))</f>
        <v>0</v>
      </c>
      <c r="D77" s="122">
        <f>'SoESCaOMCbIC-fixedOM'!F10*($B29/SUM($B29,$B22))</f>
        <v>0</v>
      </c>
      <c r="E77" s="122">
        <f>'SoESCaOMCbIC-fixedOM'!H10*($B29/SUM($B29,$B22))</f>
        <v>0</v>
      </c>
      <c r="F77" s="122">
        <f>'SoESCaOMCbIC-fixedOM'!I10*($B29/SUM($B29,$B22))</f>
        <v>0</v>
      </c>
      <c r="G77" s="122">
        <f>'SoESCaOMCbIC-fixedOM'!J10*($B29/SUM($B29,$B22))</f>
        <v>0</v>
      </c>
      <c r="H77" s="122">
        <f>'SoESCaOMCbIC-fixedOM'!K10*($B29/SUM($B29,$B22))</f>
        <v>0</v>
      </c>
      <c r="I77" s="122">
        <f>'SoESCaOMCbIC-fixedOM'!L10*($B29/SUM($B29,$B22))</f>
        <v>0</v>
      </c>
      <c r="J77" s="122">
        <f>'SoESCaOMCbIC-fixedOM'!M10*($B29/SUM($B29,$B22))</f>
        <v>0</v>
      </c>
      <c r="K77" s="122">
        <f>'SoESCaOMCbIC-fixedOM'!N10*($B29/SUM($B29,$B22))</f>
        <v>0</v>
      </c>
      <c r="L77" s="122">
        <f>'SoESCaOMCbIC-fixedOM'!O10*($B29/SUM($B29,$B22))</f>
        <v>0</v>
      </c>
      <c r="M77" s="122">
        <f>'SoESCaOMCbIC-fixedOM'!P10*($B29/SUM($B29,$B22))</f>
        <v>0</v>
      </c>
      <c r="N77" s="122">
        <f>'SoESCaOMCbIC-fixedOM'!Q10*($B29/SUM($B29,$B22))</f>
        <v>0</v>
      </c>
      <c r="O77" s="122">
        <f>'SoESCaOMCbIC-fixedOM'!R10*($B29/SUM($B29,$B22))</f>
        <v>0</v>
      </c>
      <c r="P77" s="122">
        <f>'SoESCaOMCbIC-fixedOM'!S10*($B29/SUM($B29,$B22))</f>
        <v>0</v>
      </c>
      <c r="Q77" s="122">
        <f>'SoESCaOMCbIC-fixedOM'!T10*($B29/SUM($B29,$B22))</f>
        <v>0</v>
      </c>
      <c r="R77" s="122">
        <f>'SoESCaOMCbIC-fixedOM'!U10*($B29/SUM($B29,$B22))</f>
        <v>0</v>
      </c>
      <c r="S77" s="122">
        <f>'SoESCaOMCbIC-fixedOM'!V10*($B29/SUM($B29,$B22))</f>
        <v>0</v>
      </c>
      <c r="T77" s="122">
        <f>'SoESCaOMCbIC-fixedOM'!W10*($B29/SUM($B29,$B22))</f>
        <v>0</v>
      </c>
      <c r="U77" s="122">
        <f>'SoESCaOMCbIC-fixedOM'!X10*($B29/SUM($B29,$B22))</f>
        <v>0</v>
      </c>
      <c r="V77" s="122">
        <f>'SoESCaOMCbIC-fixedOM'!Y10*($B29/SUM($B29,$B22))</f>
        <v>0</v>
      </c>
      <c r="W77" s="122">
        <f>'SoESCaOMCbIC-fixedOM'!Z10*($B29/SUM($B29,$B22))</f>
        <v>0</v>
      </c>
      <c r="X77" s="122">
        <f>'SoESCaOMCbIC-fixedOM'!AB10*($B29/SUM($B29,$B22))</f>
        <v>0</v>
      </c>
      <c r="Y77" s="122">
        <f>'SoESCaOMCbIC-fixedOM'!AC10*($B29/SUM($B29,$B22))</f>
        <v>0</v>
      </c>
      <c r="Z77" s="122">
        <f>'SoESCaOMCbIC-fixedOM'!AD10*($B29/SUM($B29,$B22))</f>
        <v>0.78097945150868586</v>
      </c>
      <c r="AA77" s="122">
        <f>'SoESCaOMCbIC-fixedOM'!AE10*($B29/SUM($B29,$B22))</f>
        <v>0</v>
      </c>
      <c r="AB77" s="122">
        <f>'SoESCaOMCbIC-fixedOM'!AF10*($B29/SUM($B29,$B22))</f>
        <v>0</v>
      </c>
      <c r="AC77" s="122">
        <f>'SoESCaOMCbIC-fixedOM'!AG10*($B29/SUM($B29,$B22))</f>
        <v>0</v>
      </c>
      <c r="AD77" s="122">
        <f>'SoESCaOMCbIC-fixedOM'!AH10*($B29/SUM($B29,$B22))</f>
        <v>0</v>
      </c>
      <c r="AE77" s="122">
        <f>'SoESCaOMCbIC-fixedOM'!AI10*($B29/SUM($B29,$B22))</f>
        <v>0</v>
      </c>
      <c r="AF77" s="122">
        <f>'SoESCaOMCbIC-fixedOM'!AN10*($B29/SUM($B29,$B22))</f>
        <v>0</v>
      </c>
      <c r="AG77" s="122">
        <f>'SoESCaOMCbIC-fixedOM'!AO10*($B29/SUM($B29,$B22))</f>
        <v>0</v>
      </c>
      <c r="AH77" s="122">
        <f>'SoESCaOMCbIC-fixedOM'!AP10*($B29/SUM($B29,$B22))</f>
        <v>0</v>
      </c>
      <c r="AI77" s="122">
        <f>'SoESCaOMCbIC-fixedOM'!AQ10*($B29/SUM($B29,$B22))</f>
        <v>0</v>
      </c>
      <c r="AJ77" s="122">
        <f>'SoESCaOMCbIC-fixedOM'!AR10*($B29/SUM($B29,$B22))</f>
        <v>0</v>
      </c>
      <c r="AK77" s="122">
        <f>'SoESCaOMCbIC-fixedOM'!AS10*($B29/SUM($B29,$B22))</f>
        <v>0</v>
      </c>
      <c r="AL77" s="122">
        <f>'SoESCaOMCbIC-fixedOM'!AT10*($B29/SUM($B29,$B22))</f>
        <v>0</v>
      </c>
      <c r="AM77" s="122">
        <f>'SoESCaOMCbIC-fixedOM'!AV10*($B29/SUM($B29,$B22))</f>
        <v>0</v>
      </c>
      <c r="AN77" s="122">
        <f>'SoESCaOMCbIC-fixedOM'!AW10*($B29/SUM($B29,$B22))</f>
        <v>0</v>
      </c>
      <c r="AO77" s="122">
        <f>'SoESCaOMCbIC-fixedOM'!AX10*($B29/SUM($B29,$B22))</f>
        <v>0</v>
      </c>
      <c r="AP77" s="122">
        <f>'SoESCaOMCbIC-fixedOM'!AZ10*($B29/SUM($B29,$B22))</f>
        <v>0</v>
      </c>
      <c r="AQ77" s="122">
        <f>'SoESCaOMCbIC-fixedOM'!BA10*($B29/SUM($B29,$B22))</f>
        <v>0</v>
      </c>
    </row>
    <row r="78" spans="1:43" x14ac:dyDescent="0.25">
      <c r="A78" t="s">
        <v>65</v>
      </c>
      <c r="B78" s="122">
        <f>'SoESCaOMCbIC-fixedOM'!B14*($B30/SUM($B30,$B23))</f>
        <v>0</v>
      </c>
      <c r="C78" s="122">
        <f>'SoESCaOMCbIC-fixedOM'!E14*($B30/SUM($B30,$B23))</f>
        <v>0</v>
      </c>
      <c r="D78" s="122">
        <f>'SoESCaOMCbIC-fixedOM'!F14*($B30/SUM($B30,$B23))</f>
        <v>0</v>
      </c>
      <c r="E78" s="122">
        <f>'SoESCaOMCbIC-fixedOM'!H14*($B30/SUM($B30,$B23))</f>
        <v>0</v>
      </c>
      <c r="F78" s="122">
        <f>'SoESCaOMCbIC-fixedOM'!I14*($B30/SUM($B30,$B23))</f>
        <v>0</v>
      </c>
      <c r="G78" s="122">
        <f>'SoESCaOMCbIC-fixedOM'!J14*($B30/SUM($B30,$B23))</f>
        <v>0</v>
      </c>
      <c r="H78" s="122">
        <f>'SoESCaOMCbIC-fixedOM'!K14*($B30/SUM($B30,$B23))</f>
        <v>0</v>
      </c>
      <c r="I78" s="122">
        <f>'SoESCaOMCbIC-fixedOM'!L14*($B30/SUM($B30,$B23))</f>
        <v>0</v>
      </c>
      <c r="J78" s="122">
        <f>'SoESCaOMCbIC-fixedOM'!M14*($B30/SUM($B30,$B23))</f>
        <v>0</v>
      </c>
      <c r="K78" s="122">
        <f>'SoESCaOMCbIC-fixedOM'!N14*($B30/SUM($B30,$B23))</f>
        <v>0</v>
      </c>
      <c r="L78" s="122">
        <f>'SoESCaOMCbIC-fixedOM'!O14*($B30/SUM($B30,$B23))</f>
        <v>0</v>
      </c>
      <c r="M78" s="122">
        <f>'SoESCaOMCbIC-fixedOM'!P14*($B30/SUM($B30,$B23))</f>
        <v>0</v>
      </c>
      <c r="N78" s="122">
        <f>'SoESCaOMCbIC-fixedOM'!Q14*($B30/SUM($B30,$B23))</f>
        <v>0</v>
      </c>
      <c r="O78" s="122">
        <f>'SoESCaOMCbIC-fixedOM'!R14*($B30/SUM($B30,$B23))</f>
        <v>0</v>
      </c>
      <c r="P78" s="122">
        <f>'SoESCaOMCbIC-fixedOM'!S14*($B30/SUM($B30,$B23))</f>
        <v>0</v>
      </c>
      <c r="Q78" s="122">
        <f>'SoESCaOMCbIC-fixedOM'!T14*($B30/SUM($B30,$B23))</f>
        <v>0</v>
      </c>
      <c r="R78" s="122">
        <f>'SoESCaOMCbIC-fixedOM'!U14*($B30/SUM($B30,$B23))</f>
        <v>0</v>
      </c>
      <c r="S78" s="122">
        <f>'SoESCaOMCbIC-fixedOM'!V14*($B30/SUM($B30,$B23))</f>
        <v>0</v>
      </c>
      <c r="T78" s="122">
        <f>'SoESCaOMCbIC-fixedOM'!W14*($B30/SUM($B30,$B23))</f>
        <v>0</v>
      </c>
      <c r="U78" s="122">
        <f>'SoESCaOMCbIC-fixedOM'!X14*($B30/SUM($B30,$B23))</f>
        <v>0</v>
      </c>
      <c r="V78" s="122">
        <f>'SoESCaOMCbIC-fixedOM'!Y14*($B30/SUM($B30,$B23))</f>
        <v>0.15637225268043886</v>
      </c>
      <c r="W78" s="122">
        <f>'SoESCaOMCbIC-fixedOM'!Z14*($B30/SUM($B30,$B23))</f>
        <v>0</v>
      </c>
      <c r="X78" s="122">
        <f>'SoESCaOMCbIC-fixedOM'!AB14*($B30/SUM($B30,$B23))</f>
        <v>0</v>
      </c>
      <c r="Y78" s="122">
        <f>'SoESCaOMCbIC-fixedOM'!AC14*($B30/SUM($B30,$B23))</f>
        <v>0</v>
      </c>
      <c r="Z78" s="122">
        <f>'SoESCaOMCbIC-fixedOM'!AD14*($B30/SUM($B30,$B23))</f>
        <v>0.37205811844656139</v>
      </c>
      <c r="AA78" s="122">
        <f>'SoESCaOMCbIC-fixedOM'!AE14*($B30/SUM($B30,$B23))</f>
        <v>0</v>
      </c>
      <c r="AB78" s="122">
        <f>'SoESCaOMCbIC-fixedOM'!AF14*($B30/SUM($B30,$B23))</f>
        <v>0</v>
      </c>
      <c r="AC78" s="122">
        <f>'SoESCaOMCbIC-fixedOM'!AG14*($B30/SUM($B30,$B23))</f>
        <v>0</v>
      </c>
      <c r="AD78" s="122">
        <f>'SoESCaOMCbIC-fixedOM'!AH14*($B30/SUM($B30,$B23))</f>
        <v>0</v>
      </c>
      <c r="AE78" s="122">
        <f>'SoESCaOMCbIC-fixedOM'!AI14*($B30/SUM($B30,$B23))</f>
        <v>0</v>
      </c>
      <c r="AF78" s="122">
        <f>'SoESCaOMCbIC-fixedOM'!AN14*($B30/SUM($B30,$B23))</f>
        <v>0</v>
      </c>
      <c r="AG78" s="122">
        <f>'SoESCaOMCbIC-fixedOM'!AO14*($B30/SUM($B30,$B23))</f>
        <v>0</v>
      </c>
      <c r="AH78" s="122">
        <f>'SoESCaOMCbIC-fixedOM'!AP14*($B30/SUM($B30,$B23))</f>
        <v>0</v>
      </c>
      <c r="AI78" s="122">
        <f>'SoESCaOMCbIC-fixedOM'!AQ14*($B30/SUM($B30,$B23))</f>
        <v>0</v>
      </c>
      <c r="AJ78" s="122">
        <f>'SoESCaOMCbIC-fixedOM'!AR14*($B30/SUM($B30,$B23))</f>
        <v>0</v>
      </c>
      <c r="AK78" s="122">
        <f>'SoESCaOMCbIC-fixedOM'!AS14*($B30/SUM($B30,$B23))</f>
        <v>0</v>
      </c>
      <c r="AL78" s="122">
        <f>'SoESCaOMCbIC-fixedOM'!AT14*($B30/SUM($B30,$B23))</f>
        <v>9.4362566272678611E-2</v>
      </c>
      <c r="AM78" s="122">
        <f>'SoESCaOMCbIC-fixedOM'!AV14*($B30/SUM($B30,$B23))</f>
        <v>0</v>
      </c>
      <c r="AN78" s="122">
        <f>'SoESCaOMCbIC-fixedOM'!AW14*($B30/SUM($B30,$B23))</f>
        <v>0</v>
      </c>
      <c r="AO78" s="122">
        <f>'SoESCaOMCbIC-fixedOM'!AX14*($B30/SUM($B30,$B23))</f>
        <v>0</v>
      </c>
      <c r="AP78" s="122">
        <f>'SoESCaOMCbIC-fixedOM'!AZ14*($B30/SUM($B30,$B23))</f>
        <v>0</v>
      </c>
      <c r="AQ78" s="122">
        <f>'SoESCaOMCbIC-fixedOM'!BA14*($B30/SUM($B30,$B23))</f>
        <v>0</v>
      </c>
    </row>
    <row r="79" spans="1:43" x14ac:dyDescent="0.25"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  <c r="AK79" s="121"/>
      <c r="AL79" s="121"/>
      <c r="AM79" s="121"/>
      <c r="AN79" s="121"/>
      <c r="AO79" s="121"/>
      <c r="AP79" s="121"/>
      <c r="AQ79" s="121"/>
    </row>
    <row r="80" spans="1:43" x14ac:dyDescent="0.25">
      <c r="A80" t="s">
        <v>544</v>
      </c>
    </row>
    <row r="81" spans="1:43" x14ac:dyDescent="0.25">
      <c r="A81" t="s">
        <v>542</v>
      </c>
    </row>
    <row r="82" spans="1:43" x14ac:dyDescent="0.25">
      <c r="A82" s="120"/>
      <c r="B82" s="106" t="s">
        <v>150</v>
      </c>
      <c r="C82" s="106" t="s">
        <v>4</v>
      </c>
      <c r="D82" s="106" t="s">
        <v>5</v>
      </c>
      <c r="E82" s="106" t="s">
        <v>152</v>
      </c>
      <c r="F82" s="106" t="s">
        <v>8</v>
      </c>
      <c r="G82" s="106" t="s">
        <v>9</v>
      </c>
      <c r="H82" s="106" t="s">
        <v>10</v>
      </c>
      <c r="I82" s="106" t="s">
        <v>11</v>
      </c>
      <c r="J82" s="106" t="s">
        <v>12</v>
      </c>
      <c r="K82" s="106" t="s">
        <v>13</v>
      </c>
      <c r="L82" s="106" t="s">
        <v>14</v>
      </c>
      <c r="M82" s="106" t="s">
        <v>15</v>
      </c>
      <c r="N82" s="106" t="s">
        <v>16</v>
      </c>
      <c r="O82" s="106" t="s">
        <v>17</v>
      </c>
      <c r="P82" s="106" t="s">
        <v>18</v>
      </c>
      <c r="Q82" s="106" t="s">
        <v>19</v>
      </c>
      <c r="R82" s="106" t="s">
        <v>20</v>
      </c>
      <c r="S82" s="106" t="s">
        <v>21</v>
      </c>
      <c r="T82" s="106" t="s">
        <v>22</v>
      </c>
      <c r="U82" s="106" t="s">
        <v>23</v>
      </c>
      <c r="V82" s="106" t="s">
        <v>24</v>
      </c>
      <c r="W82" s="106" t="s">
        <v>25</v>
      </c>
      <c r="X82" s="106" t="s">
        <v>153</v>
      </c>
      <c r="Y82" s="106" t="s">
        <v>28</v>
      </c>
      <c r="Z82" s="106" t="s">
        <v>29</v>
      </c>
      <c r="AA82" s="106" t="s">
        <v>30</v>
      </c>
      <c r="AB82" s="106" t="s">
        <v>31</v>
      </c>
      <c r="AC82" s="106" t="s">
        <v>32</v>
      </c>
      <c r="AD82" s="106" t="s">
        <v>33</v>
      </c>
      <c r="AE82" s="106" t="s">
        <v>154</v>
      </c>
      <c r="AF82" s="106" t="s">
        <v>39</v>
      </c>
      <c r="AG82" s="106" t="s">
        <v>40</v>
      </c>
      <c r="AH82" s="106" t="s">
        <v>41</v>
      </c>
      <c r="AI82" s="106" t="s">
        <v>42</v>
      </c>
      <c r="AJ82" s="106" t="s">
        <v>43</v>
      </c>
      <c r="AK82" s="106" t="s">
        <v>44</v>
      </c>
      <c r="AL82" s="106" t="s">
        <v>155</v>
      </c>
      <c r="AM82" s="106" t="s">
        <v>47</v>
      </c>
      <c r="AN82" s="106" t="s">
        <v>48</v>
      </c>
      <c r="AO82" s="106" t="s">
        <v>49</v>
      </c>
      <c r="AP82" s="106" t="s">
        <v>157</v>
      </c>
      <c r="AQ82" s="106" t="s">
        <v>52</v>
      </c>
    </row>
    <row r="83" spans="1:43" x14ac:dyDescent="0.25">
      <c r="A83" t="s">
        <v>53</v>
      </c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>
        <f>B20/SUM(B27,B20)</f>
        <v>0.37720706260032105</v>
      </c>
      <c r="AA83" s="122"/>
      <c r="AB83" s="122"/>
      <c r="AC83" s="122"/>
      <c r="AD83" s="122"/>
      <c r="AE83" s="122"/>
      <c r="AF83" s="122"/>
      <c r="AG83" s="122"/>
      <c r="AH83" s="122"/>
      <c r="AI83" s="122"/>
      <c r="AJ83" s="122"/>
      <c r="AK83" s="122"/>
      <c r="AL83" s="122"/>
      <c r="AM83" s="122"/>
      <c r="AN83" s="122"/>
      <c r="AO83" s="122"/>
      <c r="AP83" s="122"/>
      <c r="AQ83" s="122"/>
    </row>
    <row r="84" spans="1:43" x14ac:dyDescent="0.25">
      <c r="A84" t="s">
        <v>55</v>
      </c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>
        <f>B21/SUM(B28,B21)</f>
        <v>0.4875207986688852</v>
      </c>
      <c r="AA84" s="122"/>
      <c r="AB84" s="122"/>
      <c r="AC84" s="122"/>
      <c r="AD84" s="122"/>
      <c r="AE84" s="122"/>
      <c r="AF84" s="122"/>
      <c r="AG84" s="122"/>
      <c r="AH84" s="122"/>
      <c r="AI84" s="122"/>
      <c r="AJ84" s="122"/>
      <c r="AK84" s="122"/>
      <c r="AL84" s="122"/>
      <c r="AM84" s="122"/>
      <c r="AN84" s="122"/>
      <c r="AO84" s="122"/>
      <c r="AP84" s="122"/>
      <c r="AQ84" s="122"/>
    </row>
    <row r="85" spans="1:43" x14ac:dyDescent="0.25">
      <c r="A85" t="s">
        <v>61</v>
      </c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>
        <f>B22/SUM(B29,B22)</f>
        <v>0.21902054849131411</v>
      </c>
      <c r="AA85" s="122"/>
      <c r="AB85" s="122"/>
      <c r="AC85" s="122"/>
      <c r="AD85" s="122"/>
      <c r="AE85" s="122"/>
      <c r="AF85" s="122"/>
      <c r="AG85" s="122"/>
      <c r="AH85" s="122"/>
      <c r="AI85" s="122"/>
      <c r="AJ85" s="122"/>
      <c r="AK85" s="122"/>
      <c r="AL85" s="122"/>
      <c r="AM85" s="122"/>
      <c r="AN85" s="122"/>
      <c r="AO85" s="122"/>
      <c r="AP85" s="122"/>
      <c r="AQ85" s="122"/>
    </row>
    <row r="86" spans="1:43" x14ac:dyDescent="0.25">
      <c r="A86" t="s">
        <v>65</v>
      </c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>
        <f>B23/SUM(B30,B23)</f>
        <v>0.37720706260032105</v>
      </c>
      <c r="AA86" s="122"/>
      <c r="AB86" s="122"/>
      <c r="AC86" s="122"/>
      <c r="AD86" s="122"/>
      <c r="AE86" s="122"/>
      <c r="AF86" s="122"/>
      <c r="AG86" s="122"/>
      <c r="AH86" s="122"/>
      <c r="AI86" s="122"/>
      <c r="AJ86" s="122"/>
      <c r="AK86" s="122"/>
      <c r="AL86" s="122"/>
      <c r="AM86" s="122"/>
      <c r="AN86" s="122"/>
      <c r="AO86" s="122"/>
      <c r="AP86" s="122"/>
      <c r="AQ86" s="122"/>
    </row>
    <row r="88" spans="1:43" x14ac:dyDescent="0.25">
      <c r="A88" t="s">
        <v>545</v>
      </c>
    </row>
    <row r="89" spans="1:43" x14ac:dyDescent="0.25">
      <c r="A89" s="120"/>
      <c r="B89" s="106" t="s">
        <v>150</v>
      </c>
      <c r="C89" s="106" t="s">
        <v>4</v>
      </c>
      <c r="D89" s="106" t="s">
        <v>5</v>
      </c>
      <c r="E89" s="106" t="s">
        <v>152</v>
      </c>
      <c r="F89" s="106" t="s">
        <v>8</v>
      </c>
      <c r="G89" s="106" t="s">
        <v>9</v>
      </c>
      <c r="H89" s="106" t="s">
        <v>10</v>
      </c>
      <c r="I89" s="106" t="s">
        <v>11</v>
      </c>
      <c r="J89" s="106" t="s">
        <v>12</v>
      </c>
      <c r="K89" s="106" t="s">
        <v>13</v>
      </c>
      <c r="L89" s="106" t="s">
        <v>14</v>
      </c>
      <c r="M89" s="106" t="s">
        <v>15</v>
      </c>
      <c r="N89" s="106" t="s">
        <v>16</v>
      </c>
      <c r="O89" s="106" t="s">
        <v>17</v>
      </c>
      <c r="P89" s="106" t="s">
        <v>18</v>
      </c>
      <c r="Q89" s="106" t="s">
        <v>19</v>
      </c>
      <c r="R89" s="106" t="s">
        <v>20</v>
      </c>
      <c r="S89" s="106" t="s">
        <v>21</v>
      </c>
      <c r="T89" s="106" t="s">
        <v>22</v>
      </c>
      <c r="U89" s="106" t="s">
        <v>23</v>
      </c>
      <c r="V89" s="106" t="s">
        <v>24</v>
      </c>
      <c r="W89" s="106" t="s">
        <v>25</v>
      </c>
      <c r="X89" s="106" t="s">
        <v>153</v>
      </c>
      <c r="Y89" s="106" t="s">
        <v>28</v>
      </c>
      <c r="Z89" s="106" t="s">
        <v>29</v>
      </c>
      <c r="AA89" s="106" t="s">
        <v>30</v>
      </c>
      <c r="AB89" s="106" t="s">
        <v>31</v>
      </c>
      <c r="AC89" s="106" t="s">
        <v>32</v>
      </c>
      <c r="AD89" s="106" t="s">
        <v>33</v>
      </c>
      <c r="AE89" s="106" t="s">
        <v>154</v>
      </c>
      <c r="AF89" s="106" t="s">
        <v>39</v>
      </c>
      <c r="AG89" s="106" t="s">
        <v>40</v>
      </c>
      <c r="AH89" s="106" t="s">
        <v>41</v>
      </c>
      <c r="AI89" s="106" t="s">
        <v>42</v>
      </c>
      <c r="AJ89" s="106" t="s">
        <v>43</v>
      </c>
      <c r="AK89" s="106" t="s">
        <v>44</v>
      </c>
      <c r="AL89" s="106" t="s">
        <v>155</v>
      </c>
      <c r="AM89" s="106" t="s">
        <v>47</v>
      </c>
      <c r="AN89" s="106" t="s">
        <v>48</v>
      </c>
      <c r="AO89" s="106" t="s">
        <v>49</v>
      </c>
      <c r="AP89" s="106" t="s">
        <v>157</v>
      </c>
      <c r="AQ89" s="106" t="s">
        <v>52</v>
      </c>
    </row>
    <row r="90" spans="1:43" x14ac:dyDescent="0.25">
      <c r="A90" t="s">
        <v>53</v>
      </c>
      <c r="B90" s="122">
        <f>'SoESCaOMCbIC-variableOM'!B2*($B41/SUM($B41,$B34))</f>
        <v>0</v>
      </c>
      <c r="C90" s="122">
        <f>'SoESCaOMCbIC-variableOM'!E2*($B41/SUM($B41,$B34))</f>
        <v>0</v>
      </c>
      <c r="D90" s="122">
        <f>'SoESCaOMCbIC-variableOM'!F2*($B41/SUM($B41,$B34))</f>
        <v>0</v>
      </c>
      <c r="E90" s="122">
        <f>'SoESCaOMCbIC-variableOM'!H2*($B41/SUM($B41,$B34))</f>
        <v>0</v>
      </c>
      <c r="F90" s="122">
        <f>'SoESCaOMCbIC-variableOM'!I2*($B41/SUM($B41,$B34))</f>
        <v>0</v>
      </c>
      <c r="G90" s="122">
        <f>'SoESCaOMCbIC-variableOM'!J2*($B41/SUM($B41,$B34))</f>
        <v>0</v>
      </c>
      <c r="H90" s="122">
        <f>'SoESCaOMCbIC-variableOM'!K2*($B41/SUM($B41,$B34))</f>
        <v>0</v>
      </c>
      <c r="I90" s="122">
        <f>'SoESCaOMCbIC-variableOM'!L2*($B41/SUM($B41,$B34))</f>
        <v>0</v>
      </c>
      <c r="J90" s="122">
        <f>'SoESCaOMCbIC-variableOM'!M2*($B41/SUM($B41,$B34))</f>
        <v>0</v>
      </c>
      <c r="K90" s="122">
        <f>'SoESCaOMCbIC-variableOM'!N2*($B41/SUM($B41,$B34))</f>
        <v>0</v>
      </c>
      <c r="L90" s="122">
        <f>'SoESCaOMCbIC-variableOM'!O2*($B41/SUM($B41,$B34))</f>
        <v>9.2151843581504286E-2</v>
      </c>
      <c r="M90" s="122">
        <f>'SoESCaOMCbIC-variableOM'!P2*($B41/SUM($B41,$B34))</f>
        <v>0</v>
      </c>
      <c r="N90" s="122">
        <f>'SoESCaOMCbIC-variableOM'!Q2*($B41/SUM($B41,$B34))</f>
        <v>0</v>
      </c>
      <c r="O90" s="122">
        <f>'SoESCaOMCbIC-variableOM'!R2*($B41/SUM($B41,$B34))</f>
        <v>0</v>
      </c>
      <c r="P90" s="122">
        <f>'SoESCaOMCbIC-variableOM'!S2*($B41/SUM($B41,$B34))</f>
        <v>0</v>
      </c>
      <c r="Q90" s="122">
        <f>'SoESCaOMCbIC-variableOM'!T2*($B41/SUM($B41,$B34))</f>
        <v>0</v>
      </c>
      <c r="R90" s="122">
        <f>'SoESCaOMCbIC-variableOM'!U2*($B41/SUM($B41,$B34))</f>
        <v>0</v>
      </c>
      <c r="S90" s="122">
        <f>'SoESCaOMCbIC-variableOM'!V2*($B41/SUM($B41,$B34))</f>
        <v>0</v>
      </c>
      <c r="T90" s="122">
        <f>'SoESCaOMCbIC-variableOM'!W2*($B41/SUM($B41,$B34))</f>
        <v>0</v>
      </c>
      <c r="U90" s="122">
        <f>'SoESCaOMCbIC-variableOM'!X2*($B41/SUM($B41,$B34))</f>
        <v>0</v>
      </c>
      <c r="V90" s="122">
        <f>'SoESCaOMCbIC-variableOM'!Y2*($B41/SUM($B41,$B34))</f>
        <v>0</v>
      </c>
      <c r="W90" s="122">
        <f>'SoESCaOMCbIC-variableOM'!Z2*($B41/SUM($B41,$B34))</f>
        <v>0</v>
      </c>
      <c r="X90" s="122">
        <f>'SoESCaOMCbIC-variableOM'!AB2*($B41/SUM($B41,$B34))</f>
        <v>0</v>
      </c>
      <c r="Y90" s="122">
        <f>'SoESCaOMCbIC-variableOM'!AC2*($B41/SUM($B41,$B34))</f>
        <v>0</v>
      </c>
      <c r="Z90" s="122">
        <f>'SoESCaOMCbIC-variableOM'!AD2*($B41/SUM($B41,$B34))</f>
        <v>0</v>
      </c>
      <c r="AA90" s="122">
        <f>'SoESCaOMCbIC-variableOM'!AE2*($B41/SUM($B41,$B34))</f>
        <v>0</v>
      </c>
      <c r="AB90" s="122">
        <f>'SoESCaOMCbIC-variableOM'!AF2*($B41/SUM($B41,$B34))</f>
        <v>0.43004193671368657</v>
      </c>
      <c r="AC90" s="122">
        <f>'SoESCaOMCbIC-variableOM'!AG2*($B41/SUM($B41,$B34))</f>
        <v>0</v>
      </c>
      <c r="AD90" s="122">
        <f>'SoESCaOMCbIC-variableOM'!AH2*($B41/SUM($B41,$B34))</f>
        <v>0</v>
      </c>
      <c r="AE90" s="122">
        <f>'SoESCaOMCbIC-variableOM'!AI2*($B41/SUM($B41,$B34))</f>
        <v>0</v>
      </c>
      <c r="AF90" s="122">
        <f>'SoESCaOMCbIC-variableOM'!AN2*($B41/SUM($B41,$B34))</f>
        <v>0</v>
      </c>
      <c r="AG90" s="122">
        <f>'SoESCaOMCbIC-variableOM'!AO2*($B41/SUM($B41,$B34))</f>
        <v>0</v>
      </c>
      <c r="AH90" s="122">
        <f>'SoESCaOMCbIC-variableOM'!AP2*($B41/SUM($B41,$B34))</f>
        <v>0</v>
      </c>
      <c r="AI90" s="122">
        <f>'SoESCaOMCbIC-variableOM'!AQ2*($B41/SUM($B41,$B34))</f>
        <v>0</v>
      </c>
      <c r="AJ90" s="122">
        <f>'SoESCaOMCbIC-variableOM'!AR2*($B41/SUM($B41,$B34))</f>
        <v>0</v>
      </c>
      <c r="AK90" s="122">
        <f>'SoESCaOMCbIC-variableOM'!AS2*($B41/SUM($B41,$B34))</f>
        <v>0</v>
      </c>
      <c r="AL90" s="122">
        <f>'SoESCaOMCbIC-variableOM'!AT2*($B41/SUM($B41,$B34))</f>
        <v>3.993246555198518E-2</v>
      </c>
      <c r="AM90" s="122">
        <f>'SoESCaOMCbIC-variableOM'!AV2*($B41/SUM($B41,$B34))</f>
        <v>0</v>
      </c>
      <c r="AN90" s="122">
        <f>'SoESCaOMCbIC-variableOM'!AW2*($B41/SUM($B41,$B34))</f>
        <v>0</v>
      </c>
      <c r="AO90" s="122">
        <f>'SoESCaOMCbIC-variableOM'!AX2*($B41/SUM($B41,$B34))</f>
        <v>0</v>
      </c>
      <c r="AP90" s="122">
        <f>'SoESCaOMCbIC-variableOM'!AZ2*($B41/SUM($B41,$B34))</f>
        <v>0</v>
      </c>
      <c r="AQ90" s="122">
        <f>'SoESCaOMCbIC-variableOM'!BA2*($B41/SUM($B41,$B34))</f>
        <v>0</v>
      </c>
    </row>
    <row r="91" spans="1:43" x14ac:dyDescent="0.25">
      <c r="A91" t="s">
        <v>55</v>
      </c>
      <c r="B91" s="122">
        <f>'SoESCaOMCbIC-variableOM'!B4*($B42/SUM($B42,$B35))</f>
        <v>0</v>
      </c>
      <c r="C91" s="122">
        <f>'SoESCaOMCbIC-variableOM'!E4*($B42/SUM($B42,$B35))</f>
        <v>0</v>
      </c>
      <c r="D91" s="122">
        <f>'SoESCaOMCbIC-variableOM'!F4*($B42/SUM($B42,$B35))</f>
        <v>0</v>
      </c>
      <c r="E91" s="122">
        <f>'SoESCaOMCbIC-variableOM'!H4*($B42/SUM($B42,$B35))</f>
        <v>0</v>
      </c>
      <c r="F91" s="122">
        <f>'SoESCaOMCbIC-variableOM'!I4*($B42/SUM($B42,$B35))</f>
        <v>0</v>
      </c>
      <c r="G91" s="122">
        <f>'SoESCaOMCbIC-variableOM'!J4*($B42/SUM($B42,$B35))</f>
        <v>0</v>
      </c>
      <c r="H91" s="122">
        <f>'SoESCaOMCbIC-variableOM'!K4*($B42/SUM($B42,$B35))</f>
        <v>0</v>
      </c>
      <c r="I91" s="122">
        <f>'SoESCaOMCbIC-variableOM'!L4*($B42/SUM($B42,$B35))</f>
        <v>0</v>
      </c>
      <c r="J91" s="122">
        <f>'SoESCaOMCbIC-variableOM'!M4*($B42/SUM($B42,$B35))</f>
        <v>0</v>
      </c>
      <c r="K91" s="122">
        <f>'SoESCaOMCbIC-variableOM'!N4*($B42/SUM($B42,$B35))</f>
        <v>0</v>
      </c>
      <c r="L91" s="122">
        <f>'SoESCaOMCbIC-variableOM'!O4*($B42/SUM($B42,$B35))</f>
        <v>4.525862068965518E-2</v>
      </c>
      <c r="M91" s="122">
        <f>'SoESCaOMCbIC-variableOM'!P4*($B42/SUM($B42,$B35))</f>
        <v>0</v>
      </c>
      <c r="N91" s="122">
        <f>'SoESCaOMCbIC-variableOM'!Q4*($B42/SUM($B42,$B35))</f>
        <v>0</v>
      </c>
      <c r="O91" s="122">
        <f>'SoESCaOMCbIC-variableOM'!R4*($B42/SUM($B42,$B35))</f>
        <v>0</v>
      </c>
      <c r="P91" s="122">
        <f>'SoESCaOMCbIC-variableOM'!S4*($B42/SUM($B42,$B35))</f>
        <v>0</v>
      </c>
      <c r="Q91" s="122">
        <f>'SoESCaOMCbIC-variableOM'!T4*($B42/SUM($B42,$B35))</f>
        <v>0</v>
      </c>
      <c r="R91" s="122">
        <f>'SoESCaOMCbIC-variableOM'!U4*($B42/SUM($B42,$B35))</f>
        <v>0</v>
      </c>
      <c r="S91" s="122">
        <f>'SoESCaOMCbIC-variableOM'!V4*($B42/SUM($B42,$B35))</f>
        <v>0</v>
      </c>
      <c r="T91" s="122">
        <f>'SoESCaOMCbIC-variableOM'!W4*($B42/SUM($B42,$B35))</f>
        <v>0</v>
      </c>
      <c r="U91" s="122">
        <f>'SoESCaOMCbIC-variableOM'!X4*($B42/SUM($B42,$B35))</f>
        <v>0</v>
      </c>
      <c r="V91" s="122">
        <f>'SoESCaOMCbIC-variableOM'!Y4*($B42/SUM($B42,$B35))</f>
        <v>0</v>
      </c>
      <c r="W91" s="122">
        <f>'SoESCaOMCbIC-variableOM'!Z4*($B42/SUM($B42,$B35))</f>
        <v>0</v>
      </c>
      <c r="X91" s="122">
        <f>'SoESCaOMCbIC-variableOM'!AB4*($B42/SUM($B42,$B35))</f>
        <v>0</v>
      </c>
      <c r="Y91" s="122">
        <f>'SoESCaOMCbIC-variableOM'!AC4*($B42/SUM($B42,$B35))</f>
        <v>0.36961206896551718</v>
      </c>
      <c r="Z91" s="122">
        <f>'SoESCaOMCbIC-variableOM'!AD4*($B42/SUM($B42,$B35))</f>
        <v>0</v>
      </c>
      <c r="AA91" s="122">
        <f>'SoESCaOMCbIC-variableOM'!AE4*($B42/SUM($B42,$B35))</f>
        <v>0</v>
      </c>
      <c r="AB91" s="122">
        <f>'SoESCaOMCbIC-variableOM'!AF4*($B42/SUM($B42,$B35))</f>
        <v>2.2629310344827579E-2</v>
      </c>
      <c r="AC91" s="122">
        <f>'SoESCaOMCbIC-variableOM'!AG4*($B42/SUM($B42,$B35))</f>
        <v>0</v>
      </c>
      <c r="AD91" s="122">
        <f>'SoESCaOMCbIC-variableOM'!AH4*($B42/SUM($B42,$B35))</f>
        <v>0</v>
      </c>
      <c r="AE91" s="122">
        <f>'SoESCaOMCbIC-variableOM'!AI4*($B42/SUM($B42,$B35))</f>
        <v>0</v>
      </c>
      <c r="AF91" s="122">
        <f>'SoESCaOMCbIC-variableOM'!AN4*($B42/SUM($B42,$B35))</f>
        <v>0</v>
      </c>
      <c r="AG91" s="122">
        <f>'SoESCaOMCbIC-variableOM'!AO4*($B42/SUM($B42,$B35))</f>
        <v>0</v>
      </c>
      <c r="AH91" s="122">
        <f>'SoESCaOMCbIC-variableOM'!AP4*($B42/SUM($B42,$B35))</f>
        <v>0</v>
      </c>
      <c r="AI91" s="122">
        <f>'SoESCaOMCbIC-variableOM'!AQ4*($B42/SUM($B42,$B35))</f>
        <v>0</v>
      </c>
      <c r="AJ91" s="122">
        <f>'SoESCaOMCbIC-variableOM'!AR4*($B42/SUM($B42,$B35))</f>
        <v>0</v>
      </c>
      <c r="AK91" s="122">
        <f>'SoESCaOMCbIC-variableOM'!AS4*($B42/SUM($B42,$B35))</f>
        <v>0</v>
      </c>
      <c r="AL91" s="122">
        <f>'SoESCaOMCbIC-variableOM'!AT4*($B42/SUM($B42,$B35))</f>
        <v>0</v>
      </c>
      <c r="AM91" s="122">
        <f>'SoESCaOMCbIC-variableOM'!AV4*($B42/SUM($B42,$B35))</f>
        <v>0</v>
      </c>
      <c r="AN91" s="122">
        <f>'SoESCaOMCbIC-variableOM'!AW4*($B42/SUM($B42,$B35))</f>
        <v>0</v>
      </c>
      <c r="AO91" s="122">
        <f>'SoESCaOMCbIC-variableOM'!AX4*($B42/SUM($B42,$B35))</f>
        <v>0</v>
      </c>
      <c r="AP91" s="122">
        <f>'SoESCaOMCbIC-variableOM'!AZ4*($B42/SUM($B42,$B35))</f>
        <v>0</v>
      </c>
      <c r="AQ91" s="122">
        <f>'SoESCaOMCbIC-variableOM'!BA4*($B42/SUM($B42,$B35))</f>
        <v>0</v>
      </c>
    </row>
    <row r="92" spans="1:43" x14ac:dyDescent="0.25">
      <c r="A92" t="s">
        <v>61</v>
      </c>
      <c r="B92" s="122">
        <f>'SoESCaOMCbIC-variableOM'!B10*($B43/SUM($B43,$B36))</f>
        <v>0</v>
      </c>
      <c r="C92" s="122">
        <f>'SoESCaOMCbIC-variableOM'!E10*($B43/SUM($B43,$B36))</f>
        <v>0</v>
      </c>
      <c r="D92" s="122">
        <f>'SoESCaOMCbIC-variableOM'!F10*($B43/SUM($B43,$B36))</f>
        <v>0</v>
      </c>
      <c r="E92" s="122">
        <f>'SoESCaOMCbIC-variableOM'!H10*($B43/SUM($B43,$B36))</f>
        <v>0</v>
      </c>
      <c r="F92" s="122">
        <f>'SoESCaOMCbIC-variableOM'!I10*($B43/SUM($B43,$B36))</f>
        <v>0</v>
      </c>
      <c r="G92" s="122">
        <f>'SoESCaOMCbIC-variableOM'!J10*($B43/SUM($B43,$B36))</f>
        <v>0</v>
      </c>
      <c r="H92" s="122">
        <f>'SoESCaOMCbIC-variableOM'!K10*($B43/SUM($B43,$B36))</f>
        <v>0</v>
      </c>
      <c r="I92" s="122">
        <f>'SoESCaOMCbIC-variableOM'!L10*($B43/SUM($B43,$B36))</f>
        <v>0</v>
      </c>
      <c r="J92" s="122">
        <f>'SoESCaOMCbIC-variableOM'!M10*($B43/SUM($B43,$B36))</f>
        <v>0</v>
      </c>
      <c r="K92" s="122">
        <f>'SoESCaOMCbIC-variableOM'!N10*($B43/SUM($B43,$B36))</f>
        <v>0</v>
      </c>
      <c r="L92" s="122">
        <f>'SoESCaOMCbIC-variableOM'!O10*($B43/SUM($B43,$B36))</f>
        <v>0.17986478242451057</v>
      </c>
      <c r="M92" s="122">
        <f>'SoESCaOMCbIC-variableOM'!P10*($B43/SUM($B43,$B36))</f>
        <v>0</v>
      </c>
      <c r="N92" s="122">
        <f>'SoESCaOMCbIC-variableOM'!Q10*($B43/SUM($B43,$B36))</f>
        <v>0</v>
      </c>
      <c r="O92" s="122">
        <f>'SoESCaOMCbIC-variableOM'!R10*($B43/SUM($B43,$B36))</f>
        <v>0</v>
      </c>
      <c r="P92" s="122">
        <f>'SoESCaOMCbIC-variableOM'!S10*($B43/SUM($B43,$B36))</f>
        <v>0</v>
      </c>
      <c r="Q92" s="122">
        <f>'SoESCaOMCbIC-variableOM'!T10*($B43/SUM($B43,$B36))</f>
        <v>0</v>
      </c>
      <c r="R92" s="122">
        <f>'SoESCaOMCbIC-variableOM'!U10*($B43/SUM($B43,$B36))</f>
        <v>0</v>
      </c>
      <c r="S92" s="122">
        <f>'SoESCaOMCbIC-variableOM'!V10*($B43/SUM($B43,$B36))</f>
        <v>0</v>
      </c>
      <c r="T92" s="122">
        <f>'SoESCaOMCbIC-variableOM'!W10*($B43/SUM($B43,$B36))</f>
        <v>0</v>
      </c>
      <c r="U92" s="122">
        <f>'SoESCaOMCbIC-variableOM'!X10*($B43/SUM($B43,$B36))</f>
        <v>0</v>
      </c>
      <c r="V92" s="122">
        <f>'SoESCaOMCbIC-variableOM'!Y10*($B43/SUM($B43,$B36))</f>
        <v>0</v>
      </c>
      <c r="W92" s="122">
        <f>'SoESCaOMCbIC-variableOM'!Z10*($B43/SUM($B43,$B36))</f>
        <v>0</v>
      </c>
      <c r="X92" s="122">
        <f>'SoESCaOMCbIC-variableOM'!AB10*($B43/SUM($B43,$B36))</f>
        <v>0</v>
      </c>
      <c r="Y92" s="122">
        <f>'SoESCaOMCbIC-variableOM'!AC10*($B43/SUM($B43,$B36))</f>
        <v>0</v>
      </c>
      <c r="Z92" s="122">
        <f>'SoESCaOMCbIC-variableOM'!AD10*($B43/SUM($B43,$B36))</f>
        <v>0</v>
      </c>
      <c r="AA92" s="122">
        <f>'SoESCaOMCbIC-variableOM'!AE10*($B43/SUM($B43,$B36))</f>
        <v>0</v>
      </c>
      <c r="AB92" s="122">
        <f>'SoESCaOMCbIC-variableOM'!AF10*($B43/SUM($B43,$B36))</f>
        <v>6.4460988756311802E-2</v>
      </c>
      <c r="AC92" s="122">
        <f>'SoESCaOMCbIC-variableOM'!AG10*($B43/SUM($B43,$B36))</f>
        <v>0</v>
      </c>
      <c r="AD92" s="122">
        <f>'SoESCaOMCbIC-variableOM'!AH10*($B43/SUM($B43,$B36))</f>
        <v>0</v>
      </c>
      <c r="AE92" s="122">
        <f>'SoESCaOMCbIC-variableOM'!AI10*($B43/SUM($B43,$B36))</f>
        <v>0</v>
      </c>
      <c r="AF92" s="122">
        <f>'SoESCaOMCbIC-variableOM'!AN10*($B43/SUM($B43,$B36))</f>
        <v>0</v>
      </c>
      <c r="AG92" s="122">
        <f>'SoESCaOMCbIC-variableOM'!AO10*($B43/SUM($B43,$B36))</f>
        <v>0</v>
      </c>
      <c r="AH92" s="122">
        <f>'SoESCaOMCbIC-variableOM'!AP10*($B43/SUM($B43,$B36))</f>
        <v>0</v>
      </c>
      <c r="AI92" s="122">
        <f>'SoESCaOMCbIC-variableOM'!AQ10*($B43/SUM($B43,$B36))</f>
        <v>0</v>
      </c>
      <c r="AJ92" s="122">
        <f>'SoESCaOMCbIC-variableOM'!AR10*($B43/SUM($B43,$B36))</f>
        <v>0</v>
      </c>
      <c r="AK92" s="122">
        <f>'SoESCaOMCbIC-variableOM'!AS10*($B43/SUM($B43,$B36))</f>
        <v>0</v>
      </c>
      <c r="AL92" s="122">
        <f>'SoESCaOMCbIC-variableOM'!AT10*($B43/SUM($B43,$B36))</f>
        <v>0</v>
      </c>
      <c r="AM92" s="122">
        <f>'SoESCaOMCbIC-variableOM'!AV10*($B43/SUM($B43,$B36))</f>
        <v>0</v>
      </c>
      <c r="AN92" s="122">
        <f>'SoESCaOMCbIC-variableOM'!AW10*($B43/SUM($B43,$B36))</f>
        <v>0</v>
      </c>
      <c r="AO92" s="122">
        <f>'SoESCaOMCbIC-variableOM'!AX10*($B43/SUM($B43,$B36))</f>
        <v>0</v>
      </c>
      <c r="AP92" s="122">
        <f>'SoESCaOMCbIC-variableOM'!AZ10*($B43/SUM($B43,$B36))</f>
        <v>0</v>
      </c>
      <c r="AQ92" s="122">
        <f>'SoESCaOMCbIC-variableOM'!BA10*($B43/SUM($B43,$B36))</f>
        <v>0</v>
      </c>
    </row>
    <row r="93" spans="1:43" x14ac:dyDescent="0.25">
      <c r="A93" t="s">
        <v>65</v>
      </c>
      <c r="B93" s="122">
        <f>'SoESCaOMCbIC-variableOM'!B14*($B44/SUM($B44,$B37))</f>
        <v>0</v>
      </c>
      <c r="C93" s="122">
        <f>'SoESCaOMCbIC-variableOM'!E14*($B44/SUM($B44,$B37))</f>
        <v>0</v>
      </c>
      <c r="D93" s="122">
        <f>'SoESCaOMCbIC-variableOM'!F14*($B44/SUM($B44,$B37))</f>
        <v>0</v>
      </c>
      <c r="E93" s="122">
        <f>'SoESCaOMCbIC-variableOM'!H14*($B44/SUM($B44,$B37))</f>
        <v>0</v>
      </c>
      <c r="F93" s="122">
        <f>'SoESCaOMCbIC-variableOM'!I14*($B44/SUM($B44,$B37))</f>
        <v>0</v>
      </c>
      <c r="G93" s="122">
        <f>'SoESCaOMCbIC-variableOM'!J14*($B44/SUM($B44,$B37))</f>
        <v>0</v>
      </c>
      <c r="H93" s="122">
        <f>'SoESCaOMCbIC-variableOM'!K14*($B44/SUM($B44,$B37))</f>
        <v>0</v>
      </c>
      <c r="I93" s="122">
        <f>'SoESCaOMCbIC-variableOM'!L14*($B44/SUM($B44,$B37))</f>
        <v>0</v>
      </c>
      <c r="J93" s="122">
        <f>'SoESCaOMCbIC-variableOM'!M14*($B44/SUM($B44,$B37))</f>
        <v>0</v>
      </c>
      <c r="K93" s="122">
        <f>'SoESCaOMCbIC-variableOM'!N14*($B44/SUM($B44,$B37))</f>
        <v>0</v>
      </c>
      <c r="L93" s="122">
        <f>'SoESCaOMCbIC-variableOM'!O14*($B44/SUM($B44,$B37))</f>
        <v>9.2151843581504286E-2</v>
      </c>
      <c r="M93" s="122">
        <f>'SoESCaOMCbIC-variableOM'!P14*($B44/SUM($B44,$B37))</f>
        <v>0</v>
      </c>
      <c r="N93" s="122">
        <f>'SoESCaOMCbIC-variableOM'!Q14*($B44/SUM($B44,$B37))</f>
        <v>0</v>
      </c>
      <c r="O93" s="122">
        <f>'SoESCaOMCbIC-variableOM'!R14*($B44/SUM($B44,$B37))</f>
        <v>0</v>
      </c>
      <c r="P93" s="122">
        <f>'SoESCaOMCbIC-variableOM'!S14*($B44/SUM($B44,$B37))</f>
        <v>0</v>
      </c>
      <c r="Q93" s="122">
        <f>'SoESCaOMCbIC-variableOM'!T14*($B44/SUM($B44,$B37))</f>
        <v>0</v>
      </c>
      <c r="R93" s="122">
        <f>'SoESCaOMCbIC-variableOM'!U14*($B44/SUM($B44,$B37))</f>
        <v>0</v>
      </c>
      <c r="S93" s="122">
        <f>'SoESCaOMCbIC-variableOM'!V14*($B44/SUM($B44,$B37))</f>
        <v>0</v>
      </c>
      <c r="T93" s="122">
        <f>'SoESCaOMCbIC-variableOM'!W14*($B44/SUM($B44,$B37))</f>
        <v>0</v>
      </c>
      <c r="U93" s="122">
        <f>'SoESCaOMCbIC-variableOM'!X14*($B44/SUM($B44,$B37))</f>
        <v>0</v>
      </c>
      <c r="V93" s="122">
        <f>'SoESCaOMCbIC-variableOM'!Y14*($B44/SUM($B44,$B37))</f>
        <v>0</v>
      </c>
      <c r="W93" s="122">
        <f>'SoESCaOMCbIC-variableOM'!Z14*($B44/SUM($B44,$B37))</f>
        <v>0</v>
      </c>
      <c r="X93" s="122">
        <f>'SoESCaOMCbIC-variableOM'!AB14*($B44/SUM($B44,$B37))</f>
        <v>0</v>
      </c>
      <c r="Y93" s="122">
        <f>'SoESCaOMCbIC-variableOM'!AC14*($B44/SUM($B44,$B37))</f>
        <v>0</v>
      </c>
      <c r="Z93" s="122">
        <f>'SoESCaOMCbIC-variableOM'!AD14*($B44/SUM($B44,$B37))</f>
        <v>0</v>
      </c>
      <c r="AA93" s="122">
        <f>'SoESCaOMCbIC-variableOM'!AE14*($B44/SUM($B44,$B37))</f>
        <v>0</v>
      </c>
      <c r="AB93" s="122">
        <f>'SoESCaOMCbIC-variableOM'!AF14*($B44/SUM($B44,$B37))</f>
        <v>0.43004193671368657</v>
      </c>
      <c r="AC93" s="122">
        <f>'SoESCaOMCbIC-variableOM'!AG14*($B44/SUM($B44,$B37))</f>
        <v>0</v>
      </c>
      <c r="AD93" s="122">
        <f>'SoESCaOMCbIC-variableOM'!AH14*($B44/SUM($B44,$B37))</f>
        <v>0</v>
      </c>
      <c r="AE93" s="122">
        <f>'SoESCaOMCbIC-variableOM'!AI14*($B44/SUM($B44,$B37))</f>
        <v>0</v>
      </c>
      <c r="AF93" s="122">
        <f>'SoESCaOMCbIC-variableOM'!AN14*($B44/SUM($B44,$B37))</f>
        <v>0</v>
      </c>
      <c r="AG93" s="122">
        <f>'SoESCaOMCbIC-variableOM'!AO14*($B44/SUM($B44,$B37))</f>
        <v>0</v>
      </c>
      <c r="AH93" s="122">
        <f>'SoESCaOMCbIC-variableOM'!AP14*($B44/SUM($B44,$B37))</f>
        <v>0</v>
      </c>
      <c r="AI93" s="122">
        <f>'SoESCaOMCbIC-variableOM'!AQ14*($B44/SUM($B44,$B37))</f>
        <v>0</v>
      </c>
      <c r="AJ93" s="122">
        <f>'SoESCaOMCbIC-variableOM'!AR14*($B44/SUM($B44,$B37))</f>
        <v>0</v>
      </c>
      <c r="AK93" s="122">
        <f>'SoESCaOMCbIC-variableOM'!AS14*($B44/SUM($B44,$B37))</f>
        <v>0</v>
      </c>
      <c r="AL93" s="122">
        <f>'SoESCaOMCbIC-variableOM'!AT14*($B44/SUM($B44,$B37))</f>
        <v>3.993246555198518E-2</v>
      </c>
      <c r="AM93" s="122">
        <f>'SoESCaOMCbIC-variableOM'!AV14*($B44/SUM($B44,$B37))</f>
        <v>0</v>
      </c>
      <c r="AN93" s="122">
        <f>'SoESCaOMCbIC-variableOM'!AW14*($B44/SUM($B44,$B37))</f>
        <v>0</v>
      </c>
      <c r="AO93" s="122">
        <f>'SoESCaOMCbIC-variableOM'!AX14*($B44/SUM($B44,$B37))</f>
        <v>0</v>
      </c>
      <c r="AP93" s="122">
        <f>'SoESCaOMCbIC-variableOM'!AZ14*($B44/SUM($B44,$B37))</f>
        <v>0</v>
      </c>
      <c r="AQ93" s="122">
        <f>'SoESCaOMCbIC-variableOM'!BA14*($B44/SUM($B44,$B37))</f>
        <v>0</v>
      </c>
    </row>
    <row r="94" spans="1:43" x14ac:dyDescent="0.25">
      <c r="B94" s="121"/>
    </row>
    <row r="95" spans="1:43" x14ac:dyDescent="0.25">
      <c r="A95" t="s">
        <v>546</v>
      </c>
    </row>
    <row r="96" spans="1:43" x14ac:dyDescent="0.25">
      <c r="A96" t="s">
        <v>542</v>
      </c>
    </row>
    <row r="97" spans="1:43" x14ac:dyDescent="0.25">
      <c r="A97" s="120"/>
      <c r="B97" s="106" t="s">
        <v>150</v>
      </c>
      <c r="C97" s="106" t="s">
        <v>4</v>
      </c>
      <c r="D97" s="106" t="s">
        <v>5</v>
      </c>
      <c r="E97" s="106" t="s">
        <v>152</v>
      </c>
      <c r="F97" s="106" t="s">
        <v>8</v>
      </c>
      <c r="G97" s="106" t="s">
        <v>9</v>
      </c>
      <c r="H97" s="106" t="s">
        <v>10</v>
      </c>
      <c r="I97" s="106" t="s">
        <v>11</v>
      </c>
      <c r="J97" s="106" t="s">
        <v>12</v>
      </c>
      <c r="K97" s="106" t="s">
        <v>13</v>
      </c>
      <c r="L97" s="106" t="s">
        <v>14</v>
      </c>
      <c r="M97" s="106" t="s">
        <v>15</v>
      </c>
      <c r="N97" s="106" t="s">
        <v>16</v>
      </c>
      <c r="O97" s="106" t="s">
        <v>17</v>
      </c>
      <c r="P97" s="106" t="s">
        <v>18</v>
      </c>
      <c r="Q97" s="106" t="s">
        <v>19</v>
      </c>
      <c r="R97" s="106" t="s">
        <v>20</v>
      </c>
      <c r="S97" s="106" t="s">
        <v>21</v>
      </c>
      <c r="T97" s="106" t="s">
        <v>22</v>
      </c>
      <c r="U97" s="106" t="s">
        <v>23</v>
      </c>
      <c r="V97" s="106" t="s">
        <v>24</v>
      </c>
      <c r="W97" s="106" t="s">
        <v>25</v>
      </c>
      <c r="X97" s="106" t="s">
        <v>153</v>
      </c>
      <c r="Y97" s="106" t="s">
        <v>28</v>
      </c>
      <c r="Z97" s="106" t="s">
        <v>29</v>
      </c>
      <c r="AA97" s="106" t="s">
        <v>30</v>
      </c>
      <c r="AB97" s="106" t="s">
        <v>31</v>
      </c>
      <c r="AC97" s="106" t="s">
        <v>32</v>
      </c>
      <c r="AD97" s="106" t="s">
        <v>33</v>
      </c>
      <c r="AE97" s="106" t="s">
        <v>154</v>
      </c>
      <c r="AF97" s="106" t="s">
        <v>39</v>
      </c>
      <c r="AG97" s="106" t="s">
        <v>40</v>
      </c>
      <c r="AH97" s="106" t="s">
        <v>41</v>
      </c>
      <c r="AI97" s="106" t="s">
        <v>42</v>
      </c>
      <c r="AJ97" s="106" t="s">
        <v>43</v>
      </c>
      <c r="AK97" s="106" t="s">
        <v>44</v>
      </c>
      <c r="AL97" s="106" t="s">
        <v>155</v>
      </c>
      <c r="AM97" s="106" t="s">
        <v>47</v>
      </c>
      <c r="AN97" s="106" t="s">
        <v>48</v>
      </c>
      <c r="AO97" s="106" t="s">
        <v>49</v>
      </c>
      <c r="AP97" s="106" t="s">
        <v>157</v>
      </c>
      <c r="AQ97" s="106" t="s">
        <v>52</v>
      </c>
    </row>
    <row r="98" spans="1:43" x14ac:dyDescent="0.25">
      <c r="A98" t="s">
        <v>53</v>
      </c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>
        <f>B34/SUM(B34,B41)</f>
        <v>0.43787375415282398</v>
      </c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  <c r="AD98" s="122"/>
      <c r="AE98" s="122"/>
      <c r="AF98" s="122"/>
      <c r="AG98" s="122"/>
      <c r="AH98" s="122"/>
      <c r="AI98" s="122"/>
      <c r="AJ98" s="122"/>
      <c r="AK98" s="122"/>
      <c r="AL98" s="122"/>
      <c r="AM98" s="122"/>
      <c r="AN98" s="122"/>
      <c r="AO98" s="122"/>
      <c r="AP98" s="122"/>
      <c r="AQ98" s="122"/>
    </row>
    <row r="99" spans="1:43" x14ac:dyDescent="0.25">
      <c r="A99" t="s">
        <v>55</v>
      </c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>
        <f>B35/SUM(B35,B42)</f>
        <v>0.5625</v>
      </c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  <c r="AD99" s="122"/>
      <c r="AE99" s="122"/>
      <c r="AF99" s="122"/>
      <c r="AG99" s="122"/>
      <c r="AH99" s="122"/>
      <c r="AI99" s="122"/>
      <c r="AJ99" s="122"/>
      <c r="AK99" s="122"/>
      <c r="AL99" s="122"/>
      <c r="AM99" s="122"/>
      <c r="AN99" s="122"/>
      <c r="AO99" s="122"/>
      <c r="AP99" s="122"/>
      <c r="AQ99" s="122"/>
    </row>
    <row r="100" spans="1:43" x14ac:dyDescent="0.25">
      <c r="A100" t="s">
        <v>61</v>
      </c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>
        <f>B36/SUM(B36,B43)</f>
        <v>0.75567422881917756</v>
      </c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  <c r="AD100" s="122"/>
      <c r="AE100" s="122"/>
      <c r="AF100" s="122"/>
      <c r="AG100" s="122"/>
      <c r="AH100" s="122"/>
      <c r="AI100" s="122"/>
      <c r="AJ100" s="122"/>
      <c r="AK100" s="122"/>
      <c r="AL100" s="122"/>
      <c r="AM100" s="122"/>
      <c r="AN100" s="122"/>
      <c r="AO100" s="122"/>
      <c r="AP100" s="122"/>
      <c r="AQ100" s="122"/>
    </row>
    <row r="101" spans="1:43" x14ac:dyDescent="0.25">
      <c r="A101" t="s">
        <v>65</v>
      </c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>
        <f>B37/SUM(B37,B44)</f>
        <v>0.43787375415282392</v>
      </c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  <c r="AD101" s="122"/>
      <c r="AE101" s="122"/>
      <c r="AF101" s="122"/>
      <c r="AG101" s="122"/>
      <c r="AH101" s="122"/>
      <c r="AI101" s="122"/>
      <c r="AJ101" s="122"/>
      <c r="AK101" s="122"/>
      <c r="AL101" s="122"/>
      <c r="AM101" s="122"/>
      <c r="AN101" s="122"/>
      <c r="AO101" s="122"/>
      <c r="AP101" s="122"/>
      <c r="AQ101" s="1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435"/>
  <sheetViews>
    <sheetView workbookViewId="0"/>
  </sheetViews>
  <sheetFormatPr defaultRowHeight="15" x14ac:dyDescent="0.25"/>
  <cols>
    <col min="1" max="1" width="60" customWidth="1"/>
  </cols>
  <sheetData>
    <row r="1" spans="1:3" x14ac:dyDescent="0.25">
      <c r="A1" s="123" t="s">
        <v>547</v>
      </c>
    </row>
    <row r="3" spans="1:3" x14ac:dyDescent="0.25">
      <c r="A3" s="123" t="s">
        <v>548</v>
      </c>
    </row>
    <row r="4" spans="1:3" x14ac:dyDescent="0.25">
      <c r="A4" t="s">
        <v>549</v>
      </c>
      <c r="B4">
        <f>('Factors applied'!$E$3+'Factors applied'!$E$4+'Factors applied'!$E$5)</f>
        <v>1</v>
      </c>
      <c r="C4" s="123" t="str">
        <f t="shared" ref="C4:C67" si="0">IF(ABS(B4-1)&lt;0.000000001,"PASS","FAIL")</f>
        <v>PASS</v>
      </c>
    </row>
    <row r="5" spans="1:3" x14ac:dyDescent="0.25">
      <c r="A5" t="s">
        <v>550</v>
      </c>
      <c r="B5">
        <f>('Factors applied'!$E$6+'Factors applied'!$E$7)</f>
        <v>1</v>
      </c>
      <c r="C5" s="123" t="str">
        <f t="shared" si="0"/>
        <v>PASS</v>
      </c>
    </row>
    <row r="6" spans="1:3" x14ac:dyDescent="0.25">
      <c r="A6" t="s">
        <v>551</v>
      </c>
      <c r="B6">
        <f>('Factors applied'!$E$8+'Factors applied'!$E$9)</f>
        <v>1</v>
      </c>
      <c r="C6" s="123" t="str">
        <f t="shared" si="0"/>
        <v>PASS</v>
      </c>
    </row>
    <row r="7" spans="1:3" x14ac:dyDescent="0.25">
      <c r="A7" t="s">
        <v>552</v>
      </c>
      <c r="B7">
        <f>('Factors applied'!$E$10+'Factors applied'!$E$11+'Factors applied'!$E$12+'Factors applied'!$E$13+'Factors applied'!$E$14)</f>
        <v>0.99999999999999989</v>
      </c>
      <c r="C7" s="123" t="str">
        <f t="shared" si="0"/>
        <v>PASS</v>
      </c>
    </row>
    <row r="8" spans="1:3" x14ac:dyDescent="0.25">
      <c r="A8" t="s">
        <v>553</v>
      </c>
      <c r="B8">
        <f>('Factors applied'!$E$15+'Factors applied'!$E$16)</f>
        <v>1</v>
      </c>
      <c r="C8" s="123" t="str">
        <f t="shared" si="0"/>
        <v>PASS</v>
      </c>
    </row>
    <row r="9" spans="1:3" x14ac:dyDescent="0.25">
      <c r="A9" t="s">
        <v>554</v>
      </c>
      <c r="B9">
        <f>('Factors applied'!$E$17+'Factors applied'!$E$18)</f>
        <v>1</v>
      </c>
      <c r="C9" s="123" t="str">
        <f t="shared" si="0"/>
        <v>PASS</v>
      </c>
    </row>
    <row r="10" spans="1:3" x14ac:dyDescent="0.25">
      <c r="A10" t="s">
        <v>555</v>
      </c>
      <c r="B10">
        <f>('Factors applied'!$E$19+'Factors applied'!$E$20+'Factors applied'!$E$21)</f>
        <v>1</v>
      </c>
      <c r="C10" s="123" t="str">
        <f t="shared" si="0"/>
        <v>PASS</v>
      </c>
    </row>
    <row r="11" spans="1:3" x14ac:dyDescent="0.25">
      <c r="A11" t="s">
        <v>556</v>
      </c>
      <c r="B11">
        <f>('Factors applied'!$E$22+'Factors applied'!$E$23)</f>
        <v>1</v>
      </c>
      <c r="C11" s="123" t="str">
        <f t="shared" si="0"/>
        <v>PASS</v>
      </c>
    </row>
    <row r="12" spans="1:3" x14ac:dyDescent="0.25">
      <c r="A12" t="s">
        <v>557</v>
      </c>
      <c r="B12">
        <f>('Factors applied'!$E$24+'Factors applied'!$E$25)</f>
        <v>1</v>
      </c>
      <c r="C12" s="123" t="str">
        <f t="shared" si="0"/>
        <v>PASS</v>
      </c>
    </row>
    <row r="13" spans="1:3" x14ac:dyDescent="0.25">
      <c r="A13" t="s">
        <v>558</v>
      </c>
      <c r="B13">
        <f>('Factors applied'!$E$26+'Factors applied'!$E$27+'Factors applied'!$E$28+'Factors applied'!$E$29+'Factors applied'!$E$30)</f>
        <v>0.99999999999999989</v>
      </c>
      <c r="C13" s="123" t="str">
        <f t="shared" si="0"/>
        <v>PASS</v>
      </c>
    </row>
    <row r="14" spans="1:3" x14ac:dyDescent="0.25">
      <c r="A14" t="s">
        <v>559</v>
      </c>
      <c r="B14">
        <f>('Factors applied'!$E$31+'Factors applied'!$E$32)</f>
        <v>1</v>
      </c>
      <c r="C14" s="123" t="str">
        <f t="shared" si="0"/>
        <v>PASS</v>
      </c>
    </row>
    <row r="15" spans="1:3" x14ac:dyDescent="0.25">
      <c r="A15" t="s">
        <v>560</v>
      </c>
      <c r="B15">
        <f>('Factors applied'!$E$33+'Factors applied'!$E$34)</f>
        <v>1</v>
      </c>
      <c r="C15" s="123" t="str">
        <f t="shared" si="0"/>
        <v>PASS</v>
      </c>
    </row>
    <row r="16" spans="1:3" x14ac:dyDescent="0.25">
      <c r="A16" t="s">
        <v>561</v>
      </c>
      <c r="B16">
        <f>('Factors applied'!$E$35+'Factors applied'!$E$36+'Factors applied'!$E$37)</f>
        <v>1</v>
      </c>
      <c r="C16" s="123" t="str">
        <f t="shared" si="0"/>
        <v>PASS</v>
      </c>
    </row>
    <row r="17" spans="1:3" x14ac:dyDescent="0.25">
      <c r="A17" t="s">
        <v>562</v>
      </c>
      <c r="B17">
        <f>('Factors applied'!$E$38+'Factors applied'!$E$39)</f>
        <v>1</v>
      </c>
      <c r="C17" s="123" t="str">
        <f t="shared" si="0"/>
        <v>PASS</v>
      </c>
    </row>
    <row r="18" spans="1:3" x14ac:dyDescent="0.25">
      <c r="A18" t="s">
        <v>563</v>
      </c>
      <c r="B18">
        <f>('Factors applied'!$E$40+'Factors applied'!$E$41)</f>
        <v>1</v>
      </c>
      <c r="C18" s="123" t="str">
        <f t="shared" si="0"/>
        <v>PASS</v>
      </c>
    </row>
    <row r="19" spans="1:3" x14ac:dyDescent="0.25">
      <c r="A19" t="s">
        <v>564</v>
      </c>
      <c r="B19">
        <f>('Factors applied'!$E$42+'Factors applied'!$E$43+'Factors applied'!$E$44+'Factors applied'!$E$45+'Factors applied'!$E$46)</f>
        <v>0.99999999999999989</v>
      </c>
      <c r="C19" s="123" t="str">
        <f t="shared" si="0"/>
        <v>PASS</v>
      </c>
    </row>
    <row r="20" spans="1:3" x14ac:dyDescent="0.25">
      <c r="A20" t="s">
        <v>565</v>
      </c>
      <c r="B20">
        <f>('Factors applied'!$E$47+'Factors applied'!$E$48)</f>
        <v>1</v>
      </c>
      <c r="C20" s="123" t="str">
        <f t="shared" si="0"/>
        <v>PASS</v>
      </c>
    </row>
    <row r="21" spans="1:3" x14ac:dyDescent="0.25">
      <c r="A21" t="s">
        <v>566</v>
      </c>
      <c r="B21">
        <f>('Factors applied'!$E$49+'Factors applied'!$E$50)</f>
        <v>1</v>
      </c>
      <c r="C21" s="123" t="str">
        <f t="shared" si="0"/>
        <v>PASS</v>
      </c>
    </row>
    <row r="22" spans="1:3" x14ac:dyDescent="0.25">
      <c r="A22" t="s">
        <v>567</v>
      </c>
      <c r="B22">
        <f>('Factors applied'!$E$51+'Factors applied'!$E$52+'Factors applied'!$E$53)</f>
        <v>1</v>
      </c>
      <c r="C22" s="123" t="str">
        <f t="shared" si="0"/>
        <v>PASS</v>
      </c>
    </row>
    <row r="23" spans="1:3" x14ac:dyDescent="0.25">
      <c r="A23" t="s">
        <v>568</v>
      </c>
      <c r="B23">
        <f>('Factors applied'!$E$54+'Factors applied'!$E$55)</f>
        <v>1</v>
      </c>
      <c r="C23" s="123" t="str">
        <f t="shared" si="0"/>
        <v>PASS</v>
      </c>
    </row>
    <row r="24" spans="1:3" x14ac:dyDescent="0.25">
      <c r="A24" t="s">
        <v>569</v>
      </c>
      <c r="B24">
        <f>('Factors applied'!$E$56+'Factors applied'!$E$57)</f>
        <v>1</v>
      </c>
      <c r="C24" s="123" t="str">
        <f t="shared" si="0"/>
        <v>PASS</v>
      </c>
    </row>
    <row r="25" spans="1:3" x14ac:dyDescent="0.25">
      <c r="A25" t="s">
        <v>570</v>
      </c>
      <c r="B25">
        <f>('Factors applied'!$E$58+'Factors applied'!$E$59+'Factors applied'!$E$60+'Factors applied'!$E$61+'Factors applied'!$E$62)</f>
        <v>0.99999999999999989</v>
      </c>
      <c r="C25" s="123" t="str">
        <f t="shared" si="0"/>
        <v>PASS</v>
      </c>
    </row>
    <row r="26" spans="1:3" x14ac:dyDescent="0.25">
      <c r="A26" t="s">
        <v>571</v>
      </c>
      <c r="B26">
        <f>('Factors applied'!$E$63+'Factors applied'!$E$64)</f>
        <v>1</v>
      </c>
      <c r="C26" s="123" t="str">
        <f t="shared" si="0"/>
        <v>PASS</v>
      </c>
    </row>
    <row r="27" spans="1:3" x14ac:dyDescent="0.25">
      <c r="A27" t="s">
        <v>572</v>
      </c>
      <c r="B27">
        <f>('Factors applied'!$E$65+'Factors applied'!$E$66)</f>
        <v>1</v>
      </c>
      <c r="C27" s="123" t="str">
        <f t="shared" si="0"/>
        <v>PASS</v>
      </c>
    </row>
    <row r="28" spans="1:3" x14ac:dyDescent="0.25">
      <c r="A28" t="s">
        <v>573</v>
      </c>
      <c r="B28">
        <f>('Factors applied'!$E$67+'Factors applied'!$E$68+'Factors applied'!$E$69)</f>
        <v>1</v>
      </c>
      <c r="C28" s="123" t="str">
        <f t="shared" si="0"/>
        <v>PASS</v>
      </c>
    </row>
    <row r="29" spans="1:3" x14ac:dyDescent="0.25">
      <c r="A29" t="s">
        <v>574</v>
      </c>
      <c r="B29">
        <f>('Factors applied'!$E$70+'Factors applied'!$E$71)</f>
        <v>1</v>
      </c>
      <c r="C29" s="123" t="str">
        <f t="shared" si="0"/>
        <v>PASS</v>
      </c>
    </row>
    <row r="30" spans="1:3" x14ac:dyDescent="0.25">
      <c r="A30" t="s">
        <v>575</v>
      </c>
      <c r="B30">
        <f>('Factors applied'!$E$72+'Factors applied'!$E$73)</f>
        <v>1</v>
      </c>
      <c r="C30" s="123" t="str">
        <f t="shared" si="0"/>
        <v>PASS</v>
      </c>
    </row>
    <row r="31" spans="1:3" x14ac:dyDescent="0.25">
      <c r="A31" t="s">
        <v>576</v>
      </c>
      <c r="B31">
        <f>('Factors applied'!$E$74+'Factors applied'!$E$75+'Factors applied'!$E$76+'Factors applied'!$E$77+'Factors applied'!$E$78)</f>
        <v>0.99999999999999989</v>
      </c>
      <c r="C31" s="123" t="str">
        <f t="shared" si="0"/>
        <v>PASS</v>
      </c>
    </row>
    <row r="32" spans="1:3" x14ac:dyDescent="0.25">
      <c r="A32" t="s">
        <v>577</v>
      </c>
      <c r="B32">
        <f>('Factors applied'!$E$79+'Factors applied'!$E$80)</f>
        <v>1</v>
      </c>
      <c r="C32" s="123" t="str">
        <f t="shared" si="0"/>
        <v>PASS</v>
      </c>
    </row>
    <row r="33" spans="1:3" x14ac:dyDescent="0.25">
      <c r="A33" t="s">
        <v>578</v>
      </c>
      <c r="B33">
        <f>('Factors applied'!$E$81+'Factors applied'!$E$82)</f>
        <v>1</v>
      </c>
      <c r="C33" s="123" t="str">
        <f t="shared" si="0"/>
        <v>PASS</v>
      </c>
    </row>
    <row r="34" spans="1:3" x14ac:dyDescent="0.25">
      <c r="A34" t="s">
        <v>579</v>
      </c>
      <c r="B34">
        <f>('Factors applied'!$E$83+'Factors applied'!$E$84+'Factors applied'!$E$85)</f>
        <v>1</v>
      </c>
      <c r="C34" s="123" t="str">
        <f t="shared" si="0"/>
        <v>PASS</v>
      </c>
    </row>
    <row r="35" spans="1:3" x14ac:dyDescent="0.25">
      <c r="A35" t="s">
        <v>580</v>
      </c>
      <c r="B35">
        <f>('Factors applied'!$E$86+'Factors applied'!$E$87)</f>
        <v>1</v>
      </c>
      <c r="C35" s="123" t="str">
        <f t="shared" si="0"/>
        <v>PASS</v>
      </c>
    </row>
    <row r="36" spans="1:3" x14ac:dyDescent="0.25">
      <c r="A36" t="s">
        <v>581</v>
      </c>
      <c r="B36">
        <f>('Factors applied'!$E$88+'Factors applied'!$E$89)</f>
        <v>1</v>
      </c>
      <c r="C36" s="123" t="str">
        <f t="shared" si="0"/>
        <v>PASS</v>
      </c>
    </row>
    <row r="37" spans="1:3" x14ac:dyDescent="0.25">
      <c r="A37" t="s">
        <v>582</v>
      </c>
      <c r="B37">
        <f>('Factors applied'!$E$90+'Factors applied'!$E$91+'Factors applied'!$E$92+'Factors applied'!$E$93+'Factors applied'!$E$94)</f>
        <v>0.99999999999999989</v>
      </c>
      <c r="C37" s="123" t="str">
        <f t="shared" si="0"/>
        <v>PASS</v>
      </c>
    </row>
    <row r="38" spans="1:3" x14ac:dyDescent="0.25">
      <c r="A38" t="s">
        <v>583</v>
      </c>
      <c r="B38">
        <f>('Factors applied'!$E$95+'Factors applied'!$E$96)</f>
        <v>1</v>
      </c>
      <c r="C38" s="123" t="str">
        <f t="shared" si="0"/>
        <v>PASS</v>
      </c>
    </row>
    <row r="39" spans="1:3" x14ac:dyDescent="0.25">
      <c r="A39" t="s">
        <v>584</v>
      </c>
      <c r="B39">
        <f>('Factors applied'!$E$97+'Factors applied'!$E$98)</f>
        <v>1</v>
      </c>
      <c r="C39" s="123" t="str">
        <f t="shared" si="0"/>
        <v>PASS</v>
      </c>
    </row>
    <row r="40" spans="1:3" x14ac:dyDescent="0.25">
      <c r="A40" t="s">
        <v>585</v>
      </c>
      <c r="B40">
        <f>('Factors applied'!$E$99+'Factors applied'!$E$100+'Factors applied'!$E$101)</f>
        <v>1</v>
      </c>
      <c r="C40" s="123" t="str">
        <f t="shared" si="0"/>
        <v>PASS</v>
      </c>
    </row>
    <row r="41" spans="1:3" x14ac:dyDescent="0.25">
      <c r="A41" t="s">
        <v>586</v>
      </c>
      <c r="B41">
        <f>('Factors applied'!$E$102+'Factors applied'!$E$103)</f>
        <v>1</v>
      </c>
      <c r="C41" s="123" t="str">
        <f t="shared" si="0"/>
        <v>PASS</v>
      </c>
    </row>
    <row r="42" spans="1:3" x14ac:dyDescent="0.25">
      <c r="A42" t="s">
        <v>587</v>
      </c>
      <c r="B42">
        <f>('Factors applied'!$E$104+'Factors applied'!$E$105)</f>
        <v>1</v>
      </c>
      <c r="C42" s="123" t="str">
        <f t="shared" si="0"/>
        <v>PASS</v>
      </c>
    </row>
    <row r="43" spans="1:3" x14ac:dyDescent="0.25">
      <c r="A43" t="s">
        <v>588</v>
      </c>
      <c r="B43">
        <f>('Factors applied'!$E$106+'Factors applied'!$E$107+'Factors applied'!$E$108+'Factors applied'!$E$109+'Factors applied'!$E$110)</f>
        <v>0.99999999999999989</v>
      </c>
      <c r="C43" s="123" t="str">
        <f t="shared" si="0"/>
        <v>PASS</v>
      </c>
    </row>
    <row r="44" spans="1:3" x14ac:dyDescent="0.25">
      <c r="A44" t="s">
        <v>589</v>
      </c>
      <c r="B44">
        <f>('Factors applied'!$E$111+'Factors applied'!$E$112)</f>
        <v>1</v>
      </c>
      <c r="C44" s="123" t="str">
        <f t="shared" si="0"/>
        <v>PASS</v>
      </c>
    </row>
    <row r="45" spans="1:3" x14ac:dyDescent="0.25">
      <c r="A45" t="s">
        <v>590</v>
      </c>
      <c r="B45">
        <f>('Factors applied'!$E$113+'Factors applied'!$E$114)</f>
        <v>1</v>
      </c>
      <c r="C45" s="123" t="str">
        <f t="shared" si="0"/>
        <v>PASS</v>
      </c>
    </row>
    <row r="46" spans="1:3" x14ac:dyDescent="0.25">
      <c r="A46" t="s">
        <v>591</v>
      </c>
      <c r="B46">
        <f>('Factors applied'!$E$115+'Factors applied'!$E$116+'Factors applied'!$E$117)</f>
        <v>1</v>
      </c>
      <c r="C46" s="123" t="str">
        <f t="shared" si="0"/>
        <v>PASS</v>
      </c>
    </row>
    <row r="47" spans="1:3" x14ac:dyDescent="0.25">
      <c r="A47" t="s">
        <v>592</v>
      </c>
      <c r="B47">
        <f>('Factors applied'!$E$118+'Factors applied'!$E$119)</f>
        <v>1</v>
      </c>
      <c r="C47" s="123" t="str">
        <f t="shared" si="0"/>
        <v>PASS</v>
      </c>
    </row>
    <row r="48" spans="1:3" x14ac:dyDescent="0.25">
      <c r="A48" t="s">
        <v>593</v>
      </c>
      <c r="B48">
        <f>('Factors applied'!$E$120+'Factors applied'!$E$121)</f>
        <v>1</v>
      </c>
      <c r="C48" s="123" t="str">
        <f t="shared" si="0"/>
        <v>PASS</v>
      </c>
    </row>
    <row r="49" spans="1:3" x14ac:dyDescent="0.25">
      <c r="A49" t="s">
        <v>594</v>
      </c>
      <c r="B49">
        <f>('Factors applied'!$E$122+'Factors applied'!$E$123+'Factors applied'!$E$124+'Factors applied'!$E$125+'Factors applied'!$E$126)</f>
        <v>0.99999999999999989</v>
      </c>
      <c r="C49" s="123" t="str">
        <f t="shared" si="0"/>
        <v>PASS</v>
      </c>
    </row>
    <row r="50" spans="1:3" x14ac:dyDescent="0.25">
      <c r="A50" t="s">
        <v>595</v>
      </c>
      <c r="B50">
        <f>('Factors applied'!$E$127+'Factors applied'!$E$128)</f>
        <v>1</v>
      </c>
      <c r="C50" s="123" t="str">
        <f t="shared" si="0"/>
        <v>PASS</v>
      </c>
    </row>
    <row r="51" spans="1:3" x14ac:dyDescent="0.25">
      <c r="A51" t="s">
        <v>596</v>
      </c>
      <c r="B51">
        <f>('Factors applied'!$E$129+'Factors applied'!$E$130)</f>
        <v>1</v>
      </c>
      <c r="C51" s="123" t="str">
        <f t="shared" si="0"/>
        <v>PASS</v>
      </c>
    </row>
    <row r="52" spans="1:3" x14ac:dyDescent="0.25">
      <c r="A52" t="s">
        <v>597</v>
      </c>
      <c r="B52">
        <f>('Factors applied'!$E$131+'Factors applied'!$E$132+'Factors applied'!$E$133)</f>
        <v>1</v>
      </c>
      <c r="C52" s="123" t="str">
        <f t="shared" si="0"/>
        <v>PASS</v>
      </c>
    </row>
    <row r="53" spans="1:3" x14ac:dyDescent="0.25">
      <c r="A53" t="s">
        <v>598</v>
      </c>
      <c r="B53">
        <f>('Factors applied'!$E$134+'Factors applied'!$E$135)</f>
        <v>1</v>
      </c>
      <c r="C53" s="123" t="str">
        <f t="shared" si="0"/>
        <v>PASS</v>
      </c>
    </row>
    <row r="54" spans="1:3" x14ac:dyDescent="0.25">
      <c r="A54" t="s">
        <v>599</v>
      </c>
      <c r="B54">
        <f>('Factors applied'!$E$136+'Factors applied'!$E$137)</f>
        <v>1</v>
      </c>
      <c r="C54" s="123" t="str">
        <f t="shared" si="0"/>
        <v>PASS</v>
      </c>
    </row>
    <row r="55" spans="1:3" x14ac:dyDescent="0.25">
      <c r="A55" t="s">
        <v>600</v>
      </c>
      <c r="B55">
        <f>('Factors applied'!$E$138+'Factors applied'!$E$139+'Factors applied'!$E$140+'Factors applied'!$E$141+'Factors applied'!$E$142)</f>
        <v>0.99999999999999989</v>
      </c>
      <c r="C55" s="123" t="str">
        <f t="shared" si="0"/>
        <v>PASS</v>
      </c>
    </row>
    <row r="56" spans="1:3" x14ac:dyDescent="0.25">
      <c r="A56" t="s">
        <v>601</v>
      </c>
      <c r="B56">
        <f>('Factors applied'!$E$143+'Factors applied'!$E$144)</f>
        <v>1</v>
      </c>
      <c r="C56" s="123" t="str">
        <f t="shared" si="0"/>
        <v>PASS</v>
      </c>
    </row>
    <row r="57" spans="1:3" x14ac:dyDescent="0.25">
      <c r="A57" t="s">
        <v>602</v>
      </c>
      <c r="B57">
        <f>('Factors applied'!$E$145+'Factors applied'!$E$146)</f>
        <v>1</v>
      </c>
      <c r="C57" s="123" t="str">
        <f t="shared" si="0"/>
        <v>PASS</v>
      </c>
    </row>
    <row r="58" spans="1:3" x14ac:dyDescent="0.25">
      <c r="A58" t="s">
        <v>603</v>
      </c>
      <c r="B58">
        <f>('Factors applied'!$E$147+'Factors applied'!$E$148+'Factors applied'!$E$149)</f>
        <v>1</v>
      </c>
      <c r="C58" s="123" t="str">
        <f t="shared" si="0"/>
        <v>PASS</v>
      </c>
    </row>
    <row r="59" spans="1:3" x14ac:dyDescent="0.25">
      <c r="A59" t="s">
        <v>604</v>
      </c>
      <c r="B59">
        <f>('Factors applied'!$E$150+'Factors applied'!$E$151)</f>
        <v>1</v>
      </c>
      <c r="C59" s="123" t="str">
        <f t="shared" si="0"/>
        <v>PASS</v>
      </c>
    </row>
    <row r="60" spans="1:3" x14ac:dyDescent="0.25">
      <c r="A60" t="s">
        <v>605</v>
      </c>
      <c r="B60">
        <f>('Factors applied'!$E$152+'Factors applied'!$E$153)</f>
        <v>1</v>
      </c>
      <c r="C60" s="123" t="str">
        <f t="shared" si="0"/>
        <v>PASS</v>
      </c>
    </row>
    <row r="61" spans="1:3" x14ac:dyDescent="0.25">
      <c r="A61" t="s">
        <v>606</v>
      </c>
      <c r="B61">
        <f>('Factors applied'!$E$154+'Factors applied'!$E$155+'Factors applied'!$E$156+'Factors applied'!$E$157+'Factors applied'!$E$158)</f>
        <v>0.99999999999999989</v>
      </c>
      <c r="C61" s="123" t="str">
        <f t="shared" si="0"/>
        <v>PASS</v>
      </c>
    </row>
    <row r="62" spans="1:3" x14ac:dyDescent="0.25">
      <c r="A62" t="s">
        <v>607</v>
      </c>
      <c r="B62">
        <f>('Factors applied'!$E$159+'Factors applied'!$E$160)</f>
        <v>1</v>
      </c>
      <c r="C62" s="123" t="str">
        <f t="shared" si="0"/>
        <v>PASS</v>
      </c>
    </row>
    <row r="63" spans="1:3" x14ac:dyDescent="0.25">
      <c r="A63" t="s">
        <v>608</v>
      </c>
      <c r="B63">
        <f>('Factors applied'!$E$161+'Factors applied'!$E$162)</f>
        <v>1</v>
      </c>
      <c r="C63" s="123" t="str">
        <f t="shared" si="0"/>
        <v>PASS</v>
      </c>
    </row>
    <row r="64" spans="1:3" x14ac:dyDescent="0.25">
      <c r="A64" t="s">
        <v>609</v>
      </c>
      <c r="B64">
        <f>('Factors applied'!$E$163+'Factors applied'!$E$164+'Factors applied'!$E$165)</f>
        <v>1</v>
      </c>
      <c r="C64" s="123" t="str">
        <f t="shared" si="0"/>
        <v>PASS</v>
      </c>
    </row>
    <row r="65" spans="1:3" x14ac:dyDescent="0.25">
      <c r="A65" t="s">
        <v>610</v>
      </c>
      <c r="B65">
        <f>('Factors applied'!$E$166+'Factors applied'!$E$167)</f>
        <v>1</v>
      </c>
      <c r="C65" s="123" t="str">
        <f t="shared" si="0"/>
        <v>PASS</v>
      </c>
    </row>
    <row r="66" spans="1:3" x14ac:dyDescent="0.25">
      <c r="A66" t="s">
        <v>611</v>
      </c>
      <c r="B66">
        <f>('Factors applied'!$E$168+'Factors applied'!$E$169)</f>
        <v>1</v>
      </c>
      <c r="C66" s="123" t="str">
        <f t="shared" si="0"/>
        <v>PASS</v>
      </c>
    </row>
    <row r="67" spans="1:3" x14ac:dyDescent="0.25">
      <c r="A67" t="s">
        <v>612</v>
      </c>
      <c r="B67">
        <f>('Factors applied'!$E$170+'Factors applied'!$E$171+'Factors applied'!$E$172+'Factors applied'!$E$173+'Factors applied'!$E$174)</f>
        <v>0.99999999999999989</v>
      </c>
      <c r="C67" s="123" t="str">
        <f t="shared" si="0"/>
        <v>PASS</v>
      </c>
    </row>
    <row r="68" spans="1:3" x14ac:dyDescent="0.25">
      <c r="A68" t="s">
        <v>613</v>
      </c>
      <c r="B68">
        <f>('Factors applied'!$E$175+'Factors applied'!$E$176)</f>
        <v>1</v>
      </c>
      <c r="C68" s="123" t="str">
        <f t="shared" ref="C68:C131" si="1">IF(ABS(B68-1)&lt;0.000000001,"PASS","FAIL")</f>
        <v>PASS</v>
      </c>
    </row>
    <row r="69" spans="1:3" x14ac:dyDescent="0.25">
      <c r="A69" t="s">
        <v>614</v>
      </c>
      <c r="B69">
        <f>('Factors applied'!$E$177+'Factors applied'!$E$178)</f>
        <v>1</v>
      </c>
      <c r="C69" s="123" t="str">
        <f t="shared" si="1"/>
        <v>PASS</v>
      </c>
    </row>
    <row r="70" spans="1:3" x14ac:dyDescent="0.25">
      <c r="A70" t="s">
        <v>615</v>
      </c>
      <c r="B70">
        <f>('Factors applied'!$E$179+'Factors applied'!$E$180+'Factors applied'!$E$181)</f>
        <v>1</v>
      </c>
      <c r="C70" s="123" t="str">
        <f t="shared" si="1"/>
        <v>PASS</v>
      </c>
    </row>
    <row r="71" spans="1:3" x14ac:dyDescent="0.25">
      <c r="A71" t="s">
        <v>616</v>
      </c>
      <c r="B71">
        <f>('Factors applied'!$E$182+'Factors applied'!$E$183)</f>
        <v>1</v>
      </c>
      <c r="C71" s="123" t="str">
        <f t="shared" si="1"/>
        <v>PASS</v>
      </c>
    </row>
    <row r="72" spans="1:3" x14ac:dyDescent="0.25">
      <c r="A72" t="s">
        <v>617</v>
      </c>
      <c r="B72">
        <f>('Factors applied'!$E$184+'Factors applied'!$E$185)</f>
        <v>1</v>
      </c>
      <c r="C72" s="123" t="str">
        <f t="shared" si="1"/>
        <v>PASS</v>
      </c>
    </row>
    <row r="73" spans="1:3" x14ac:dyDescent="0.25">
      <c r="A73" t="s">
        <v>618</v>
      </c>
      <c r="B73">
        <f>('Factors applied'!$E$186+'Factors applied'!$E$187+'Factors applied'!$E$188+'Factors applied'!$E$189+'Factors applied'!$E$190)</f>
        <v>0.99999999999999989</v>
      </c>
      <c r="C73" s="123" t="str">
        <f t="shared" si="1"/>
        <v>PASS</v>
      </c>
    </row>
    <row r="74" spans="1:3" x14ac:dyDescent="0.25">
      <c r="A74" t="s">
        <v>619</v>
      </c>
      <c r="B74">
        <f>('Factors applied'!$E$191+'Factors applied'!$E$192)</f>
        <v>1</v>
      </c>
      <c r="C74" s="123" t="str">
        <f t="shared" si="1"/>
        <v>PASS</v>
      </c>
    </row>
    <row r="75" spans="1:3" x14ac:dyDescent="0.25">
      <c r="A75" t="s">
        <v>620</v>
      </c>
      <c r="B75">
        <f>('Factors applied'!$E$193+'Factors applied'!$E$194)</f>
        <v>1</v>
      </c>
      <c r="C75" s="123" t="str">
        <f t="shared" si="1"/>
        <v>PASS</v>
      </c>
    </row>
    <row r="76" spans="1:3" x14ac:dyDescent="0.25">
      <c r="A76" t="s">
        <v>621</v>
      </c>
      <c r="B76">
        <f>('Factors applied'!$E$195+'Factors applied'!$E$196+'Factors applied'!$E$197)</f>
        <v>1</v>
      </c>
      <c r="C76" s="123" t="str">
        <f t="shared" si="1"/>
        <v>PASS</v>
      </c>
    </row>
    <row r="77" spans="1:3" x14ac:dyDescent="0.25">
      <c r="A77" t="s">
        <v>622</v>
      </c>
      <c r="B77">
        <f>('Factors applied'!$E$198+'Factors applied'!$E$199)</f>
        <v>1</v>
      </c>
      <c r="C77" s="123" t="str">
        <f t="shared" si="1"/>
        <v>PASS</v>
      </c>
    </row>
    <row r="78" spans="1:3" x14ac:dyDescent="0.25">
      <c r="A78" t="s">
        <v>623</v>
      </c>
      <c r="B78">
        <f>('Factors applied'!$E$200+'Factors applied'!$E$201)</f>
        <v>1</v>
      </c>
      <c r="C78" s="123" t="str">
        <f t="shared" si="1"/>
        <v>PASS</v>
      </c>
    </row>
    <row r="79" spans="1:3" x14ac:dyDescent="0.25">
      <c r="A79" t="s">
        <v>624</v>
      </c>
      <c r="B79">
        <f>('Factors applied'!$E$202+'Factors applied'!$E$203+'Factors applied'!$E$204+'Factors applied'!$E$205+'Factors applied'!$E$206)</f>
        <v>0.99999999999999989</v>
      </c>
      <c r="C79" s="123" t="str">
        <f t="shared" si="1"/>
        <v>PASS</v>
      </c>
    </row>
    <row r="80" spans="1:3" x14ac:dyDescent="0.25">
      <c r="A80" t="s">
        <v>625</v>
      </c>
      <c r="B80">
        <f>('Factors applied'!$E$207+'Factors applied'!$E$208)</f>
        <v>1</v>
      </c>
      <c r="C80" s="123" t="str">
        <f t="shared" si="1"/>
        <v>PASS</v>
      </c>
    </row>
    <row r="81" spans="1:3" x14ac:dyDescent="0.25">
      <c r="A81" t="s">
        <v>626</v>
      </c>
      <c r="B81">
        <f>('Factors applied'!$E$209+'Factors applied'!$E$210)</f>
        <v>1</v>
      </c>
      <c r="C81" s="123" t="str">
        <f t="shared" si="1"/>
        <v>PASS</v>
      </c>
    </row>
    <row r="82" spans="1:3" x14ac:dyDescent="0.25">
      <c r="A82" t="s">
        <v>627</v>
      </c>
      <c r="B82">
        <f>('Factors applied'!$E$211+'Factors applied'!$E$212+'Factors applied'!$E$213)</f>
        <v>1</v>
      </c>
      <c r="C82" s="123" t="str">
        <f t="shared" si="1"/>
        <v>PASS</v>
      </c>
    </row>
    <row r="83" spans="1:3" x14ac:dyDescent="0.25">
      <c r="A83" t="s">
        <v>628</v>
      </c>
      <c r="B83">
        <f>('Factors applied'!$E$214+'Factors applied'!$E$215)</f>
        <v>1</v>
      </c>
      <c r="C83" s="123" t="str">
        <f t="shared" si="1"/>
        <v>PASS</v>
      </c>
    </row>
    <row r="84" spans="1:3" x14ac:dyDescent="0.25">
      <c r="A84" t="s">
        <v>629</v>
      </c>
      <c r="B84">
        <f>('Factors applied'!$E$216+'Factors applied'!$E$217)</f>
        <v>1</v>
      </c>
      <c r="C84" s="123" t="str">
        <f t="shared" si="1"/>
        <v>PASS</v>
      </c>
    </row>
    <row r="85" spans="1:3" x14ac:dyDescent="0.25">
      <c r="A85" t="s">
        <v>630</v>
      </c>
      <c r="B85">
        <f>('Factors applied'!$E$218+'Factors applied'!$E$219+'Factors applied'!$E$220+'Factors applied'!$E$221+'Factors applied'!$E$222)</f>
        <v>0.99999999999999989</v>
      </c>
      <c r="C85" s="123" t="str">
        <f t="shared" si="1"/>
        <v>PASS</v>
      </c>
    </row>
    <row r="86" spans="1:3" x14ac:dyDescent="0.25">
      <c r="A86" t="s">
        <v>631</v>
      </c>
      <c r="B86">
        <f>('Factors applied'!$E$223+'Factors applied'!$E$224)</f>
        <v>1</v>
      </c>
      <c r="C86" s="123" t="str">
        <f t="shared" si="1"/>
        <v>PASS</v>
      </c>
    </row>
    <row r="87" spans="1:3" x14ac:dyDescent="0.25">
      <c r="A87" t="s">
        <v>632</v>
      </c>
      <c r="B87">
        <f>('Factors applied'!$E$225+'Factors applied'!$E$226)</f>
        <v>1</v>
      </c>
      <c r="C87" s="123" t="str">
        <f t="shared" si="1"/>
        <v>PASS</v>
      </c>
    </row>
    <row r="88" spans="1:3" x14ac:dyDescent="0.25">
      <c r="A88" t="s">
        <v>633</v>
      </c>
      <c r="B88">
        <f>('Factors applied'!$E$227+'Factors applied'!$E$228+'Factors applied'!$E$229)</f>
        <v>1</v>
      </c>
      <c r="C88" s="123" t="str">
        <f t="shared" si="1"/>
        <v>PASS</v>
      </c>
    </row>
    <row r="89" spans="1:3" x14ac:dyDescent="0.25">
      <c r="A89" t="s">
        <v>634</v>
      </c>
      <c r="B89">
        <f>('Factors applied'!$E$230+'Factors applied'!$E$231)</f>
        <v>1</v>
      </c>
      <c r="C89" s="123" t="str">
        <f t="shared" si="1"/>
        <v>PASS</v>
      </c>
    </row>
    <row r="90" spans="1:3" x14ac:dyDescent="0.25">
      <c r="A90" t="s">
        <v>635</v>
      </c>
      <c r="B90">
        <f>('Factors applied'!$E$232+'Factors applied'!$E$233)</f>
        <v>1</v>
      </c>
      <c r="C90" s="123" t="str">
        <f t="shared" si="1"/>
        <v>PASS</v>
      </c>
    </row>
    <row r="91" spans="1:3" x14ac:dyDescent="0.25">
      <c r="A91" t="s">
        <v>636</v>
      </c>
      <c r="B91">
        <f>('Factors applied'!$E$234+'Factors applied'!$E$235+'Factors applied'!$E$236+'Factors applied'!$E$237+'Factors applied'!$E$238)</f>
        <v>0.99999999999999989</v>
      </c>
      <c r="C91" s="123" t="str">
        <f t="shared" si="1"/>
        <v>PASS</v>
      </c>
    </row>
    <row r="92" spans="1:3" x14ac:dyDescent="0.25">
      <c r="A92" t="s">
        <v>637</v>
      </c>
      <c r="B92">
        <f>('Factors applied'!$E$239+'Factors applied'!$E$240)</f>
        <v>1</v>
      </c>
      <c r="C92" s="123" t="str">
        <f t="shared" si="1"/>
        <v>PASS</v>
      </c>
    </row>
    <row r="93" spans="1:3" x14ac:dyDescent="0.25">
      <c r="A93" t="s">
        <v>638</v>
      </c>
      <c r="B93">
        <f>('Factors applied'!$E$241+'Factors applied'!$E$242)</f>
        <v>1</v>
      </c>
      <c r="C93" s="123" t="str">
        <f t="shared" si="1"/>
        <v>PASS</v>
      </c>
    </row>
    <row r="94" spans="1:3" x14ac:dyDescent="0.25">
      <c r="A94" t="s">
        <v>639</v>
      </c>
      <c r="B94">
        <f>('Factors applied'!$E$243+'Factors applied'!$E$244+'Factors applied'!$E$245)</f>
        <v>1</v>
      </c>
      <c r="C94" s="123" t="str">
        <f t="shared" si="1"/>
        <v>PASS</v>
      </c>
    </row>
    <row r="95" spans="1:3" x14ac:dyDescent="0.25">
      <c r="A95" t="s">
        <v>640</v>
      </c>
      <c r="B95">
        <f>('Factors applied'!$E$246+'Factors applied'!$E$247)</f>
        <v>1</v>
      </c>
      <c r="C95" s="123" t="str">
        <f t="shared" si="1"/>
        <v>PASS</v>
      </c>
    </row>
    <row r="96" spans="1:3" x14ac:dyDescent="0.25">
      <c r="A96" t="s">
        <v>641</v>
      </c>
      <c r="B96">
        <f>('Factors applied'!$E$248+'Factors applied'!$E$249)</f>
        <v>1</v>
      </c>
      <c r="C96" s="123" t="str">
        <f t="shared" si="1"/>
        <v>PASS</v>
      </c>
    </row>
    <row r="97" spans="1:3" x14ac:dyDescent="0.25">
      <c r="A97" t="s">
        <v>642</v>
      </c>
      <c r="B97">
        <f>('Factors applied'!$E$250+'Factors applied'!$E$251+'Factors applied'!$E$252+'Factors applied'!$E$253+'Factors applied'!$E$254)</f>
        <v>0.99999999999999989</v>
      </c>
      <c r="C97" s="123" t="str">
        <f t="shared" si="1"/>
        <v>PASS</v>
      </c>
    </row>
    <row r="98" spans="1:3" x14ac:dyDescent="0.25">
      <c r="A98" t="s">
        <v>643</v>
      </c>
      <c r="B98">
        <f>('Factors applied'!$E$255+'Factors applied'!$E$256)</f>
        <v>1</v>
      </c>
      <c r="C98" s="123" t="str">
        <f t="shared" si="1"/>
        <v>PASS</v>
      </c>
    </row>
    <row r="99" spans="1:3" x14ac:dyDescent="0.25">
      <c r="A99" t="s">
        <v>644</v>
      </c>
      <c r="B99">
        <f>('Factors applied'!$E$257+'Factors applied'!$E$258)</f>
        <v>1</v>
      </c>
      <c r="C99" s="123" t="str">
        <f t="shared" si="1"/>
        <v>PASS</v>
      </c>
    </row>
    <row r="100" spans="1:3" x14ac:dyDescent="0.25">
      <c r="A100" t="s">
        <v>645</v>
      </c>
      <c r="B100">
        <f>('Factors applied'!$E$259+'Factors applied'!$E$260+'Factors applied'!$E$261)</f>
        <v>1</v>
      </c>
      <c r="C100" s="123" t="str">
        <f t="shared" si="1"/>
        <v>PASS</v>
      </c>
    </row>
    <row r="101" spans="1:3" x14ac:dyDescent="0.25">
      <c r="A101" t="s">
        <v>646</v>
      </c>
      <c r="B101">
        <f>('Factors applied'!$E$262+'Factors applied'!$E$263)</f>
        <v>1</v>
      </c>
      <c r="C101" s="123" t="str">
        <f t="shared" si="1"/>
        <v>PASS</v>
      </c>
    </row>
    <row r="102" spans="1:3" x14ac:dyDescent="0.25">
      <c r="A102" t="s">
        <v>647</v>
      </c>
      <c r="B102">
        <f>('Factors applied'!$E$264+'Factors applied'!$E$265)</f>
        <v>1</v>
      </c>
      <c r="C102" s="123" t="str">
        <f t="shared" si="1"/>
        <v>PASS</v>
      </c>
    </row>
    <row r="103" spans="1:3" x14ac:dyDescent="0.25">
      <c r="A103" t="s">
        <v>648</v>
      </c>
      <c r="B103">
        <f>('Factors applied'!$E$266+'Factors applied'!$E$267+'Factors applied'!$E$268+'Factors applied'!$E$269+'Factors applied'!$E$270)</f>
        <v>0.99999999999999989</v>
      </c>
      <c r="C103" s="123" t="str">
        <f t="shared" si="1"/>
        <v>PASS</v>
      </c>
    </row>
    <row r="104" spans="1:3" x14ac:dyDescent="0.25">
      <c r="A104" t="s">
        <v>649</v>
      </c>
      <c r="B104">
        <f>('Factors applied'!$E$271+'Factors applied'!$E$272)</f>
        <v>1</v>
      </c>
      <c r="C104" s="123" t="str">
        <f t="shared" si="1"/>
        <v>PASS</v>
      </c>
    </row>
    <row r="105" spans="1:3" x14ac:dyDescent="0.25">
      <c r="A105" t="s">
        <v>650</v>
      </c>
      <c r="B105">
        <f>('Factors applied'!$E$273+'Factors applied'!$E$274)</f>
        <v>1</v>
      </c>
      <c r="C105" s="123" t="str">
        <f t="shared" si="1"/>
        <v>PASS</v>
      </c>
    </row>
    <row r="106" spans="1:3" x14ac:dyDescent="0.25">
      <c r="A106" t="s">
        <v>651</v>
      </c>
      <c r="B106">
        <f>('Factors applied'!$E$275+'Factors applied'!$E$276+'Factors applied'!$E$277)</f>
        <v>1</v>
      </c>
      <c r="C106" s="123" t="str">
        <f t="shared" si="1"/>
        <v>PASS</v>
      </c>
    </row>
    <row r="107" spans="1:3" x14ac:dyDescent="0.25">
      <c r="A107" t="s">
        <v>652</v>
      </c>
      <c r="B107">
        <f>('Factors applied'!$E$278+'Factors applied'!$E$279)</f>
        <v>1</v>
      </c>
      <c r="C107" s="123" t="str">
        <f t="shared" si="1"/>
        <v>PASS</v>
      </c>
    </row>
    <row r="108" spans="1:3" x14ac:dyDescent="0.25">
      <c r="A108" t="s">
        <v>653</v>
      </c>
      <c r="B108">
        <f>('Factors applied'!$E$280+'Factors applied'!$E$281)</f>
        <v>1</v>
      </c>
      <c r="C108" s="123" t="str">
        <f t="shared" si="1"/>
        <v>PASS</v>
      </c>
    </row>
    <row r="109" spans="1:3" x14ac:dyDescent="0.25">
      <c r="A109" t="s">
        <v>654</v>
      </c>
      <c r="B109">
        <f>('Factors applied'!$E$282+'Factors applied'!$E$283+'Factors applied'!$E$284+'Factors applied'!$E$285+'Factors applied'!$E$286)</f>
        <v>0.99999999999999989</v>
      </c>
      <c r="C109" s="123" t="str">
        <f t="shared" si="1"/>
        <v>PASS</v>
      </c>
    </row>
    <row r="110" spans="1:3" x14ac:dyDescent="0.25">
      <c r="A110" t="s">
        <v>655</v>
      </c>
      <c r="B110">
        <f>('Factors applied'!$E$287+'Factors applied'!$E$288)</f>
        <v>1</v>
      </c>
      <c r="C110" s="123" t="str">
        <f t="shared" si="1"/>
        <v>PASS</v>
      </c>
    </row>
    <row r="111" spans="1:3" x14ac:dyDescent="0.25">
      <c r="A111" t="s">
        <v>656</v>
      </c>
      <c r="B111">
        <f>('Factors applied'!$E$289+'Factors applied'!$E$290)</f>
        <v>1</v>
      </c>
      <c r="C111" s="123" t="str">
        <f t="shared" si="1"/>
        <v>PASS</v>
      </c>
    </row>
    <row r="112" spans="1:3" x14ac:dyDescent="0.25">
      <c r="A112" t="s">
        <v>657</v>
      </c>
      <c r="B112">
        <f>('Factors applied'!$E$291+'Factors applied'!$E$292+'Factors applied'!$E$293)</f>
        <v>1</v>
      </c>
      <c r="C112" s="123" t="str">
        <f t="shared" si="1"/>
        <v>PASS</v>
      </c>
    </row>
    <row r="113" spans="1:3" x14ac:dyDescent="0.25">
      <c r="A113" t="s">
        <v>658</v>
      </c>
      <c r="B113">
        <f>('Factors applied'!$E$294+'Factors applied'!$E$295)</f>
        <v>1</v>
      </c>
      <c r="C113" s="123" t="str">
        <f t="shared" si="1"/>
        <v>PASS</v>
      </c>
    </row>
    <row r="114" spans="1:3" x14ac:dyDescent="0.25">
      <c r="A114" t="s">
        <v>659</v>
      </c>
      <c r="B114">
        <f>('Factors applied'!$E$296+'Factors applied'!$E$297)</f>
        <v>1</v>
      </c>
      <c r="C114" s="123" t="str">
        <f t="shared" si="1"/>
        <v>PASS</v>
      </c>
    </row>
    <row r="115" spans="1:3" x14ac:dyDescent="0.25">
      <c r="A115" t="s">
        <v>660</v>
      </c>
      <c r="B115">
        <f>('Factors applied'!$E$298+'Factors applied'!$E$299+'Factors applied'!$E$300+'Factors applied'!$E$301+'Factors applied'!$E$302)</f>
        <v>0.99999999999999989</v>
      </c>
      <c r="C115" s="123" t="str">
        <f t="shared" si="1"/>
        <v>PASS</v>
      </c>
    </row>
    <row r="116" spans="1:3" x14ac:dyDescent="0.25">
      <c r="A116" t="s">
        <v>661</v>
      </c>
      <c r="B116">
        <f>('Factors applied'!$E$303+'Factors applied'!$E$304)</f>
        <v>1</v>
      </c>
      <c r="C116" s="123" t="str">
        <f t="shared" si="1"/>
        <v>PASS</v>
      </c>
    </row>
    <row r="117" spans="1:3" x14ac:dyDescent="0.25">
      <c r="A117" t="s">
        <v>662</v>
      </c>
      <c r="B117">
        <f>('Factors applied'!$E$305+'Factors applied'!$E$306)</f>
        <v>1</v>
      </c>
      <c r="C117" s="123" t="str">
        <f t="shared" si="1"/>
        <v>PASS</v>
      </c>
    </row>
    <row r="118" spans="1:3" x14ac:dyDescent="0.25">
      <c r="A118" t="s">
        <v>663</v>
      </c>
      <c r="B118">
        <f>('Factors applied'!$E$307+'Factors applied'!$E$308+'Factors applied'!$E$309)</f>
        <v>1</v>
      </c>
      <c r="C118" s="123" t="str">
        <f t="shared" si="1"/>
        <v>PASS</v>
      </c>
    </row>
    <row r="119" spans="1:3" x14ac:dyDescent="0.25">
      <c r="A119" t="s">
        <v>664</v>
      </c>
      <c r="B119">
        <f>('Factors applied'!$E$310+'Factors applied'!$E$311)</f>
        <v>1</v>
      </c>
      <c r="C119" s="123" t="str">
        <f t="shared" si="1"/>
        <v>PASS</v>
      </c>
    </row>
    <row r="120" spans="1:3" x14ac:dyDescent="0.25">
      <c r="A120" t="s">
        <v>665</v>
      </c>
      <c r="B120">
        <f>('Factors applied'!$E$312+'Factors applied'!$E$313)</f>
        <v>1</v>
      </c>
      <c r="C120" s="123" t="str">
        <f t="shared" si="1"/>
        <v>PASS</v>
      </c>
    </row>
    <row r="121" spans="1:3" x14ac:dyDescent="0.25">
      <c r="A121" t="s">
        <v>666</v>
      </c>
      <c r="B121">
        <f>('Factors applied'!$E$314+'Factors applied'!$E$315+'Factors applied'!$E$316+'Factors applied'!$E$317+'Factors applied'!$E$318)</f>
        <v>0.99999999999999989</v>
      </c>
      <c r="C121" s="123" t="str">
        <f t="shared" si="1"/>
        <v>PASS</v>
      </c>
    </row>
    <row r="122" spans="1:3" x14ac:dyDescent="0.25">
      <c r="A122" t="s">
        <v>667</v>
      </c>
      <c r="B122">
        <f>('Factors applied'!$E$319+'Factors applied'!$E$320)</f>
        <v>1</v>
      </c>
      <c r="C122" s="123" t="str">
        <f t="shared" si="1"/>
        <v>PASS</v>
      </c>
    </row>
    <row r="123" spans="1:3" x14ac:dyDescent="0.25">
      <c r="A123" t="s">
        <v>668</v>
      </c>
      <c r="B123">
        <f>('Factors applied'!$E$321+'Factors applied'!$E$322)</f>
        <v>1</v>
      </c>
      <c r="C123" s="123" t="str">
        <f t="shared" si="1"/>
        <v>PASS</v>
      </c>
    </row>
    <row r="124" spans="1:3" x14ac:dyDescent="0.25">
      <c r="A124" t="s">
        <v>669</v>
      </c>
      <c r="B124">
        <f>('Factors applied'!$E$323+'Factors applied'!$E$324+'Factors applied'!$E$325)</f>
        <v>1</v>
      </c>
      <c r="C124" s="123" t="str">
        <f t="shared" si="1"/>
        <v>PASS</v>
      </c>
    </row>
    <row r="125" spans="1:3" x14ac:dyDescent="0.25">
      <c r="A125" t="s">
        <v>670</v>
      </c>
      <c r="B125">
        <f>('Factors applied'!$E$326+'Factors applied'!$E$327)</f>
        <v>1</v>
      </c>
      <c r="C125" s="123" t="str">
        <f t="shared" si="1"/>
        <v>PASS</v>
      </c>
    </row>
    <row r="126" spans="1:3" x14ac:dyDescent="0.25">
      <c r="A126" t="s">
        <v>671</v>
      </c>
      <c r="B126">
        <f>('Factors applied'!$E$328+'Factors applied'!$E$329)</f>
        <v>1</v>
      </c>
      <c r="C126" s="123" t="str">
        <f t="shared" si="1"/>
        <v>PASS</v>
      </c>
    </row>
    <row r="127" spans="1:3" x14ac:dyDescent="0.25">
      <c r="A127" t="s">
        <v>672</v>
      </c>
      <c r="B127">
        <f>('Factors applied'!$E$330+'Factors applied'!$E$331+'Factors applied'!$E$332+'Factors applied'!$E$333+'Factors applied'!$E$334)</f>
        <v>0.99999999999999989</v>
      </c>
      <c r="C127" s="123" t="str">
        <f t="shared" si="1"/>
        <v>PASS</v>
      </c>
    </row>
    <row r="128" spans="1:3" x14ac:dyDescent="0.25">
      <c r="A128" t="s">
        <v>673</v>
      </c>
      <c r="B128">
        <f>('Factors applied'!$E$335+'Factors applied'!$E$336)</f>
        <v>1</v>
      </c>
      <c r="C128" s="123" t="str">
        <f t="shared" si="1"/>
        <v>PASS</v>
      </c>
    </row>
    <row r="129" spans="1:3" x14ac:dyDescent="0.25">
      <c r="A129" t="s">
        <v>674</v>
      </c>
      <c r="B129">
        <f>('Factors applied'!$E$337+'Factors applied'!$E$338)</f>
        <v>1</v>
      </c>
      <c r="C129" s="123" t="str">
        <f t="shared" si="1"/>
        <v>PASS</v>
      </c>
    </row>
    <row r="130" spans="1:3" x14ac:dyDescent="0.25">
      <c r="A130" t="s">
        <v>675</v>
      </c>
      <c r="B130">
        <f>('Factors applied'!$E$339+'Factors applied'!$E$340+'Factors applied'!$E$341)</f>
        <v>1</v>
      </c>
      <c r="C130" s="123" t="str">
        <f t="shared" si="1"/>
        <v>PASS</v>
      </c>
    </row>
    <row r="131" spans="1:3" x14ac:dyDescent="0.25">
      <c r="A131" t="s">
        <v>676</v>
      </c>
      <c r="B131">
        <f>('Factors applied'!$E$342+'Factors applied'!$E$343)</f>
        <v>1</v>
      </c>
      <c r="C131" s="123" t="str">
        <f t="shared" si="1"/>
        <v>PASS</v>
      </c>
    </row>
    <row r="132" spans="1:3" x14ac:dyDescent="0.25">
      <c r="A132" t="s">
        <v>677</v>
      </c>
      <c r="B132">
        <f>('Factors applied'!$E$344+'Factors applied'!$E$345)</f>
        <v>1</v>
      </c>
      <c r="C132" s="123" t="str">
        <f t="shared" ref="C132:C195" si="2">IF(ABS(B132-1)&lt;0.000000001,"PASS","FAIL")</f>
        <v>PASS</v>
      </c>
    </row>
    <row r="133" spans="1:3" x14ac:dyDescent="0.25">
      <c r="A133" t="s">
        <v>678</v>
      </c>
      <c r="B133">
        <f>('Factors applied'!$E$346+'Factors applied'!$E$347+'Factors applied'!$E$348+'Factors applied'!$E$349+'Factors applied'!$E$350)</f>
        <v>0.99999999999999989</v>
      </c>
      <c r="C133" s="123" t="str">
        <f t="shared" si="2"/>
        <v>PASS</v>
      </c>
    </row>
    <row r="134" spans="1:3" x14ac:dyDescent="0.25">
      <c r="A134" t="s">
        <v>679</v>
      </c>
      <c r="B134">
        <f>('Factors applied'!$E$351+'Factors applied'!$E$352)</f>
        <v>1</v>
      </c>
      <c r="C134" s="123" t="str">
        <f t="shared" si="2"/>
        <v>PASS</v>
      </c>
    </row>
    <row r="135" spans="1:3" x14ac:dyDescent="0.25">
      <c r="A135" t="s">
        <v>680</v>
      </c>
      <c r="B135">
        <f>('Factors applied'!$E$353+'Factors applied'!$E$354)</f>
        <v>1</v>
      </c>
      <c r="C135" s="123" t="str">
        <f t="shared" si="2"/>
        <v>PASS</v>
      </c>
    </row>
    <row r="136" spans="1:3" x14ac:dyDescent="0.25">
      <c r="A136" t="s">
        <v>681</v>
      </c>
      <c r="B136">
        <f>('Factors applied'!$E$355+'Factors applied'!$E$356+'Factors applied'!$E$357)</f>
        <v>1</v>
      </c>
      <c r="C136" s="123" t="str">
        <f t="shared" si="2"/>
        <v>PASS</v>
      </c>
    </row>
    <row r="137" spans="1:3" x14ac:dyDescent="0.25">
      <c r="A137" t="s">
        <v>682</v>
      </c>
      <c r="B137">
        <f>('Factors applied'!$E$358+'Factors applied'!$E$359)</f>
        <v>1</v>
      </c>
      <c r="C137" s="123" t="str">
        <f t="shared" si="2"/>
        <v>PASS</v>
      </c>
    </row>
    <row r="138" spans="1:3" x14ac:dyDescent="0.25">
      <c r="A138" t="s">
        <v>683</v>
      </c>
      <c r="B138">
        <f>('Factors applied'!$E$360+'Factors applied'!$E$361)</f>
        <v>1</v>
      </c>
      <c r="C138" s="123" t="str">
        <f t="shared" si="2"/>
        <v>PASS</v>
      </c>
    </row>
    <row r="139" spans="1:3" x14ac:dyDescent="0.25">
      <c r="A139" t="s">
        <v>684</v>
      </c>
      <c r="B139">
        <f>('Factors applied'!$E$362+'Factors applied'!$E$363+'Factors applied'!$E$364+'Factors applied'!$E$365+'Factors applied'!$E$366)</f>
        <v>0.99999999999999989</v>
      </c>
      <c r="C139" s="123" t="str">
        <f t="shared" si="2"/>
        <v>PASS</v>
      </c>
    </row>
    <row r="140" spans="1:3" x14ac:dyDescent="0.25">
      <c r="A140" t="s">
        <v>685</v>
      </c>
      <c r="B140">
        <f>('Factors applied'!$E$367+'Factors applied'!$E$368)</f>
        <v>1</v>
      </c>
      <c r="C140" s="123" t="str">
        <f t="shared" si="2"/>
        <v>PASS</v>
      </c>
    </row>
    <row r="141" spans="1:3" x14ac:dyDescent="0.25">
      <c r="A141" t="s">
        <v>686</v>
      </c>
      <c r="B141">
        <f>('Factors applied'!$E$369+'Factors applied'!$E$370)</f>
        <v>1</v>
      </c>
      <c r="C141" s="123" t="str">
        <f t="shared" si="2"/>
        <v>PASS</v>
      </c>
    </row>
    <row r="142" spans="1:3" x14ac:dyDescent="0.25">
      <c r="A142" t="s">
        <v>687</v>
      </c>
      <c r="B142">
        <f>('Factors applied'!$E$371+'Factors applied'!$E$372+'Factors applied'!$E$373)</f>
        <v>1</v>
      </c>
      <c r="C142" s="123" t="str">
        <f t="shared" si="2"/>
        <v>PASS</v>
      </c>
    </row>
    <row r="143" spans="1:3" x14ac:dyDescent="0.25">
      <c r="A143" t="s">
        <v>688</v>
      </c>
      <c r="B143">
        <f>('Factors applied'!$E$374+'Factors applied'!$E$375)</f>
        <v>1</v>
      </c>
      <c r="C143" s="123" t="str">
        <f t="shared" si="2"/>
        <v>PASS</v>
      </c>
    </row>
    <row r="144" spans="1:3" x14ac:dyDescent="0.25">
      <c r="A144" t="s">
        <v>689</v>
      </c>
      <c r="B144">
        <f>('Factors applied'!$E$376+'Factors applied'!$E$377)</f>
        <v>1</v>
      </c>
      <c r="C144" s="123" t="str">
        <f t="shared" si="2"/>
        <v>PASS</v>
      </c>
    </row>
    <row r="145" spans="1:3" x14ac:dyDescent="0.25">
      <c r="A145" t="s">
        <v>690</v>
      </c>
      <c r="B145">
        <f>('Factors applied'!$E$378+'Factors applied'!$E$379+'Factors applied'!$E$380+'Factors applied'!$E$381+'Factors applied'!$E$382)</f>
        <v>0.99999999999999989</v>
      </c>
      <c r="C145" s="123" t="str">
        <f t="shared" si="2"/>
        <v>PASS</v>
      </c>
    </row>
    <row r="146" spans="1:3" x14ac:dyDescent="0.25">
      <c r="A146" t="s">
        <v>691</v>
      </c>
      <c r="B146">
        <f>('Factors applied'!$E$383+'Factors applied'!$E$384)</f>
        <v>1</v>
      </c>
      <c r="C146" s="123" t="str">
        <f t="shared" si="2"/>
        <v>PASS</v>
      </c>
    </row>
    <row r="147" spans="1:3" x14ac:dyDescent="0.25">
      <c r="A147" t="s">
        <v>692</v>
      </c>
      <c r="B147">
        <f>('Factors applied'!$E$385+'Factors applied'!$E$386)</f>
        <v>1</v>
      </c>
      <c r="C147" s="123" t="str">
        <f t="shared" si="2"/>
        <v>PASS</v>
      </c>
    </row>
    <row r="148" spans="1:3" x14ac:dyDescent="0.25">
      <c r="A148" t="s">
        <v>693</v>
      </c>
      <c r="B148">
        <f>('Factors applied'!$E$387+'Factors applied'!$E$388+'Factors applied'!$E$389)</f>
        <v>1</v>
      </c>
      <c r="C148" s="123" t="str">
        <f t="shared" si="2"/>
        <v>PASS</v>
      </c>
    </row>
    <row r="149" spans="1:3" x14ac:dyDescent="0.25">
      <c r="A149" t="s">
        <v>694</v>
      </c>
      <c r="B149">
        <f>('Factors applied'!$E$390+'Factors applied'!$E$391)</f>
        <v>1</v>
      </c>
      <c r="C149" s="123" t="str">
        <f t="shared" si="2"/>
        <v>PASS</v>
      </c>
    </row>
    <row r="150" spans="1:3" x14ac:dyDescent="0.25">
      <c r="A150" t="s">
        <v>695</v>
      </c>
      <c r="B150">
        <f>('Factors applied'!$E$392+'Factors applied'!$E$393)</f>
        <v>1</v>
      </c>
      <c r="C150" s="123" t="str">
        <f t="shared" si="2"/>
        <v>PASS</v>
      </c>
    </row>
    <row r="151" spans="1:3" x14ac:dyDescent="0.25">
      <c r="A151" t="s">
        <v>696</v>
      </c>
      <c r="B151">
        <f>('Factors applied'!$E$394+'Factors applied'!$E$395+'Factors applied'!$E$396+'Factors applied'!$E$397+'Factors applied'!$E$398)</f>
        <v>0.99999999999999989</v>
      </c>
      <c r="C151" s="123" t="str">
        <f t="shared" si="2"/>
        <v>PASS</v>
      </c>
    </row>
    <row r="152" spans="1:3" x14ac:dyDescent="0.25">
      <c r="A152" t="s">
        <v>697</v>
      </c>
      <c r="B152">
        <f>('Factors applied'!$E$399+'Factors applied'!$E$400)</f>
        <v>1</v>
      </c>
      <c r="C152" s="123" t="str">
        <f t="shared" si="2"/>
        <v>PASS</v>
      </c>
    </row>
    <row r="153" spans="1:3" x14ac:dyDescent="0.25">
      <c r="A153" t="s">
        <v>698</v>
      </c>
      <c r="B153">
        <f>('Factors applied'!$E$401+'Factors applied'!$E$402)</f>
        <v>1</v>
      </c>
      <c r="C153" s="123" t="str">
        <f t="shared" si="2"/>
        <v>PASS</v>
      </c>
    </row>
    <row r="154" spans="1:3" x14ac:dyDescent="0.25">
      <c r="A154" t="s">
        <v>699</v>
      </c>
      <c r="B154">
        <f>('Factors applied'!$E$403+'Factors applied'!$E$404+'Factors applied'!$E$405)</f>
        <v>1</v>
      </c>
      <c r="C154" s="123" t="str">
        <f t="shared" si="2"/>
        <v>PASS</v>
      </c>
    </row>
    <row r="155" spans="1:3" x14ac:dyDescent="0.25">
      <c r="A155" t="s">
        <v>700</v>
      </c>
      <c r="B155">
        <f>('Factors applied'!$E$406+'Factors applied'!$E$407)</f>
        <v>1</v>
      </c>
      <c r="C155" s="123" t="str">
        <f t="shared" si="2"/>
        <v>PASS</v>
      </c>
    </row>
    <row r="156" spans="1:3" x14ac:dyDescent="0.25">
      <c r="A156" t="s">
        <v>701</v>
      </c>
      <c r="B156">
        <f>('Factors applied'!$E$408+'Factors applied'!$E$409)</f>
        <v>1</v>
      </c>
      <c r="C156" s="123" t="str">
        <f t="shared" si="2"/>
        <v>PASS</v>
      </c>
    </row>
    <row r="157" spans="1:3" x14ac:dyDescent="0.25">
      <c r="A157" t="s">
        <v>702</v>
      </c>
      <c r="B157">
        <f>('Factors applied'!$E$410+'Factors applied'!$E$411+'Factors applied'!$E$412+'Factors applied'!$E$413+'Factors applied'!$E$414)</f>
        <v>0.99999999999999989</v>
      </c>
      <c r="C157" s="123" t="str">
        <f t="shared" si="2"/>
        <v>PASS</v>
      </c>
    </row>
    <row r="158" spans="1:3" x14ac:dyDescent="0.25">
      <c r="A158" t="s">
        <v>703</v>
      </c>
      <c r="B158">
        <f>('Factors applied'!$E$415+'Factors applied'!$E$416)</f>
        <v>1</v>
      </c>
      <c r="C158" s="123" t="str">
        <f t="shared" si="2"/>
        <v>PASS</v>
      </c>
    </row>
    <row r="159" spans="1:3" x14ac:dyDescent="0.25">
      <c r="A159" t="s">
        <v>704</v>
      </c>
      <c r="B159">
        <f>('Factors applied'!$E$417+'Factors applied'!$E$418)</f>
        <v>1</v>
      </c>
      <c r="C159" s="123" t="str">
        <f t="shared" si="2"/>
        <v>PASS</v>
      </c>
    </row>
    <row r="160" spans="1:3" x14ac:dyDescent="0.25">
      <c r="A160" t="s">
        <v>705</v>
      </c>
      <c r="B160">
        <f>('Factors applied'!$E$419+'Factors applied'!$E$420+'Factors applied'!$E$421)</f>
        <v>1</v>
      </c>
      <c r="C160" s="123" t="str">
        <f t="shared" si="2"/>
        <v>PASS</v>
      </c>
    </row>
    <row r="161" spans="1:3" x14ac:dyDescent="0.25">
      <c r="A161" t="s">
        <v>706</v>
      </c>
      <c r="B161">
        <f>('Factors applied'!$E$422+'Factors applied'!$E$423)</f>
        <v>1</v>
      </c>
      <c r="C161" s="123" t="str">
        <f t="shared" si="2"/>
        <v>PASS</v>
      </c>
    </row>
    <row r="162" spans="1:3" x14ac:dyDescent="0.25">
      <c r="A162" t="s">
        <v>707</v>
      </c>
      <c r="B162">
        <f>('Factors applied'!$E$424+'Factors applied'!$E$425)</f>
        <v>1</v>
      </c>
      <c r="C162" s="123" t="str">
        <f t="shared" si="2"/>
        <v>PASS</v>
      </c>
    </row>
    <row r="163" spans="1:3" x14ac:dyDescent="0.25">
      <c r="A163" t="s">
        <v>708</v>
      </c>
      <c r="B163">
        <f>('Factors applied'!$E$426+'Factors applied'!$E$427+'Factors applied'!$E$428+'Factors applied'!$E$429+'Factors applied'!$E$430)</f>
        <v>0.99999999999999989</v>
      </c>
      <c r="C163" s="123" t="str">
        <f t="shared" si="2"/>
        <v>PASS</v>
      </c>
    </row>
    <row r="164" spans="1:3" x14ac:dyDescent="0.25">
      <c r="A164" t="s">
        <v>709</v>
      </c>
      <c r="B164">
        <f>('Factors applied'!$E$431+'Factors applied'!$E$432)</f>
        <v>1</v>
      </c>
      <c r="C164" s="123" t="str">
        <f t="shared" si="2"/>
        <v>PASS</v>
      </c>
    </row>
    <row r="165" spans="1:3" x14ac:dyDescent="0.25">
      <c r="A165" t="s">
        <v>710</v>
      </c>
      <c r="B165">
        <f>('Factors applied'!$E$433+'Factors applied'!$E$434)</f>
        <v>1</v>
      </c>
      <c r="C165" s="123" t="str">
        <f t="shared" si="2"/>
        <v>PASS</v>
      </c>
    </row>
    <row r="166" spans="1:3" x14ac:dyDescent="0.25">
      <c r="A166" t="s">
        <v>711</v>
      </c>
      <c r="B166">
        <f>('Factors applied'!$E$435+'Factors applied'!$E$436+'Factors applied'!$E$437)</f>
        <v>1</v>
      </c>
      <c r="C166" s="123" t="str">
        <f t="shared" si="2"/>
        <v>PASS</v>
      </c>
    </row>
    <row r="167" spans="1:3" x14ac:dyDescent="0.25">
      <c r="A167" t="s">
        <v>712</v>
      </c>
      <c r="B167">
        <f>('Factors applied'!$E$438+'Factors applied'!$E$439)</f>
        <v>1</v>
      </c>
      <c r="C167" s="123" t="str">
        <f t="shared" si="2"/>
        <v>PASS</v>
      </c>
    </row>
    <row r="168" spans="1:3" x14ac:dyDescent="0.25">
      <c r="A168" t="s">
        <v>713</v>
      </c>
      <c r="B168">
        <f>('Factors applied'!$E$440+'Factors applied'!$E$441)</f>
        <v>1</v>
      </c>
      <c r="C168" s="123" t="str">
        <f t="shared" si="2"/>
        <v>PASS</v>
      </c>
    </row>
    <row r="169" spans="1:3" x14ac:dyDescent="0.25">
      <c r="A169" t="s">
        <v>714</v>
      </c>
      <c r="B169">
        <f>('Factors applied'!$E$442+'Factors applied'!$E$443+'Factors applied'!$E$444+'Factors applied'!$E$445+'Factors applied'!$E$446)</f>
        <v>0.99999999999999989</v>
      </c>
      <c r="C169" s="123" t="str">
        <f t="shared" si="2"/>
        <v>PASS</v>
      </c>
    </row>
    <row r="170" spans="1:3" x14ac:dyDescent="0.25">
      <c r="A170" t="s">
        <v>715</v>
      </c>
      <c r="B170">
        <f>('Factors applied'!$E$447+'Factors applied'!$E$448)</f>
        <v>1</v>
      </c>
      <c r="C170" s="123" t="str">
        <f t="shared" si="2"/>
        <v>PASS</v>
      </c>
    </row>
    <row r="171" spans="1:3" x14ac:dyDescent="0.25">
      <c r="A171" t="s">
        <v>716</v>
      </c>
      <c r="B171">
        <f>('Factors applied'!$E$449+'Factors applied'!$E$450)</f>
        <v>1</v>
      </c>
      <c r="C171" s="123" t="str">
        <f t="shared" si="2"/>
        <v>PASS</v>
      </c>
    </row>
    <row r="172" spans="1:3" x14ac:dyDescent="0.25">
      <c r="A172" t="s">
        <v>717</v>
      </c>
      <c r="B172">
        <f>('Factors applied'!$E$451+'Factors applied'!$E$452+'Factors applied'!$E$453)</f>
        <v>1</v>
      </c>
      <c r="C172" s="123" t="str">
        <f t="shared" si="2"/>
        <v>PASS</v>
      </c>
    </row>
    <row r="173" spans="1:3" x14ac:dyDescent="0.25">
      <c r="A173" t="s">
        <v>718</v>
      </c>
      <c r="B173">
        <f>('Factors applied'!$E$454+'Factors applied'!$E$455)</f>
        <v>1</v>
      </c>
      <c r="C173" s="123" t="str">
        <f t="shared" si="2"/>
        <v>PASS</v>
      </c>
    </row>
    <row r="174" spans="1:3" x14ac:dyDescent="0.25">
      <c r="A174" t="s">
        <v>719</v>
      </c>
      <c r="B174">
        <f>('Factors applied'!$E$456+'Factors applied'!$E$457)</f>
        <v>1</v>
      </c>
      <c r="C174" s="123" t="str">
        <f t="shared" si="2"/>
        <v>PASS</v>
      </c>
    </row>
    <row r="175" spans="1:3" x14ac:dyDescent="0.25">
      <c r="A175" t="s">
        <v>720</v>
      </c>
      <c r="B175">
        <f>('Factors applied'!$E$458+'Factors applied'!$E$459+'Factors applied'!$E$460+'Factors applied'!$E$461+'Factors applied'!$E$462)</f>
        <v>0.99999999999999989</v>
      </c>
      <c r="C175" s="123" t="str">
        <f t="shared" si="2"/>
        <v>PASS</v>
      </c>
    </row>
    <row r="176" spans="1:3" x14ac:dyDescent="0.25">
      <c r="A176" t="s">
        <v>721</v>
      </c>
      <c r="B176">
        <f>('Factors applied'!$E$463+'Factors applied'!$E$464)</f>
        <v>1</v>
      </c>
      <c r="C176" s="123" t="str">
        <f t="shared" si="2"/>
        <v>PASS</v>
      </c>
    </row>
    <row r="177" spans="1:3" x14ac:dyDescent="0.25">
      <c r="A177" t="s">
        <v>722</v>
      </c>
      <c r="B177">
        <f>('Factors applied'!$E$465+'Factors applied'!$E$466)</f>
        <v>1</v>
      </c>
      <c r="C177" s="123" t="str">
        <f t="shared" si="2"/>
        <v>PASS</v>
      </c>
    </row>
    <row r="178" spans="1:3" x14ac:dyDescent="0.25">
      <c r="A178" t="s">
        <v>723</v>
      </c>
      <c r="B178">
        <f>('Factors applied'!$E$467+'Factors applied'!$E$468+'Factors applied'!$E$469)</f>
        <v>1</v>
      </c>
      <c r="C178" s="123" t="str">
        <f t="shared" si="2"/>
        <v>PASS</v>
      </c>
    </row>
    <row r="179" spans="1:3" x14ac:dyDescent="0.25">
      <c r="A179" t="s">
        <v>724</v>
      </c>
      <c r="B179">
        <f>('Factors applied'!$E$470+'Factors applied'!$E$471)</f>
        <v>1</v>
      </c>
      <c r="C179" s="123" t="str">
        <f t="shared" si="2"/>
        <v>PASS</v>
      </c>
    </row>
    <row r="180" spans="1:3" x14ac:dyDescent="0.25">
      <c r="A180" t="s">
        <v>725</v>
      </c>
      <c r="B180">
        <f>('Factors applied'!$E$472+'Factors applied'!$E$473)</f>
        <v>1</v>
      </c>
      <c r="C180" s="123" t="str">
        <f t="shared" si="2"/>
        <v>PASS</v>
      </c>
    </row>
    <row r="181" spans="1:3" x14ac:dyDescent="0.25">
      <c r="A181" t="s">
        <v>726</v>
      </c>
      <c r="B181">
        <f>('Factors applied'!$E$474+'Factors applied'!$E$475+'Factors applied'!$E$476+'Factors applied'!$E$477+'Factors applied'!$E$478)</f>
        <v>0.99999999999999989</v>
      </c>
      <c r="C181" s="123" t="str">
        <f t="shared" si="2"/>
        <v>PASS</v>
      </c>
    </row>
    <row r="182" spans="1:3" x14ac:dyDescent="0.25">
      <c r="A182" t="s">
        <v>727</v>
      </c>
      <c r="B182">
        <f>('Factors applied'!$E$479+'Factors applied'!$E$480)</f>
        <v>1</v>
      </c>
      <c r="C182" s="123" t="str">
        <f t="shared" si="2"/>
        <v>PASS</v>
      </c>
    </row>
    <row r="183" spans="1:3" x14ac:dyDescent="0.25">
      <c r="A183" t="s">
        <v>728</v>
      </c>
      <c r="B183">
        <f>('Factors applied'!$E$481+'Factors applied'!$E$482)</f>
        <v>1</v>
      </c>
      <c r="C183" s="123" t="str">
        <f t="shared" si="2"/>
        <v>PASS</v>
      </c>
    </row>
    <row r="184" spans="1:3" x14ac:dyDescent="0.25">
      <c r="A184" t="s">
        <v>729</v>
      </c>
      <c r="B184">
        <f>('Factors applied'!$E$483+'Factors applied'!$E$484+'Factors applied'!$E$485)</f>
        <v>1</v>
      </c>
      <c r="C184" s="123" t="str">
        <f t="shared" si="2"/>
        <v>PASS</v>
      </c>
    </row>
    <row r="185" spans="1:3" x14ac:dyDescent="0.25">
      <c r="A185" t="s">
        <v>730</v>
      </c>
      <c r="B185">
        <f>('Factors applied'!$E$486+'Factors applied'!$E$487)</f>
        <v>1</v>
      </c>
      <c r="C185" s="123" t="str">
        <f t="shared" si="2"/>
        <v>PASS</v>
      </c>
    </row>
    <row r="186" spans="1:3" x14ac:dyDescent="0.25">
      <c r="A186" t="s">
        <v>731</v>
      </c>
      <c r="B186">
        <f>('Factors applied'!$E$488+'Factors applied'!$E$489)</f>
        <v>1</v>
      </c>
      <c r="C186" s="123" t="str">
        <f t="shared" si="2"/>
        <v>PASS</v>
      </c>
    </row>
    <row r="187" spans="1:3" x14ac:dyDescent="0.25">
      <c r="A187" t="s">
        <v>732</v>
      </c>
      <c r="B187">
        <f>('Factors applied'!$E$490+'Factors applied'!$E$491+'Factors applied'!$E$492+'Factors applied'!$E$493+'Factors applied'!$E$494)</f>
        <v>0.99999999999999989</v>
      </c>
      <c r="C187" s="123" t="str">
        <f t="shared" si="2"/>
        <v>PASS</v>
      </c>
    </row>
    <row r="188" spans="1:3" x14ac:dyDescent="0.25">
      <c r="A188" t="s">
        <v>733</v>
      </c>
      <c r="B188">
        <f>('Factors applied'!$E$495+'Factors applied'!$E$496)</f>
        <v>1</v>
      </c>
      <c r="C188" s="123" t="str">
        <f t="shared" si="2"/>
        <v>PASS</v>
      </c>
    </row>
    <row r="189" spans="1:3" x14ac:dyDescent="0.25">
      <c r="A189" t="s">
        <v>734</v>
      </c>
      <c r="B189">
        <f>('Factors applied'!$E$497+'Factors applied'!$E$498)</f>
        <v>1</v>
      </c>
      <c r="C189" s="123" t="str">
        <f t="shared" si="2"/>
        <v>PASS</v>
      </c>
    </row>
    <row r="190" spans="1:3" x14ac:dyDescent="0.25">
      <c r="A190" t="s">
        <v>735</v>
      </c>
      <c r="B190">
        <f>('Factors applied'!$E$499+'Factors applied'!$E$500+'Factors applied'!$E$501)</f>
        <v>1</v>
      </c>
      <c r="C190" s="123" t="str">
        <f t="shared" si="2"/>
        <v>PASS</v>
      </c>
    </row>
    <row r="191" spans="1:3" x14ac:dyDescent="0.25">
      <c r="A191" t="s">
        <v>736</v>
      </c>
      <c r="B191">
        <f>('Factors applied'!$E$502+'Factors applied'!$E$503)</f>
        <v>1</v>
      </c>
      <c r="C191" s="123" t="str">
        <f t="shared" si="2"/>
        <v>PASS</v>
      </c>
    </row>
    <row r="192" spans="1:3" x14ac:dyDescent="0.25">
      <c r="A192" t="s">
        <v>737</v>
      </c>
      <c r="B192">
        <f>('Factors applied'!$E$504+'Factors applied'!$E$505)</f>
        <v>1</v>
      </c>
      <c r="C192" s="123" t="str">
        <f t="shared" si="2"/>
        <v>PASS</v>
      </c>
    </row>
    <row r="193" spans="1:3" x14ac:dyDescent="0.25">
      <c r="A193" t="s">
        <v>738</v>
      </c>
      <c r="B193">
        <f>('Factors applied'!$E$506+'Factors applied'!$E$507+'Factors applied'!$E$508+'Factors applied'!$E$509+'Factors applied'!$E$510)</f>
        <v>0.99999999999999989</v>
      </c>
      <c r="C193" s="123" t="str">
        <f t="shared" si="2"/>
        <v>PASS</v>
      </c>
    </row>
    <row r="194" spans="1:3" x14ac:dyDescent="0.25">
      <c r="A194" t="s">
        <v>739</v>
      </c>
      <c r="B194">
        <f>('Factors applied'!$E$511+'Factors applied'!$E$512)</f>
        <v>1</v>
      </c>
      <c r="C194" s="123" t="str">
        <f t="shared" si="2"/>
        <v>PASS</v>
      </c>
    </row>
    <row r="195" spans="1:3" x14ac:dyDescent="0.25">
      <c r="A195" t="s">
        <v>740</v>
      </c>
      <c r="B195">
        <f>('Factors applied'!$E$513+'Factors applied'!$E$514)</f>
        <v>1</v>
      </c>
      <c r="C195" s="123" t="str">
        <f t="shared" si="2"/>
        <v>PASS</v>
      </c>
    </row>
    <row r="196" spans="1:3" x14ac:dyDescent="0.25">
      <c r="A196" t="s">
        <v>741</v>
      </c>
      <c r="B196">
        <f>('Factors applied'!$E$515+'Factors applied'!$E$516+'Factors applied'!$E$517)</f>
        <v>1</v>
      </c>
      <c r="C196" s="123" t="str">
        <f t="shared" ref="C196:C259" si="3">IF(ABS(B196-1)&lt;0.000000001,"PASS","FAIL")</f>
        <v>PASS</v>
      </c>
    </row>
    <row r="197" spans="1:3" x14ac:dyDescent="0.25">
      <c r="A197" t="s">
        <v>742</v>
      </c>
      <c r="B197">
        <f>('Factors applied'!$E$518+'Factors applied'!$E$519)</f>
        <v>1</v>
      </c>
      <c r="C197" s="123" t="str">
        <f t="shared" si="3"/>
        <v>PASS</v>
      </c>
    </row>
    <row r="198" spans="1:3" x14ac:dyDescent="0.25">
      <c r="A198" t="s">
        <v>743</v>
      </c>
      <c r="B198">
        <f>('Factors applied'!$E$520+'Factors applied'!$E$521)</f>
        <v>1</v>
      </c>
      <c r="C198" s="123" t="str">
        <f t="shared" si="3"/>
        <v>PASS</v>
      </c>
    </row>
    <row r="199" spans="1:3" x14ac:dyDescent="0.25">
      <c r="A199" t="s">
        <v>744</v>
      </c>
      <c r="B199">
        <f>('Factors applied'!$E$522+'Factors applied'!$E$523+'Factors applied'!$E$524+'Factors applied'!$E$525+'Factors applied'!$E$526)</f>
        <v>0.99999999999999989</v>
      </c>
      <c r="C199" s="123" t="str">
        <f t="shared" si="3"/>
        <v>PASS</v>
      </c>
    </row>
    <row r="200" spans="1:3" x14ac:dyDescent="0.25">
      <c r="A200" t="s">
        <v>745</v>
      </c>
      <c r="B200">
        <f>('Factors applied'!$E$527+'Factors applied'!$E$528)</f>
        <v>1</v>
      </c>
      <c r="C200" s="123" t="str">
        <f t="shared" si="3"/>
        <v>PASS</v>
      </c>
    </row>
    <row r="201" spans="1:3" x14ac:dyDescent="0.25">
      <c r="A201" t="s">
        <v>746</v>
      </c>
      <c r="B201">
        <f>('Factors applied'!$E$529+'Factors applied'!$E$530)</f>
        <v>1</v>
      </c>
      <c r="C201" s="123" t="str">
        <f t="shared" si="3"/>
        <v>PASS</v>
      </c>
    </row>
    <row r="202" spans="1:3" x14ac:dyDescent="0.25">
      <c r="A202" t="s">
        <v>747</v>
      </c>
      <c r="B202">
        <f>('Factors applied'!$E$531+'Factors applied'!$E$532+'Factors applied'!$E$533)</f>
        <v>1</v>
      </c>
      <c r="C202" s="123" t="str">
        <f t="shared" si="3"/>
        <v>PASS</v>
      </c>
    </row>
    <row r="203" spans="1:3" x14ac:dyDescent="0.25">
      <c r="A203" t="s">
        <v>748</v>
      </c>
      <c r="B203">
        <f>('Factors applied'!$E$534+'Factors applied'!$E$535)</f>
        <v>1</v>
      </c>
      <c r="C203" s="123" t="str">
        <f t="shared" si="3"/>
        <v>PASS</v>
      </c>
    </row>
    <row r="204" spans="1:3" x14ac:dyDescent="0.25">
      <c r="A204" t="s">
        <v>749</v>
      </c>
      <c r="B204">
        <f>('Factors applied'!$E$536+'Factors applied'!$E$537)</f>
        <v>1</v>
      </c>
      <c r="C204" s="123" t="str">
        <f t="shared" si="3"/>
        <v>PASS</v>
      </c>
    </row>
    <row r="205" spans="1:3" x14ac:dyDescent="0.25">
      <c r="A205" t="s">
        <v>750</v>
      </c>
      <c r="B205">
        <f>('Factors applied'!$E$538+'Factors applied'!$E$539+'Factors applied'!$E$540+'Factors applied'!$E$541+'Factors applied'!$E$542)</f>
        <v>0.99999999999999989</v>
      </c>
      <c r="C205" s="123" t="str">
        <f t="shared" si="3"/>
        <v>PASS</v>
      </c>
    </row>
    <row r="206" spans="1:3" x14ac:dyDescent="0.25">
      <c r="A206" t="s">
        <v>751</v>
      </c>
      <c r="B206">
        <f>('Factors applied'!$E$543+'Factors applied'!$E$544)</f>
        <v>1</v>
      </c>
      <c r="C206" s="123" t="str">
        <f t="shared" si="3"/>
        <v>PASS</v>
      </c>
    </row>
    <row r="207" spans="1:3" x14ac:dyDescent="0.25">
      <c r="A207" t="s">
        <v>752</v>
      </c>
      <c r="B207">
        <f>('Factors applied'!$E$545+'Factors applied'!$E$546)</f>
        <v>1</v>
      </c>
      <c r="C207" s="123" t="str">
        <f t="shared" si="3"/>
        <v>PASS</v>
      </c>
    </row>
    <row r="208" spans="1:3" x14ac:dyDescent="0.25">
      <c r="A208" t="s">
        <v>753</v>
      </c>
      <c r="B208">
        <f>('Factors applied'!$E$547+'Factors applied'!$E$548+'Factors applied'!$E$549)</f>
        <v>1</v>
      </c>
      <c r="C208" s="123" t="str">
        <f t="shared" si="3"/>
        <v>PASS</v>
      </c>
    </row>
    <row r="209" spans="1:3" x14ac:dyDescent="0.25">
      <c r="A209" t="s">
        <v>754</v>
      </c>
      <c r="B209">
        <f>('Factors applied'!$E$550+'Factors applied'!$E$551)</f>
        <v>1</v>
      </c>
      <c r="C209" s="123" t="str">
        <f t="shared" si="3"/>
        <v>PASS</v>
      </c>
    </row>
    <row r="210" spans="1:3" x14ac:dyDescent="0.25">
      <c r="A210" t="s">
        <v>755</v>
      </c>
      <c r="B210">
        <f>('Factors applied'!$E$552+'Factors applied'!$E$553)</f>
        <v>1</v>
      </c>
      <c r="C210" s="123" t="str">
        <f t="shared" si="3"/>
        <v>PASS</v>
      </c>
    </row>
    <row r="211" spans="1:3" x14ac:dyDescent="0.25">
      <c r="A211" t="s">
        <v>756</v>
      </c>
      <c r="B211">
        <f>('Factors applied'!$E$554+'Factors applied'!$E$555+'Factors applied'!$E$556+'Factors applied'!$E$557+'Factors applied'!$E$558)</f>
        <v>0.99999999999999989</v>
      </c>
      <c r="C211" s="123" t="str">
        <f t="shared" si="3"/>
        <v>PASS</v>
      </c>
    </row>
    <row r="212" spans="1:3" x14ac:dyDescent="0.25">
      <c r="A212" t="s">
        <v>757</v>
      </c>
      <c r="B212">
        <f>('Factors applied'!$E$559+'Factors applied'!$E$560)</f>
        <v>1</v>
      </c>
      <c r="C212" s="123" t="str">
        <f t="shared" si="3"/>
        <v>PASS</v>
      </c>
    </row>
    <row r="213" spans="1:3" x14ac:dyDescent="0.25">
      <c r="A213" t="s">
        <v>758</v>
      </c>
      <c r="B213">
        <f>('Factors applied'!$E$561+'Factors applied'!$E$562)</f>
        <v>1</v>
      </c>
      <c r="C213" s="123" t="str">
        <f t="shared" si="3"/>
        <v>PASS</v>
      </c>
    </row>
    <row r="214" spans="1:3" x14ac:dyDescent="0.25">
      <c r="A214" t="s">
        <v>759</v>
      </c>
      <c r="B214">
        <f>('Factors applied'!$E$563+'Factors applied'!$E$564+'Factors applied'!$E$565)</f>
        <v>1</v>
      </c>
      <c r="C214" s="123" t="str">
        <f t="shared" si="3"/>
        <v>PASS</v>
      </c>
    </row>
    <row r="215" spans="1:3" x14ac:dyDescent="0.25">
      <c r="A215" t="s">
        <v>760</v>
      </c>
      <c r="B215">
        <f>('Factors applied'!$E$566+'Factors applied'!$E$567)</f>
        <v>1</v>
      </c>
      <c r="C215" s="123" t="str">
        <f t="shared" si="3"/>
        <v>PASS</v>
      </c>
    </row>
    <row r="216" spans="1:3" x14ac:dyDescent="0.25">
      <c r="A216" t="s">
        <v>761</v>
      </c>
      <c r="B216">
        <f>('Factors applied'!$E$568+'Factors applied'!$E$569)</f>
        <v>1</v>
      </c>
      <c r="C216" s="123" t="str">
        <f t="shared" si="3"/>
        <v>PASS</v>
      </c>
    </row>
    <row r="217" spans="1:3" x14ac:dyDescent="0.25">
      <c r="A217" t="s">
        <v>762</v>
      </c>
      <c r="B217">
        <f>('Factors applied'!$E$570+'Factors applied'!$E$571+'Factors applied'!$E$572+'Factors applied'!$E$573+'Factors applied'!$E$574)</f>
        <v>0.99999999999999989</v>
      </c>
      <c r="C217" s="123" t="str">
        <f t="shared" si="3"/>
        <v>PASS</v>
      </c>
    </row>
    <row r="218" spans="1:3" x14ac:dyDescent="0.25">
      <c r="A218" t="s">
        <v>763</v>
      </c>
      <c r="B218">
        <f>('Factors applied'!$E$575+'Factors applied'!$E$576)</f>
        <v>1</v>
      </c>
      <c r="C218" s="123" t="str">
        <f t="shared" si="3"/>
        <v>PASS</v>
      </c>
    </row>
    <row r="219" spans="1:3" x14ac:dyDescent="0.25">
      <c r="A219" t="s">
        <v>764</v>
      </c>
      <c r="B219">
        <f>('Factors applied'!$E$577+'Factors applied'!$E$578)</f>
        <v>1</v>
      </c>
      <c r="C219" s="123" t="str">
        <f t="shared" si="3"/>
        <v>PASS</v>
      </c>
    </row>
    <row r="220" spans="1:3" x14ac:dyDescent="0.25">
      <c r="A220" t="s">
        <v>765</v>
      </c>
      <c r="B220">
        <f>('Factors applied'!$E$579+'Factors applied'!$E$580+'Factors applied'!$E$581)</f>
        <v>1</v>
      </c>
      <c r="C220" s="123" t="str">
        <f t="shared" si="3"/>
        <v>PASS</v>
      </c>
    </row>
    <row r="221" spans="1:3" x14ac:dyDescent="0.25">
      <c r="A221" t="s">
        <v>766</v>
      </c>
      <c r="B221">
        <f>('Factors applied'!$E$582+'Factors applied'!$E$583)</f>
        <v>1</v>
      </c>
      <c r="C221" s="123" t="str">
        <f t="shared" si="3"/>
        <v>PASS</v>
      </c>
    </row>
    <row r="222" spans="1:3" x14ac:dyDescent="0.25">
      <c r="A222" t="s">
        <v>767</v>
      </c>
      <c r="B222">
        <f>('Factors applied'!$E$584+'Factors applied'!$E$585)</f>
        <v>1</v>
      </c>
      <c r="C222" s="123" t="str">
        <f t="shared" si="3"/>
        <v>PASS</v>
      </c>
    </row>
    <row r="223" spans="1:3" x14ac:dyDescent="0.25">
      <c r="A223" t="s">
        <v>768</v>
      </c>
      <c r="B223">
        <f>('Factors applied'!$E$586+'Factors applied'!$E$587+'Factors applied'!$E$588+'Factors applied'!$E$589+'Factors applied'!$E$590)</f>
        <v>0.99999999999999989</v>
      </c>
      <c r="C223" s="123" t="str">
        <f t="shared" si="3"/>
        <v>PASS</v>
      </c>
    </row>
    <row r="224" spans="1:3" x14ac:dyDescent="0.25">
      <c r="A224" t="s">
        <v>769</v>
      </c>
      <c r="B224">
        <f>('Factors applied'!$E$591+'Factors applied'!$E$592)</f>
        <v>1</v>
      </c>
      <c r="C224" s="123" t="str">
        <f t="shared" si="3"/>
        <v>PASS</v>
      </c>
    </row>
    <row r="225" spans="1:3" x14ac:dyDescent="0.25">
      <c r="A225" t="s">
        <v>770</v>
      </c>
      <c r="B225">
        <f>('Factors applied'!$E$593+'Factors applied'!$E$594)</f>
        <v>1</v>
      </c>
      <c r="C225" s="123" t="str">
        <f t="shared" si="3"/>
        <v>PASS</v>
      </c>
    </row>
    <row r="226" spans="1:3" x14ac:dyDescent="0.25">
      <c r="A226" t="s">
        <v>771</v>
      </c>
      <c r="B226">
        <f>('Factors applied'!$E$595+'Factors applied'!$E$596+'Factors applied'!$E$597)</f>
        <v>1</v>
      </c>
      <c r="C226" s="123" t="str">
        <f t="shared" si="3"/>
        <v>PASS</v>
      </c>
    </row>
    <row r="227" spans="1:3" x14ac:dyDescent="0.25">
      <c r="A227" t="s">
        <v>772</v>
      </c>
      <c r="B227">
        <f>('Factors applied'!$E$598+'Factors applied'!$E$599)</f>
        <v>1</v>
      </c>
      <c r="C227" s="123" t="str">
        <f t="shared" si="3"/>
        <v>PASS</v>
      </c>
    </row>
    <row r="228" spans="1:3" x14ac:dyDescent="0.25">
      <c r="A228" t="s">
        <v>773</v>
      </c>
      <c r="B228">
        <f>('Factors applied'!$E$600+'Factors applied'!$E$601)</f>
        <v>1</v>
      </c>
      <c r="C228" s="123" t="str">
        <f t="shared" si="3"/>
        <v>PASS</v>
      </c>
    </row>
    <row r="229" spans="1:3" x14ac:dyDescent="0.25">
      <c r="A229" t="s">
        <v>774</v>
      </c>
      <c r="B229">
        <f>('Factors applied'!$E$602+'Factors applied'!$E$603+'Factors applied'!$E$604+'Factors applied'!$E$605+'Factors applied'!$E$606)</f>
        <v>0.99999999999999989</v>
      </c>
      <c r="C229" s="123" t="str">
        <f t="shared" si="3"/>
        <v>PASS</v>
      </c>
    </row>
    <row r="230" spans="1:3" x14ac:dyDescent="0.25">
      <c r="A230" t="s">
        <v>775</v>
      </c>
      <c r="B230">
        <f>('Factors applied'!$E$607+'Factors applied'!$E$608)</f>
        <v>1</v>
      </c>
      <c r="C230" s="123" t="str">
        <f t="shared" si="3"/>
        <v>PASS</v>
      </c>
    </row>
    <row r="231" spans="1:3" x14ac:dyDescent="0.25">
      <c r="A231" t="s">
        <v>776</v>
      </c>
      <c r="B231">
        <f>('Factors applied'!$E$609+'Factors applied'!$E$610)</f>
        <v>1</v>
      </c>
      <c r="C231" s="123" t="str">
        <f t="shared" si="3"/>
        <v>PASS</v>
      </c>
    </row>
    <row r="232" spans="1:3" x14ac:dyDescent="0.25">
      <c r="A232" t="s">
        <v>777</v>
      </c>
      <c r="B232">
        <f>('Factors applied'!$E$611+'Factors applied'!$E$612+'Factors applied'!$E$613)</f>
        <v>1</v>
      </c>
      <c r="C232" s="123" t="str">
        <f t="shared" si="3"/>
        <v>PASS</v>
      </c>
    </row>
    <row r="233" spans="1:3" x14ac:dyDescent="0.25">
      <c r="A233" t="s">
        <v>778</v>
      </c>
      <c r="B233">
        <f>('Factors applied'!$E$614+'Factors applied'!$E$615)</f>
        <v>1</v>
      </c>
      <c r="C233" s="123" t="str">
        <f t="shared" si="3"/>
        <v>PASS</v>
      </c>
    </row>
    <row r="234" spans="1:3" x14ac:dyDescent="0.25">
      <c r="A234" t="s">
        <v>779</v>
      </c>
      <c r="B234">
        <f>('Factors applied'!$E$616+'Factors applied'!$E$617)</f>
        <v>1</v>
      </c>
      <c r="C234" s="123" t="str">
        <f t="shared" si="3"/>
        <v>PASS</v>
      </c>
    </row>
    <row r="235" spans="1:3" x14ac:dyDescent="0.25">
      <c r="A235" t="s">
        <v>780</v>
      </c>
      <c r="B235">
        <f>('Factors applied'!$E$618+'Factors applied'!$E$619+'Factors applied'!$E$620+'Factors applied'!$E$621+'Factors applied'!$E$622)</f>
        <v>0.99999999999999989</v>
      </c>
      <c r="C235" s="123" t="str">
        <f t="shared" si="3"/>
        <v>PASS</v>
      </c>
    </row>
    <row r="236" spans="1:3" x14ac:dyDescent="0.25">
      <c r="A236" t="s">
        <v>781</v>
      </c>
      <c r="B236">
        <f>('Factors applied'!$E$623+'Factors applied'!$E$624)</f>
        <v>1</v>
      </c>
      <c r="C236" s="123" t="str">
        <f t="shared" si="3"/>
        <v>PASS</v>
      </c>
    </row>
    <row r="237" spans="1:3" x14ac:dyDescent="0.25">
      <c r="A237" t="s">
        <v>782</v>
      </c>
      <c r="B237">
        <f>('Factors applied'!$E$625+'Factors applied'!$E$626)</f>
        <v>1</v>
      </c>
      <c r="C237" s="123" t="str">
        <f t="shared" si="3"/>
        <v>PASS</v>
      </c>
    </row>
    <row r="238" spans="1:3" x14ac:dyDescent="0.25">
      <c r="A238" t="s">
        <v>783</v>
      </c>
      <c r="B238">
        <f>('Factors applied'!$E$627+'Factors applied'!$E$628+'Factors applied'!$E$629)</f>
        <v>1</v>
      </c>
      <c r="C238" s="123" t="str">
        <f t="shared" si="3"/>
        <v>PASS</v>
      </c>
    </row>
    <row r="239" spans="1:3" x14ac:dyDescent="0.25">
      <c r="A239" t="s">
        <v>784</v>
      </c>
      <c r="B239">
        <f>('Factors applied'!$E$630+'Factors applied'!$E$631)</f>
        <v>1</v>
      </c>
      <c r="C239" s="123" t="str">
        <f t="shared" si="3"/>
        <v>PASS</v>
      </c>
    </row>
    <row r="240" spans="1:3" x14ac:dyDescent="0.25">
      <c r="A240" t="s">
        <v>785</v>
      </c>
      <c r="B240">
        <f>('Factors applied'!$E$632+'Factors applied'!$E$633)</f>
        <v>1</v>
      </c>
      <c r="C240" s="123" t="str">
        <f t="shared" si="3"/>
        <v>PASS</v>
      </c>
    </row>
    <row r="241" spans="1:3" x14ac:dyDescent="0.25">
      <c r="A241" t="s">
        <v>786</v>
      </c>
      <c r="B241">
        <f>('Factors applied'!$E$634+'Factors applied'!$E$635+'Factors applied'!$E$636+'Factors applied'!$E$637+'Factors applied'!$E$638)</f>
        <v>0.99999999999999989</v>
      </c>
      <c r="C241" s="123" t="str">
        <f t="shared" si="3"/>
        <v>PASS</v>
      </c>
    </row>
    <row r="242" spans="1:3" x14ac:dyDescent="0.25">
      <c r="A242" t="s">
        <v>787</v>
      </c>
      <c r="B242">
        <f>('Factors applied'!$E$639+'Factors applied'!$E$640)</f>
        <v>1</v>
      </c>
      <c r="C242" s="123" t="str">
        <f t="shared" si="3"/>
        <v>PASS</v>
      </c>
    </row>
    <row r="243" spans="1:3" x14ac:dyDescent="0.25">
      <c r="A243" t="s">
        <v>788</v>
      </c>
      <c r="B243">
        <f>('Factors applied'!$E$641+'Factors applied'!$E$642)</f>
        <v>1</v>
      </c>
      <c r="C243" s="123" t="str">
        <f t="shared" si="3"/>
        <v>PASS</v>
      </c>
    </row>
    <row r="244" spans="1:3" x14ac:dyDescent="0.25">
      <c r="A244" t="s">
        <v>789</v>
      </c>
      <c r="B244">
        <f>('Factors applied'!$E$643+'Factors applied'!$E$644+'Factors applied'!$E$645)</f>
        <v>1</v>
      </c>
      <c r="C244" s="123" t="str">
        <f t="shared" si="3"/>
        <v>PASS</v>
      </c>
    </row>
    <row r="245" spans="1:3" x14ac:dyDescent="0.25">
      <c r="A245" t="s">
        <v>790</v>
      </c>
      <c r="B245">
        <f>('Factors applied'!$E$646+'Factors applied'!$E$647)</f>
        <v>1</v>
      </c>
      <c r="C245" s="123" t="str">
        <f t="shared" si="3"/>
        <v>PASS</v>
      </c>
    </row>
    <row r="246" spans="1:3" x14ac:dyDescent="0.25">
      <c r="A246" t="s">
        <v>791</v>
      </c>
      <c r="B246">
        <f>('Factors applied'!$E$648+'Factors applied'!$E$649)</f>
        <v>1</v>
      </c>
      <c r="C246" s="123" t="str">
        <f t="shared" si="3"/>
        <v>PASS</v>
      </c>
    </row>
    <row r="247" spans="1:3" x14ac:dyDescent="0.25">
      <c r="A247" t="s">
        <v>792</v>
      </c>
      <c r="B247">
        <f>('Factors applied'!$E$650+'Factors applied'!$E$651+'Factors applied'!$E$652+'Factors applied'!$E$653+'Factors applied'!$E$654)</f>
        <v>0.99999999999999989</v>
      </c>
      <c r="C247" s="123" t="str">
        <f t="shared" si="3"/>
        <v>PASS</v>
      </c>
    </row>
    <row r="248" spans="1:3" x14ac:dyDescent="0.25">
      <c r="A248" t="s">
        <v>793</v>
      </c>
      <c r="B248">
        <f>('Factors applied'!$E$655+'Factors applied'!$E$656)</f>
        <v>1</v>
      </c>
      <c r="C248" s="123" t="str">
        <f t="shared" si="3"/>
        <v>PASS</v>
      </c>
    </row>
    <row r="249" spans="1:3" x14ac:dyDescent="0.25">
      <c r="A249" t="s">
        <v>794</v>
      </c>
      <c r="B249">
        <f>('Factors applied'!$E$657+'Factors applied'!$E$658)</f>
        <v>1</v>
      </c>
      <c r="C249" s="123" t="str">
        <f t="shared" si="3"/>
        <v>PASS</v>
      </c>
    </row>
    <row r="250" spans="1:3" x14ac:dyDescent="0.25">
      <c r="A250" t="s">
        <v>795</v>
      </c>
      <c r="B250">
        <f>('Factors applied'!$E$659+'Factors applied'!$E$660+'Factors applied'!$E$661)</f>
        <v>1</v>
      </c>
      <c r="C250" s="123" t="str">
        <f t="shared" si="3"/>
        <v>PASS</v>
      </c>
    </row>
    <row r="251" spans="1:3" x14ac:dyDescent="0.25">
      <c r="A251" t="s">
        <v>796</v>
      </c>
      <c r="B251">
        <f>('Factors applied'!$E$662+'Factors applied'!$E$663)</f>
        <v>1</v>
      </c>
      <c r="C251" s="123" t="str">
        <f t="shared" si="3"/>
        <v>PASS</v>
      </c>
    </row>
    <row r="252" spans="1:3" x14ac:dyDescent="0.25">
      <c r="A252" t="s">
        <v>797</v>
      </c>
      <c r="B252">
        <f>('Factors applied'!$E$664+'Factors applied'!$E$665)</f>
        <v>1</v>
      </c>
      <c r="C252" s="123" t="str">
        <f t="shared" si="3"/>
        <v>PASS</v>
      </c>
    </row>
    <row r="253" spans="1:3" x14ac:dyDescent="0.25">
      <c r="A253" t="s">
        <v>798</v>
      </c>
      <c r="B253">
        <f>('Factors applied'!$E$666+'Factors applied'!$E$667+'Factors applied'!$E$668+'Factors applied'!$E$669+'Factors applied'!$E$670)</f>
        <v>0.99999999999999989</v>
      </c>
      <c r="C253" s="123" t="str">
        <f t="shared" si="3"/>
        <v>PASS</v>
      </c>
    </row>
    <row r="254" spans="1:3" x14ac:dyDescent="0.25">
      <c r="A254" t="s">
        <v>799</v>
      </c>
      <c r="B254">
        <f>('Factors applied'!$E$671+'Factors applied'!$E$672)</f>
        <v>1</v>
      </c>
      <c r="C254" s="123" t="str">
        <f t="shared" si="3"/>
        <v>PASS</v>
      </c>
    </row>
    <row r="255" spans="1:3" x14ac:dyDescent="0.25">
      <c r="A255" t="s">
        <v>800</v>
      </c>
      <c r="B255">
        <f>('Factors applied'!$E$673+'Factors applied'!$E$674)</f>
        <v>1</v>
      </c>
      <c r="C255" s="123" t="str">
        <f t="shared" si="3"/>
        <v>PASS</v>
      </c>
    </row>
    <row r="256" spans="1:3" x14ac:dyDescent="0.25">
      <c r="A256" t="s">
        <v>801</v>
      </c>
      <c r="B256">
        <f>('Factors applied'!$E$675+'Factors applied'!$E$676+'Factors applied'!$E$677)</f>
        <v>1</v>
      </c>
      <c r="C256" s="123" t="str">
        <f t="shared" si="3"/>
        <v>PASS</v>
      </c>
    </row>
    <row r="257" spans="1:3" x14ac:dyDescent="0.25">
      <c r="A257" t="s">
        <v>802</v>
      </c>
      <c r="B257">
        <f>('Factors applied'!$E$678+'Factors applied'!$E$679)</f>
        <v>1</v>
      </c>
      <c r="C257" s="123" t="str">
        <f t="shared" si="3"/>
        <v>PASS</v>
      </c>
    </row>
    <row r="258" spans="1:3" x14ac:dyDescent="0.25">
      <c r="A258" t="s">
        <v>803</v>
      </c>
      <c r="B258">
        <f>('Factors applied'!$E$680+'Factors applied'!$E$681)</f>
        <v>1</v>
      </c>
      <c r="C258" s="123" t="str">
        <f t="shared" si="3"/>
        <v>PASS</v>
      </c>
    </row>
    <row r="259" spans="1:3" x14ac:dyDescent="0.25">
      <c r="A259" t="s">
        <v>804</v>
      </c>
      <c r="B259">
        <f>('Factors applied'!$E$682+'Factors applied'!$E$683+'Factors applied'!$E$684+'Factors applied'!$E$685+'Factors applied'!$E$686)</f>
        <v>0.99999999999999989</v>
      </c>
      <c r="C259" s="123" t="str">
        <f t="shared" si="3"/>
        <v>PASS</v>
      </c>
    </row>
    <row r="260" spans="1:3" x14ac:dyDescent="0.25">
      <c r="A260" t="s">
        <v>805</v>
      </c>
      <c r="B260">
        <f>('Factors applied'!$E$687+'Factors applied'!$E$688)</f>
        <v>1</v>
      </c>
      <c r="C260" s="123" t="str">
        <f t="shared" ref="C260:C323" si="4">IF(ABS(B260-1)&lt;0.000000001,"PASS","FAIL")</f>
        <v>PASS</v>
      </c>
    </row>
    <row r="261" spans="1:3" x14ac:dyDescent="0.25">
      <c r="A261" t="s">
        <v>806</v>
      </c>
      <c r="B261">
        <f>('Factors applied'!$E$689+'Factors applied'!$E$690)</f>
        <v>1</v>
      </c>
      <c r="C261" s="123" t="str">
        <f t="shared" si="4"/>
        <v>PASS</v>
      </c>
    </row>
    <row r="262" spans="1:3" x14ac:dyDescent="0.25">
      <c r="A262" t="s">
        <v>807</v>
      </c>
      <c r="B262">
        <f>('Factors applied'!$E$691+'Factors applied'!$E$692+'Factors applied'!$E$693)</f>
        <v>1</v>
      </c>
      <c r="C262" s="123" t="str">
        <f t="shared" si="4"/>
        <v>PASS</v>
      </c>
    </row>
    <row r="263" spans="1:3" x14ac:dyDescent="0.25">
      <c r="A263" t="s">
        <v>808</v>
      </c>
      <c r="B263">
        <f>('Factors applied'!$E$694+'Factors applied'!$E$695)</f>
        <v>1</v>
      </c>
      <c r="C263" s="123" t="str">
        <f t="shared" si="4"/>
        <v>PASS</v>
      </c>
    </row>
    <row r="264" spans="1:3" x14ac:dyDescent="0.25">
      <c r="A264" t="s">
        <v>809</v>
      </c>
      <c r="B264">
        <f>('Factors applied'!$E$696+'Factors applied'!$E$697)</f>
        <v>1</v>
      </c>
      <c r="C264" s="123" t="str">
        <f t="shared" si="4"/>
        <v>PASS</v>
      </c>
    </row>
    <row r="265" spans="1:3" x14ac:dyDescent="0.25">
      <c r="A265" t="s">
        <v>810</v>
      </c>
      <c r="B265">
        <f>('Factors applied'!$E$698+'Factors applied'!$E$699+'Factors applied'!$E$700+'Factors applied'!$E$701+'Factors applied'!$E$702)</f>
        <v>0.99999999999999989</v>
      </c>
      <c r="C265" s="123" t="str">
        <f t="shared" si="4"/>
        <v>PASS</v>
      </c>
    </row>
    <row r="266" spans="1:3" x14ac:dyDescent="0.25">
      <c r="A266" t="s">
        <v>811</v>
      </c>
      <c r="B266">
        <f>('Factors applied'!$E$703+'Factors applied'!$E$704)</f>
        <v>1</v>
      </c>
      <c r="C266" s="123" t="str">
        <f t="shared" si="4"/>
        <v>PASS</v>
      </c>
    </row>
    <row r="267" spans="1:3" x14ac:dyDescent="0.25">
      <c r="A267" t="s">
        <v>812</v>
      </c>
      <c r="B267">
        <f>('Factors applied'!$E$705+'Factors applied'!$E$706)</f>
        <v>1</v>
      </c>
      <c r="C267" s="123" t="str">
        <f t="shared" si="4"/>
        <v>PASS</v>
      </c>
    </row>
    <row r="268" spans="1:3" x14ac:dyDescent="0.25">
      <c r="A268" t="s">
        <v>813</v>
      </c>
      <c r="B268">
        <f>('Factors applied'!$E$707+'Factors applied'!$E$708+'Factors applied'!$E$709)</f>
        <v>1</v>
      </c>
      <c r="C268" s="123" t="str">
        <f t="shared" si="4"/>
        <v>PASS</v>
      </c>
    </row>
    <row r="269" spans="1:3" x14ac:dyDescent="0.25">
      <c r="A269" t="s">
        <v>814</v>
      </c>
      <c r="B269">
        <f>('Factors applied'!$E$710+'Factors applied'!$E$711)</f>
        <v>1</v>
      </c>
      <c r="C269" s="123" t="str">
        <f t="shared" si="4"/>
        <v>PASS</v>
      </c>
    </row>
    <row r="270" spans="1:3" x14ac:dyDescent="0.25">
      <c r="A270" t="s">
        <v>815</v>
      </c>
      <c r="B270">
        <f>('Factors applied'!$E$712+'Factors applied'!$E$713)</f>
        <v>1</v>
      </c>
      <c r="C270" s="123" t="str">
        <f t="shared" si="4"/>
        <v>PASS</v>
      </c>
    </row>
    <row r="271" spans="1:3" x14ac:dyDescent="0.25">
      <c r="A271" t="s">
        <v>816</v>
      </c>
      <c r="B271">
        <f>('Factors applied'!$E$714+'Factors applied'!$E$715+'Factors applied'!$E$716+'Factors applied'!$E$717+'Factors applied'!$E$718)</f>
        <v>0.99999999999999989</v>
      </c>
      <c r="C271" s="123" t="str">
        <f t="shared" si="4"/>
        <v>PASS</v>
      </c>
    </row>
    <row r="272" spans="1:3" x14ac:dyDescent="0.25">
      <c r="A272" t="s">
        <v>817</v>
      </c>
      <c r="B272">
        <f>('Factors applied'!$E$719+'Factors applied'!$E$720)</f>
        <v>1</v>
      </c>
      <c r="C272" s="123" t="str">
        <f t="shared" si="4"/>
        <v>PASS</v>
      </c>
    </row>
    <row r="273" spans="1:3" x14ac:dyDescent="0.25">
      <c r="A273" t="s">
        <v>818</v>
      </c>
      <c r="B273">
        <f>('Factors applied'!$E$721+'Factors applied'!$E$722)</f>
        <v>1</v>
      </c>
      <c r="C273" s="123" t="str">
        <f t="shared" si="4"/>
        <v>PASS</v>
      </c>
    </row>
    <row r="274" spans="1:3" x14ac:dyDescent="0.25">
      <c r="A274" t="s">
        <v>819</v>
      </c>
      <c r="B274">
        <f>('Factors applied'!$E$723+'Factors applied'!$E$724+'Factors applied'!$E$725)</f>
        <v>1</v>
      </c>
      <c r="C274" s="123" t="str">
        <f t="shared" si="4"/>
        <v>PASS</v>
      </c>
    </row>
    <row r="275" spans="1:3" x14ac:dyDescent="0.25">
      <c r="A275" t="s">
        <v>820</v>
      </c>
      <c r="B275">
        <f>('Factors applied'!$E$726+'Factors applied'!$E$727)</f>
        <v>1</v>
      </c>
      <c r="C275" s="123" t="str">
        <f t="shared" si="4"/>
        <v>PASS</v>
      </c>
    </row>
    <row r="276" spans="1:3" x14ac:dyDescent="0.25">
      <c r="A276" t="s">
        <v>821</v>
      </c>
      <c r="B276">
        <f>('Factors applied'!$E$728+'Factors applied'!$E$729)</f>
        <v>1</v>
      </c>
      <c r="C276" s="123" t="str">
        <f t="shared" si="4"/>
        <v>PASS</v>
      </c>
    </row>
    <row r="277" spans="1:3" x14ac:dyDescent="0.25">
      <c r="A277" t="s">
        <v>822</v>
      </c>
      <c r="B277">
        <f>('Factors applied'!$E$730+'Factors applied'!$E$731+'Factors applied'!$E$732+'Factors applied'!$E$733+'Factors applied'!$E$734)</f>
        <v>0.99999999999999989</v>
      </c>
      <c r="C277" s="123" t="str">
        <f t="shared" si="4"/>
        <v>PASS</v>
      </c>
    </row>
    <row r="278" spans="1:3" x14ac:dyDescent="0.25">
      <c r="A278" t="s">
        <v>823</v>
      </c>
      <c r="B278">
        <f>('Factors applied'!$E$735+'Factors applied'!$E$736)</f>
        <v>1</v>
      </c>
      <c r="C278" s="123" t="str">
        <f t="shared" si="4"/>
        <v>PASS</v>
      </c>
    </row>
    <row r="279" spans="1:3" x14ac:dyDescent="0.25">
      <c r="A279" t="s">
        <v>824</v>
      </c>
      <c r="B279">
        <f>('Factors applied'!$E$737+'Factors applied'!$E$738)</f>
        <v>1</v>
      </c>
      <c r="C279" s="123" t="str">
        <f t="shared" si="4"/>
        <v>PASS</v>
      </c>
    </row>
    <row r="280" spans="1:3" x14ac:dyDescent="0.25">
      <c r="A280" t="s">
        <v>825</v>
      </c>
      <c r="B280">
        <f>('Factors applied'!$E$739+'Factors applied'!$E$740+'Factors applied'!$E$741)</f>
        <v>1</v>
      </c>
      <c r="C280" s="123" t="str">
        <f t="shared" si="4"/>
        <v>PASS</v>
      </c>
    </row>
    <row r="281" spans="1:3" x14ac:dyDescent="0.25">
      <c r="A281" t="s">
        <v>826</v>
      </c>
      <c r="B281">
        <f>('Factors applied'!$E$742+'Factors applied'!$E$743)</f>
        <v>1</v>
      </c>
      <c r="C281" s="123" t="str">
        <f t="shared" si="4"/>
        <v>PASS</v>
      </c>
    </row>
    <row r="282" spans="1:3" x14ac:dyDescent="0.25">
      <c r="A282" t="s">
        <v>827</v>
      </c>
      <c r="B282">
        <f>('Factors applied'!$E$744+'Factors applied'!$E$745)</f>
        <v>1</v>
      </c>
      <c r="C282" s="123" t="str">
        <f t="shared" si="4"/>
        <v>PASS</v>
      </c>
    </row>
    <row r="283" spans="1:3" x14ac:dyDescent="0.25">
      <c r="A283" t="s">
        <v>828</v>
      </c>
      <c r="B283">
        <f>('Factors applied'!$E$746+'Factors applied'!$E$747+'Factors applied'!$E$748+'Factors applied'!$E$749+'Factors applied'!$E$750)</f>
        <v>0.99999999999999989</v>
      </c>
      <c r="C283" s="123" t="str">
        <f t="shared" si="4"/>
        <v>PASS</v>
      </c>
    </row>
    <row r="284" spans="1:3" x14ac:dyDescent="0.25">
      <c r="A284" t="s">
        <v>829</v>
      </c>
      <c r="B284">
        <f>('Factors applied'!$E$751+'Factors applied'!$E$752)</f>
        <v>1</v>
      </c>
      <c r="C284" s="123" t="str">
        <f t="shared" si="4"/>
        <v>PASS</v>
      </c>
    </row>
    <row r="285" spans="1:3" x14ac:dyDescent="0.25">
      <c r="A285" t="s">
        <v>830</v>
      </c>
      <c r="B285">
        <f>('Factors applied'!$E$753+'Factors applied'!$E$754)</f>
        <v>1</v>
      </c>
      <c r="C285" s="123" t="str">
        <f t="shared" si="4"/>
        <v>PASS</v>
      </c>
    </row>
    <row r="286" spans="1:3" x14ac:dyDescent="0.25">
      <c r="A286" t="s">
        <v>831</v>
      </c>
      <c r="B286">
        <f>('Factors applied'!$E$755+'Factors applied'!$E$756+'Factors applied'!$E$757)</f>
        <v>1</v>
      </c>
      <c r="C286" s="123" t="str">
        <f t="shared" si="4"/>
        <v>PASS</v>
      </c>
    </row>
    <row r="287" spans="1:3" x14ac:dyDescent="0.25">
      <c r="A287" t="s">
        <v>832</v>
      </c>
      <c r="B287">
        <f>('Factors applied'!$E$758+'Factors applied'!$E$759)</f>
        <v>1</v>
      </c>
      <c r="C287" s="123" t="str">
        <f t="shared" si="4"/>
        <v>PASS</v>
      </c>
    </row>
    <row r="288" spans="1:3" x14ac:dyDescent="0.25">
      <c r="A288" t="s">
        <v>833</v>
      </c>
      <c r="B288">
        <f>('Factors applied'!$E$760+'Factors applied'!$E$761)</f>
        <v>1</v>
      </c>
      <c r="C288" s="123" t="str">
        <f t="shared" si="4"/>
        <v>PASS</v>
      </c>
    </row>
    <row r="289" spans="1:3" x14ac:dyDescent="0.25">
      <c r="A289" t="s">
        <v>834</v>
      </c>
      <c r="B289">
        <f>('Factors applied'!$E$762+'Factors applied'!$E$763+'Factors applied'!$E$764+'Factors applied'!$E$765+'Factors applied'!$E$766)</f>
        <v>0.99999999999999989</v>
      </c>
      <c r="C289" s="123" t="str">
        <f t="shared" si="4"/>
        <v>PASS</v>
      </c>
    </row>
    <row r="290" spans="1:3" x14ac:dyDescent="0.25">
      <c r="A290" t="s">
        <v>835</v>
      </c>
      <c r="B290">
        <f>('Factors applied'!$E$767+'Factors applied'!$E$768)</f>
        <v>1</v>
      </c>
      <c r="C290" s="123" t="str">
        <f t="shared" si="4"/>
        <v>PASS</v>
      </c>
    </row>
    <row r="291" spans="1:3" x14ac:dyDescent="0.25">
      <c r="A291" t="s">
        <v>836</v>
      </c>
      <c r="B291">
        <f>('Factors applied'!$E$769+'Factors applied'!$E$770)</f>
        <v>1</v>
      </c>
      <c r="C291" s="123" t="str">
        <f t="shared" si="4"/>
        <v>PASS</v>
      </c>
    </row>
    <row r="292" spans="1:3" x14ac:dyDescent="0.25">
      <c r="A292" t="s">
        <v>837</v>
      </c>
      <c r="B292">
        <f>('Factors applied'!$E$771+'Factors applied'!$E$772+'Factors applied'!$E$773)</f>
        <v>1</v>
      </c>
      <c r="C292" s="123" t="str">
        <f t="shared" si="4"/>
        <v>PASS</v>
      </c>
    </row>
    <row r="293" spans="1:3" x14ac:dyDescent="0.25">
      <c r="A293" t="s">
        <v>838</v>
      </c>
      <c r="B293">
        <f>('Factors applied'!$E$774+'Factors applied'!$E$775)</f>
        <v>1</v>
      </c>
      <c r="C293" s="123" t="str">
        <f t="shared" si="4"/>
        <v>PASS</v>
      </c>
    </row>
    <row r="294" spans="1:3" x14ac:dyDescent="0.25">
      <c r="A294" t="s">
        <v>839</v>
      </c>
      <c r="B294">
        <f>('Factors applied'!$E$776+'Factors applied'!$E$777)</f>
        <v>1</v>
      </c>
      <c r="C294" s="123" t="str">
        <f t="shared" si="4"/>
        <v>PASS</v>
      </c>
    </row>
    <row r="295" spans="1:3" x14ac:dyDescent="0.25">
      <c r="A295" t="s">
        <v>840</v>
      </c>
      <c r="B295">
        <f>('Factors applied'!$E$778+'Factors applied'!$E$779+'Factors applied'!$E$780+'Factors applied'!$E$781+'Factors applied'!$E$782)</f>
        <v>0.99999999999999989</v>
      </c>
      <c r="C295" s="123" t="str">
        <f t="shared" si="4"/>
        <v>PASS</v>
      </c>
    </row>
    <row r="296" spans="1:3" x14ac:dyDescent="0.25">
      <c r="A296" t="s">
        <v>841</v>
      </c>
      <c r="B296">
        <f>('Factors applied'!$E$783+'Factors applied'!$E$784)</f>
        <v>1</v>
      </c>
      <c r="C296" s="123" t="str">
        <f t="shared" si="4"/>
        <v>PASS</v>
      </c>
    </row>
    <row r="297" spans="1:3" x14ac:dyDescent="0.25">
      <c r="A297" t="s">
        <v>842</v>
      </c>
      <c r="B297">
        <f>('Factors applied'!$E$785+'Factors applied'!$E$786)</f>
        <v>1</v>
      </c>
      <c r="C297" s="123" t="str">
        <f t="shared" si="4"/>
        <v>PASS</v>
      </c>
    </row>
    <row r="298" spans="1:3" x14ac:dyDescent="0.25">
      <c r="A298" t="s">
        <v>843</v>
      </c>
      <c r="B298">
        <f>('Factors applied'!$E$787+'Factors applied'!$E$788+'Factors applied'!$E$789)</f>
        <v>1</v>
      </c>
      <c r="C298" s="123" t="str">
        <f t="shared" si="4"/>
        <v>PASS</v>
      </c>
    </row>
    <row r="299" spans="1:3" x14ac:dyDescent="0.25">
      <c r="A299" t="s">
        <v>844</v>
      </c>
      <c r="B299">
        <f>('Factors applied'!$E$790+'Factors applied'!$E$791)</f>
        <v>1</v>
      </c>
      <c r="C299" s="123" t="str">
        <f t="shared" si="4"/>
        <v>PASS</v>
      </c>
    </row>
    <row r="300" spans="1:3" x14ac:dyDescent="0.25">
      <c r="A300" t="s">
        <v>845</v>
      </c>
      <c r="B300">
        <f>('Factors applied'!$E$792+'Factors applied'!$E$793)</f>
        <v>1</v>
      </c>
      <c r="C300" s="123" t="str">
        <f t="shared" si="4"/>
        <v>PASS</v>
      </c>
    </row>
    <row r="301" spans="1:3" x14ac:dyDescent="0.25">
      <c r="A301" t="s">
        <v>846</v>
      </c>
      <c r="B301">
        <f>('Factors applied'!$E$794+'Factors applied'!$E$795+'Factors applied'!$E$796+'Factors applied'!$E$797+'Factors applied'!$E$798)</f>
        <v>0.99999999999999989</v>
      </c>
      <c r="C301" s="123" t="str">
        <f t="shared" si="4"/>
        <v>PASS</v>
      </c>
    </row>
    <row r="302" spans="1:3" x14ac:dyDescent="0.25">
      <c r="A302" t="s">
        <v>847</v>
      </c>
      <c r="B302">
        <f>('Factors applied'!$E$799+'Factors applied'!$E$800)</f>
        <v>1</v>
      </c>
      <c r="C302" s="123" t="str">
        <f t="shared" si="4"/>
        <v>PASS</v>
      </c>
    </row>
    <row r="303" spans="1:3" x14ac:dyDescent="0.25">
      <c r="A303" t="s">
        <v>848</v>
      </c>
      <c r="B303">
        <f>('Factors applied'!$E$801+'Factors applied'!$E$802)</f>
        <v>1</v>
      </c>
      <c r="C303" s="123" t="str">
        <f t="shared" si="4"/>
        <v>PASS</v>
      </c>
    </row>
    <row r="304" spans="1:3" x14ac:dyDescent="0.25">
      <c r="A304" t="s">
        <v>849</v>
      </c>
      <c r="B304">
        <f>('Factors applied'!$E$803+'Factors applied'!$E$804+'Factors applied'!$E$805)</f>
        <v>1</v>
      </c>
      <c r="C304" s="123" t="str">
        <f t="shared" si="4"/>
        <v>PASS</v>
      </c>
    </row>
    <row r="305" spans="1:3" x14ac:dyDescent="0.25">
      <c r="A305" t="s">
        <v>850</v>
      </c>
      <c r="B305">
        <f>('Factors applied'!$E$806+'Factors applied'!$E$807)</f>
        <v>1</v>
      </c>
      <c r="C305" s="123" t="str">
        <f t="shared" si="4"/>
        <v>PASS</v>
      </c>
    </row>
    <row r="306" spans="1:3" x14ac:dyDescent="0.25">
      <c r="A306" t="s">
        <v>851</v>
      </c>
      <c r="B306">
        <f>('Factors applied'!$E$808+'Factors applied'!$E$809)</f>
        <v>1</v>
      </c>
      <c r="C306" s="123" t="str">
        <f t="shared" si="4"/>
        <v>PASS</v>
      </c>
    </row>
    <row r="307" spans="1:3" x14ac:dyDescent="0.25">
      <c r="A307" t="s">
        <v>852</v>
      </c>
      <c r="B307">
        <f>('Factors applied'!$E$810+'Factors applied'!$E$811+'Factors applied'!$E$812+'Factors applied'!$E$813+'Factors applied'!$E$814)</f>
        <v>0.99999999999999989</v>
      </c>
      <c r="C307" s="123" t="str">
        <f t="shared" si="4"/>
        <v>PASS</v>
      </c>
    </row>
    <row r="308" spans="1:3" x14ac:dyDescent="0.25">
      <c r="A308" t="s">
        <v>853</v>
      </c>
      <c r="B308">
        <f>('Factors applied'!$E$815+'Factors applied'!$E$816)</f>
        <v>1</v>
      </c>
      <c r="C308" s="123" t="str">
        <f t="shared" si="4"/>
        <v>PASS</v>
      </c>
    </row>
    <row r="309" spans="1:3" x14ac:dyDescent="0.25">
      <c r="A309" t="s">
        <v>854</v>
      </c>
      <c r="B309">
        <f>('Factors applied'!$E$817+'Factors applied'!$E$818)</f>
        <v>1</v>
      </c>
      <c r="C309" s="123" t="str">
        <f t="shared" si="4"/>
        <v>PASS</v>
      </c>
    </row>
    <row r="310" spans="1:3" x14ac:dyDescent="0.25">
      <c r="A310" t="s">
        <v>855</v>
      </c>
      <c r="B310">
        <f>('Factors applied'!$E$819+'Factors applied'!$E$820+'Factors applied'!$E$821)</f>
        <v>1</v>
      </c>
      <c r="C310" s="123" t="str">
        <f t="shared" si="4"/>
        <v>PASS</v>
      </c>
    </row>
    <row r="311" spans="1:3" x14ac:dyDescent="0.25">
      <c r="A311" t="s">
        <v>856</v>
      </c>
      <c r="B311">
        <f>('Factors applied'!$E$822+'Factors applied'!$E$823)</f>
        <v>1</v>
      </c>
      <c r="C311" s="123" t="str">
        <f t="shared" si="4"/>
        <v>PASS</v>
      </c>
    </row>
    <row r="312" spans="1:3" x14ac:dyDescent="0.25">
      <c r="A312" t="s">
        <v>857</v>
      </c>
      <c r="B312">
        <f>('Factors applied'!$E$824+'Factors applied'!$E$825)</f>
        <v>1</v>
      </c>
      <c r="C312" s="123" t="str">
        <f t="shared" si="4"/>
        <v>PASS</v>
      </c>
    </row>
    <row r="313" spans="1:3" x14ac:dyDescent="0.25">
      <c r="A313" t="s">
        <v>858</v>
      </c>
      <c r="B313">
        <f>('Factors applied'!$E$826+'Factors applied'!$E$827+'Factors applied'!$E$828+'Factors applied'!$E$829+'Factors applied'!$E$830)</f>
        <v>0.99999999999999989</v>
      </c>
      <c r="C313" s="123" t="str">
        <f t="shared" si="4"/>
        <v>PASS</v>
      </c>
    </row>
    <row r="314" spans="1:3" x14ac:dyDescent="0.25">
      <c r="A314" t="s">
        <v>859</v>
      </c>
      <c r="B314">
        <f>('Factors applied'!$E$831+'Factors applied'!$E$832)</f>
        <v>1</v>
      </c>
      <c r="C314" s="123" t="str">
        <f t="shared" si="4"/>
        <v>PASS</v>
      </c>
    </row>
    <row r="315" spans="1:3" x14ac:dyDescent="0.25">
      <c r="A315" t="s">
        <v>860</v>
      </c>
      <c r="B315">
        <f>('Factors applied'!$E$833+'Factors applied'!$E$834)</f>
        <v>1</v>
      </c>
      <c r="C315" s="123" t="str">
        <f t="shared" si="4"/>
        <v>PASS</v>
      </c>
    </row>
    <row r="316" spans="1:3" x14ac:dyDescent="0.25">
      <c r="A316" t="s">
        <v>861</v>
      </c>
      <c r="B316">
        <f>('Factors applied'!$E$835+'Factors applied'!$E$836+'Factors applied'!$E$837)</f>
        <v>1</v>
      </c>
      <c r="C316" s="123" t="str">
        <f t="shared" si="4"/>
        <v>PASS</v>
      </c>
    </row>
    <row r="317" spans="1:3" x14ac:dyDescent="0.25">
      <c r="A317" t="s">
        <v>862</v>
      </c>
      <c r="B317">
        <f>('Factors applied'!$E$838+'Factors applied'!$E$839)</f>
        <v>1</v>
      </c>
      <c r="C317" s="123" t="str">
        <f t="shared" si="4"/>
        <v>PASS</v>
      </c>
    </row>
    <row r="318" spans="1:3" x14ac:dyDescent="0.25">
      <c r="A318" t="s">
        <v>863</v>
      </c>
      <c r="B318">
        <f>('Factors applied'!$E$840+'Factors applied'!$E$841)</f>
        <v>1</v>
      </c>
      <c r="C318" s="123" t="str">
        <f t="shared" si="4"/>
        <v>PASS</v>
      </c>
    </row>
    <row r="319" spans="1:3" x14ac:dyDescent="0.25">
      <c r="A319" t="s">
        <v>864</v>
      </c>
      <c r="B319">
        <f>('Factors applied'!$E$842+'Factors applied'!$E$843+'Factors applied'!$E$844+'Factors applied'!$E$845+'Factors applied'!$E$846)</f>
        <v>0.99999999999999989</v>
      </c>
      <c r="C319" s="123" t="str">
        <f t="shared" si="4"/>
        <v>PASS</v>
      </c>
    </row>
    <row r="320" spans="1:3" x14ac:dyDescent="0.25">
      <c r="A320" t="s">
        <v>865</v>
      </c>
      <c r="B320">
        <f>('Factors applied'!$E$847+'Factors applied'!$E$848)</f>
        <v>1</v>
      </c>
      <c r="C320" s="123" t="str">
        <f t="shared" si="4"/>
        <v>PASS</v>
      </c>
    </row>
    <row r="321" spans="1:3" x14ac:dyDescent="0.25">
      <c r="A321" t="s">
        <v>866</v>
      </c>
      <c r="B321">
        <f>('Factors applied'!$E$849+'Factors applied'!$E$850)</f>
        <v>1</v>
      </c>
      <c r="C321" s="123" t="str">
        <f t="shared" si="4"/>
        <v>PASS</v>
      </c>
    </row>
    <row r="322" spans="1:3" x14ac:dyDescent="0.25">
      <c r="A322" t="s">
        <v>867</v>
      </c>
      <c r="B322">
        <f>('Factors applied'!$E$851+'Factors applied'!$E$852+'Factors applied'!$E$853)</f>
        <v>1</v>
      </c>
      <c r="C322" s="123" t="str">
        <f t="shared" si="4"/>
        <v>PASS</v>
      </c>
    </row>
    <row r="323" spans="1:3" x14ac:dyDescent="0.25">
      <c r="A323" t="s">
        <v>868</v>
      </c>
      <c r="B323">
        <f>('Factors applied'!$E$854+'Factors applied'!$E$855)</f>
        <v>1</v>
      </c>
      <c r="C323" s="123" t="str">
        <f t="shared" si="4"/>
        <v>PASS</v>
      </c>
    </row>
    <row r="324" spans="1:3" x14ac:dyDescent="0.25">
      <c r="A324" t="s">
        <v>869</v>
      </c>
      <c r="B324">
        <f>('Factors applied'!$E$856+'Factors applied'!$E$857)</f>
        <v>1</v>
      </c>
      <c r="C324" s="123" t="str">
        <f t="shared" ref="C324:C387" si="5">IF(ABS(B324-1)&lt;0.000000001,"PASS","FAIL")</f>
        <v>PASS</v>
      </c>
    </row>
    <row r="325" spans="1:3" x14ac:dyDescent="0.25">
      <c r="A325" t="s">
        <v>870</v>
      </c>
      <c r="B325">
        <f>('Factors applied'!$E$858+'Factors applied'!$E$859+'Factors applied'!$E$860+'Factors applied'!$E$861+'Factors applied'!$E$862)</f>
        <v>0.99999999999999989</v>
      </c>
      <c r="C325" s="123" t="str">
        <f t="shared" si="5"/>
        <v>PASS</v>
      </c>
    </row>
    <row r="326" spans="1:3" x14ac:dyDescent="0.25">
      <c r="A326" t="s">
        <v>871</v>
      </c>
      <c r="B326">
        <f>('Factors applied'!$E$863+'Factors applied'!$E$864)</f>
        <v>1</v>
      </c>
      <c r="C326" s="123" t="str">
        <f t="shared" si="5"/>
        <v>PASS</v>
      </c>
    </row>
    <row r="327" spans="1:3" x14ac:dyDescent="0.25">
      <c r="A327" t="s">
        <v>872</v>
      </c>
      <c r="B327">
        <f>('Factors applied'!$E$865+'Factors applied'!$E$866)</f>
        <v>1</v>
      </c>
      <c r="C327" s="123" t="str">
        <f t="shared" si="5"/>
        <v>PASS</v>
      </c>
    </row>
    <row r="328" spans="1:3" x14ac:dyDescent="0.25">
      <c r="A328" t="s">
        <v>873</v>
      </c>
      <c r="B328">
        <f>('Factors applied'!$E$867+'Factors applied'!$E$868+'Factors applied'!$E$869)</f>
        <v>1</v>
      </c>
      <c r="C328" s="123" t="str">
        <f t="shared" si="5"/>
        <v>PASS</v>
      </c>
    </row>
    <row r="329" spans="1:3" x14ac:dyDescent="0.25">
      <c r="A329" t="s">
        <v>874</v>
      </c>
      <c r="B329">
        <f>('Factors applied'!$E$870+'Factors applied'!$E$871)</f>
        <v>1</v>
      </c>
      <c r="C329" s="123" t="str">
        <f t="shared" si="5"/>
        <v>PASS</v>
      </c>
    </row>
    <row r="330" spans="1:3" x14ac:dyDescent="0.25">
      <c r="A330" t="s">
        <v>875</v>
      </c>
      <c r="B330">
        <f>('Factors applied'!$E$872+'Factors applied'!$E$873)</f>
        <v>1</v>
      </c>
      <c r="C330" s="123" t="str">
        <f t="shared" si="5"/>
        <v>PASS</v>
      </c>
    </row>
    <row r="331" spans="1:3" x14ac:dyDescent="0.25">
      <c r="A331" t="s">
        <v>876</v>
      </c>
      <c r="B331">
        <f>('Factors applied'!$E$874+'Factors applied'!$E$875+'Factors applied'!$E$876+'Factors applied'!$E$877+'Factors applied'!$E$878)</f>
        <v>0.99999999999999989</v>
      </c>
      <c r="C331" s="123" t="str">
        <f t="shared" si="5"/>
        <v>PASS</v>
      </c>
    </row>
    <row r="332" spans="1:3" x14ac:dyDescent="0.25">
      <c r="A332" t="s">
        <v>877</v>
      </c>
      <c r="B332">
        <f>('Factors applied'!$E$879+'Factors applied'!$E$880)</f>
        <v>1</v>
      </c>
      <c r="C332" s="123" t="str">
        <f t="shared" si="5"/>
        <v>PASS</v>
      </c>
    </row>
    <row r="333" spans="1:3" x14ac:dyDescent="0.25">
      <c r="A333" t="s">
        <v>878</v>
      </c>
      <c r="B333">
        <f>('Factors applied'!$E$881+'Factors applied'!$E$882)</f>
        <v>1</v>
      </c>
      <c r="C333" s="123" t="str">
        <f t="shared" si="5"/>
        <v>PASS</v>
      </c>
    </row>
    <row r="334" spans="1:3" x14ac:dyDescent="0.25">
      <c r="A334" t="s">
        <v>879</v>
      </c>
      <c r="B334">
        <f>('Factors applied'!$E$883+'Factors applied'!$E$884+'Factors applied'!$E$885)</f>
        <v>1</v>
      </c>
      <c r="C334" s="123" t="str">
        <f t="shared" si="5"/>
        <v>PASS</v>
      </c>
    </row>
    <row r="335" spans="1:3" x14ac:dyDescent="0.25">
      <c r="A335" t="s">
        <v>880</v>
      </c>
      <c r="B335">
        <f>('Factors applied'!$E$886+'Factors applied'!$E$887)</f>
        <v>1</v>
      </c>
      <c r="C335" s="123" t="str">
        <f t="shared" si="5"/>
        <v>PASS</v>
      </c>
    </row>
    <row r="336" spans="1:3" x14ac:dyDescent="0.25">
      <c r="A336" t="s">
        <v>881</v>
      </c>
      <c r="B336">
        <f>('Factors applied'!$E$888+'Factors applied'!$E$889)</f>
        <v>1</v>
      </c>
      <c r="C336" s="123" t="str">
        <f t="shared" si="5"/>
        <v>PASS</v>
      </c>
    </row>
    <row r="337" spans="1:3" x14ac:dyDescent="0.25">
      <c r="A337" t="s">
        <v>882</v>
      </c>
      <c r="B337">
        <f>('Factors applied'!$E$890+'Factors applied'!$E$891+'Factors applied'!$E$892+'Factors applied'!$E$893+'Factors applied'!$E$894)</f>
        <v>0.99999999999999989</v>
      </c>
      <c r="C337" s="123" t="str">
        <f t="shared" si="5"/>
        <v>PASS</v>
      </c>
    </row>
    <row r="338" spans="1:3" x14ac:dyDescent="0.25">
      <c r="A338" t="s">
        <v>883</v>
      </c>
      <c r="B338">
        <f>('Factors applied'!$E$895+'Factors applied'!$E$896)</f>
        <v>1</v>
      </c>
      <c r="C338" s="123" t="str">
        <f t="shared" si="5"/>
        <v>PASS</v>
      </c>
    </row>
    <row r="339" spans="1:3" x14ac:dyDescent="0.25">
      <c r="A339" t="s">
        <v>884</v>
      </c>
      <c r="B339">
        <f>('Factors applied'!$E$897+'Factors applied'!$E$898)</f>
        <v>1</v>
      </c>
      <c r="C339" s="123" t="str">
        <f t="shared" si="5"/>
        <v>PASS</v>
      </c>
    </row>
    <row r="340" spans="1:3" x14ac:dyDescent="0.25">
      <c r="A340" t="s">
        <v>885</v>
      </c>
      <c r="B340">
        <f>('Factors applied'!$E$899+'Factors applied'!$E$900+'Factors applied'!$E$901)</f>
        <v>1</v>
      </c>
      <c r="C340" s="123" t="str">
        <f t="shared" si="5"/>
        <v>PASS</v>
      </c>
    </row>
    <row r="341" spans="1:3" x14ac:dyDescent="0.25">
      <c r="A341" t="s">
        <v>886</v>
      </c>
      <c r="B341">
        <f>('Factors applied'!$E$902+'Factors applied'!$E$903)</f>
        <v>1</v>
      </c>
      <c r="C341" s="123" t="str">
        <f t="shared" si="5"/>
        <v>PASS</v>
      </c>
    </row>
    <row r="342" spans="1:3" x14ac:dyDescent="0.25">
      <c r="A342" t="s">
        <v>887</v>
      </c>
      <c r="B342">
        <f>('Factors applied'!$E$904+'Factors applied'!$E$905)</f>
        <v>1</v>
      </c>
      <c r="C342" s="123" t="str">
        <f t="shared" si="5"/>
        <v>PASS</v>
      </c>
    </row>
    <row r="343" spans="1:3" x14ac:dyDescent="0.25">
      <c r="A343" t="s">
        <v>888</v>
      </c>
      <c r="B343">
        <f>('Factors applied'!$E$906+'Factors applied'!$E$907+'Factors applied'!$E$908+'Factors applied'!$E$909+'Factors applied'!$E$910)</f>
        <v>0.99999999999999989</v>
      </c>
      <c r="C343" s="123" t="str">
        <f t="shared" si="5"/>
        <v>PASS</v>
      </c>
    </row>
    <row r="344" spans="1:3" x14ac:dyDescent="0.25">
      <c r="A344" t="s">
        <v>889</v>
      </c>
      <c r="B344">
        <f>('Factors applied'!$E$911+'Factors applied'!$E$912)</f>
        <v>1</v>
      </c>
      <c r="C344" s="123" t="str">
        <f t="shared" si="5"/>
        <v>PASS</v>
      </c>
    </row>
    <row r="345" spans="1:3" x14ac:dyDescent="0.25">
      <c r="A345" t="s">
        <v>890</v>
      </c>
      <c r="B345">
        <f>('Factors applied'!$E$913+'Factors applied'!$E$914)</f>
        <v>1</v>
      </c>
      <c r="C345" s="123" t="str">
        <f t="shared" si="5"/>
        <v>PASS</v>
      </c>
    </row>
    <row r="346" spans="1:3" x14ac:dyDescent="0.25">
      <c r="A346" t="s">
        <v>891</v>
      </c>
      <c r="B346">
        <f>('Factors applied'!$E$915+'Factors applied'!$E$916+'Factors applied'!$E$917)</f>
        <v>1</v>
      </c>
      <c r="C346" s="123" t="str">
        <f t="shared" si="5"/>
        <v>PASS</v>
      </c>
    </row>
    <row r="347" spans="1:3" x14ac:dyDescent="0.25">
      <c r="A347" t="s">
        <v>892</v>
      </c>
      <c r="B347">
        <f>('Factors applied'!$E$918+'Factors applied'!$E$919)</f>
        <v>1</v>
      </c>
      <c r="C347" s="123" t="str">
        <f t="shared" si="5"/>
        <v>PASS</v>
      </c>
    </row>
    <row r="348" spans="1:3" x14ac:dyDescent="0.25">
      <c r="A348" t="s">
        <v>893</v>
      </c>
      <c r="B348">
        <f>('Factors applied'!$E$920+'Factors applied'!$E$921)</f>
        <v>1</v>
      </c>
      <c r="C348" s="123" t="str">
        <f t="shared" si="5"/>
        <v>PASS</v>
      </c>
    </row>
    <row r="349" spans="1:3" x14ac:dyDescent="0.25">
      <c r="A349" t="s">
        <v>894</v>
      </c>
      <c r="B349">
        <f>('Factors applied'!$E$922+'Factors applied'!$E$923+'Factors applied'!$E$924+'Factors applied'!$E$925+'Factors applied'!$E$926)</f>
        <v>0.99999999999999989</v>
      </c>
      <c r="C349" s="123" t="str">
        <f t="shared" si="5"/>
        <v>PASS</v>
      </c>
    </row>
    <row r="350" spans="1:3" x14ac:dyDescent="0.25">
      <c r="A350" t="s">
        <v>895</v>
      </c>
      <c r="B350">
        <f>('Factors applied'!$E$927+'Factors applied'!$E$928)</f>
        <v>1</v>
      </c>
      <c r="C350" s="123" t="str">
        <f t="shared" si="5"/>
        <v>PASS</v>
      </c>
    </row>
    <row r="351" spans="1:3" x14ac:dyDescent="0.25">
      <c r="A351" t="s">
        <v>896</v>
      </c>
      <c r="B351">
        <f>('Factors applied'!$E$929+'Factors applied'!$E$930)</f>
        <v>1</v>
      </c>
      <c r="C351" s="123" t="str">
        <f t="shared" si="5"/>
        <v>PASS</v>
      </c>
    </row>
    <row r="352" spans="1:3" x14ac:dyDescent="0.25">
      <c r="A352" t="s">
        <v>897</v>
      </c>
      <c r="B352">
        <f>('Factors applied'!$E$931+'Factors applied'!$E$932+'Factors applied'!$E$933)</f>
        <v>1</v>
      </c>
      <c r="C352" s="123" t="str">
        <f t="shared" si="5"/>
        <v>PASS</v>
      </c>
    </row>
    <row r="353" spans="1:3" x14ac:dyDescent="0.25">
      <c r="A353" t="s">
        <v>898</v>
      </c>
      <c r="B353">
        <f>('Factors applied'!$E$934+'Factors applied'!$E$935)</f>
        <v>1</v>
      </c>
      <c r="C353" s="123" t="str">
        <f t="shared" si="5"/>
        <v>PASS</v>
      </c>
    </row>
    <row r="354" spans="1:3" x14ac:dyDescent="0.25">
      <c r="A354" t="s">
        <v>899</v>
      </c>
      <c r="B354">
        <f>('Factors applied'!$E$936+'Factors applied'!$E$937)</f>
        <v>1</v>
      </c>
      <c r="C354" s="123" t="str">
        <f t="shared" si="5"/>
        <v>PASS</v>
      </c>
    </row>
    <row r="355" spans="1:3" x14ac:dyDescent="0.25">
      <c r="A355" t="s">
        <v>900</v>
      </c>
      <c r="B355">
        <f>('Factors applied'!$E$938+'Factors applied'!$E$939+'Factors applied'!$E$940+'Factors applied'!$E$941+'Factors applied'!$E$942)</f>
        <v>0.99999999999999989</v>
      </c>
      <c r="C355" s="123" t="str">
        <f t="shared" si="5"/>
        <v>PASS</v>
      </c>
    </row>
    <row r="356" spans="1:3" x14ac:dyDescent="0.25">
      <c r="A356" t="s">
        <v>901</v>
      </c>
      <c r="B356">
        <f>('Factors applied'!$E$943+'Factors applied'!$E$944)</f>
        <v>1</v>
      </c>
      <c r="C356" s="123" t="str">
        <f t="shared" si="5"/>
        <v>PASS</v>
      </c>
    </row>
    <row r="357" spans="1:3" x14ac:dyDescent="0.25">
      <c r="A357" t="s">
        <v>902</v>
      </c>
      <c r="B357">
        <f>('Factors applied'!$E$945+'Factors applied'!$E$946)</f>
        <v>1</v>
      </c>
      <c r="C357" s="123" t="str">
        <f t="shared" si="5"/>
        <v>PASS</v>
      </c>
    </row>
    <row r="358" spans="1:3" x14ac:dyDescent="0.25">
      <c r="A358" t="s">
        <v>903</v>
      </c>
      <c r="B358">
        <f>('Factors applied'!$E$947+'Factors applied'!$E$948+'Factors applied'!$E$949)</f>
        <v>1</v>
      </c>
      <c r="C358" s="123" t="str">
        <f t="shared" si="5"/>
        <v>PASS</v>
      </c>
    </row>
    <row r="359" spans="1:3" x14ac:dyDescent="0.25">
      <c r="A359" t="s">
        <v>904</v>
      </c>
      <c r="B359">
        <f>('Factors applied'!$E$950+'Factors applied'!$E$951)</f>
        <v>1</v>
      </c>
      <c r="C359" s="123" t="str">
        <f t="shared" si="5"/>
        <v>PASS</v>
      </c>
    </row>
    <row r="360" spans="1:3" x14ac:dyDescent="0.25">
      <c r="A360" t="s">
        <v>905</v>
      </c>
      <c r="B360">
        <f>('Factors applied'!$E$952+'Factors applied'!$E$953)</f>
        <v>1</v>
      </c>
      <c r="C360" s="123" t="str">
        <f t="shared" si="5"/>
        <v>PASS</v>
      </c>
    </row>
    <row r="361" spans="1:3" x14ac:dyDescent="0.25">
      <c r="A361" t="s">
        <v>906</v>
      </c>
      <c r="B361">
        <f>('Factors applied'!$E$954+'Factors applied'!$E$955+'Factors applied'!$E$956+'Factors applied'!$E$957+'Factors applied'!$E$958)</f>
        <v>0.99999999999999989</v>
      </c>
      <c r="C361" s="123" t="str">
        <f t="shared" si="5"/>
        <v>PASS</v>
      </c>
    </row>
    <row r="362" spans="1:3" x14ac:dyDescent="0.25">
      <c r="A362" t="s">
        <v>907</v>
      </c>
      <c r="B362">
        <f>('Factors applied'!$E$959+'Factors applied'!$E$960)</f>
        <v>1</v>
      </c>
      <c r="C362" s="123" t="str">
        <f t="shared" si="5"/>
        <v>PASS</v>
      </c>
    </row>
    <row r="363" spans="1:3" x14ac:dyDescent="0.25">
      <c r="A363" t="s">
        <v>908</v>
      </c>
      <c r="B363">
        <f>('Factors applied'!$E$961+'Factors applied'!$E$962)</f>
        <v>1</v>
      </c>
      <c r="C363" s="123" t="str">
        <f t="shared" si="5"/>
        <v>PASS</v>
      </c>
    </row>
    <row r="364" spans="1:3" x14ac:dyDescent="0.25">
      <c r="A364" t="s">
        <v>909</v>
      </c>
      <c r="B364">
        <f>('Factors applied'!$E$963+'Factors applied'!$E$964+'Factors applied'!$E$965)</f>
        <v>1</v>
      </c>
      <c r="C364" s="123" t="str">
        <f t="shared" si="5"/>
        <v>PASS</v>
      </c>
    </row>
    <row r="365" spans="1:3" x14ac:dyDescent="0.25">
      <c r="A365" t="s">
        <v>910</v>
      </c>
      <c r="B365">
        <f>('Factors applied'!$E$966+'Factors applied'!$E$967)</f>
        <v>1</v>
      </c>
      <c r="C365" s="123" t="str">
        <f t="shared" si="5"/>
        <v>PASS</v>
      </c>
    </row>
    <row r="366" spans="1:3" x14ac:dyDescent="0.25">
      <c r="A366" t="s">
        <v>911</v>
      </c>
      <c r="B366">
        <f>('Factors applied'!$E$968+'Factors applied'!$E$969)</f>
        <v>1</v>
      </c>
      <c r="C366" s="123" t="str">
        <f t="shared" si="5"/>
        <v>PASS</v>
      </c>
    </row>
    <row r="367" spans="1:3" x14ac:dyDescent="0.25">
      <c r="A367" t="s">
        <v>912</v>
      </c>
      <c r="B367">
        <f>('Factors applied'!$E$970+'Factors applied'!$E$971+'Factors applied'!$E$972+'Factors applied'!$E$973+'Factors applied'!$E$974)</f>
        <v>0.99999999999999989</v>
      </c>
      <c r="C367" s="123" t="str">
        <f t="shared" si="5"/>
        <v>PASS</v>
      </c>
    </row>
    <row r="368" spans="1:3" x14ac:dyDescent="0.25">
      <c r="A368" t="s">
        <v>913</v>
      </c>
      <c r="B368">
        <f>('Factors applied'!$E$975+'Factors applied'!$E$976)</f>
        <v>1</v>
      </c>
      <c r="C368" s="123" t="str">
        <f t="shared" si="5"/>
        <v>PASS</v>
      </c>
    </row>
    <row r="369" spans="1:3" x14ac:dyDescent="0.25">
      <c r="A369" t="s">
        <v>914</v>
      </c>
      <c r="B369">
        <f>('Factors applied'!$E$977+'Factors applied'!$E$978)</f>
        <v>1</v>
      </c>
      <c r="C369" s="123" t="str">
        <f t="shared" si="5"/>
        <v>PASS</v>
      </c>
    </row>
    <row r="370" spans="1:3" x14ac:dyDescent="0.25">
      <c r="A370" t="s">
        <v>915</v>
      </c>
      <c r="B370">
        <f>('Factors applied'!$E$979+'Factors applied'!$E$980+'Factors applied'!$E$981)</f>
        <v>1</v>
      </c>
      <c r="C370" s="123" t="str">
        <f t="shared" si="5"/>
        <v>PASS</v>
      </c>
    </row>
    <row r="371" spans="1:3" x14ac:dyDescent="0.25">
      <c r="A371" t="s">
        <v>916</v>
      </c>
      <c r="B371">
        <f>('Factors applied'!$E$982+'Factors applied'!$E$983)</f>
        <v>1</v>
      </c>
      <c r="C371" s="123" t="str">
        <f t="shared" si="5"/>
        <v>PASS</v>
      </c>
    </row>
    <row r="372" spans="1:3" x14ac:dyDescent="0.25">
      <c r="A372" t="s">
        <v>917</v>
      </c>
      <c r="B372">
        <f>('Factors applied'!$E$984+'Factors applied'!$E$985)</f>
        <v>1</v>
      </c>
      <c r="C372" s="123" t="str">
        <f t="shared" si="5"/>
        <v>PASS</v>
      </c>
    </row>
    <row r="373" spans="1:3" x14ac:dyDescent="0.25">
      <c r="A373" t="s">
        <v>918</v>
      </c>
      <c r="B373">
        <f>('Factors applied'!$E$986+'Factors applied'!$E$987+'Factors applied'!$E$988+'Factors applied'!$E$989+'Factors applied'!$E$990)</f>
        <v>0.99999999999999989</v>
      </c>
      <c r="C373" s="123" t="str">
        <f t="shared" si="5"/>
        <v>PASS</v>
      </c>
    </row>
    <row r="374" spans="1:3" x14ac:dyDescent="0.25">
      <c r="A374" t="s">
        <v>919</v>
      </c>
      <c r="B374">
        <f>('Factors applied'!$E$991+'Factors applied'!$E$992)</f>
        <v>1</v>
      </c>
      <c r="C374" s="123" t="str">
        <f t="shared" si="5"/>
        <v>PASS</v>
      </c>
    </row>
    <row r="375" spans="1:3" x14ac:dyDescent="0.25">
      <c r="A375" t="s">
        <v>920</v>
      </c>
      <c r="B375">
        <f>('Factors applied'!$E$993+'Factors applied'!$E$994)</f>
        <v>1</v>
      </c>
      <c r="C375" s="123" t="str">
        <f t="shared" si="5"/>
        <v>PASS</v>
      </c>
    </row>
    <row r="376" spans="1:3" x14ac:dyDescent="0.25">
      <c r="A376" t="s">
        <v>921</v>
      </c>
      <c r="B376">
        <f>('Factors applied'!$E$995+'Factors applied'!$E$996+'Factors applied'!$E$997)</f>
        <v>1</v>
      </c>
      <c r="C376" s="123" t="str">
        <f t="shared" si="5"/>
        <v>PASS</v>
      </c>
    </row>
    <row r="377" spans="1:3" x14ac:dyDescent="0.25">
      <c r="A377" t="s">
        <v>922</v>
      </c>
      <c r="B377">
        <f>('Factors applied'!$E$998+'Factors applied'!$E$999)</f>
        <v>1</v>
      </c>
      <c r="C377" s="123" t="str">
        <f t="shared" si="5"/>
        <v>PASS</v>
      </c>
    </row>
    <row r="378" spans="1:3" x14ac:dyDescent="0.25">
      <c r="A378" t="s">
        <v>923</v>
      </c>
      <c r="B378">
        <f>('Factors applied'!$E$1000+'Factors applied'!$E$1001)</f>
        <v>1</v>
      </c>
      <c r="C378" s="123" t="str">
        <f t="shared" si="5"/>
        <v>PASS</v>
      </c>
    </row>
    <row r="379" spans="1:3" x14ac:dyDescent="0.25">
      <c r="A379" t="s">
        <v>924</v>
      </c>
      <c r="B379">
        <f>('Factors applied'!$E$1002+'Factors applied'!$E$1003+'Factors applied'!$E$1004+'Factors applied'!$E$1005+'Factors applied'!$E$1006)</f>
        <v>0.99999999999999989</v>
      </c>
      <c r="C379" s="123" t="str">
        <f t="shared" si="5"/>
        <v>PASS</v>
      </c>
    </row>
    <row r="380" spans="1:3" x14ac:dyDescent="0.25">
      <c r="A380" t="s">
        <v>925</v>
      </c>
      <c r="B380">
        <f>('Factors applied'!$E$1007+'Factors applied'!$E$1008)</f>
        <v>1</v>
      </c>
      <c r="C380" s="123" t="str">
        <f t="shared" si="5"/>
        <v>PASS</v>
      </c>
    </row>
    <row r="381" spans="1:3" x14ac:dyDescent="0.25">
      <c r="A381" t="s">
        <v>926</v>
      </c>
      <c r="B381">
        <f>('Factors applied'!$E$1009+'Factors applied'!$E$1010)</f>
        <v>1</v>
      </c>
      <c r="C381" s="123" t="str">
        <f t="shared" si="5"/>
        <v>PASS</v>
      </c>
    </row>
    <row r="382" spans="1:3" x14ac:dyDescent="0.25">
      <c r="A382" t="s">
        <v>927</v>
      </c>
      <c r="B382">
        <f>('Factors applied'!$E$1011+'Factors applied'!$E$1012+'Factors applied'!$E$1013)</f>
        <v>1</v>
      </c>
      <c r="C382" s="123" t="str">
        <f t="shared" si="5"/>
        <v>PASS</v>
      </c>
    </row>
    <row r="383" spans="1:3" x14ac:dyDescent="0.25">
      <c r="A383" t="s">
        <v>928</v>
      </c>
      <c r="B383">
        <f>('Factors applied'!$E$1014+'Factors applied'!$E$1015)</f>
        <v>1</v>
      </c>
      <c r="C383" s="123" t="str">
        <f t="shared" si="5"/>
        <v>PASS</v>
      </c>
    </row>
    <row r="384" spans="1:3" x14ac:dyDescent="0.25">
      <c r="A384" t="s">
        <v>929</v>
      </c>
      <c r="B384">
        <f>('Factors applied'!$E$1016+'Factors applied'!$E$1017)</f>
        <v>1</v>
      </c>
      <c r="C384" s="123" t="str">
        <f t="shared" si="5"/>
        <v>PASS</v>
      </c>
    </row>
    <row r="385" spans="1:3" x14ac:dyDescent="0.25">
      <c r="A385" t="s">
        <v>930</v>
      </c>
      <c r="B385">
        <f>('Factors applied'!$E$1018+'Factors applied'!$E$1019+'Factors applied'!$E$1020+'Factors applied'!$E$1021+'Factors applied'!$E$1022)</f>
        <v>0.99999999999999989</v>
      </c>
      <c r="C385" s="123" t="str">
        <f t="shared" si="5"/>
        <v>PASS</v>
      </c>
    </row>
    <row r="386" spans="1:3" x14ac:dyDescent="0.25">
      <c r="A386" t="s">
        <v>931</v>
      </c>
      <c r="B386">
        <f>('Factors applied'!$E$1023+'Factors applied'!$E$1024)</f>
        <v>1</v>
      </c>
      <c r="C386" s="123" t="str">
        <f t="shared" si="5"/>
        <v>PASS</v>
      </c>
    </row>
    <row r="387" spans="1:3" x14ac:dyDescent="0.25">
      <c r="A387" t="s">
        <v>932</v>
      </c>
      <c r="B387">
        <f>('Factors applied'!$E$1025+'Factors applied'!$E$1026)</f>
        <v>1</v>
      </c>
      <c r="C387" s="123" t="str">
        <f t="shared" si="5"/>
        <v>PASS</v>
      </c>
    </row>
    <row r="388" spans="1:3" x14ac:dyDescent="0.25">
      <c r="A388" t="s">
        <v>933</v>
      </c>
      <c r="B388">
        <f>('Factors applied'!$E$1027+'Factors applied'!$E$1028+'Factors applied'!$E$1029)</f>
        <v>1</v>
      </c>
      <c r="C388" s="123" t="str">
        <f t="shared" ref="C388:C451" si="6">IF(ABS(B388-1)&lt;0.000000001,"PASS","FAIL")</f>
        <v>PASS</v>
      </c>
    </row>
    <row r="389" spans="1:3" x14ac:dyDescent="0.25">
      <c r="A389" t="s">
        <v>934</v>
      </c>
      <c r="B389">
        <f>('Factors applied'!$E$1030+'Factors applied'!$E$1031)</f>
        <v>1</v>
      </c>
      <c r="C389" s="123" t="str">
        <f t="shared" si="6"/>
        <v>PASS</v>
      </c>
    </row>
    <row r="390" spans="1:3" x14ac:dyDescent="0.25">
      <c r="A390" t="s">
        <v>935</v>
      </c>
      <c r="B390">
        <f>('Factors applied'!$E$1032+'Factors applied'!$E$1033)</f>
        <v>1</v>
      </c>
      <c r="C390" s="123" t="str">
        <f t="shared" si="6"/>
        <v>PASS</v>
      </c>
    </row>
    <row r="391" spans="1:3" x14ac:dyDescent="0.25">
      <c r="A391" t="s">
        <v>936</v>
      </c>
      <c r="B391">
        <f>('Factors applied'!$E$1034+'Factors applied'!$E$1035+'Factors applied'!$E$1036+'Factors applied'!$E$1037+'Factors applied'!$E$1038)</f>
        <v>0.99999999999999989</v>
      </c>
      <c r="C391" s="123" t="str">
        <f t="shared" si="6"/>
        <v>PASS</v>
      </c>
    </row>
    <row r="392" spans="1:3" x14ac:dyDescent="0.25">
      <c r="A392" t="s">
        <v>937</v>
      </c>
      <c r="B392">
        <f>('Factors applied'!$E$1039+'Factors applied'!$E$1040)</f>
        <v>1</v>
      </c>
      <c r="C392" s="123" t="str">
        <f t="shared" si="6"/>
        <v>PASS</v>
      </c>
    </row>
    <row r="393" spans="1:3" x14ac:dyDescent="0.25">
      <c r="A393" t="s">
        <v>938</v>
      </c>
      <c r="B393">
        <f>('Factors applied'!$E$1041+'Factors applied'!$E$1042)</f>
        <v>1</v>
      </c>
      <c r="C393" s="123" t="str">
        <f t="shared" si="6"/>
        <v>PASS</v>
      </c>
    </row>
    <row r="394" spans="1:3" x14ac:dyDescent="0.25">
      <c r="A394" t="s">
        <v>939</v>
      </c>
      <c r="B394">
        <f>('Factors applied'!$E$1043+'Factors applied'!$E$1044+'Factors applied'!$E$1045)</f>
        <v>1</v>
      </c>
      <c r="C394" s="123" t="str">
        <f t="shared" si="6"/>
        <v>PASS</v>
      </c>
    </row>
    <row r="395" spans="1:3" x14ac:dyDescent="0.25">
      <c r="A395" t="s">
        <v>940</v>
      </c>
      <c r="B395">
        <f>('Factors applied'!$E$1046+'Factors applied'!$E$1047)</f>
        <v>1</v>
      </c>
      <c r="C395" s="123" t="str">
        <f t="shared" si="6"/>
        <v>PASS</v>
      </c>
    </row>
    <row r="396" spans="1:3" x14ac:dyDescent="0.25">
      <c r="A396" t="s">
        <v>941</v>
      </c>
      <c r="B396">
        <f>('Factors applied'!$E$1048+'Factors applied'!$E$1049)</f>
        <v>1</v>
      </c>
      <c r="C396" s="123" t="str">
        <f t="shared" si="6"/>
        <v>PASS</v>
      </c>
    </row>
    <row r="397" spans="1:3" x14ac:dyDescent="0.25">
      <c r="A397" t="s">
        <v>942</v>
      </c>
      <c r="B397">
        <f>('Factors applied'!$E$1050+'Factors applied'!$E$1051+'Factors applied'!$E$1052+'Factors applied'!$E$1053+'Factors applied'!$E$1054)</f>
        <v>0.99999999999999989</v>
      </c>
      <c r="C397" s="123" t="str">
        <f t="shared" si="6"/>
        <v>PASS</v>
      </c>
    </row>
    <row r="398" spans="1:3" x14ac:dyDescent="0.25">
      <c r="A398" t="s">
        <v>943</v>
      </c>
      <c r="B398">
        <f>('Factors applied'!$E$1055+'Factors applied'!$E$1056)</f>
        <v>1</v>
      </c>
      <c r="C398" s="123" t="str">
        <f t="shared" si="6"/>
        <v>PASS</v>
      </c>
    </row>
    <row r="399" spans="1:3" x14ac:dyDescent="0.25">
      <c r="A399" t="s">
        <v>944</v>
      </c>
      <c r="B399">
        <f>('Factors applied'!$E$1057+'Factors applied'!$E$1058)</f>
        <v>1</v>
      </c>
      <c r="C399" s="123" t="str">
        <f t="shared" si="6"/>
        <v>PASS</v>
      </c>
    </row>
    <row r="400" spans="1:3" x14ac:dyDescent="0.25">
      <c r="A400" t="s">
        <v>945</v>
      </c>
      <c r="B400">
        <f>('Factors applied'!$E$1059+'Factors applied'!$E$1060+'Factors applied'!$E$1061)</f>
        <v>1</v>
      </c>
      <c r="C400" s="123" t="str">
        <f t="shared" si="6"/>
        <v>PASS</v>
      </c>
    </row>
    <row r="401" spans="1:3" x14ac:dyDescent="0.25">
      <c r="A401" t="s">
        <v>946</v>
      </c>
      <c r="B401">
        <f>('Factors applied'!$E$1062+'Factors applied'!$E$1063)</f>
        <v>1</v>
      </c>
      <c r="C401" s="123" t="str">
        <f t="shared" si="6"/>
        <v>PASS</v>
      </c>
    </row>
    <row r="402" spans="1:3" x14ac:dyDescent="0.25">
      <c r="A402" t="s">
        <v>947</v>
      </c>
      <c r="B402">
        <f>('Factors applied'!$E$1064+'Factors applied'!$E$1065)</f>
        <v>1</v>
      </c>
      <c r="C402" s="123" t="str">
        <f t="shared" si="6"/>
        <v>PASS</v>
      </c>
    </row>
    <row r="403" spans="1:3" x14ac:dyDescent="0.25">
      <c r="A403" t="s">
        <v>948</v>
      </c>
      <c r="B403">
        <f>('Factors applied'!$E$1066+'Factors applied'!$E$1067+'Factors applied'!$E$1068+'Factors applied'!$E$1069+'Factors applied'!$E$1070)</f>
        <v>0.99999999999999989</v>
      </c>
      <c r="C403" s="123" t="str">
        <f t="shared" si="6"/>
        <v>PASS</v>
      </c>
    </row>
    <row r="404" spans="1:3" x14ac:dyDescent="0.25">
      <c r="A404" t="s">
        <v>949</v>
      </c>
      <c r="B404">
        <f>('Factors applied'!$E$1071+'Factors applied'!$E$1072)</f>
        <v>1</v>
      </c>
      <c r="C404" s="123" t="str">
        <f t="shared" si="6"/>
        <v>PASS</v>
      </c>
    </row>
    <row r="405" spans="1:3" x14ac:dyDescent="0.25">
      <c r="A405" t="s">
        <v>950</v>
      </c>
      <c r="B405">
        <f>('Factors applied'!$E$1073+'Factors applied'!$E$1074)</f>
        <v>1</v>
      </c>
      <c r="C405" s="123" t="str">
        <f t="shared" si="6"/>
        <v>PASS</v>
      </c>
    </row>
    <row r="406" spans="1:3" x14ac:dyDescent="0.25">
      <c r="A406" t="s">
        <v>951</v>
      </c>
      <c r="B406">
        <f>('Factors applied'!$E$1075+'Factors applied'!$E$1076+'Factors applied'!$E$1077)</f>
        <v>1</v>
      </c>
      <c r="C406" s="123" t="str">
        <f t="shared" si="6"/>
        <v>PASS</v>
      </c>
    </row>
    <row r="407" spans="1:3" x14ac:dyDescent="0.25">
      <c r="A407" t="s">
        <v>952</v>
      </c>
      <c r="B407">
        <f>('Factors applied'!$E$1078+'Factors applied'!$E$1079)</f>
        <v>1</v>
      </c>
      <c r="C407" s="123" t="str">
        <f t="shared" si="6"/>
        <v>PASS</v>
      </c>
    </row>
    <row r="408" spans="1:3" x14ac:dyDescent="0.25">
      <c r="A408" t="s">
        <v>953</v>
      </c>
      <c r="B408">
        <f>('Factors applied'!$E$1080+'Factors applied'!$E$1081)</f>
        <v>1</v>
      </c>
      <c r="C408" s="123" t="str">
        <f t="shared" si="6"/>
        <v>PASS</v>
      </c>
    </row>
    <row r="409" spans="1:3" x14ac:dyDescent="0.25">
      <c r="A409" t="s">
        <v>954</v>
      </c>
      <c r="B409">
        <f>('Factors applied'!$E$1082+'Factors applied'!$E$1083+'Factors applied'!$E$1084+'Factors applied'!$E$1085+'Factors applied'!$E$1086)</f>
        <v>0.99999999999999989</v>
      </c>
      <c r="C409" s="123" t="str">
        <f t="shared" si="6"/>
        <v>PASS</v>
      </c>
    </row>
    <row r="410" spans="1:3" x14ac:dyDescent="0.25">
      <c r="A410" t="s">
        <v>955</v>
      </c>
      <c r="B410">
        <f>('Factors applied'!$E$1087+'Factors applied'!$E$1088)</f>
        <v>1</v>
      </c>
      <c r="C410" s="123" t="str">
        <f t="shared" si="6"/>
        <v>PASS</v>
      </c>
    </row>
    <row r="411" spans="1:3" x14ac:dyDescent="0.25">
      <c r="A411" t="s">
        <v>956</v>
      </c>
      <c r="B411">
        <f>('Factors applied'!$E$1089+'Factors applied'!$E$1090)</f>
        <v>1</v>
      </c>
      <c r="C411" s="123" t="str">
        <f t="shared" si="6"/>
        <v>PASS</v>
      </c>
    </row>
    <row r="412" spans="1:3" x14ac:dyDescent="0.25">
      <c r="A412" t="s">
        <v>957</v>
      </c>
      <c r="B412">
        <f>('Factors applied'!$E$1091+'Factors applied'!$E$1092+'Factors applied'!$E$1093)</f>
        <v>1</v>
      </c>
      <c r="C412" s="123" t="str">
        <f t="shared" si="6"/>
        <v>PASS</v>
      </c>
    </row>
    <row r="413" spans="1:3" x14ac:dyDescent="0.25">
      <c r="A413" t="s">
        <v>958</v>
      </c>
      <c r="B413">
        <f>('Factors applied'!$E$1094+'Factors applied'!$E$1095)</f>
        <v>1</v>
      </c>
      <c r="C413" s="123" t="str">
        <f t="shared" si="6"/>
        <v>PASS</v>
      </c>
    </row>
    <row r="414" spans="1:3" x14ac:dyDescent="0.25">
      <c r="A414" t="s">
        <v>959</v>
      </c>
      <c r="B414">
        <f>('Factors applied'!$E$1096+'Factors applied'!$E$1097)</f>
        <v>1</v>
      </c>
      <c r="C414" s="123" t="str">
        <f t="shared" si="6"/>
        <v>PASS</v>
      </c>
    </row>
    <row r="415" spans="1:3" x14ac:dyDescent="0.25">
      <c r="A415" t="s">
        <v>960</v>
      </c>
      <c r="B415">
        <f>('Factors applied'!$E$1098+'Factors applied'!$E$1099+'Factors applied'!$E$1100+'Factors applied'!$E$1101+'Factors applied'!$E$1102)</f>
        <v>0.99999999999999989</v>
      </c>
      <c r="C415" s="123" t="str">
        <f t="shared" si="6"/>
        <v>PASS</v>
      </c>
    </row>
    <row r="416" spans="1:3" x14ac:dyDescent="0.25">
      <c r="A416" t="s">
        <v>961</v>
      </c>
      <c r="B416">
        <f>('Factors applied'!$E$1103+'Factors applied'!$E$1104)</f>
        <v>1</v>
      </c>
      <c r="C416" s="123" t="str">
        <f t="shared" si="6"/>
        <v>PASS</v>
      </c>
    </row>
    <row r="417" spans="1:3" x14ac:dyDescent="0.25">
      <c r="A417" t="s">
        <v>962</v>
      </c>
      <c r="B417">
        <f>('Factors applied'!$E$1105+'Factors applied'!$E$1106)</f>
        <v>1</v>
      </c>
      <c r="C417" s="123" t="str">
        <f t="shared" si="6"/>
        <v>PASS</v>
      </c>
    </row>
    <row r="418" spans="1:3" x14ac:dyDescent="0.25">
      <c r="A418" t="s">
        <v>963</v>
      </c>
      <c r="B418">
        <f>('Factors applied'!$E$1107+'Factors applied'!$E$1108+'Factors applied'!$E$1109)</f>
        <v>1</v>
      </c>
      <c r="C418" s="123" t="str">
        <f t="shared" si="6"/>
        <v>PASS</v>
      </c>
    </row>
    <row r="419" spans="1:3" x14ac:dyDescent="0.25">
      <c r="A419" t="s">
        <v>964</v>
      </c>
      <c r="B419">
        <f>('Factors applied'!$E$1110+'Factors applied'!$E$1111)</f>
        <v>1</v>
      </c>
      <c r="C419" s="123" t="str">
        <f t="shared" si="6"/>
        <v>PASS</v>
      </c>
    </row>
    <row r="420" spans="1:3" x14ac:dyDescent="0.25">
      <c r="A420" t="s">
        <v>965</v>
      </c>
      <c r="B420">
        <f>('Factors applied'!$E$1112+'Factors applied'!$E$1113)</f>
        <v>1</v>
      </c>
      <c r="C420" s="123" t="str">
        <f t="shared" si="6"/>
        <v>PASS</v>
      </c>
    </row>
    <row r="421" spans="1:3" x14ac:dyDescent="0.25">
      <c r="A421" t="s">
        <v>966</v>
      </c>
      <c r="B421">
        <f>('Factors applied'!$E$1114+'Factors applied'!$E$1115+'Factors applied'!$E$1116+'Factors applied'!$E$1117+'Factors applied'!$E$1118)</f>
        <v>0.99999999999999989</v>
      </c>
      <c r="C421" s="123" t="str">
        <f t="shared" si="6"/>
        <v>PASS</v>
      </c>
    </row>
    <row r="422" spans="1:3" x14ac:dyDescent="0.25">
      <c r="A422" t="s">
        <v>967</v>
      </c>
      <c r="B422">
        <f>('Factors applied'!$E$1119+'Factors applied'!$E$1120)</f>
        <v>1</v>
      </c>
      <c r="C422" s="123" t="str">
        <f t="shared" si="6"/>
        <v>PASS</v>
      </c>
    </row>
    <row r="423" spans="1:3" x14ac:dyDescent="0.25">
      <c r="A423" t="s">
        <v>968</v>
      </c>
      <c r="B423">
        <f>('Factors applied'!$E$1121+'Factors applied'!$E$1122)</f>
        <v>1</v>
      </c>
      <c r="C423" s="123" t="str">
        <f t="shared" si="6"/>
        <v>PASS</v>
      </c>
    </row>
    <row r="424" spans="1:3" x14ac:dyDescent="0.25">
      <c r="A424" t="s">
        <v>969</v>
      </c>
      <c r="B424">
        <f>('Factors applied'!$E$1123+'Factors applied'!$E$1124+'Factors applied'!$E$1125)</f>
        <v>1</v>
      </c>
      <c r="C424" s="123" t="str">
        <f t="shared" si="6"/>
        <v>PASS</v>
      </c>
    </row>
    <row r="425" spans="1:3" x14ac:dyDescent="0.25">
      <c r="A425" t="s">
        <v>970</v>
      </c>
      <c r="B425">
        <f>('Factors applied'!$E$1126+'Factors applied'!$E$1127)</f>
        <v>1</v>
      </c>
      <c r="C425" s="123" t="str">
        <f t="shared" si="6"/>
        <v>PASS</v>
      </c>
    </row>
    <row r="426" spans="1:3" x14ac:dyDescent="0.25">
      <c r="A426" t="s">
        <v>971</v>
      </c>
      <c r="B426">
        <f>('Factors applied'!$E$1128+'Factors applied'!$E$1129)</f>
        <v>1</v>
      </c>
      <c r="C426" s="123" t="str">
        <f t="shared" si="6"/>
        <v>PASS</v>
      </c>
    </row>
    <row r="427" spans="1:3" x14ac:dyDescent="0.25">
      <c r="A427" t="s">
        <v>972</v>
      </c>
      <c r="B427">
        <f>('Factors applied'!$E$1130+'Factors applied'!$E$1131+'Factors applied'!$E$1132+'Factors applied'!$E$1133+'Factors applied'!$E$1134)</f>
        <v>0.99999999999999989</v>
      </c>
      <c r="C427" s="123" t="str">
        <f t="shared" si="6"/>
        <v>PASS</v>
      </c>
    </row>
    <row r="428" spans="1:3" x14ac:dyDescent="0.25">
      <c r="A428" t="s">
        <v>973</v>
      </c>
      <c r="B428">
        <f>('Factors applied'!$E$1135+'Factors applied'!$E$1136)</f>
        <v>1</v>
      </c>
      <c r="C428" s="123" t="str">
        <f t="shared" si="6"/>
        <v>PASS</v>
      </c>
    </row>
    <row r="429" spans="1:3" x14ac:dyDescent="0.25">
      <c r="A429" t="s">
        <v>974</v>
      </c>
      <c r="B429">
        <f>('Factors applied'!$E$1137+'Factors applied'!$E$1138)</f>
        <v>1</v>
      </c>
      <c r="C429" s="123" t="str">
        <f t="shared" si="6"/>
        <v>PASS</v>
      </c>
    </row>
    <row r="430" spans="1:3" x14ac:dyDescent="0.25">
      <c r="A430" t="s">
        <v>975</v>
      </c>
      <c r="B430">
        <f>('Factors applied'!$E$1139+'Factors applied'!$E$1140+'Factors applied'!$E$1141)</f>
        <v>1</v>
      </c>
      <c r="C430" s="123" t="str">
        <f t="shared" si="6"/>
        <v>PASS</v>
      </c>
    </row>
    <row r="431" spans="1:3" x14ac:dyDescent="0.25">
      <c r="A431" t="s">
        <v>976</v>
      </c>
      <c r="B431">
        <f>('Factors applied'!$E$1142+'Factors applied'!$E$1143)</f>
        <v>1</v>
      </c>
      <c r="C431" s="123" t="str">
        <f t="shared" si="6"/>
        <v>PASS</v>
      </c>
    </row>
    <row r="432" spans="1:3" x14ac:dyDescent="0.25">
      <c r="A432" t="s">
        <v>977</v>
      </c>
      <c r="B432">
        <f>('Factors applied'!$E$1144+'Factors applied'!$E$1145)</f>
        <v>1</v>
      </c>
      <c r="C432" s="123" t="str">
        <f t="shared" si="6"/>
        <v>PASS</v>
      </c>
    </row>
    <row r="433" spans="1:3" x14ac:dyDescent="0.25">
      <c r="A433" t="s">
        <v>978</v>
      </c>
      <c r="B433">
        <f>('Factors applied'!$E$1146+'Factors applied'!$E$1147+'Factors applied'!$E$1148+'Factors applied'!$E$1149+'Factors applied'!$E$1150)</f>
        <v>0.99999999999999989</v>
      </c>
      <c r="C433" s="123" t="str">
        <f t="shared" si="6"/>
        <v>PASS</v>
      </c>
    </row>
    <row r="434" spans="1:3" x14ac:dyDescent="0.25">
      <c r="A434" t="s">
        <v>979</v>
      </c>
      <c r="B434">
        <f>('Factors applied'!$E$1151+'Factors applied'!$E$1152)</f>
        <v>1</v>
      </c>
      <c r="C434" s="123" t="str">
        <f t="shared" si="6"/>
        <v>PASS</v>
      </c>
    </row>
    <row r="435" spans="1:3" x14ac:dyDescent="0.25">
      <c r="A435" t="s">
        <v>980</v>
      </c>
      <c r="B435">
        <f>('Factors applied'!$E$1153+'Factors applied'!$E$1154)</f>
        <v>1</v>
      </c>
      <c r="C435" s="123" t="str">
        <f t="shared" si="6"/>
        <v>PASS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3864"/>
  </sheetPr>
  <dimension ref="A1:BA25"/>
  <sheetViews>
    <sheetView tabSelected="1" topLeftCell="P1" workbookViewId="0">
      <selection activeCell="B25" sqref="B25:AQ25"/>
    </sheetView>
  </sheetViews>
  <sheetFormatPr defaultRowHeight="15" x14ac:dyDescent="0.25"/>
  <cols>
    <col min="1" max="1" width="26.5703125" customWidth="1"/>
    <col min="2" max="2" width="10.5703125" bestFit="1" customWidth="1"/>
    <col min="3" max="3" width="9.7109375" bestFit="1" customWidth="1"/>
    <col min="4" max="4" width="9.7109375" customWidth="1"/>
    <col min="5" max="5" width="9.7109375" bestFit="1" customWidth="1"/>
    <col min="6" max="6" width="6.7109375" bestFit="1" customWidth="1"/>
    <col min="7" max="8" width="9.7109375" bestFit="1" customWidth="1"/>
    <col min="9" max="9" width="6.7109375" bestFit="1" customWidth="1"/>
    <col min="10" max="10" width="9.7109375" bestFit="1" customWidth="1"/>
    <col min="11" max="11" width="6.7109375" bestFit="1" customWidth="1"/>
    <col min="12" max="12" width="9.7109375" bestFit="1" customWidth="1"/>
    <col min="13" max="13" width="9.7109375" customWidth="1"/>
    <col min="14" max="24" width="7.7109375" customWidth="1"/>
    <col min="25" max="26" width="9.7109375" bestFit="1" customWidth="1"/>
    <col min="27" max="28" width="9.7109375" customWidth="1"/>
    <col min="29" max="33" width="9.7109375" bestFit="1" customWidth="1"/>
    <col min="34" max="34" width="6.7109375" bestFit="1" customWidth="1"/>
    <col min="35" max="36" width="9.7109375" bestFit="1" customWidth="1"/>
    <col min="37" max="37" width="6.7109375" bestFit="1" customWidth="1"/>
    <col min="38" max="38" width="9.7109375" bestFit="1" customWidth="1"/>
    <col min="39" max="40" width="6.7109375" bestFit="1" customWidth="1"/>
    <col min="41" max="43" width="9.7109375" bestFit="1" customWidth="1"/>
  </cols>
  <sheetData>
    <row r="1" spans="1:53" x14ac:dyDescent="0.25">
      <c r="A1" s="124" t="s">
        <v>0</v>
      </c>
      <c r="B1" s="123" t="s">
        <v>1</v>
      </c>
      <c r="C1" s="123" t="s">
        <v>2</v>
      </c>
      <c r="D1" s="123" t="s">
        <v>3</v>
      </c>
      <c r="E1" s="123" t="s">
        <v>4</v>
      </c>
      <c r="F1" s="123" t="s">
        <v>5</v>
      </c>
      <c r="G1" s="123" t="s">
        <v>6</v>
      </c>
      <c r="H1" s="123" t="s">
        <v>7</v>
      </c>
      <c r="I1" s="123" t="s">
        <v>8</v>
      </c>
      <c r="J1" s="123" t="s">
        <v>9</v>
      </c>
      <c r="K1" s="123" t="s">
        <v>10</v>
      </c>
      <c r="L1" s="123" t="s">
        <v>11</v>
      </c>
      <c r="M1" s="123" t="s">
        <v>12</v>
      </c>
      <c r="N1" s="123" t="s">
        <v>13</v>
      </c>
      <c r="O1" s="123" t="s">
        <v>14</v>
      </c>
      <c r="P1" s="123" t="s">
        <v>15</v>
      </c>
      <c r="Q1" s="123" t="s">
        <v>16</v>
      </c>
      <c r="R1" s="123" t="s">
        <v>17</v>
      </c>
      <c r="S1" s="123" t="s">
        <v>18</v>
      </c>
      <c r="T1" s="123" t="s">
        <v>19</v>
      </c>
      <c r="U1" s="123" t="s">
        <v>20</v>
      </c>
      <c r="V1" s="123" t="s">
        <v>21</v>
      </c>
      <c r="W1" s="123" t="s">
        <v>22</v>
      </c>
      <c r="X1" s="123" t="s">
        <v>23</v>
      </c>
      <c r="Y1" s="123" t="s">
        <v>24</v>
      </c>
      <c r="Z1" s="123" t="s">
        <v>25</v>
      </c>
      <c r="AA1" s="123" t="s">
        <v>26</v>
      </c>
      <c r="AB1" s="123" t="s">
        <v>27</v>
      </c>
      <c r="AC1" s="123" t="s">
        <v>28</v>
      </c>
      <c r="AD1" s="123" t="s">
        <v>29</v>
      </c>
      <c r="AE1" s="123" t="s">
        <v>30</v>
      </c>
      <c r="AF1" s="123" t="s">
        <v>31</v>
      </c>
      <c r="AG1" s="123" t="s">
        <v>32</v>
      </c>
      <c r="AH1" s="123" t="s">
        <v>33</v>
      </c>
      <c r="AI1" s="123" t="s">
        <v>34</v>
      </c>
      <c r="AJ1" s="123" t="s">
        <v>35</v>
      </c>
      <c r="AK1" s="123" t="s">
        <v>36</v>
      </c>
      <c r="AL1" s="123" t="s">
        <v>37</v>
      </c>
      <c r="AM1" s="123" t="s">
        <v>38</v>
      </c>
      <c r="AN1" s="123" t="s">
        <v>39</v>
      </c>
      <c r="AO1" s="123" t="s">
        <v>40</v>
      </c>
      <c r="AP1" s="123" t="s">
        <v>41</v>
      </c>
      <c r="AQ1" s="123" t="s">
        <v>42</v>
      </c>
      <c r="AR1" s="123" t="s">
        <v>43</v>
      </c>
      <c r="AS1" s="123" t="s">
        <v>44</v>
      </c>
      <c r="AT1" s="123" t="s">
        <v>45</v>
      </c>
      <c r="AU1" s="123" t="s">
        <v>46</v>
      </c>
      <c r="AV1" s="123" t="s">
        <v>47</v>
      </c>
      <c r="AW1" s="123" t="s">
        <v>48</v>
      </c>
      <c r="AX1" s="123" t="s">
        <v>49</v>
      </c>
      <c r="AY1" s="123" t="s">
        <v>50</v>
      </c>
      <c r="AZ1" s="123" t="s">
        <v>51</v>
      </c>
      <c r="BA1" s="123" t="s">
        <v>52</v>
      </c>
    </row>
    <row r="2" spans="1:53" x14ac:dyDescent="0.25">
      <c r="A2" t="s">
        <v>53</v>
      </c>
      <c r="B2">
        <f>(SUMIF('Cost Breakdowns'!$D$79:$D$96,"ISIC 01T03",'Cost Breakdowns'!$B$79:$B$96))*'Factors applied'!$E$67</f>
        <v>0</v>
      </c>
      <c r="C2">
        <f>(SUMIF('Cost Breakdowns'!$D$79:$D$96,"ISIC 01T03",'Cost Breakdowns'!$B$79:$B$96))*'Factors applied'!$E$68</f>
        <v>0</v>
      </c>
      <c r="D2">
        <f>(SUMIF('Cost Breakdowns'!$D$79:$D$96,"ISIC 01T03",'Cost Breakdowns'!$B$79:$B$96))*'Factors applied'!$E$69</f>
        <v>0</v>
      </c>
      <c r="E2">
        <f>(SUMIF('Cost Breakdowns'!$D$79:$D$96,"ISIC 05",'Cost Breakdowns'!$B$79:$B$96))</f>
        <v>0</v>
      </c>
      <c r="F2">
        <f>(SUMIF('Cost Breakdowns'!$D$79:$D$96,"ISIC 06",'Cost Breakdowns'!$B$79:$B$96))</f>
        <v>0</v>
      </c>
      <c r="G2">
        <f>(SUMIF('Cost Breakdowns'!$D$79:$D$96,"ISIC 07T08",'Cost Breakdowns'!$B$79:$B$96))*'Factors applied'!$E$70</f>
        <v>0</v>
      </c>
      <c r="H2">
        <f>(SUMIF('Cost Breakdowns'!$D$79:$D$96,"ISIC 07T08",'Cost Breakdowns'!$B$79:$B$96))*'Factors applied'!$E$71</f>
        <v>0</v>
      </c>
      <c r="I2">
        <f>(SUMIF('Cost Breakdowns'!$D$79:$D$96,"ISIC 09",'Cost Breakdowns'!$B$79:$B$96))</f>
        <v>0</v>
      </c>
      <c r="J2">
        <f>(SUMIF('Cost Breakdowns'!$D$79:$D$96,"ISIC 10T12",'Cost Breakdowns'!$B$79:$B$96))</f>
        <v>0</v>
      </c>
      <c r="K2">
        <f>(SUMIF('Cost Breakdowns'!$D$79:$D$96,"ISIC 13T15",'Cost Breakdowns'!$B$79:$B$96))</f>
        <v>0</v>
      </c>
      <c r="L2">
        <f>(SUMIF('Cost Breakdowns'!$D$79:$D$96,"ISIC 16",'Cost Breakdowns'!$B$79:$B$96))</f>
        <v>0</v>
      </c>
      <c r="M2">
        <f>(SUMIF('Cost Breakdowns'!$D$79:$D$96,"ISIC 17T18",'Cost Breakdowns'!$B$79:$B$96))</f>
        <v>0</v>
      </c>
      <c r="N2">
        <f>(SUMIF('Cost Breakdowns'!$D$79:$D$96,"ISIC 19",'Cost Breakdowns'!$B$79:$B$96))</f>
        <v>0</v>
      </c>
      <c r="O2">
        <f>(SUMIF('Cost Breakdowns'!$D$79:$D$96,"ISIC 20",'Cost Breakdowns'!$B$79:$B$96))</f>
        <v>1.298854801788919E-3</v>
      </c>
      <c r="P2">
        <f>(SUMIF('Cost Breakdowns'!$D$79:$D$96,"ISIC 21",'Cost Breakdowns'!$B$79:$B$96))</f>
        <v>0</v>
      </c>
      <c r="Q2">
        <f>(SUMIF('Cost Breakdowns'!$D$79:$D$96,"ISIC 22",'Cost Breakdowns'!$B$79:$B$96))</f>
        <v>0</v>
      </c>
      <c r="R2">
        <f>(SUMIF('Cost Breakdowns'!$D$79:$D$96,"ISIC 231",'Cost Breakdowns'!$B$79:$B$96))</f>
        <v>0</v>
      </c>
      <c r="S2">
        <f>(SUMIF('Cost Breakdowns'!$D$79:$D$96,"ISIC 239",'Cost Breakdowns'!$B$79:$B$96))</f>
        <v>0</v>
      </c>
      <c r="T2">
        <f>(SUMIF('Cost Breakdowns'!$D$79:$D$96,"ISIC 241",'Cost Breakdowns'!$B$79:$B$96))</f>
        <v>0</v>
      </c>
      <c r="U2">
        <f>(SUMIF('Cost Breakdowns'!$D$79:$D$96,"ISIC 242",'Cost Breakdowns'!$B$79:$B$96))</f>
        <v>0</v>
      </c>
      <c r="V2">
        <f>(SUMIF('Cost Breakdowns'!$D$79:$D$96,"ISIC 25",'Cost Breakdowns'!$B$79:$B$96))</f>
        <v>0</v>
      </c>
      <c r="W2">
        <f>(SUMIF('Cost Breakdowns'!$D$79:$D$96,"ISIC 26",'Cost Breakdowns'!$B$79:$B$96))</f>
        <v>0</v>
      </c>
      <c r="X2">
        <f>(SUMIF('Cost Breakdowns'!$D$79:$D$96,"ISIC 27",'Cost Breakdowns'!$B$79:$B$96))</f>
        <v>0</v>
      </c>
      <c r="Y2">
        <f>(SUMIF('Cost Breakdowns'!$D$79:$D$96,"ISIC 28",'Cost Breakdowns'!$B$79:$B$96))</f>
        <v>0.37300876505738612</v>
      </c>
      <c r="Z2">
        <f>(SUMIF('Cost Breakdowns'!$D$79:$D$96,"ISIC 29",'Cost Breakdowns'!$B$79:$B$96))</f>
        <v>0</v>
      </c>
      <c r="AA2">
        <f>(SUMIF('Cost Breakdowns'!$D$79:$D$96,"ISIC 30",'Cost Breakdowns'!$B$79:$B$96))*'Factors applied'!$E$72</f>
        <v>0</v>
      </c>
      <c r="AB2">
        <f>(SUMIF('Cost Breakdowns'!$D$79:$D$96,"ISIC 30",'Cost Breakdowns'!$B$79:$B$96))*'Factors applied'!$E$73</f>
        <v>0</v>
      </c>
      <c r="AC2">
        <f>(SUMIF('Cost Breakdowns'!$D$79:$D$96,"ISIC 31T33",'Cost Breakdowns'!$B$79:$B$96))</f>
        <v>0</v>
      </c>
      <c r="AD2">
        <f>(SUMIF('Cost Breakdowns'!$D$79:$D$96,"ISIC 351",'Cost Breakdowns'!$B$79:$B$96))</f>
        <v>0</v>
      </c>
      <c r="AE2">
        <f>(SUMIF('Cost Breakdowns'!$D$79:$D$96,"ISIC 352T353",'Cost Breakdowns'!$B$79:$B$96))</f>
        <v>0</v>
      </c>
      <c r="AF2">
        <f>(SUMIF('Cost Breakdowns'!$D$79:$D$96,"ISIC 36T39",'Cost Breakdowns'!$B$79:$B$96))</f>
        <v>0</v>
      </c>
      <c r="AG2">
        <f>(SUMIF('Cost Breakdowns'!$D$79:$D$96,"ISIC 41T43",'Cost Breakdowns'!$B$79:$B$96))</f>
        <v>0.38864412750459743</v>
      </c>
      <c r="AH2">
        <f>(SUMIF('Cost Breakdowns'!$D$79:$D$96,"ISIC 45T47",'Cost Breakdowns'!$B$79:$B$96))</f>
        <v>0</v>
      </c>
      <c r="AI2">
        <f>(SUMIF('Cost Breakdowns'!$D$79:$D$96,"ISIC 49T53",'Cost Breakdowns'!$B$79:$B$96))*'Factors applied'!$E$74</f>
        <v>0</v>
      </c>
      <c r="AJ2">
        <f>(SUMIF('Cost Breakdowns'!$D$79:$D$96,"ISIC 49T53",'Cost Breakdowns'!$B$79:$B$96))*'Factors applied'!$E$75</f>
        <v>0</v>
      </c>
      <c r="AK2">
        <f>(SUMIF('Cost Breakdowns'!$D$79:$D$96,"ISIC 49T53",'Cost Breakdowns'!$B$79:$B$96))*'Factors applied'!$E$76</f>
        <v>0</v>
      </c>
      <c r="AL2">
        <f>(SUMIF('Cost Breakdowns'!$D$79:$D$96,"ISIC 49T53",'Cost Breakdowns'!$B$79:$B$96))*'Factors applied'!$E$77</f>
        <v>0</v>
      </c>
      <c r="AM2">
        <f>(SUMIF('Cost Breakdowns'!$D$79:$D$96,"ISIC 49T53",'Cost Breakdowns'!$B$79:$B$96))*'Factors applied'!$E$78</f>
        <v>0</v>
      </c>
      <c r="AN2">
        <f>(SUMIF('Cost Breakdowns'!$D$79:$D$96,"ISIC 55T56",'Cost Breakdowns'!$B$79:$B$96))</f>
        <v>0</v>
      </c>
      <c r="AO2">
        <f>(SUMIF('Cost Breakdowns'!$D$79:$D$96,"ISIC 58T60",'Cost Breakdowns'!$B$79:$B$96))</f>
        <v>0</v>
      </c>
      <c r="AP2">
        <f>(SUMIF('Cost Breakdowns'!$D$79:$D$96,"ISIC 61",'Cost Breakdowns'!$B$79:$B$96))</f>
        <v>0</v>
      </c>
      <c r="AQ2">
        <f>(SUMIF('Cost Breakdowns'!$D$79:$D$96,"ISIC 62T63",'Cost Breakdowns'!$B$79:$B$96))</f>
        <v>0</v>
      </c>
      <c r="AR2">
        <f>(SUMIF('Cost Breakdowns'!$D$79:$D$96,"ISIC 64T66",'Cost Breakdowns'!$B$79:$B$96))</f>
        <v>1.1626634167502739E-2</v>
      </c>
      <c r="AS2">
        <f>(SUMIF('Cost Breakdowns'!$D$79:$D$96,"ISIC 68",'Cost Breakdowns'!$B$79:$B$96))</f>
        <v>0</v>
      </c>
      <c r="AT2">
        <f>(SUMIF('Cost Breakdowns'!$D$79:$D$96,"ISIC 69T82",'Cost Breakdowns'!$B$79:$B$96))*'Factors applied'!$E$79</f>
        <v>0.22542161846872494</v>
      </c>
      <c r="AU2">
        <f>(SUMIF('Cost Breakdowns'!$D$79:$D$96,"ISIC 69T82",'Cost Breakdowns'!$B$79:$B$96))*'Factors applied'!$E$80</f>
        <v>0</v>
      </c>
      <c r="AV2">
        <f>(SUMIF('Cost Breakdowns'!$D$79:$D$96,"ISIC 84",'Cost Breakdowns'!$B$79:$B$96))</f>
        <v>0</v>
      </c>
      <c r="AW2">
        <f>(SUMIF('Cost Breakdowns'!$D$79:$D$96,"ISIC 85",'Cost Breakdowns'!$B$79:$B$96))</f>
        <v>0</v>
      </c>
      <c r="AX2">
        <f>(SUMIF('Cost Breakdowns'!$D$79:$D$96,"ISIC 86T88",'Cost Breakdowns'!$B$79:$B$96))</f>
        <v>0</v>
      </c>
      <c r="AY2">
        <f>(SUMIF('Cost Breakdowns'!$D$79:$D$96,"ISIC 90T96",'Cost Breakdowns'!$B$79:$B$96))*'Factors applied'!$E$81</f>
        <v>0</v>
      </c>
      <c r="AZ2">
        <f>(SUMIF('Cost Breakdowns'!$D$79:$D$96,"ISIC 90T96",'Cost Breakdowns'!$B$79:$B$96))*'Factors applied'!$E$82</f>
        <v>0</v>
      </c>
      <c r="BA2">
        <f>(SUMIF('Cost Breakdowns'!$D$79:$D$96,"ISIC 97T98",'Cost Breakdowns'!$B$79:$B$96))</f>
        <v>0</v>
      </c>
    </row>
    <row r="3" spans="1:53" x14ac:dyDescent="0.25">
      <c r="A3" t="s">
        <v>54</v>
      </c>
      <c r="B3">
        <f>(SUMIF('Cost Breakdowns'!$D$114:$D$131,"ISIC 01T03",'Cost Breakdowns'!$B$114:$B$131))*'Factors applied'!$E$259</f>
        <v>0</v>
      </c>
      <c r="C3">
        <f>(SUMIF('Cost Breakdowns'!$D$114:$D$131,"ISIC 01T03",'Cost Breakdowns'!$B$114:$B$131))*'Factors applied'!$E$260</f>
        <v>0</v>
      </c>
      <c r="D3">
        <f>(SUMIF('Cost Breakdowns'!$D$114:$D$131,"ISIC 01T03",'Cost Breakdowns'!$B$114:$B$131))*'Factors applied'!$E$261</f>
        <v>0</v>
      </c>
      <c r="E3">
        <f>(SUMIF('Cost Breakdowns'!$D$114:$D$131,"ISIC 05",'Cost Breakdowns'!$B$114:$B$131))</f>
        <v>0</v>
      </c>
      <c r="F3">
        <f>(SUMIF('Cost Breakdowns'!$D$114:$D$131,"ISIC 06",'Cost Breakdowns'!$B$114:$B$131))</f>
        <v>0</v>
      </c>
      <c r="G3">
        <f>(SUMIF('Cost Breakdowns'!$D$114:$D$131,"ISIC 07T08",'Cost Breakdowns'!$B$114:$B$131))*'Factors applied'!$E$262</f>
        <v>0</v>
      </c>
      <c r="H3">
        <f>(SUMIF('Cost Breakdowns'!$D$114:$D$131,"ISIC 07T08",'Cost Breakdowns'!$B$114:$B$131))*'Factors applied'!$E$263</f>
        <v>0</v>
      </c>
      <c r="I3">
        <f>(SUMIF('Cost Breakdowns'!$D$114:$D$131,"ISIC 09",'Cost Breakdowns'!$B$114:$B$131))</f>
        <v>0</v>
      </c>
      <c r="J3">
        <f>(SUMIF('Cost Breakdowns'!$D$114:$D$131,"ISIC 10T12",'Cost Breakdowns'!$B$114:$B$131))</f>
        <v>0</v>
      </c>
      <c r="K3">
        <f>(SUMIF('Cost Breakdowns'!$D$114:$D$131,"ISIC 13T15",'Cost Breakdowns'!$B$114:$B$131))</f>
        <v>0</v>
      </c>
      <c r="L3">
        <f>(SUMIF('Cost Breakdowns'!$D$114:$D$131,"ISIC 16",'Cost Breakdowns'!$B$114:$B$131))</f>
        <v>0</v>
      </c>
      <c r="M3">
        <f>(SUMIF('Cost Breakdowns'!$D$114:$D$131,"ISIC 17T18",'Cost Breakdowns'!$B$114:$B$131))</f>
        <v>0</v>
      </c>
      <c r="N3">
        <f>(SUMIF('Cost Breakdowns'!$D$114:$D$131,"ISIC 19",'Cost Breakdowns'!$B$114:$B$131))</f>
        <v>0</v>
      </c>
      <c r="O3">
        <f>(SUMIF('Cost Breakdowns'!$D$114:$D$131,"ISIC 20",'Cost Breakdowns'!$B$114:$B$131))</f>
        <v>0</v>
      </c>
      <c r="P3">
        <f>(SUMIF('Cost Breakdowns'!$D$114:$D$131,"ISIC 21",'Cost Breakdowns'!$B$114:$B$131))</f>
        <v>0</v>
      </c>
      <c r="Q3">
        <f>(SUMIF('Cost Breakdowns'!$D$114:$D$131,"ISIC 22",'Cost Breakdowns'!$B$114:$B$131))</f>
        <v>0</v>
      </c>
      <c r="R3">
        <f>(SUMIF('Cost Breakdowns'!$D$114:$D$131,"ISIC 231",'Cost Breakdowns'!$B$114:$B$131))</f>
        <v>0</v>
      </c>
      <c r="S3">
        <f>(SUMIF('Cost Breakdowns'!$D$114:$D$131,"ISIC 239",'Cost Breakdowns'!$B$114:$B$131))</f>
        <v>0</v>
      </c>
      <c r="T3">
        <f>(SUMIF('Cost Breakdowns'!$D$114:$D$131,"ISIC 241",'Cost Breakdowns'!$B$114:$B$131))</f>
        <v>0</v>
      </c>
      <c r="U3">
        <f>(SUMIF('Cost Breakdowns'!$D$114:$D$131,"ISIC 242",'Cost Breakdowns'!$B$114:$B$131))</f>
        <v>0</v>
      </c>
      <c r="V3">
        <f>(SUMIF('Cost Breakdowns'!$D$114:$D$131,"ISIC 25",'Cost Breakdowns'!$B$114:$B$131))</f>
        <v>0</v>
      </c>
      <c r="W3">
        <f>(SUMIF('Cost Breakdowns'!$D$114:$D$131,"ISIC 26",'Cost Breakdowns'!$B$114:$B$131))</f>
        <v>0</v>
      </c>
      <c r="X3">
        <f>(SUMIF('Cost Breakdowns'!$D$114:$D$131,"ISIC 27",'Cost Breakdowns'!$B$114:$B$131))</f>
        <v>0</v>
      </c>
      <c r="Y3">
        <f>(SUMIF('Cost Breakdowns'!$D$114:$D$131,"ISIC 28",'Cost Breakdowns'!$B$114:$B$131))</f>
        <v>0.51764705882352946</v>
      </c>
      <c r="Z3">
        <f>(SUMIF('Cost Breakdowns'!$D$114:$D$131,"ISIC 29",'Cost Breakdowns'!$B$114:$B$131))</f>
        <v>0</v>
      </c>
      <c r="AA3">
        <f>(SUMIF('Cost Breakdowns'!$D$114:$D$131,"ISIC 30",'Cost Breakdowns'!$B$114:$B$131))*'Factors applied'!$E$264</f>
        <v>0</v>
      </c>
      <c r="AB3">
        <f>(SUMIF('Cost Breakdowns'!$D$114:$D$131,"ISIC 30",'Cost Breakdowns'!$B$114:$B$131))*'Factors applied'!$E$265</f>
        <v>0</v>
      </c>
      <c r="AC3">
        <f>(SUMIF('Cost Breakdowns'!$D$114:$D$131,"ISIC 31T33",'Cost Breakdowns'!$B$114:$B$131))</f>
        <v>0</v>
      </c>
      <c r="AD3">
        <f>(SUMIF('Cost Breakdowns'!$D$114:$D$131,"ISIC 351",'Cost Breakdowns'!$B$114:$B$131))</f>
        <v>5.8823529411764714E-3</v>
      </c>
      <c r="AE3">
        <f>(SUMIF('Cost Breakdowns'!$D$114:$D$131,"ISIC 352T353",'Cost Breakdowns'!$B$114:$B$131))</f>
        <v>0</v>
      </c>
      <c r="AF3">
        <f>(SUMIF('Cost Breakdowns'!$D$114:$D$131,"ISIC 36T39",'Cost Breakdowns'!$B$114:$B$131))</f>
        <v>0</v>
      </c>
      <c r="AG3">
        <f>(SUMIF('Cost Breakdowns'!$D$114:$D$131,"ISIC 41T43",'Cost Breakdowns'!$B$114:$B$131))</f>
        <v>0.28235294117647064</v>
      </c>
      <c r="AH3">
        <f>(SUMIF('Cost Breakdowns'!$D$114:$D$131,"ISIC 45T47",'Cost Breakdowns'!$B$114:$B$131))</f>
        <v>0</v>
      </c>
      <c r="AI3">
        <f>(SUMIF('Cost Breakdowns'!$D$114:$D$131,"ISIC 49T53",'Cost Breakdowns'!$B$114:$B$131))*'Factors applied'!$E$266</f>
        <v>0</v>
      </c>
      <c r="AJ3">
        <f>(SUMIF('Cost Breakdowns'!$D$114:$D$131,"ISIC 49T53",'Cost Breakdowns'!$B$114:$B$131))*'Factors applied'!$E$267</f>
        <v>0</v>
      </c>
      <c r="AK3">
        <f>(SUMIF('Cost Breakdowns'!$D$114:$D$131,"ISIC 49T53",'Cost Breakdowns'!$B$114:$B$131))*'Factors applied'!$E$268</f>
        <v>0</v>
      </c>
      <c r="AL3">
        <f>(SUMIF('Cost Breakdowns'!$D$114:$D$131,"ISIC 49T53",'Cost Breakdowns'!$B$114:$B$131))*'Factors applied'!$E$269</f>
        <v>0</v>
      </c>
      <c r="AM3">
        <f>(SUMIF('Cost Breakdowns'!$D$114:$D$131,"ISIC 49T53",'Cost Breakdowns'!$B$114:$B$131))*'Factors applied'!$E$270</f>
        <v>0</v>
      </c>
      <c r="AN3">
        <f>(SUMIF('Cost Breakdowns'!$D$114:$D$131,"ISIC 55T56",'Cost Breakdowns'!$B$114:$B$131))</f>
        <v>0</v>
      </c>
      <c r="AO3">
        <f>(SUMIF('Cost Breakdowns'!$D$114:$D$131,"ISIC 58T60",'Cost Breakdowns'!$B$114:$B$131))</f>
        <v>0</v>
      </c>
      <c r="AP3">
        <f>(SUMIF('Cost Breakdowns'!$D$114:$D$131,"ISIC 61",'Cost Breakdowns'!$B$114:$B$131))</f>
        <v>0</v>
      </c>
      <c r="AQ3">
        <f>(SUMIF('Cost Breakdowns'!$D$114:$D$131,"ISIC 62T63",'Cost Breakdowns'!$B$114:$B$131))</f>
        <v>0</v>
      </c>
      <c r="AR3">
        <f>(SUMIF('Cost Breakdowns'!$D$114:$D$131,"ISIC 64T66",'Cost Breakdowns'!$B$114:$B$131))</f>
        <v>5.8823529411764714E-3</v>
      </c>
      <c r="AS3">
        <f>(SUMIF('Cost Breakdowns'!$D$114:$D$131,"ISIC 68",'Cost Breakdowns'!$B$114:$B$131))</f>
        <v>4.7058823529411757E-2</v>
      </c>
      <c r="AT3">
        <f>(SUMIF('Cost Breakdowns'!$D$114:$D$131,"ISIC 69T82",'Cost Breakdowns'!$B$114:$B$131))*'Factors applied'!$E$271</f>
        <v>0.11764705882352941</v>
      </c>
      <c r="AU3">
        <f>(SUMIF('Cost Breakdowns'!$D$114:$D$131,"ISIC 69T82",'Cost Breakdowns'!$B$114:$B$131))*'Factors applied'!$E$272</f>
        <v>0</v>
      </c>
      <c r="AV3">
        <f>(SUMIF('Cost Breakdowns'!$D$114:$D$131,"ISIC 84",'Cost Breakdowns'!$B$114:$B$131))</f>
        <v>2.3529411764705879E-2</v>
      </c>
      <c r="AW3">
        <f>(SUMIF('Cost Breakdowns'!$D$114:$D$131,"ISIC 85",'Cost Breakdowns'!$B$114:$B$131))</f>
        <v>0</v>
      </c>
      <c r="AX3">
        <f>(SUMIF('Cost Breakdowns'!$D$114:$D$131,"ISIC 86T88",'Cost Breakdowns'!$B$114:$B$131))</f>
        <v>0</v>
      </c>
      <c r="AY3">
        <f>(SUMIF('Cost Breakdowns'!$D$114:$D$131,"ISIC 90T96",'Cost Breakdowns'!$B$114:$B$131))*'Factors applied'!$E$273</f>
        <v>0</v>
      </c>
      <c r="AZ3">
        <f>(SUMIF('Cost Breakdowns'!$D$114:$D$131,"ISIC 90T96",'Cost Breakdowns'!$B$114:$B$131))*'Factors applied'!$E$274</f>
        <v>0</v>
      </c>
      <c r="BA3">
        <f>(SUMIF('Cost Breakdowns'!$D$114:$D$131,"ISIC 97T98",'Cost Breakdowns'!$B$114:$B$131))</f>
        <v>0</v>
      </c>
    </row>
    <row r="4" spans="1:53" x14ac:dyDescent="0.25">
      <c r="A4" t="s">
        <v>55</v>
      </c>
      <c r="B4">
        <f>((SUMIF('Cost Breakdowns'!$D$114:$D$131,"ISIC 01T03",'Cost Breakdowns'!$B$114:$B$131)))*'Factors applied'!$E$211</f>
        <v>0</v>
      </c>
      <c r="C4">
        <f>((SUMIF('Cost Breakdowns'!$D$114:$D$131,"ISIC 01T03",'Cost Breakdowns'!$B$114:$B$131)))*'Factors applied'!$E$212</f>
        <v>0</v>
      </c>
      <c r="D4">
        <f>((SUMIF('Cost Breakdowns'!$D$114:$D$131,"ISIC 01T03",'Cost Breakdowns'!$B$114:$B$131)))*'Factors applied'!$E$213</f>
        <v>0</v>
      </c>
      <c r="E4">
        <f>((SUMIF('Cost Breakdowns'!$D$114:$D$131,"ISIC 05",'Cost Breakdowns'!$B$114:$B$131)))</f>
        <v>0</v>
      </c>
      <c r="F4">
        <f>((SUMIF('Cost Breakdowns'!$D$114:$D$131,"ISIC 06",'Cost Breakdowns'!$B$114:$B$131)))</f>
        <v>0</v>
      </c>
      <c r="G4">
        <f>((SUMIF('Cost Breakdowns'!$D$114:$D$131,"ISIC 07T08",'Cost Breakdowns'!$B$114:$B$131)))*'Factors applied'!$E$214</f>
        <v>0</v>
      </c>
      <c r="H4">
        <f>((SUMIF('Cost Breakdowns'!$D$114:$D$131,"ISIC 07T08",'Cost Breakdowns'!$B$114:$B$131)))*'Factors applied'!$E$215</f>
        <v>0</v>
      </c>
      <c r="I4">
        <f>((SUMIF('Cost Breakdowns'!$D$114:$D$131,"ISIC 09",'Cost Breakdowns'!$B$114:$B$131)))</f>
        <v>0</v>
      </c>
      <c r="J4">
        <f>((SUMIF('Cost Breakdowns'!$D$114:$D$131,"ISIC 10T12",'Cost Breakdowns'!$B$114:$B$131)))</f>
        <v>0</v>
      </c>
      <c r="K4">
        <f>((SUMIF('Cost Breakdowns'!$D$114:$D$131,"ISIC 13T15",'Cost Breakdowns'!$B$114:$B$131)))</f>
        <v>0</v>
      </c>
      <c r="L4">
        <f>((SUMIF('Cost Breakdowns'!$D$114:$D$131,"ISIC 16",'Cost Breakdowns'!$B$114:$B$131)))</f>
        <v>0</v>
      </c>
      <c r="M4">
        <f>((SUMIF('Cost Breakdowns'!$D$114:$D$131,"ISIC 17T18",'Cost Breakdowns'!$B$114:$B$131)))</f>
        <v>0</v>
      </c>
      <c r="N4">
        <f>((SUMIF('Cost Breakdowns'!$D$114:$D$131,"ISIC 19",'Cost Breakdowns'!$B$114:$B$131)))</f>
        <v>0</v>
      </c>
      <c r="O4">
        <f>((SUMIF('Cost Breakdowns'!$D$114:$D$131,"ISIC 20",'Cost Breakdowns'!$B$114:$B$131)))</f>
        <v>0</v>
      </c>
      <c r="P4">
        <f>((SUMIF('Cost Breakdowns'!$D$114:$D$131,"ISIC 21",'Cost Breakdowns'!$B$114:$B$131)))</f>
        <v>0</v>
      </c>
      <c r="Q4">
        <f>((SUMIF('Cost Breakdowns'!$D$114:$D$131,"ISIC 22",'Cost Breakdowns'!$B$114:$B$131)))</f>
        <v>0</v>
      </c>
      <c r="R4">
        <f>((SUMIF('Cost Breakdowns'!$D$114:$D$131,"ISIC 231",'Cost Breakdowns'!$B$114:$B$131)))</f>
        <v>0</v>
      </c>
      <c r="S4">
        <f>((SUMIF('Cost Breakdowns'!$D$114:$D$131,"ISIC 239",'Cost Breakdowns'!$B$114:$B$131)))</f>
        <v>0</v>
      </c>
      <c r="T4">
        <f>((SUMIF('Cost Breakdowns'!$D$114:$D$131,"ISIC 241",'Cost Breakdowns'!$B$114:$B$131)))</f>
        <v>0</v>
      </c>
      <c r="U4">
        <f>((SUMIF('Cost Breakdowns'!$D$114:$D$131,"ISIC 242",'Cost Breakdowns'!$B$114:$B$131)))</f>
        <v>0</v>
      </c>
      <c r="V4">
        <f>((SUMIF('Cost Breakdowns'!$D$114:$D$131,"ISIC 25",'Cost Breakdowns'!$B$114:$B$131)))</f>
        <v>0</v>
      </c>
      <c r="W4">
        <f>((SUMIF('Cost Breakdowns'!$D$114:$D$131,"ISIC 26",'Cost Breakdowns'!$B$114:$B$131)))</f>
        <v>0</v>
      </c>
      <c r="X4">
        <f>((SUMIF('Cost Breakdowns'!$D$114:$D$131,"ISIC 27",'Cost Breakdowns'!$B$114:$B$131)))</f>
        <v>0</v>
      </c>
      <c r="Y4">
        <f>((SUMIF('Cost Breakdowns'!$D$114:$D$131,"ISIC 28",'Cost Breakdowns'!$B$114:$B$131)))</f>
        <v>0.51764705882352946</v>
      </c>
      <c r="Z4">
        <f>((SUMIF('Cost Breakdowns'!$D$114:$D$131,"ISIC 29",'Cost Breakdowns'!$B$114:$B$131)))</f>
        <v>0</v>
      </c>
      <c r="AA4">
        <f>((SUMIF('Cost Breakdowns'!$D$114:$D$131,"ISIC 30",'Cost Breakdowns'!$B$114:$B$131)))*'Factors applied'!$E$216</f>
        <v>0</v>
      </c>
      <c r="AB4">
        <f>((SUMIF('Cost Breakdowns'!$D$114:$D$131,"ISIC 30",'Cost Breakdowns'!$B$114:$B$131)))*'Factors applied'!$E$217</f>
        <v>0</v>
      </c>
      <c r="AC4">
        <f>((SUMIF('Cost Breakdowns'!$D$114:$D$131,"ISIC 31T33",'Cost Breakdowns'!$B$114:$B$131)))</f>
        <v>0</v>
      </c>
      <c r="AD4">
        <f>((SUMIF('Cost Breakdowns'!$D$114:$D$131,"ISIC 351",'Cost Breakdowns'!$B$114:$B$131)))</f>
        <v>5.8823529411764714E-3</v>
      </c>
      <c r="AE4">
        <f>((SUMIF('Cost Breakdowns'!$D$114:$D$131,"ISIC 352T353",'Cost Breakdowns'!$B$114:$B$131)))</f>
        <v>0</v>
      </c>
      <c r="AF4">
        <f>((SUMIF('Cost Breakdowns'!$D$114:$D$131,"ISIC 36T39",'Cost Breakdowns'!$B$114:$B$131)))</f>
        <v>0</v>
      </c>
      <c r="AG4">
        <f>((SUMIF('Cost Breakdowns'!$D$114:$D$131,"ISIC 41T43",'Cost Breakdowns'!$B$114:$B$131)))</f>
        <v>0.28235294117647064</v>
      </c>
      <c r="AH4">
        <f>((SUMIF('Cost Breakdowns'!$D$114:$D$131,"ISIC 45T47",'Cost Breakdowns'!$B$114:$B$131)))</f>
        <v>0</v>
      </c>
      <c r="AI4">
        <f>((SUMIF('Cost Breakdowns'!$D$114:$D$131,"ISIC 49T53",'Cost Breakdowns'!$B$114:$B$131)))*'Factors applied'!$E$218</f>
        <v>0</v>
      </c>
      <c r="AJ4">
        <f>((SUMIF('Cost Breakdowns'!$D$114:$D$131,"ISIC 49T53",'Cost Breakdowns'!$B$114:$B$131)))*'Factors applied'!$E$219</f>
        <v>0</v>
      </c>
      <c r="AK4">
        <f>((SUMIF('Cost Breakdowns'!$D$114:$D$131,"ISIC 49T53",'Cost Breakdowns'!$B$114:$B$131)))*'Factors applied'!$E$220</f>
        <v>0</v>
      </c>
      <c r="AL4">
        <f>((SUMIF('Cost Breakdowns'!$D$114:$D$131,"ISIC 49T53",'Cost Breakdowns'!$B$114:$B$131)))*'Factors applied'!$E$221</f>
        <v>0</v>
      </c>
      <c r="AM4">
        <f>((SUMIF('Cost Breakdowns'!$D$114:$D$131,"ISIC 49T53",'Cost Breakdowns'!$B$114:$B$131)))*'Factors applied'!$E$222</f>
        <v>0</v>
      </c>
      <c r="AN4">
        <f>((SUMIF('Cost Breakdowns'!$D$114:$D$131,"ISIC 55T56",'Cost Breakdowns'!$B$114:$B$131)))</f>
        <v>0</v>
      </c>
      <c r="AO4">
        <f>((SUMIF('Cost Breakdowns'!$D$114:$D$131,"ISIC 58T60",'Cost Breakdowns'!$B$114:$B$131)))</f>
        <v>0</v>
      </c>
      <c r="AP4">
        <f>((SUMIF('Cost Breakdowns'!$D$114:$D$131,"ISIC 61",'Cost Breakdowns'!$B$114:$B$131)))</f>
        <v>0</v>
      </c>
      <c r="AQ4">
        <f>((SUMIF('Cost Breakdowns'!$D$114:$D$131,"ISIC 62T63",'Cost Breakdowns'!$B$114:$B$131)))</f>
        <v>0</v>
      </c>
      <c r="AR4">
        <f>((SUMIF('Cost Breakdowns'!$D$114:$D$131,"ISIC 64T66",'Cost Breakdowns'!$B$114:$B$131)))</f>
        <v>5.8823529411764714E-3</v>
      </c>
      <c r="AS4">
        <f>((SUMIF('Cost Breakdowns'!$D$114:$D$131,"ISIC 68",'Cost Breakdowns'!$B$114:$B$131)))</f>
        <v>4.7058823529411757E-2</v>
      </c>
      <c r="AT4">
        <f>((SUMIF('Cost Breakdowns'!$D$114:$D$131,"ISIC 69T82",'Cost Breakdowns'!$B$114:$B$131)))*'Factors applied'!$E$223</f>
        <v>0.11764705882352941</v>
      </c>
      <c r="AU4">
        <f>((SUMIF('Cost Breakdowns'!$D$114:$D$131,"ISIC 69T82",'Cost Breakdowns'!$B$114:$B$131)))*'Factors applied'!$E$224</f>
        <v>0</v>
      </c>
      <c r="AV4">
        <f>((SUMIF('Cost Breakdowns'!$D$114:$D$131,"ISIC 84",'Cost Breakdowns'!$B$114:$B$131)))</f>
        <v>2.3529411764705879E-2</v>
      </c>
      <c r="AW4">
        <f>((SUMIF('Cost Breakdowns'!$D$114:$D$131,"ISIC 85",'Cost Breakdowns'!$B$114:$B$131)))</f>
        <v>0</v>
      </c>
      <c r="AX4">
        <f>((SUMIF('Cost Breakdowns'!$D$114:$D$131,"ISIC 86T88",'Cost Breakdowns'!$B$114:$B$131)))</f>
        <v>0</v>
      </c>
      <c r="AY4">
        <f>((SUMIF('Cost Breakdowns'!$D$114:$D$131,"ISIC 90T96",'Cost Breakdowns'!$B$114:$B$131)))*'Factors applied'!$E$225</f>
        <v>0</v>
      </c>
      <c r="AZ4">
        <f>((SUMIF('Cost Breakdowns'!$D$114:$D$131,"ISIC 90T96",'Cost Breakdowns'!$B$114:$B$131)))*'Factors applied'!$E$226</f>
        <v>0</v>
      </c>
      <c r="BA4">
        <f>((SUMIF('Cost Breakdowns'!$D$114:$D$131,"ISIC 97T98",'Cost Breakdowns'!$B$114:$B$131)))</f>
        <v>0</v>
      </c>
    </row>
    <row r="5" spans="1:53" x14ac:dyDescent="0.25">
      <c r="A5" t="s">
        <v>56</v>
      </c>
      <c r="B5">
        <f>(SUMIF('Cost Breakdowns'!$D$149:$D$157,"ISIC 01T03",'Cost Breakdowns'!$B$149:$B$157))*'Factors applied'!$E$275</f>
        <v>0</v>
      </c>
      <c r="C5">
        <f>(SUMIF('Cost Breakdowns'!$D$149:$D$157,"ISIC 01T03",'Cost Breakdowns'!$B$149:$B$157))*'Factors applied'!$E$276</f>
        <v>0</v>
      </c>
      <c r="D5">
        <f>(SUMIF('Cost Breakdowns'!$D$149:$D$157,"ISIC 01T03",'Cost Breakdowns'!$B$149:$B$157))*'Factors applied'!$E$277</f>
        <v>0</v>
      </c>
      <c r="E5">
        <f>(SUMIF('Cost Breakdowns'!$D$149:$D$157,"ISIC 05",'Cost Breakdowns'!$B$149:$B$157))</f>
        <v>0</v>
      </c>
      <c r="F5">
        <f>(SUMIF('Cost Breakdowns'!$D$149:$D$157,"ISIC 06",'Cost Breakdowns'!$B$149:$B$157))</f>
        <v>0</v>
      </c>
      <c r="G5">
        <f>(SUMIF('Cost Breakdowns'!$D$149:$D$157,"ISIC 07T08",'Cost Breakdowns'!$B$149:$B$157))*'Factors applied'!$E$278</f>
        <v>1.2982106508371257E-2</v>
      </c>
      <c r="H5">
        <f>(SUMIF('Cost Breakdowns'!$D$149:$D$157,"ISIC 07T08",'Cost Breakdowns'!$B$149:$B$157))*'Factors applied'!$E$279</f>
        <v>1.7017893491628744E-2</v>
      </c>
      <c r="I5">
        <f>(SUMIF('Cost Breakdowns'!$D$149:$D$157,"ISIC 09",'Cost Breakdowns'!$B$149:$B$157))</f>
        <v>0</v>
      </c>
      <c r="J5">
        <f>(SUMIF('Cost Breakdowns'!$D$149:$D$157,"ISIC 10T12",'Cost Breakdowns'!$B$149:$B$157))</f>
        <v>0</v>
      </c>
      <c r="K5">
        <f>(SUMIF('Cost Breakdowns'!$D$149:$D$157,"ISIC 13T15",'Cost Breakdowns'!$B$149:$B$157))</f>
        <v>0</v>
      </c>
      <c r="L5">
        <f>(SUMIF('Cost Breakdowns'!$D$149:$D$157,"ISIC 16",'Cost Breakdowns'!$B$149:$B$157))</f>
        <v>0</v>
      </c>
      <c r="M5">
        <f>(SUMIF('Cost Breakdowns'!$D$149:$D$157,"ISIC 17T18",'Cost Breakdowns'!$B$149:$B$157))</f>
        <v>0</v>
      </c>
      <c r="N5">
        <f>(SUMIF('Cost Breakdowns'!$D$149:$D$157,"ISIC 19",'Cost Breakdowns'!$B$149:$B$157))</f>
        <v>0</v>
      </c>
      <c r="O5">
        <f>(SUMIF('Cost Breakdowns'!$D$149:$D$157,"ISIC 20",'Cost Breakdowns'!$B$149:$B$157))</f>
        <v>0</v>
      </c>
      <c r="P5">
        <f>(SUMIF('Cost Breakdowns'!$D$149:$D$157,"ISIC 21",'Cost Breakdowns'!$B$149:$B$157))</f>
        <v>0</v>
      </c>
      <c r="Q5">
        <f>(SUMIF('Cost Breakdowns'!$D$149:$D$157,"ISIC 22",'Cost Breakdowns'!$B$149:$B$157))</f>
        <v>0</v>
      </c>
      <c r="R5">
        <f>(SUMIF('Cost Breakdowns'!$D$149:$D$157,"ISIC 231",'Cost Breakdowns'!$B$149:$B$157))</f>
        <v>0</v>
      </c>
      <c r="S5">
        <f>(SUMIF('Cost Breakdowns'!$D$149:$D$157,"ISIC 239",'Cost Breakdowns'!$B$149:$B$157))</f>
        <v>0</v>
      </c>
      <c r="T5">
        <f>(SUMIF('Cost Breakdowns'!$D$149:$D$157,"ISIC 241",'Cost Breakdowns'!$B$149:$B$157))</f>
        <v>0</v>
      </c>
      <c r="U5">
        <f>(SUMIF('Cost Breakdowns'!$D$149:$D$157,"ISIC 242",'Cost Breakdowns'!$B$149:$B$157))</f>
        <v>0</v>
      </c>
      <c r="V5">
        <f>(SUMIF('Cost Breakdowns'!$D$149:$D$157,"ISIC 25",'Cost Breakdowns'!$B$149:$B$157))</f>
        <v>0</v>
      </c>
      <c r="W5">
        <f>(SUMIF('Cost Breakdowns'!$D$149:$D$157,"ISIC 26",'Cost Breakdowns'!$B$149:$B$157))</f>
        <v>0</v>
      </c>
      <c r="X5">
        <f>(SUMIF('Cost Breakdowns'!$D$149:$D$157,"ISIC 27",'Cost Breakdowns'!$B$149:$B$157))</f>
        <v>0</v>
      </c>
      <c r="Y5">
        <f>(SUMIF('Cost Breakdowns'!$D$149:$D$157,"ISIC 28",'Cost Breakdowns'!$B$149:$B$157))</f>
        <v>0.60000000000000009</v>
      </c>
      <c r="Z5">
        <f>(SUMIF('Cost Breakdowns'!$D$149:$D$157,"ISIC 29",'Cost Breakdowns'!$B$149:$B$157))</f>
        <v>0</v>
      </c>
      <c r="AA5">
        <f>(SUMIF('Cost Breakdowns'!$D$149:$D$157,"ISIC 30",'Cost Breakdowns'!$B$149:$B$157))*'Factors applied'!$E$280</f>
        <v>0</v>
      </c>
      <c r="AB5">
        <f>(SUMIF('Cost Breakdowns'!$D$149:$D$157,"ISIC 30",'Cost Breakdowns'!$B$149:$B$157))*'Factors applied'!$E$281</f>
        <v>0</v>
      </c>
      <c r="AC5">
        <f>(SUMIF('Cost Breakdowns'!$D$149:$D$157,"ISIC 31T33",'Cost Breakdowns'!$B$149:$B$157))</f>
        <v>0</v>
      </c>
      <c r="AD5">
        <f>(SUMIF('Cost Breakdowns'!$D$149:$D$157,"ISIC 351",'Cost Breakdowns'!$B$149:$B$157))</f>
        <v>0</v>
      </c>
      <c r="AE5">
        <f>(SUMIF('Cost Breakdowns'!$D$149:$D$157,"ISIC 352T353",'Cost Breakdowns'!$B$149:$B$157))</f>
        <v>0</v>
      </c>
      <c r="AF5">
        <f>(SUMIF('Cost Breakdowns'!$D$149:$D$157,"ISIC 36T39",'Cost Breakdowns'!$B$149:$B$157))</f>
        <v>0</v>
      </c>
      <c r="AG5">
        <f>(SUMIF('Cost Breakdowns'!$D$149:$D$157,"ISIC 41T43",'Cost Breakdowns'!$B$149:$B$157))</f>
        <v>0.35</v>
      </c>
      <c r="AH5">
        <f>(SUMIF('Cost Breakdowns'!$D$149:$D$157,"ISIC 45T47",'Cost Breakdowns'!$B$149:$B$157))</f>
        <v>0</v>
      </c>
      <c r="AI5">
        <f>(SUMIF('Cost Breakdowns'!$D$149:$D$157,"ISIC 49T53",'Cost Breakdowns'!$B$149:$B$157))*'Factors applied'!$E$282</f>
        <v>0</v>
      </c>
      <c r="AJ5">
        <f>(SUMIF('Cost Breakdowns'!$D$149:$D$157,"ISIC 49T53",'Cost Breakdowns'!$B$149:$B$157))*'Factors applied'!$E$283</f>
        <v>0</v>
      </c>
      <c r="AK5">
        <f>(SUMIF('Cost Breakdowns'!$D$149:$D$157,"ISIC 49T53",'Cost Breakdowns'!$B$149:$B$157))*'Factors applied'!$E$284</f>
        <v>0</v>
      </c>
      <c r="AL5">
        <f>(SUMIF('Cost Breakdowns'!$D$149:$D$157,"ISIC 49T53",'Cost Breakdowns'!$B$149:$B$157))*'Factors applied'!$E$285</f>
        <v>0</v>
      </c>
      <c r="AM5">
        <f>(SUMIF('Cost Breakdowns'!$D$149:$D$157,"ISIC 49T53",'Cost Breakdowns'!$B$149:$B$157))*'Factors applied'!$E$286</f>
        <v>0</v>
      </c>
      <c r="AN5">
        <f>(SUMIF('Cost Breakdowns'!$D$149:$D$157,"ISIC 55T56",'Cost Breakdowns'!$B$149:$B$157))</f>
        <v>0</v>
      </c>
      <c r="AO5">
        <f>(SUMIF('Cost Breakdowns'!$D$149:$D$157,"ISIC 58T60",'Cost Breakdowns'!$B$149:$B$157))</f>
        <v>0</v>
      </c>
      <c r="AP5">
        <f>(SUMIF('Cost Breakdowns'!$D$149:$D$157,"ISIC 61",'Cost Breakdowns'!$B$149:$B$157))</f>
        <v>0</v>
      </c>
      <c r="AQ5">
        <f>(SUMIF('Cost Breakdowns'!$D$149:$D$157,"ISIC 62T63",'Cost Breakdowns'!$B$149:$B$157))</f>
        <v>0</v>
      </c>
      <c r="AR5">
        <f>(SUMIF('Cost Breakdowns'!$D$149:$D$157,"ISIC 64T66",'Cost Breakdowns'!$B$149:$B$157))</f>
        <v>0</v>
      </c>
      <c r="AS5">
        <f>(SUMIF('Cost Breakdowns'!$D$149:$D$157,"ISIC 68",'Cost Breakdowns'!$B$149:$B$157))</f>
        <v>0</v>
      </c>
      <c r="AT5">
        <f>(SUMIF('Cost Breakdowns'!$D$149:$D$157,"ISIC 69T82",'Cost Breakdowns'!$B$149:$B$157))*'Factors applied'!$E$287</f>
        <v>0.02</v>
      </c>
      <c r="AU5">
        <f>(SUMIF('Cost Breakdowns'!$D$149:$D$157,"ISIC 69T82",'Cost Breakdowns'!$B$149:$B$157))*'Factors applied'!$E$288</f>
        <v>0</v>
      </c>
      <c r="AV5">
        <f>(SUMIF('Cost Breakdowns'!$D$149:$D$157,"ISIC 84",'Cost Breakdowns'!$B$149:$B$157))</f>
        <v>0</v>
      </c>
      <c r="AW5">
        <f>(SUMIF('Cost Breakdowns'!$D$149:$D$157,"ISIC 85",'Cost Breakdowns'!$B$149:$B$157))</f>
        <v>0</v>
      </c>
      <c r="AX5">
        <f>(SUMIF('Cost Breakdowns'!$D$149:$D$157,"ISIC 86T88",'Cost Breakdowns'!$B$149:$B$157))</f>
        <v>0</v>
      </c>
      <c r="AY5">
        <f>(SUMIF('Cost Breakdowns'!$D$149:$D$157,"ISIC 90T96",'Cost Breakdowns'!$B$149:$B$157))*'Factors applied'!$E$289</f>
        <v>0</v>
      </c>
      <c r="AZ5">
        <f>(SUMIF('Cost Breakdowns'!$D$149:$D$157,"ISIC 90T96",'Cost Breakdowns'!$B$149:$B$157))*'Factors applied'!$E$290</f>
        <v>0</v>
      </c>
      <c r="BA5">
        <f>(SUMIF('Cost Breakdowns'!$D$149:$D$157,"ISIC 97T98",'Cost Breakdowns'!$B$149:$B$157))</f>
        <v>0</v>
      </c>
    </row>
    <row r="6" spans="1:53" x14ac:dyDescent="0.25">
      <c r="A6" t="s">
        <v>57</v>
      </c>
      <c r="B6">
        <f>(SUMIF('Cost Breakdowns'!$D$168:$D$198,"ISIC 01T03",'Cost Breakdowns'!$B$168:$B$198))*'Factors applied'!$E$115</f>
        <v>0</v>
      </c>
      <c r="C6">
        <f>(SUMIF('Cost Breakdowns'!$D$168:$D$198,"ISIC 01T03",'Cost Breakdowns'!$B$168:$B$198))*'Factors applied'!$E$116</f>
        <v>0</v>
      </c>
      <c r="D6">
        <f>(SUMIF('Cost Breakdowns'!$D$168:$D$198,"ISIC 01T03",'Cost Breakdowns'!$B$168:$B$198))*'Factors applied'!$E$117</f>
        <v>0</v>
      </c>
      <c r="E6">
        <f>(SUMIF('Cost Breakdowns'!$D$168:$D$198,"ISIC 05",'Cost Breakdowns'!$B$168:$B$198))</f>
        <v>0</v>
      </c>
      <c r="F6">
        <f>(SUMIF('Cost Breakdowns'!$D$168:$D$198,"ISIC 06",'Cost Breakdowns'!$B$168:$B$198))</f>
        <v>0</v>
      </c>
      <c r="G6">
        <f>(SUMIF('Cost Breakdowns'!$D$168:$D$198,"ISIC 07T08",'Cost Breakdowns'!$B$168:$B$198))*'Factors applied'!$E$118</f>
        <v>0</v>
      </c>
      <c r="H6">
        <f>(SUMIF('Cost Breakdowns'!$D$168:$D$198,"ISIC 07T08",'Cost Breakdowns'!$B$168:$B$198))*'Factors applied'!$E$119</f>
        <v>0</v>
      </c>
      <c r="I6">
        <f>(SUMIF('Cost Breakdowns'!$D$168:$D$198,"ISIC 09",'Cost Breakdowns'!$B$168:$B$198))</f>
        <v>0</v>
      </c>
      <c r="J6">
        <f>(SUMIF('Cost Breakdowns'!$D$168:$D$198,"ISIC 10T12",'Cost Breakdowns'!$B$168:$B$198))</f>
        <v>0</v>
      </c>
      <c r="K6">
        <f>(SUMIF('Cost Breakdowns'!$D$168:$D$198,"ISIC 13T15",'Cost Breakdowns'!$B$168:$B$198))</f>
        <v>0</v>
      </c>
      <c r="L6">
        <f>(SUMIF('Cost Breakdowns'!$D$168:$D$198,"ISIC 16",'Cost Breakdowns'!$B$168:$B$198))</f>
        <v>0</v>
      </c>
      <c r="M6">
        <f>(SUMIF('Cost Breakdowns'!$D$168:$D$198,"ISIC 17T18",'Cost Breakdowns'!$B$168:$B$198))</f>
        <v>0</v>
      </c>
      <c r="N6">
        <f>(SUMIF('Cost Breakdowns'!$D$168:$D$198,"ISIC 19",'Cost Breakdowns'!$B$168:$B$198))</f>
        <v>0</v>
      </c>
      <c r="O6">
        <f>(SUMIF('Cost Breakdowns'!$D$168:$D$198,"ISIC 20",'Cost Breakdowns'!$B$168:$B$198))</f>
        <v>0</v>
      </c>
      <c r="P6">
        <f>(SUMIF('Cost Breakdowns'!$D$168:$D$198,"ISIC 21",'Cost Breakdowns'!$B$168:$B$198))</f>
        <v>0</v>
      </c>
      <c r="Q6">
        <f>(SUMIF('Cost Breakdowns'!$D$168:$D$198,"ISIC 22",'Cost Breakdowns'!$B$168:$B$198))</f>
        <v>0</v>
      </c>
      <c r="R6">
        <f>(SUMIF('Cost Breakdowns'!$D$168:$D$198,"ISIC 231",'Cost Breakdowns'!$B$168:$B$198))</f>
        <v>0</v>
      </c>
      <c r="S6">
        <f>(SUMIF('Cost Breakdowns'!$D$168:$D$198,"ISIC 239",'Cost Breakdowns'!$B$168:$B$198))</f>
        <v>0</v>
      </c>
      <c r="T6">
        <f>(SUMIF('Cost Breakdowns'!$D$168:$D$198,"ISIC 241",'Cost Breakdowns'!$B$168:$B$198))</f>
        <v>0</v>
      </c>
      <c r="U6">
        <f>(SUMIF('Cost Breakdowns'!$D$168:$D$198,"ISIC 242",'Cost Breakdowns'!$B$168:$B$198))</f>
        <v>0</v>
      </c>
      <c r="V6">
        <f>(SUMIF('Cost Breakdowns'!$D$168:$D$198,"ISIC 25",'Cost Breakdowns'!$B$168:$B$198))</f>
        <v>0</v>
      </c>
      <c r="W6">
        <f>(SUMIF('Cost Breakdowns'!$D$168:$D$198,"ISIC 26",'Cost Breakdowns'!$B$168:$B$198))</f>
        <v>0</v>
      </c>
      <c r="X6">
        <f>(SUMIF('Cost Breakdowns'!$D$168:$D$198,"ISIC 27",'Cost Breakdowns'!$B$168:$B$198))</f>
        <v>0.1051918352584755</v>
      </c>
      <c r="Y6">
        <f>(SUMIF('Cost Breakdowns'!$D$168:$D$198,"ISIC 28",'Cost Breakdowns'!$B$168:$B$198))</f>
        <v>0.10824858160280046</v>
      </c>
      <c r="Z6">
        <f>(SUMIF('Cost Breakdowns'!$D$168:$D$198,"ISIC 29",'Cost Breakdowns'!$B$168:$B$198))</f>
        <v>0</v>
      </c>
      <c r="AA6">
        <f>(SUMIF('Cost Breakdowns'!$D$168:$D$198,"ISIC 30",'Cost Breakdowns'!$B$168:$B$198))*'Factors applied'!$E$120</f>
        <v>0</v>
      </c>
      <c r="AB6">
        <f>(SUMIF('Cost Breakdowns'!$D$168:$D$198,"ISIC 30",'Cost Breakdowns'!$B$168:$B$198))*'Factors applied'!$E$121</f>
        <v>0</v>
      </c>
      <c r="AC6">
        <f>(SUMIF('Cost Breakdowns'!$D$168:$D$198,"ISIC 31T33",'Cost Breakdowns'!$B$168:$B$198))</f>
        <v>0</v>
      </c>
      <c r="AD6">
        <f>(SUMIF('Cost Breakdowns'!$D$168:$D$198,"ISIC 351",'Cost Breakdowns'!$B$168:$B$198))</f>
        <v>0</v>
      </c>
      <c r="AE6">
        <f>(SUMIF('Cost Breakdowns'!$D$168:$D$198,"ISIC 352T353",'Cost Breakdowns'!$B$168:$B$198))</f>
        <v>0</v>
      </c>
      <c r="AF6">
        <f>(SUMIF('Cost Breakdowns'!$D$168:$D$198,"ISIC 36T39",'Cost Breakdowns'!$B$168:$B$198))</f>
        <v>0</v>
      </c>
      <c r="AG6">
        <f>(SUMIF('Cost Breakdowns'!$D$168:$D$198,"ISIC 41T43",'Cost Breakdowns'!$B$168:$B$198))</f>
        <v>0.58859588920754202</v>
      </c>
      <c r="AH6">
        <f>(SUMIF('Cost Breakdowns'!$D$168:$D$198,"ISIC 45T47",'Cost Breakdowns'!$B$168:$B$198))</f>
        <v>0</v>
      </c>
      <c r="AI6">
        <f>(SUMIF('Cost Breakdowns'!$D$168:$D$198,"ISIC 49T53",'Cost Breakdowns'!$B$168:$B$198))*'Factors applied'!$E$122</f>
        <v>0</v>
      </c>
      <c r="AJ6">
        <f>(SUMIF('Cost Breakdowns'!$D$168:$D$198,"ISIC 49T53",'Cost Breakdowns'!$B$168:$B$198))*'Factors applied'!$E$123</f>
        <v>0</v>
      </c>
      <c r="AK6">
        <f>(SUMIF('Cost Breakdowns'!$D$168:$D$198,"ISIC 49T53",'Cost Breakdowns'!$B$168:$B$198))*'Factors applied'!$E$124</f>
        <v>0</v>
      </c>
      <c r="AL6">
        <f>(SUMIF('Cost Breakdowns'!$D$168:$D$198,"ISIC 49T53",'Cost Breakdowns'!$B$168:$B$198))*'Factors applied'!$E$125</f>
        <v>0</v>
      </c>
      <c r="AM6">
        <f>(SUMIF('Cost Breakdowns'!$D$168:$D$198,"ISIC 49T53",'Cost Breakdowns'!$B$168:$B$198))*'Factors applied'!$E$126</f>
        <v>0</v>
      </c>
      <c r="AN6">
        <f>(SUMIF('Cost Breakdowns'!$D$168:$D$198,"ISIC 55T56",'Cost Breakdowns'!$B$168:$B$198))</f>
        <v>0</v>
      </c>
      <c r="AO6">
        <f>(SUMIF('Cost Breakdowns'!$D$168:$D$198,"ISIC 58T60",'Cost Breakdowns'!$B$168:$B$198))</f>
        <v>0</v>
      </c>
      <c r="AP6">
        <f>(SUMIF('Cost Breakdowns'!$D$168:$D$198,"ISIC 61",'Cost Breakdowns'!$B$168:$B$198))</f>
        <v>0</v>
      </c>
      <c r="AQ6">
        <f>(SUMIF('Cost Breakdowns'!$D$168:$D$198,"ISIC 62T63",'Cost Breakdowns'!$B$168:$B$198))</f>
        <v>0</v>
      </c>
      <c r="AR6">
        <f>(SUMIF('Cost Breakdowns'!$D$168:$D$198,"ISIC 64T66",'Cost Breakdowns'!$B$168:$B$198))</f>
        <v>0</v>
      </c>
      <c r="AS6">
        <f>(SUMIF('Cost Breakdowns'!$D$168:$D$198,"ISIC 68",'Cost Breakdowns'!$B$168:$B$198))</f>
        <v>6.7245330995679082E-3</v>
      </c>
      <c r="AT6">
        <f>(SUMIF('Cost Breakdowns'!$D$168:$D$198,"ISIC 69T82",'Cost Breakdowns'!$B$168:$B$198))*'Factors applied'!$E$127</f>
        <v>0.19123916083161413</v>
      </c>
      <c r="AU6">
        <f>(SUMIF('Cost Breakdowns'!$D$168:$D$198,"ISIC 69T82",'Cost Breakdowns'!$B$168:$B$198))*'Factors applied'!$E$128</f>
        <v>0</v>
      </c>
      <c r="AV6">
        <f>(SUMIF('Cost Breakdowns'!$D$168:$D$198,"ISIC 84",'Cost Breakdowns'!$B$168:$B$198))</f>
        <v>0</v>
      </c>
      <c r="AW6">
        <f>(SUMIF('Cost Breakdowns'!$D$168:$D$198,"ISIC 85",'Cost Breakdowns'!$B$168:$B$198))</f>
        <v>0</v>
      </c>
      <c r="AX6">
        <f>(SUMIF('Cost Breakdowns'!$D$168:$D$198,"ISIC 86T88",'Cost Breakdowns'!$B$168:$B$198))</f>
        <v>0</v>
      </c>
      <c r="AY6">
        <f>(SUMIF('Cost Breakdowns'!$D$168:$D$198,"ISIC 90T96",'Cost Breakdowns'!$B$168:$B$198))*'Factors applied'!$E$129</f>
        <v>0</v>
      </c>
      <c r="AZ6">
        <f>(SUMIF('Cost Breakdowns'!$D$168:$D$198,"ISIC 90T96",'Cost Breakdowns'!$B$168:$B$198))*'Factors applied'!$E$130</f>
        <v>0</v>
      </c>
      <c r="BA6">
        <f>(SUMIF('Cost Breakdowns'!$D$168:$D$198,"ISIC 97T98",'Cost Breakdowns'!$B$168:$B$198))</f>
        <v>0</v>
      </c>
    </row>
    <row r="7" spans="1:53" x14ac:dyDescent="0.25">
      <c r="A7" t="s">
        <v>58</v>
      </c>
      <c r="B7">
        <f>(SUMIF('Cost Breakdowns'!$D$22:$D$52,"ISIC 01T03",'Cost Breakdowns'!$B$22:$B$52))*'Factors applied'!$E$371</f>
        <v>0</v>
      </c>
      <c r="C7">
        <f>(SUMIF('Cost Breakdowns'!$D$22:$D$52,"ISIC 01T03",'Cost Breakdowns'!$B$22:$B$52))*'Factors applied'!$E$372</f>
        <v>0</v>
      </c>
      <c r="D7">
        <f>(SUMIF('Cost Breakdowns'!$D$22:$D$52,"ISIC 01T03",'Cost Breakdowns'!$B$22:$B$52))*'Factors applied'!$E$373</f>
        <v>0</v>
      </c>
      <c r="E7">
        <f>(SUMIF('Cost Breakdowns'!$D$22:$D$52,"ISIC 05",'Cost Breakdowns'!$B$22:$B$52))</f>
        <v>0</v>
      </c>
      <c r="F7">
        <f>(SUMIF('Cost Breakdowns'!$D$22:$D$52,"ISIC 06",'Cost Breakdowns'!$B$22:$B$52))</f>
        <v>0</v>
      </c>
      <c r="G7">
        <f>(SUMIF('Cost Breakdowns'!$D$22:$D$52,"ISIC 07T08",'Cost Breakdowns'!$B$22:$B$52))*'Factors applied'!$E$374</f>
        <v>0</v>
      </c>
      <c r="H7">
        <f>(SUMIF('Cost Breakdowns'!$D$22:$D$52,"ISIC 07T08",'Cost Breakdowns'!$B$22:$B$52))*'Factors applied'!$E$375</f>
        <v>0</v>
      </c>
      <c r="I7">
        <f>(SUMIF('Cost Breakdowns'!$D$22:$D$52,"ISIC 09",'Cost Breakdowns'!$B$22:$B$52))</f>
        <v>0</v>
      </c>
      <c r="J7">
        <f>(SUMIF('Cost Breakdowns'!$D$22:$D$52,"ISIC 10T12",'Cost Breakdowns'!$B$22:$B$52))</f>
        <v>0</v>
      </c>
      <c r="K7">
        <f>(SUMIF('Cost Breakdowns'!$D$22:$D$52,"ISIC 13T15",'Cost Breakdowns'!$B$22:$B$52))</f>
        <v>0</v>
      </c>
      <c r="L7">
        <f>(SUMIF('Cost Breakdowns'!$D$22:$D$52,"ISIC 16",'Cost Breakdowns'!$B$22:$B$52))</f>
        <v>0</v>
      </c>
      <c r="M7">
        <f>(SUMIF('Cost Breakdowns'!$D$22:$D$52,"ISIC 17T18",'Cost Breakdowns'!$B$22:$B$52))</f>
        <v>0</v>
      </c>
      <c r="N7">
        <f>(SUMIF('Cost Breakdowns'!$D$22:$D$52,"ISIC 19",'Cost Breakdowns'!$B$22:$B$52))</f>
        <v>0</v>
      </c>
      <c r="O7">
        <f>(SUMIF('Cost Breakdowns'!$D$22:$D$52,"ISIC 20",'Cost Breakdowns'!$B$22:$B$52))</f>
        <v>0</v>
      </c>
      <c r="P7">
        <f>(SUMIF('Cost Breakdowns'!$D$22:$D$52,"ISIC 21",'Cost Breakdowns'!$B$22:$B$52))</f>
        <v>0</v>
      </c>
      <c r="Q7">
        <f>(SUMIF('Cost Breakdowns'!$D$22:$D$52,"ISIC 22",'Cost Breakdowns'!$B$22:$B$52))</f>
        <v>0</v>
      </c>
      <c r="R7">
        <f>(SUMIF('Cost Breakdowns'!$D$22:$D$52,"ISIC 231",'Cost Breakdowns'!$B$22:$B$52))</f>
        <v>0</v>
      </c>
      <c r="S7">
        <f>(SUMIF('Cost Breakdowns'!$D$22:$D$52,"ISIC 239",'Cost Breakdowns'!$B$22:$B$52))</f>
        <v>0</v>
      </c>
      <c r="T7">
        <f>(SUMIF('Cost Breakdowns'!$D$22:$D$52,"ISIC 241",'Cost Breakdowns'!$B$22:$B$52))</f>
        <v>0</v>
      </c>
      <c r="U7">
        <f>(SUMIF('Cost Breakdowns'!$D$22:$D$52,"ISIC 242",'Cost Breakdowns'!$B$22:$B$52))</f>
        <v>0</v>
      </c>
      <c r="V7">
        <f>(SUMIF('Cost Breakdowns'!$D$22:$D$52,"ISIC 25",'Cost Breakdowns'!$B$22:$B$52))</f>
        <v>0.1094816723595278</v>
      </c>
      <c r="W7">
        <f>(SUMIF('Cost Breakdowns'!$D$22:$D$52,"ISIC 26",'Cost Breakdowns'!$B$22:$B$52))</f>
        <v>0</v>
      </c>
      <c r="X7">
        <f>(SUMIF('Cost Breakdowns'!$D$22:$D$52,"ISIC 27",'Cost Breakdowns'!$B$22:$B$52))</f>
        <v>1.216993434476407E-2</v>
      </c>
      <c r="Y7">
        <f>(SUMIF('Cost Breakdowns'!$D$22:$D$52,"ISIC 28",'Cost Breakdowns'!$B$22:$B$52))</f>
        <v>0.53983426329341444</v>
      </c>
      <c r="Z7">
        <f>(SUMIF('Cost Breakdowns'!$D$22:$D$52,"ISIC 29",'Cost Breakdowns'!$B$22:$B$52))</f>
        <v>0</v>
      </c>
      <c r="AA7">
        <f>(SUMIF('Cost Breakdowns'!$D$22:$D$52,"ISIC 30",'Cost Breakdowns'!$B$22:$B$52))*'Factors applied'!$E$376</f>
        <v>0</v>
      </c>
      <c r="AB7">
        <f>(SUMIF('Cost Breakdowns'!$D$22:$D$52,"ISIC 30",'Cost Breakdowns'!$B$22:$B$52))*'Factors applied'!$E$377</f>
        <v>0</v>
      </c>
      <c r="AC7">
        <f>(SUMIF('Cost Breakdowns'!$D$22:$D$52,"ISIC 31T33",'Cost Breakdowns'!$B$22:$B$52))</f>
        <v>0</v>
      </c>
      <c r="AD7">
        <f>(SUMIF('Cost Breakdowns'!$D$22:$D$52,"ISIC 351",'Cost Breakdowns'!$B$22:$B$52))</f>
        <v>0</v>
      </c>
      <c r="AE7">
        <f>(SUMIF('Cost Breakdowns'!$D$22:$D$52,"ISIC 352T353",'Cost Breakdowns'!$B$22:$B$52))</f>
        <v>0</v>
      </c>
      <c r="AF7">
        <f>(SUMIF('Cost Breakdowns'!$D$22:$D$52,"ISIC 36T39",'Cost Breakdowns'!$B$22:$B$52))</f>
        <v>0</v>
      </c>
      <c r="AG7">
        <f>(SUMIF('Cost Breakdowns'!$D$22:$D$52,"ISIC 41T43",'Cost Breakdowns'!$B$22:$B$52))</f>
        <v>0.16019054547993955</v>
      </c>
      <c r="AH7">
        <f>(SUMIF('Cost Breakdowns'!$D$22:$D$52,"ISIC 45T47",'Cost Breakdowns'!$B$22:$B$52))</f>
        <v>0</v>
      </c>
      <c r="AI7">
        <f>(SUMIF('Cost Breakdowns'!$D$22:$D$52,"ISIC 49T53",'Cost Breakdowns'!$B$22:$B$52))*'Factors applied'!$E$378</f>
        <v>3.448670807400124E-2</v>
      </c>
      <c r="AJ7">
        <f>(SUMIF('Cost Breakdowns'!$D$22:$D$52,"ISIC 49T53",'Cost Breakdowns'!$B$22:$B$52))*'Factors applied'!$E$379</f>
        <v>3.3533848343485079E-3</v>
      </c>
      <c r="AK7">
        <f>(SUMIF('Cost Breakdowns'!$D$22:$D$52,"ISIC 49T53",'Cost Breakdowns'!$B$22:$B$52))*'Factors applied'!$E$380</f>
        <v>1.4236947119767645E-2</v>
      </c>
      <c r="AL7">
        <f>(SUMIF('Cost Breakdowns'!$D$22:$D$52,"ISIC 49T53",'Cost Breakdowns'!$B$22:$B$52))*'Factors applied'!$E$381</f>
        <v>1.6843626829058791E-2</v>
      </c>
      <c r="AM7">
        <f>(SUMIF('Cost Breakdowns'!$D$22:$D$52,"ISIC 49T53",'Cost Breakdowns'!$B$22:$B$52))*'Factors applied'!$E$382</f>
        <v>6.6570037394010672E-3</v>
      </c>
      <c r="AN7">
        <f>(SUMIF('Cost Breakdowns'!$D$22:$D$52,"ISIC 55T56",'Cost Breakdowns'!$B$22:$B$52))</f>
        <v>0</v>
      </c>
      <c r="AO7">
        <f>(SUMIF('Cost Breakdowns'!$D$22:$D$52,"ISIC 58T60",'Cost Breakdowns'!$B$22:$B$52))</f>
        <v>0</v>
      </c>
      <c r="AP7">
        <f>(SUMIF('Cost Breakdowns'!$D$22:$D$52,"ISIC 61",'Cost Breakdowns'!$B$22:$B$52))</f>
        <v>0</v>
      </c>
      <c r="AQ7">
        <f>(SUMIF('Cost Breakdowns'!$D$22:$D$52,"ISIC 62T63",'Cost Breakdowns'!$B$22:$B$52))</f>
        <v>0</v>
      </c>
      <c r="AR7">
        <f>(SUMIF('Cost Breakdowns'!$D$22:$D$52,"ISIC 64T66",'Cost Breakdowns'!$B$22:$B$52))</f>
        <v>0</v>
      </c>
      <c r="AS7">
        <f>(SUMIF('Cost Breakdowns'!$D$22:$D$52,"ISIC 68",'Cost Breakdowns'!$B$22:$B$52))</f>
        <v>0</v>
      </c>
      <c r="AT7">
        <f>(SUMIF('Cost Breakdowns'!$D$22:$D$52,"ISIC 69T82",'Cost Breakdowns'!$B$22:$B$52))*'Factors applied'!$E$383</f>
        <v>5.0860228896338608E-2</v>
      </c>
      <c r="AU7">
        <f>(SUMIF('Cost Breakdowns'!$D$22:$D$52,"ISIC 69T82",'Cost Breakdowns'!$B$22:$B$52))*'Factors applied'!$E$384</f>
        <v>0</v>
      </c>
      <c r="AV7">
        <f>(SUMIF('Cost Breakdowns'!$D$22:$D$52,"ISIC 84",'Cost Breakdowns'!$B$22:$B$52))</f>
        <v>5.1885685029438279E-2</v>
      </c>
      <c r="AW7">
        <f>(SUMIF('Cost Breakdowns'!$D$22:$D$52,"ISIC 85",'Cost Breakdowns'!$B$22:$B$52))</f>
        <v>0</v>
      </c>
      <c r="AX7">
        <f>(SUMIF('Cost Breakdowns'!$D$22:$D$52,"ISIC 86T88",'Cost Breakdowns'!$B$22:$B$52))</f>
        <v>0</v>
      </c>
      <c r="AY7">
        <f>(SUMIF('Cost Breakdowns'!$D$22:$D$52,"ISIC 90T96",'Cost Breakdowns'!$B$22:$B$52))*'Factors applied'!$E$385</f>
        <v>0</v>
      </c>
      <c r="AZ7">
        <f>(SUMIF('Cost Breakdowns'!$D$22:$D$52,"ISIC 90T96",'Cost Breakdowns'!$B$22:$B$52))*'Factors applied'!$E$386</f>
        <v>0</v>
      </c>
      <c r="BA7">
        <f>(SUMIF('Cost Breakdowns'!$D$22:$D$52,"ISIC 97T98",'Cost Breakdowns'!$B$22:$B$52))</f>
        <v>0</v>
      </c>
    </row>
    <row r="8" spans="1:53" x14ac:dyDescent="0.25">
      <c r="A8" t="s">
        <v>59</v>
      </c>
      <c r="B8">
        <f>(SUMIF('Cost Breakdowns'!$D$4:$D$13,"ISIC 01T03",'Cost Breakdowns'!$B$4:$B$13))*'Factors applied'!$E$339</f>
        <v>0</v>
      </c>
      <c r="C8">
        <f>(SUMIF('Cost Breakdowns'!$D$4:$D$13,"ISIC 01T03",'Cost Breakdowns'!$B$4:$B$13))*'Factors applied'!$E$340</f>
        <v>0</v>
      </c>
      <c r="D8">
        <f>(SUMIF('Cost Breakdowns'!$D$4:$D$13,"ISIC 01T03",'Cost Breakdowns'!$B$4:$B$13))*'Factors applied'!$E$341</f>
        <v>0</v>
      </c>
      <c r="E8">
        <f>(SUMIF('Cost Breakdowns'!$D$4:$D$13,"ISIC 05",'Cost Breakdowns'!$B$4:$B$13))</f>
        <v>0</v>
      </c>
      <c r="F8">
        <f>(SUMIF('Cost Breakdowns'!$D$4:$D$13,"ISIC 06",'Cost Breakdowns'!$B$4:$B$13))</f>
        <v>0</v>
      </c>
      <c r="G8">
        <f>(SUMIF('Cost Breakdowns'!$D$4:$D$13,"ISIC 07T08",'Cost Breakdowns'!$B$4:$B$13))*'Factors applied'!$E$342</f>
        <v>0</v>
      </c>
      <c r="H8">
        <f>(SUMIF('Cost Breakdowns'!$D$4:$D$13,"ISIC 07T08",'Cost Breakdowns'!$B$4:$B$13))*'Factors applied'!$E$343</f>
        <v>0</v>
      </c>
      <c r="I8">
        <f>(SUMIF('Cost Breakdowns'!$D$4:$D$13,"ISIC 09",'Cost Breakdowns'!$B$4:$B$13))</f>
        <v>0</v>
      </c>
      <c r="J8">
        <f>(SUMIF('Cost Breakdowns'!$D$4:$D$13,"ISIC 10T12",'Cost Breakdowns'!$B$4:$B$13))</f>
        <v>0</v>
      </c>
      <c r="K8">
        <f>(SUMIF('Cost Breakdowns'!$D$4:$D$13,"ISIC 13T15",'Cost Breakdowns'!$B$4:$B$13))</f>
        <v>0</v>
      </c>
      <c r="L8">
        <f>(SUMIF('Cost Breakdowns'!$D$4:$D$13,"ISIC 16",'Cost Breakdowns'!$B$4:$B$13))</f>
        <v>0</v>
      </c>
      <c r="M8">
        <f>(SUMIF('Cost Breakdowns'!$D$4:$D$13,"ISIC 17T18",'Cost Breakdowns'!$B$4:$B$13))</f>
        <v>0</v>
      </c>
      <c r="N8">
        <f>(SUMIF('Cost Breakdowns'!$D$4:$D$13,"ISIC 19",'Cost Breakdowns'!$B$4:$B$13))</f>
        <v>0</v>
      </c>
      <c r="O8">
        <f>(SUMIF('Cost Breakdowns'!$D$4:$D$13,"ISIC 20",'Cost Breakdowns'!$B$4:$B$13))</f>
        <v>0</v>
      </c>
      <c r="P8">
        <f>(SUMIF('Cost Breakdowns'!$D$4:$D$13,"ISIC 21",'Cost Breakdowns'!$B$4:$B$13))</f>
        <v>0</v>
      </c>
      <c r="Q8">
        <f>(SUMIF('Cost Breakdowns'!$D$4:$D$13,"ISIC 22",'Cost Breakdowns'!$B$4:$B$13))</f>
        <v>0</v>
      </c>
      <c r="R8">
        <f>(SUMIF('Cost Breakdowns'!$D$4:$D$13,"ISIC 231",'Cost Breakdowns'!$B$4:$B$13))</f>
        <v>0</v>
      </c>
      <c r="S8">
        <f>(SUMIF('Cost Breakdowns'!$D$4:$D$13,"ISIC 239",'Cost Breakdowns'!$B$4:$B$13))</f>
        <v>0</v>
      </c>
      <c r="T8">
        <f>(SUMIF('Cost Breakdowns'!$D$4:$D$13,"ISIC 241",'Cost Breakdowns'!$B$4:$B$13))</f>
        <v>0</v>
      </c>
      <c r="U8">
        <f>(SUMIF('Cost Breakdowns'!$D$4:$D$13,"ISIC 242",'Cost Breakdowns'!$B$4:$B$13))</f>
        <v>0</v>
      </c>
      <c r="V8">
        <f>(SUMIF('Cost Breakdowns'!$D$4:$D$13,"ISIC 25",'Cost Breakdowns'!$B$4:$B$13))</f>
        <v>0</v>
      </c>
      <c r="W8">
        <f>(SUMIF('Cost Breakdowns'!$D$4:$D$13,"ISIC 26",'Cost Breakdowns'!$B$4:$B$13))</f>
        <v>0.39285714285714285</v>
      </c>
      <c r="X8">
        <f>(SUMIF('Cost Breakdowns'!$D$4:$D$13,"ISIC 27",'Cost Breakdowns'!$B$4:$B$13))</f>
        <v>0.13095238095238093</v>
      </c>
      <c r="Y8">
        <f>(SUMIF('Cost Breakdowns'!$D$4:$D$13,"ISIC 28",'Cost Breakdowns'!$B$4:$B$13))</f>
        <v>0</v>
      </c>
      <c r="Z8">
        <f>(SUMIF('Cost Breakdowns'!$D$4:$D$13,"ISIC 29",'Cost Breakdowns'!$B$4:$B$13))</f>
        <v>0</v>
      </c>
      <c r="AA8">
        <f>(SUMIF('Cost Breakdowns'!$D$4:$D$13,"ISIC 30",'Cost Breakdowns'!$B$4:$B$13))*'Factors applied'!$E$344</f>
        <v>0</v>
      </c>
      <c r="AB8">
        <f>(SUMIF('Cost Breakdowns'!$D$4:$D$13,"ISIC 30",'Cost Breakdowns'!$B$4:$B$13))*'Factors applied'!$E$345</f>
        <v>0</v>
      </c>
      <c r="AC8">
        <f>(SUMIF('Cost Breakdowns'!$D$4:$D$13,"ISIC 31T33",'Cost Breakdowns'!$B$4:$B$13))</f>
        <v>0</v>
      </c>
      <c r="AD8">
        <f>(SUMIF('Cost Breakdowns'!$D$4:$D$13,"ISIC 351",'Cost Breakdowns'!$B$4:$B$13))</f>
        <v>0</v>
      </c>
      <c r="AE8">
        <f>(SUMIF('Cost Breakdowns'!$D$4:$D$13,"ISIC 352T353",'Cost Breakdowns'!$B$4:$B$13))</f>
        <v>0</v>
      </c>
      <c r="AF8">
        <f>(SUMIF('Cost Breakdowns'!$D$4:$D$13,"ISIC 36T39",'Cost Breakdowns'!$B$4:$B$13))</f>
        <v>0</v>
      </c>
      <c r="AG8">
        <f>(SUMIF('Cost Breakdowns'!$D$4:$D$13,"ISIC 41T43",'Cost Breakdowns'!$B$4:$B$13))</f>
        <v>0.27380952380952384</v>
      </c>
      <c r="AH8">
        <f>(SUMIF('Cost Breakdowns'!$D$4:$D$13,"ISIC 45T47",'Cost Breakdowns'!$B$4:$B$13))</f>
        <v>0</v>
      </c>
      <c r="AI8">
        <f>(SUMIF('Cost Breakdowns'!$D$4:$D$13,"ISIC 49T53",'Cost Breakdowns'!$B$4:$B$13))*'Factors applied'!$E$346</f>
        <v>0</v>
      </c>
      <c r="AJ8">
        <f>(SUMIF('Cost Breakdowns'!$D$4:$D$13,"ISIC 49T53",'Cost Breakdowns'!$B$4:$B$13))*'Factors applied'!$E$347</f>
        <v>0</v>
      </c>
      <c r="AK8">
        <f>(SUMIF('Cost Breakdowns'!$D$4:$D$13,"ISIC 49T53",'Cost Breakdowns'!$B$4:$B$13))*'Factors applied'!$E$348</f>
        <v>0</v>
      </c>
      <c r="AL8">
        <f>(SUMIF('Cost Breakdowns'!$D$4:$D$13,"ISIC 49T53",'Cost Breakdowns'!$B$4:$B$13))*'Factors applied'!$E$349</f>
        <v>0</v>
      </c>
      <c r="AM8">
        <f>(SUMIF('Cost Breakdowns'!$D$4:$D$13,"ISIC 49T53",'Cost Breakdowns'!$B$4:$B$13))*'Factors applied'!$E$350</f>
        <v>0</v>
      </c>
      <c r="AN8">
        <f>(SUMIF('Cost Breakdowns'!$D$4:$D$13,"ISIC 55T56",'Cost Breakdowns'!$B$4:$B$13))</f>
        <v>0</v>
      </c>
      <c r="AO8">
        <f>(SUMIF('Cost Breakdowns'!$D$4:$D$13,"ISIC 58T60",'Cost Breakdowns'!$B$4:$B$13))</f>
        <v>0</v>
      </c>
      <c r="AP8">
        <f>(SUMIF('Cost Breakdowns'!$D$4:$D$13,"ISIC 61",'Cost Breakdowns'!$B$4:$B$13))</f>
        <v>0</v>
      </c>
      <c r="AQ8">
        <f>(SUMIF('Cost Breakdowns'!$D$4:$D$13,"ISIC 62T63",'Cost Breakdowns'!$B$4:$B$13))</f>
        <v>0</v>
      </c>
      <c r="AR8">
        <f>(SUMIF('Cost Breakdowns'!$D$4:$D$13,"ISIC 64T66",'Cost Breakdowns'!$B$4:$B$13))</f>
        <v>0</v>
      </c>
      <c r="AS8">
        <f>(SUMIF('Cost Breakdowns'!$D$4:$D$13,"ISIC 68",'Cost Breakdowns'!$B$4:$B$13))</f>
        <v>0</v>
      </c>
      <c r="AT8">
        <f>(SUMIF('Cost Breakdowns'!$D$4:$D$13,"ISIC 69T82",'Cost Breakdowns'!$B$4:$B$13))*'Factors applied'!$E$351</f>
        <v>0.15476190476190477</v>
      </c>
      <c r="AU8">
        <f>(SUMIF('Cost Breakdowns'!$D$4:$D$13,"ISIC 69T82",'Cost Breakdowns'!$B$4:$B$13))*'Factors applied'!$E$352</f>
        <v>0</v>
      </c>
      <c r="AV8">
        <f>(SUMIF('Cost Breakdowns'!$D$4:$D$13,"ISIC 84",'Cost Breakdowns'!$B$4:$B$13))</f>
        <v>4.7619047619047616E-2</v>
      </c>
      <c r="AW8">
        <f>(SUMIF('Cost Breakdowns'!$D$4:$D$13,"ISIC 85",'Cost Breakdowns'!$B$4:$B$13))</f>
        <v>0</v>
      </c>
      <c r="AX8">
        <f>(SUMIF('Cost Breakdowns'!$D$4:$D$13,"ISIC 86T88",'Cost Breakdowns'!$B$4:$B$13))</f>
        <v>0</v>
      </c>
      <c r="AY8">
        <f>(SUMIF('Cost Breakdowns'!$D$4:$D$13,"ISIC 90T96",'Cost Breakdowns'!$B$4:$B$13))*'Factors applied'!$E$353</f>
        <v>0</v>
      </c>
      <c r="AZ8">
        <f>(SUMIF('Cost Breakdowns'!$D$4:$D$13,"ISIC 90T96",'Cost Breakdowns'!$B$4:$B$13))*'Factors applied'!$E$354</f>
        <v>0</v>
      </c>
      <c r="BA8">
        <f>(SUMIF('Cost Breakdowns'!$D$4:$D$13,"ISIC 97T98",'Cost Breakdowns'!$B$4:$B$13))</f>
        <v>0</v>
      </c>
    </row>
    <row r="9" spans="1:53" x14ac:dyDescent="0.25">
      <c r="A9" t="s">
        <v>60</v>
      </c>
      <c r="B9">
        <f>(SUMIF('Cost Breakdowns'!$D$239:$D$267,"ISIC 01T03",'Cost Breakdowns'!$B$239:$B$267))*'Factors applied'!$E$355</f>
        <v>0</v>
      </c>
      <c r="C9">
        <f>(SUMIF('Cost Breakdowns'!$D$239:$D$267,"ISIC 01T03",'Cost Breakdowns'!$B$239:$B$267))*'Factors applied'!$E$356</f>
        <v>0</v>
      </c>
      <c r="D9">
        <f>(SUMIF('Cost Breakdowns'!$D$239:$D$267,"ISIC 01T03",'Cost Breakdowns'!$B$239:$B$267))*'Factors applied'!$E$357</f>
        <v>0</v>
      </c>
      <c r="E9">
        <f>(SUMIF('Cost Breakdowns'!$D$239:$D$267,"ISIC 05",'Cost Breakdowns'!$B$239:$B$267))</f>
        <v>0</v>
      </c>
      <c r="F9">
        <f>(SUMIF('Cost Breakdowns'!$D$239:$D$267,"ISIC 06",'Cost Breakdowns'!$B$239:$B$267))</f>
        <v>0</v>
      </c>
      <c r="G9">
        <f>(SUMIF('Cost Breakdowns'!$D$239:$D$267,"ISIC 07T08",'Cost Breakdowns'!$B$239:$B$267))*'Factors applied'!$E$358</f>
        <v>0</v>
      </c>
      <c r="H9">
        <f>(SUMIF('Cost Breakdowns'!$D$239:$D$267,"ISIC 07T08",'Cost Breakdowns'!$B$239:$B$267))*'Factors applied'!$E$359</f>
        <v>0</v>
      </c>
      <c r="I9">
        <f>(SUMIF('Cost Breakdowns'!$D$239:$D$267,"ISIC 09",'Cost Breakdowns'!$B$239:$B$267))</f>
        <v>0</v>
      </c>
      <c r="J9">
        <f>(SUMIF('Cost Breakdowns'!$D$239:$D$267,"ISIC 10T12",'Cost Breakdowns'!$B$239:$B$267))</f>
        <v>0</v>
      </c>
      <c r="K9">
        <f>(SUMIF('Cost Breakdowns'!$D$239:$D$267,"ISIC 13T15",'Cost Breakdowns'!$B$239:$B$267))</f>
        <v>0</v>
      </c>
      <c r="L9">
        <f>(SUMIF('Cost Breakdowns'!$D$239:$D$267,"ISIC 16",'Cost Breakdowns'!$B$239:$B$267))</f>
        <v>0</v>
      </c>
      <c r="M9">
        <f>(SUMIF('Cost Breakdowns'!$D$239:$D$267,"ISIC 17T18",'Cost Breakdowns'!$B$239:$B$267))</f>
        <v>0</v>
      </c>
      <c r="N9">
        <f>(SUMIF('Cost Breakdowns'!$D$239:$D$267,"ISIC 19",'Cost Breakdowns'!$B$239:$B$267))</f>
        <v>0</v>
      </c>
      <c r="O9">
        <f>(SUMIF('Cost Breakdowns'!$D$239:$D$267,"ISIC 20",'Cost Breakdowns'!$B$239:$B$267))</f>
        <v>0</v>
      </c>
      <c r="P9">
        <f>(SUMIF('Cost Breakdowns'!$D$239:$D$267,"ISIC 21",'Cost Breakdowns'!$B$239:$B$267))</f>
        <v>0</v>
      </c>
      <c r="Q9">
        <f>(SUMIF('Cost Breakdowns'!$D$239:$D$267,"ISIC 22",'Cost Breakdowns'!$B$239:$B$267))</f>
        <v>0</v>
      </c>
      <c r="R9">
        <f>(SUMIF('Cost Breakdowns'!$D$239:$D$267,"ISIC 231",'Cost Breakdowns'!$B$239:$B$267))</f>
        <v>5.9171738835744038E-2</v>
      </c>
      <c r="S9">
        <f>(SUMIF('Cost Breakdowns'!$D$239:$D$267,"ISIC 239",'Cost Breakdowns'!$B$239:$B$267))</f>
        <v>0</v>
      </c>
      <c r="T9">
        <f>(SUMIF('Cost Breakdowns'!$D$239:$D$267,"ISIC 241",'Cost Breakdowns'!$B$239:$B$267))</f>
        <v>0</v>
      </c>
      <c r="U9">
        <f>(SUMIF('Cost Breakdowns'!$D$239:$D$267,"ISIC 242",'Cost Breakdowns'!$B$239:$B$267))</f>
        <v>0</v>
      </c>
      <c r="V9">
        <f>(SUMIF('Cost Breakdowns'!$D$239:$D$267,"ISIC 25",'Cost Breakdowns'!$B$239:$B$267))</f>
        <v>0.35129388368869774</v>
      </c>
      <c r="W9">
        <f>(SUMIF('Cost Breakdowns'!$D$239:$D$267,"ISIC 26",'Cost Breakdowns'!$B$239:$B$267))</f>
        <v>0</v>
      </c>
      <c r="X9">
        <f>(SUMIF('Cost Breakdowns'!$D$239:$D$267,"ISIC 27",'Cost Breakdowns'!$B$239:$B$267))</f>
        <v>2.0511704521724877E-2</v>
      </c>
      <c r="Y9">
        <f>(SUMIF('Cost Breakdowns'!$D$239:$D$267,"ISIC 28",'Cost Breakdowns'!$B$239:$B$267))</f>
        <v>0.2706581007914583</v>
      </c>
      <c r="Z9">
        <f>(SUMIF('Cost Breakdowns'!$D$239:$D$267,"ISIC 29",'Cost Breakdowns'!$B$239:$B$267))</f>
        <v>0</v>
      </c>
      <c r="AA9">
        <f>(SUMIF('Cost Breakdowns'!$D$239:$D$267,"ISIC 30",'Cost Breakdowns'!$B$239:$B$267))*'Factors applied'!$E$360</f>
        <v>0</v>
      </c>
      <c r="AB9">
        <f>(SUMIF('Cost Breakdowns'!$D$239:$D$267,"ISIC 30",'Cost Breakdowns'!$B$239:$B$267))*'Factors applied'!$E$361</f>
        <v>0</v>
      </c>
      <c r="AC9">
        <f>(SUMIF('Cost Breakdowns'!$D$239:$D$267,"ISIC 31T33",'Cost Breakdowns'!$B$239:$B$267))</f>
        <v>0</v>
      </c>
      <c r="AD9">
        <f>(SUMIF('Cost Breakdowns'!$D$239:$D$267,"ISIC 351",'Cost Breakdowns'!$B$239:$B$267))</f>
        <v>0</v>
      </c>
      <c r="AE9">
        <f>(SUMIF('Cost Breakdowns'!$D$239:$D$267,"ISIC 352T353",'Cost Breakdowns'!$B$239:$B$267))</f>
        <v>0</v>
      </c>
      <c r="AF9">
        <f>(SUMIF('Cost Breakdowns'!$D$239:$D$267,"ISIC 36T39",'Cost Breakdowns'!$B$239:$B$267))</f>
        <v>0</v>
      </c>
      <c r="AG9">
        <f>(SUMIF('Cost Breakdowns'!$D$239:$D$267,"ISIC 41T43",'Cost Breakdowns'!$B$239:$B$267))</f>
        <v>0.17058818410556767</v>
      </c>
      <c r="AH9">
        <f>(SUMIF('Cost Breakdowns'!$D$239:$D$267,"ISIC 45T47",'Cost Breakdowns'!$B$239:$B$267))</f>
        <v>0</v>
      </c>
      <c r="AI9">
        <f>(SUMIF('Cost Breakdowns'!$D$239:$D$267,"ISIC 49T53",'Cost Breakdowns'!$B$239:$B$267))*'Factors applied'!$E$362</f>
        <v>0</v>
      </c>
      <c r="AJ9">
        <f>(SUMIF('Cost Breakdowns'!$D$239:$D$267,"ISIC 49T53",'Cost Breakdowns'!$B$239:$B$267))*'Factors applied'!$E$363</f>
        <v>0</v>
      </c>
      <c r="AK9">
        <f>(SUMIF('Cost Breakdowns'!$D$239:$D$267,"ISIC 49T53",'Cost Breakdowns'!$B$239:$B$267))*'Factors applied'!$E$364</f>
        <v>0</v>
      </c>
      <c r="AL9">
        <f>(SUMIF('Cost Breakdowns'!$D$239:$D$267,"ISIC 49T53",'Cost Breakdowns'!$B$239:$B$267))*'Factors applied'!$E$365</f>
        <v>0</v>
      </c>
      <c r="AM9">
        <f>(SUMIF('Cost Breakdowns'!$D$239:$D$267,"ISIC 49T53",'Cost Breakdowns'!$B$239:$B$267))*'Factors applied'!$E$366</f>
        <v>0</v>
      </c>
      <c r="AN9">
        <f>(SUMIF('Cost Breakdowns'!$D$239:$D$267,"ISIC 55T56",'Cost Breakdowns'!$B$239:$B$267))</f>
        <v>0</v>
      </c>
      <c r="AO9">
        <f>(SUMIF('Cost Breakdowns'!$D$239:$D$267,"ISIC 58T60",'Cost Breakdowns'!$B$239:$B$267))</f>
        <v>0</v>
      </c>
      <c r="AP9">
        <f>(SUMIF('Cost Breakdowns'!$D$239:$D$267,"ISIC 61",'Cost Breakdowns'!$B$239:$B$267))</f>
        <v>0</v>
      </c>
      <c r="AQ9">
        <f>(SUMIF('Cost Breakdowns'!$D$239:$D$267,"ISIC 62T63",'Cost Breakdowns'!$B$239:$B$267))</f>
        <v>0</v>
      </c>
      <c r="AR9">
        <f>(SUMIF('Cost Breakdowns'!$D$239:$D$267,"ISIC 64T66",'Cost Breakdowns'!$B$239:$B$267))</f>
        <v>0</v>
      </c>
      <c r="AS9">
        <f>(SUMIF('Cost Breakdowns'!$D$239:$D$267,"ISIC 68",'Cost Breakdowns'!$B$239:$B$267))</f>
        <v>0</v>
      </c>
      <c r="AT9">
        <f>(SUMIF('Cost Breakdowns'!$D$239:$D$267,"ISIC 69T82",'Cost Breakdowns'!$B$239:$B$267))*'Factors applied'!$E$367</f>
        <v>0.12777638805680741</v>
      </c>
      <c r="AU9">
        <f>(SUMIF('Cost Breakdowns'!$D$239:$D$267,"ISIC 69T82",'Cost Breakdowns'!$B$239:$B$267))*'Factors applied'!$E$368</f>
        <v>0</v>
      </c>
      <c r="AV9">
        <f>(SUMIF('Cost Breakdowns'!$D$239:$D$267,"ISIC 84",'Cost Breakdowns'!$B$239:$B$267))</f>
        <v>0</v>
      </c>
      <c r="AW9">
        <f>(SUMIF('Cost Breakdowns'!$D$239:$D$267,"ISIC 85",'Cost Breakdowns'!$B$239:$B$267))</f>
        <v>0</v>
      </c>
      <c r="AX9">
        <f>(SUMIF('Cost Breakdowns'!$D$239:$D$267,"ISIC 86T88",'Cost Breakdowns'!$B$239:$B$267))</f>
        <v>0</v>
      </c>
      <c r="AY9">
        <f>(SUMIF('Cost Breakdowns'!$D$239:$D$267,"ISIC 90T96",'Cost Breakdowns'!$B$239:$B$267))*'Factors applied'!$E$369</f>
        <v>0</v>
      </c>
      <c r="AZ9">
        <f>(SUMIF('Cost Breakdowns'!$D$239:$D$267,"ISIC 90T96",'Cost Breakdowns'!$B$239:$B$267))*'Factors applied'!$E$370</f>
        <v>0</v>
      </c>
      <c r="BA9">
        <f>(SUMIF('Cost Breakdowns'!$D$239:$D$267,"ISIC 97T98",'Cost Breakdowns'!$B$239:$B$267))</f>
        <v>0</v>
      </c>
    </row>
    <row r="10" spans="1:53" x14ac:dyDescent="0.25">
      <c r="A10" t="s">
        <v>61</v>
      </c>
      <c r="B10">
        <f>(SUMIF('Cost Breakdowns'!$D$222:$D$227,"ISIC 01T03",'Cost Breakdowns'!$B$222:$B$227))*'Factors applied'!$E$3</f>
        <v>0</v>
      </c>
      <c r="C10">
        <f>(SUMIF('Cost Breakdowns'!$D$222:$D$227,"ISIC 01T03",'Cost Breakdowns'!$B$222:$B$227))*'Factors applied'!$E$4</f>
        <v>0</v>
      </c>
      <c r="D10">
        <f>(SUMIF('Cost Breakdowns'!$D$222:$D$227,"ISIC 01T03",'Cost Breakdowns'!$B$222:$B$227))*'Factors applied'!$E$5</f>
        <v>0</v>
      </c>
      <c r="E10">
        <f>(SUMIF('Cost Breakdowns'!$D$222:$D$227,"ISIC 05",'Cost Breakdowns'!$B$222:$B$227))</f>
        <v>0</v>
      </c>
      <c r="F10">
        <f>(SUMIF('Cost Breakdowns'!$D$222:$D$227,"ISIC 06",'Cost Breakdowns'!$B$222:$B$227))</f>
        <v>0</v>
      </c>
      <c r="G10">
        <f>(SUMIF('Cost Breakdowns'!$D$222:$D$227,"ISIC 07T08",'Cost Breakdowns'!$B$222:$B$227))*'Factors applied'!$E$6</f>
        <v>0</v>
      </c>
      <c r="H10">
        <f>(SUMIF('Cost Breakdowns'!$D$222:$D$227,"ISIC 07T08",'Cost Breakdowns'!$B$222:$B$227))*'Factors applied'!$E$7</f>
        <v>0</v>
      </c>
      <c r="I10">
        <f>(SUMIF('Cost Breakdowns'!$D$222:$D$227,"ISIC 09",'Cost Breakdowns'!$B$222:$B$227))</f>
        <v>0</v>
      </c>
      <c r="J10">
        <f>(SUMIF('Cost Breakdowns'!$D$222:$D$227,"ISIC 10T12",'Cost Breakdowns'!$B$222:$B$227))</f>
        <v>0</v>
      </c>
      <c r="K10">
        <f>(SUMIF('Cost Breakdowns'!$D$222:$D$227,"ISIC 13T15",'Cost Breakdowns'!$B$222:$B$227))</f>
        <v>0</v>
      </c>
      <c r="L10">
        <f>(SUMIF('Cost Breakdowns'!$D$222:$D$227,"ISIC 16",'Cost Breakdowns'!$B$222:$B$227))</f>
        <v>0</v>
      </c>
      <c r="M10">
        <f>(SUMIF('Cost Breakdowns'!$D$222:$D$227,"ISIC 17T18",'Cost Breakdowns'!$B$222:$B$227))</f>
        <v>0</v>
      </c>
      <c r="N10">
        <f>(SUMIF('Cost Breakdowns'!$D$222:$D$227,"ISIC 19",'Cost Breakdowns'!$B$222:$B$227))</f>
        <v>0</v>
      </c>
      <c r="O10">
        <f>(SUMIF('Cost Breakdowns'!$D$222:$D$227,"ISIC 20",'Cost Breakdowns'!$B$222:$B$227))</f>
        <v>0</v>
      </c>
      <c r="P10">
        <f>(SUMIF('Cost Breakdowns'!$D$222:$D$227,"ISIC 21",'Cost Breakdowns'!$B$222:$B$227))</f>
        <v>0</v>
      </c>
      <c r="Q10">
        <f>(SUMIF('Cost Breakdowns'!$D$222:$D$227,"ISIC 22",'Cost Breakdowns'!$B$222:$B$227))</f>
        <v>0</v>
      </c>
      <c r="R10">
        <f>(SUMIF('Cost Breakdowns'!$D$222:$D$227,"ISIC 231",'Cost Breakdowns'!$B$222:$B$227))</f>
        <v>0</v>
      </c>
      <c r="S10">
        <f>(SUMIF('Cost Breakdowns'!$D$222:$D$227,"ISIC 239",'Cost Breakdowns'!$B$222:$B$227))</f>
        <v>0</v>
      </c>
      <c r="T10">
        <f>(SUMIF('Cost Breakdowns'!$D$222:$D$227,"ISIC 241",'Cost Breakdowns'!$B$222:$B$227))</f>
        <v>0</v>
      </c>
      <c r="U10">
        <f>(SUMIF('Cost Breakdowns'!$D$222:$D$227,"ISIC 242",'Cost Breakdowns'!$B$222:$B$227))</f>
        <v>0</v>
      </c>
      <c r="V10">
        <f>(SUMIF('Cost Breakdowns'!$D$222:$D$227,"ISIC 25",'Cost Breakdowns'!$B$222:$B$227))</f>
        <v>0</v>
      </c>
      <c r="W10">
        <f>(SUMIF('Cost Breakdowns'!$D$222:$D$227,"ISIC 26",'Cost Breakdowns'!$B$222:$B$227))</f>
        <v>0</v>
      </c>
      <c r="X10">
        <f>(SUMIF('Cost Breakdowns'!$D$222:$D$227,"ISIC 27",'Cost Breakdowns'!$B$222:$B$227))</f>
        <v>0</v>
      </c>
      <c r="Y10">
        <f>(SUMIF('Cost Breakdowns'!$D$222:$D$227,"ISIC 28",'Cost Breakdowns'!$B$222:$B$227))</f>
        <v>0.68</v>
      </c>
      <c r="Z10">
        <f>(SUMIF('Cost Breakdowns'!$D$222:$D$227,"ISIC 29",'Cost Breakdowns'!$B$222:$B$227))</f>
        <v>0</v>
      </c>
      <c r="AA10">
        <f>(SUMIF('Cost Breakdowns'!$D$222:$D$227,"ISIC 30",'Cost Breakdowns'!$B$222:$B$227))*'Factors applied'!$E$8</f>
        <v>0</v>
      </c>
      <c r="AB10">
        <f>(SUMIF('Cost Breakdowns'!$D$222:$D$227,"ISIC 30",'Cost Breakdowns'!$B$222:$B$227))*'Factors applied'!$E$9</f>
        <v>0</v>
      </c>
      <c r="AC10">
        <f>(SUMIF('Cost Breakdowns'!$D$222:$D$227,"ISIC 31T33",'Cost Breakdowns'!$B$222:$B$227))</f>
        <v>0</v>
      </c>
      <c r="AD10">
        <f>(SUMIF('Cost Breakdowns'!$D$222:$D$227,"ISIC 351",'Cost Breakdowns'!$B$222:$B$227))</f>
        <v>0</v>
      </c>
      <c r="AE10">
        <f>(SUMIF('Cost Breakdowns'!$D$222:$D$227,"ISIC 352T353",'Cost Breakdowns'!$B$222:$B$227))</f>
        <v>0</v>
      </c>
      <c r="AF10">
        <f>(SUMIF('Cost Breakdowns'!$D$222:$D$227,"ISIC 36T39",'Cost Breakdowns'!$B$222:$B$227))</f>
        <v>0</v>
      </c>
      <c r="AG10">
        <f>(SUMIF('Cost Breakdowns'!$D$222:$D$227,"ISIC 41T43",'Cost Breakdowns'!$B$222:$B$227))</f>
        <v>0.14000000000000001</v>
      </c>
      <c r="AH10">
        <f>(SUMIF('Cost Breakdowns'!$D$222:$D$227,"ISIC 45T47",'Cost Breakdowns'!$B$222:$B$227))</f>
        <v>0</v>
      </c>
      <c r="AI10">
        <f>(SUMIF('Cost Breakdowns'!$D$222:$D$227,"ISIC 49T53",'Cost Breakdowns'!$B$222:$B$227))*'Factors applied'!$E$10</f>
        <v>0</v>
      </c>
      <c r="AJ10">
        <f>(SUMIF('Cost Breakdowns'!$D$222:$D$227,"ISIC 49T53",'Cost Breakdowns'!$B$222:$B$227))*'Factors applied'!$E$11</f>
        <v>0</v>
      </c>
      <c r="AK10">
        <f>(SUMIF('Cost Breakdowns'!$D$222:$D$227,"ISIC 49T53",'Cost Breakdowns'!$B$222:$B$227))*'Factors applied'!$E$12</f>
        <v>0</v>
      </c>
      <c r="AL10">
        <f>(SUMIF('Cost Breakdowns'!$D$222:$D$227,"ISIC 49T53",'Cost Breakdowns'!$B$222:$B$227))*'Factors applied'!$E$13</f>
        <v>0</v>
      </c>
      <c r="AM10">
        <f>(SUMIF('Cost Breakdowns'!$D$222:$D$227,"ISIC 49T53",'Cost Breakdowns'!$B$222:$B$227))*'Factors applied'!$E$14</f>
        <v>0</v>
      </c>
      <c r="AN10">
        <f>(SUMIF('Cost Breakdowns'!$D$222:$D$227,"ISIC 55T56",'Cost Breakdowns'!$B$222:$B$227))</f>
        <v>0</v>
      </c>
      <c r="AO10">
        <f>(SUMIF('Cost Breakdowns'!$D$222:$D$227,"ISIC 58T60",'Cost Breakdowns'!$B$222:$B$227))</f>
        <v>0</v>
      </c>
      <c r="AP10">
        <f>(SUMIF('Cost Breakdowns'!$D$222:$D$227,"ISIC 61",'Cost Breakdowns'!$B$222:$B$227))</f>
        <v>0</v>
      </c>
      <c r="AQ10">
        <f>(SUMIF('Cost Breakdowns'!$D$222:$D$227,"ISIC 62T63",'Cost Breakdowns'!$B$222:$B$227))</f>
        <v>0</v>
      </c>
      <c r="AR10">
        <f>(SUMIF('Cost Breakdowns'!$D$222:$D$227,"ISIC 64T66",'Cost Breakdowns'!$B$222:$B$227))</f>
        <v>0</v>
      </c>
      <c r="AS10">
        <f>(SUMIF('Cost Breakdowns'!$D$222:$D$227,"ISIC 68",'Cost Breakdowns'!$B$222:$B$227))</f>
        <v>0</v>
      </c>
      <c r="AT10">
        <f>(SUMIF('Cost Breakdowns'!$D$222:$D$227,"ISIC 69T82",'Cost Breakdowns'!$B$222:$B$227))*'Factors applied'!$E$15</f>
        <v>0.18</v>
      </c>
      <c r="AU10">
        <f>(SUMIF('Cost Breakdowns'!$D$222:$D$227,"ISIC 69T82",'Cost Breakdowns'!$B$222:$B$227))*'Factors applied'!$E$16</f>
        <v>0</v>
      </c>
      <c r="AV10">
        <f>(SUMIF('Cost Breakdowns'!$D$222:$D$227,"ISIC 84",'Cost Breakdowns'!$B$222:$B$227))</f>
        <v>0</v>
      </c>
      <c r="AW10">
        <f>(SUMIF('Cost Breakdowns'!$D$222:$D$227,"ISIC 85",'Cost Breakdowns'!$B$222:$B$227))</f>
        <v>0</v>
      </c>
      <c r="AX10">
        <f>(SUMIF('Cost Breakdowns'!$D$222:$D$227,"ISIC 86T88",'Cost Breakdowns'!$B$222:$B$227))</f>
        <v>0</v>
      </c>
      <c r="AY10">
        <f>(SUMIF('Cost Breakdowns'!$D$222:$D$227,"ISIC 90T96",'Cost Breakdowns'!$B$222:$B$227))*'Factors applied'!$E$17</f>
        <v>0</v>
      </c>
      <c r="AZ10">
        <f>(SUMIF('Cost Breakdowns'!$D$222:$D$227,"ISIC 90T96",'Cost Breakdowns'!$B$222:$B$227))*'Factors applied'!$E$18</f>
        <v>0</v>
      </c>
      <c r="BA10">
        <f>(SUMIF('Cost Breakdowns'!$D$222:$D$227,"ISIC 97T98",'Cost Breakdowns'!$B$222:$B$227))</f>
        <v>0</v>
      </c>
    </row>
    <row r="11" spans="1:53" x14ac:dyDescent="0.25">
      <c r="A11" t="s">
        <v>62</v>
      </c>
      <c r="B11">
        <f>(SUMIF('Cost Breakdowns'!$D$293:$D$306,"ISIC 01T03",'Cost Breakdowns'!$B$293:$B$306))*'Factors applied'!$E$51</f>
        <v>0</v>
      </c>
      <c r="C11">
        <f>(SUMIF('Cost Breakdowns'!$D$293:$D$306,"ISIC 01T03",'Cost Breakdowns'!$B$293:$B$306))*'Factors applied'!$E$52</f>
        <v>0</v>
      </c>
      <c r="D11">
        <f>(SUMIF('Cost Breakdowns'!$D$293:$D$306,"ISIC 01T03",'Cost Breakdowns'!$B$293:$B$306))*'Factors applied'!$E$53</f>
        <v>0</v>
      </c>
      <c r="E11">
        <f>(SUMIF('Cost Breakdowns'!$D$293:$D$306,"ISIC 05",'Cost Breakdowns'!$B$293:$B$306))</f>
        <v>0</v>
      </c>
      <c r="F11">
        <f>(SUMIF('Cost Breakdowns'!$D$293:$D$306,"ISIC 06",'Cost Breakdowns'!$B$293:$B$306))</f>
        <v>0</v>
      </c>
      <c r="G11">
        <f>(SUMIF('Cost Breakdowns'!$D$293:$D$306,"ISIC 07T08",'Cost Breakdowns'!$B$293:$B$306))*'Factors applied'!$E$54</f>
        <v>1.2341238067187069E-2</v>
      </c>
      <c r="H11">
        <f>(SUMIF('Cost Breakdowns'!$D$293:$D$306,"ISIC 07T08",'Cost Breakdowns'!$B$293:$B$306))*'Factors applied'!$E$55</f>
        <v>1.6177796326566515E-2</v>
      </c>
      <c r="I11">
        <f>(SUMIF('Cost Breakdowns'!$D$293:$D$306,"ISIC 09",'Cost Breakdowns'!$B$293:$B$306))</f>
        <v>0</v>
      </c>
      <c r="J11">
        <f>(SUMIF('Cost Breakdowns'!$D$293:$D$306,"ISIC 10T12",'Cost Breakdowns'!$B$293:$B$306))</f>
        <v>0</v>
      </c>
      <c r="K11">
        <f>(SUMIF('Cost Breakdowns'!$D$293:$D$306,"ISIC 13T15",'Cost Breakdowns'!$B$293:$B$306))</f>
        <v>0</v>
      </c>
      <c r="L11">
        <f>(SUMIF('Cost Breakdowns'!$D$293:$D$306,"ISIC 16",'Cost Breakdowns'!$B$293:$B$306))</f>
        <v>0</v>
      </c>
      <c r="M11">
        <f>(SUMIF('Cost Breakdowns'!$D$293:$D$306,"ISIC 17T18",'Cost Breakdowns'!$B$293:$B$306))</f>
        <v>0</v>
      </c>
      <c r="N11">
        <f>(SUMIF('Cost Breakdowns'!$D$293:$D$306,"ISIC 19",'Cost Breakdowns'!$B$293:$B$306))</f>
        <v>2.3001470420079329E-3</v>
      </c>
      <c r="O11">
        <f>(SUMIF('Cost Breakdowns'!$D$293:$D$306,"ISIC 20",'Cost Breakdowns'!$B$293:$B$306))</f>
        <v>4.8507419772996922E-4</v>
      </c>
      <c r="P11">
        <f>(SUMIF('Cost Breakdowns'!$D$293:$D$306,"ISIC 21",'Cost Breakdowns'!$B$293:$B$306))</f>
        <v>0</v>
      </c>
      <c r="Q11">
        <f>(SUMIF('Cost Breakdowns'!$D$293:$D$306,"ISIC 22",'Cost Breakdowns'!$B$293:$B$306))</f>
        <v>0</v>
      </c>
      <c r="R11">
        <f>(SUMIF('Cost Breakdowns'!$D$293:$D$306,"ISIC 231",'Cost Breakdowns'!$B$293:$B$306))</f>
        <v>0</v>
      </c>
      <c r="S11">
        <f>(SUMIF('Cost Breakdowns'!$D$293:$D$306,"ISIC 239",'Cost Breakdowns'!$B$293:$B$306))</f>
        <v>3.6648621011477341E-4</v>
      </c>
      <c r="T11">
        <f>(SUMIF('Cost Breakdowns'!$D$293:$D$306,"ISIC 241",'Cost Breakdowns'!$B$293:$B$306))</f>
        <v>0</v>
      </c>
      <c r="U11">
        <f>(SUMIF('Cost Breakdowns'!$D$293:$D$306,"ISIC 242",'Cost Breakdowns'!$B$293:$B$306))</f>
        <v>0</v>
      </c>
      <c r="V11">
        <f>(SUMIF('Cost Breakdowns'!$D$293:$D$306,"ISIC 25",'Cost Breakdowns'!$B$293:$B$306))</f>
        <v>1.5283905098620279E-3</v>
      </c>
      <c r="W11">
        <f>(SUMIF('Cost Breakdowns'!$D$293:$D$306,"ISIC 26",'Cost Breakdowns'!$B$293:$B$306))</f>
        <v>0</v>
      </c>
      <c r="X11">
        <f>(SUMIF('Cost Breakdowns'!$D$293:$D$306,"ISIC 27",'Cost Breakdowns'!$B$293:$B$306))</f>
        <v>0</v>
      </c>
      <c r="Y11">
        <f>(SUMIF('Cost Breakdowns'!$D$293:$D$306,"ISIC 28",'Cost Breakdowns'!$B$293:$B$306))</f>
        <v>0.46056987354185758</v>
      </c>
      <c r="Z11">
        <f>(SUMIF('Cost Breakdowns'!$D$293:$D$306,"ISIC 29",'Cost Breakdowns'!$B$293:$B$306))</f>
        <v>0</v>
      </c>
      <c r="AA11">
        <f>(SUMIF('Cost Breakdowns'!$D$293:$D$306,"ISIC 30",'Cost Breakdowns'!$B$293:$B$306))*'Factors applied'!$E$56</f>
        <v>0</v>
      </c>
      <c r="AB11">
        <f>(SUMIF('Cost Breakdowns'!$D$293:$D$306,"ISIC 30",'Cost Breakdowns'!$B$293:$B$306))*'Factors applied'!$E$57</f>
        <v>0</v>
      </c>
      <c r="AC11">
        <f>(SUMIF('Cost Breakdowns'!$D$293:$D$306,"ISIC 31T33",'Cost Breakdowns'!$B$293:$B$306))</f>
        <v>0</v>
      </c>
      <c r="AD11">
        <f>(SUMIF('Cost Breakdowns'!$D$293:$D$306,"ISIC 351",'Cost Breakdowns'!$B$293:$B$306))</f>
        <v>0.50472047573573309</v>
      </c>
      <c r="AE11">
        <f>(SUMIF('Cost Breakdowns'!$D$293:$D$306,"ISIC 352T353",'Cost Breakdowns'!$B$293:$B$306))</f>
        <v>0</v>
      </c>
      <c r="AF11">
        <f>(SUMIF('Cost Breakdowns'!$D$293:$D$306,"ISIC 36T39",'Cost Breakdowns'!$B$293:$B$306))</f>
        <v>0</v>
      </c>
      <c r="AG11">
        <f>(SUMIF('Cost Breakdowns'!$D$293:$D$306,"ISIC 41T43",'Cost Breakdowns'!$B$293:$B$306))</f>
        <v>0</v>
      </c>
      <c r="AH11">
        <f>(SUMIF('Cost Breakdowns'!$D$293:$D$306,"ISIC 45T47",'Cost Breakdowns'!$B$293:$B$306))</f>
        <v>0</v>
      </c>
      <c r="AI11">
        <f>(SUMIF('Cost Breakdowns'!$D$293:$D$306,"ISIC 49T53",'Cost Breakdowns'!$B$293:$B$306))*'Factors applied'!$E$58</f>
        <v>0</v>
      </c>
      <c r="AJ11">
        <f>(SUMIF('Cost Breakdowns'!$D$293:$D$306,"ISIC 49T53",'Cost Breakdowns'!$B$293:$B$306))*'Factors applied'!$E$59</f>
        <v>0</v>
      </c>
      <c r="AK11">
        <f>(SUMIF('Cost Breakdowns'!$D$293:$D$306,"ISIC 49T53",'Cost Breakdowns'!$B$293:$B$306))*'Factors applied'!$E$60</f>
        <v>0</v>
      </c>
      <c r="AL11">
        <f>(SUMIF('Cost Breakdowns'!$D$293:$D$306,"ISIC 49T53",'Cost Breakdowns'!$B$293:$B$306))*'Factors applied'!$E$61</f>
        <v>0</v>
      </c>
      <c r="AM11">
        <f>(SUMIF('Cost Breakdowns'!$D$293:$D$306,"ISIC 49T53",'Cost Breakdowns'!$B$293:$B$306))*'Factors applied'!$E$62</f>
        <v>0</v>
      </c>
      <c r="AN11">
        <f>(SUMIF('Cost Breakdowns'!$D$293:$D$306,"ISIC 55T56",'Cost Breakdowns'!$B$293:$B$306))</f>
        <v>6.8886743694495669E-4</v>
      </c>
      <c r="AO11">
        <f>(SUMIF('Cost Breakdowns'!$D$293:$D$306,"ISIC 58T60",'Cost Breakdowns'!$B$293:$B$306))</f>
        <v>0</v>
      </c>
      <c r="AP11">
        <f>(SUMIF('Cost Breakdowns'!$D$293:$D$306,"ISIC 61",'Cost Breakdowns'!$B$293:$B$306))</f>
        <v>0</v>
      </c>
      <c r="AQ11">
        <f>(SUMIF('Cost Breakdowns'!$D$293:$D$306,"ISIC 62T63",'Cost Breakdowns'!$B$293:$B$306))</f>
        <v>0</v>
      </c>
      <c r="AR11">
        <f>(SUMIF('Cost Breakdowns'!$D$293:$D$306,"ISIC 64T66",'Cost Breakdowns'!$B$293:$B$306))</f>
        <v>0</v>
      </c>
      <c r="AS11">
        <f>(SUMIF('Cost Breakdowns'!$D$293:$D$306,"ISIC 68",'Cost Breakdowns'!$B$293:$B$306))</f>
        <v>0</v>
      </c>
      <c r="AT11">
        <f>(SUMIF('Cost Breakdowns'!$D$293:$D$306,"ISIC 69T82",'Cost Breakdowns'!$B$293:$B$306))*'Factors applied'!$E$63</f>
        <v>0</v>
      </c>
      <c r="AU11">
        <f>(SUMIF('Cost Breakdowns'!$D$293:$D$306,"ISIC 69T82",'Cost Breakdowns'!$B$293:$B$306))*'Factors applied'!$E$64</f>
        <v>0</v>
      </c>
      <c r="AV11">
        <f>(SUMIF('Cost Breakdowns'!$D$293:$D$306,"ISIC 84",'Cost Breakdowns'!$B$293:$B$306))</f>
        <v>8.2165093199600733E-4</v>
      </c>
      <c r="AW11">
        <f>(SUMIF('Cost Breakdowns'!$D$293:$D$306,"ISIC 85",'Cost Breakdowns'!$B$293:$B$306))</f>
        <v>0</v>
      </c>
      <c r="AX11">
        <f>(SUMIF('Cost Breakdowns'!$D$293:$D$306,"ISIC 86T88",'Cost Breakdowns'!$B$293:$B$306))</f>
        <v>0</v>
      </c>
      <c r="AY11">
        <f>(SUMIF('Cost Breakdowns'!$D$293:$D$306,"ISIC 90T96",'Cost Breakdowns'!$B$293:$B$306))*'Factors applied'!$E$65</f>
        <v>0</v>
      </c>
      <c r="AZ11">
        <f>(SUMIF('Cost Breakdowns'!$D$293:$D$306,"ISIC 90T96",'Cost Breakdowns'!$B$293:$B$306))*'Factors applied'!$E$66</f>
        <v>0</v>
      </c>
      <c r="BA11">
        <f>(SUMIF('Cost Breakdowns'!$D$293:$D$306,"ISIC 97T98",'Cost Breakdowns'!$B$293:$B$306))</f>
        <v>0</v>
      </c>
    </row>
    <row r="12" spans="1:53" x14ac:dyDescent="0.25">
      <c r="A12" t="s">
        <v>63</v>
      </c>
      <c r="B12">
        <f>((SUMIF('Cost Breakdowns'!$D$114:$D$131,"ISIC 01T03",'Cost Breakdowns'!$B$114:$B$131)))*'Factors applied'!$E$307</f>
        <v>0</v>
      </c>
      <c r="C12">
        <f>((SUMIF('Cost Breakdowns'!$D$114:$D$131,"ISIC 01T03",'Cost Breakdowns'!$B$114:$B$131)))*'Factors applied'!$E$308</f>
        <v>0</v>
      </c>
      <c r="D12">
        <f>((SUMIF('Cost Breakdowns'!$D$114:$D$131,"ISIC 01T03",'Cost Breakdowns'!$B$114:$B$131)))*'Factors applied'!$E$309</f>
        <v>0</v>
      </c>
      <c r="E12">
        <f>((SUMIF('Cost Breakdowns'!$D$114:$D$131,"ISIC 05",'Cost Breakdowns'!$B$114:$B$131)))</f>
        <v>0</v>
      </c>
      <c r="F12">
        <f>((SUMIF('Cost Breakdowns'!$D$114:$D$131,"ISIC 06",'Cost Breakdowns'!$B$114:$B$131)))</f>
        <v>0</v>
      </c>
      <c r="G12">
        <f>((SUMIF('Cost Breakdowns'!$D$114:$D$131,"ISIC 07T08",'Cost Breakdowns'!$B$114:$B$131)))*'Factors applied'!$E$310</f>
        <v>0</v>
      </c>
      <c r="H12">
        <f>((SUMIF('Cost Breakdowns'!$D$114:$D$131,"ISIC 07T08",'Cost Breakdowns'!$B$114:$B$131)))*'Factors applied'!$E$311</f>
        <v>0</v>
      </c>
      <c r="I12">
        <f>((SUMIF('Cost Breakdowns'!$D$114:$D$131,"ISIC 09",'Cost Breakdowns'!$B$114:$B$131)))</f>
        <v>0</v>
      </c>
      <c r="J12">
        <f>((SUMIF('Cost Breakdowns'!$D$114:$D$131,"ISIC 10T12",'Cost Breakdowns'!$B$114:$B$131)))</f>
        <v>0</v>
      </c>
      <c r="K12">
        <f>((SUMIF('Cost Breakdowns'!$D$114:$D$131,"ISIC 13T15",'Cost Breakdowns'!$B$114:$B$131)))</f>
        <v>0</v>
      </c>
      <c r="L12">
        <f>((SUMIF('Cost Breakdowns'!$D$114:$D$131,"ISIC 16",'Cost Breakdowns'!$B$114:$B$131)))</f>
        <v>0</v>
      </c>
      <c r="M12">
        <f>((SUMIF('Cost Breakdowns'!$D$114:$D$131,"ISIC 17T18",'Cost Breakdowns'!$B$114:$B$131)))</f>
        <v>0</v>
      </c>
      <c r="N12">
        <f>((SUMIF('Cost Breakdowns'!$D$114:$D$131,"ISIC 19",'Cost Breakdowns'!$B$114:$B$131)))</f>
        <v>0</v>
      </c>
      <c r="O12">
        <f>((SUMIF('Cost Breakdowns'!$D$114:$D$131,"ISIC 20",'Cost Breakdowns'!$B$114:$B$131)))</f>
        <v>0</v>
      </c>
      <c r="P12">
        <f>((SUMIF('Cost Breakdowns'!$D$114:$D$131,"ISIC 21",'Cost Breakdowns'!$B$114:$B$131)))</f>
        <v>0</v>
      </c>
      <c r="Q12">
        <f>((SUMIF('Cost Breakdowns'!$D$114:$D$131,"ISIC 22",'Cost Breakdowns'!$B$114:$B$131)))</f>
        <v>0</v>
      </c>
      <c r="R12">
        <f>((SUMIF('Cost Breakdowns'!$D$114:$D$131,"ISIC 231",'Cost Breakdowns'!$B$114:$B$131)))</f>
        <v>0</v>
      </c>
      <c r="S12">
        <f>((SUMIF('Cost Breakdowns'!$D$114:$D$131,"ISIC 239",'Cost Breakdowns'!$B$114:$B$131)))</f>
        <v>0</v>
      </c>
      <c r="T12">
        <f>((SUMIF('Cost Breakdowns'!$D$114:$D$131,"ISIC 241",'Cost Breakdowns'!$B$114:$B$131)))</f>
        <v>0</v>
      </c>
      <c r="U12">
        <f>((SUMIF('Cost Breakdowns'!$D$114:$D$131,"ISIC 242",'Cost Breakdowns'!$B$114:$B$131)))</f>
        <v>0</v>
      </c>
      <c r="V12">
        <f>((SUMIF('Cost Breakdowns'!$D$114:$D$131,"ISIC 25",'Cost Breakdowns'!$B$114:$B$131)))</f>
        <v>0</v>
      </c>
      <c r="W12">
        <f>((SUMIF('Cost Breakdowns'!$D$114:$D$131,"ISIC 26",'Cost Breakdowns'!$B$114:$B$131)))</f>
        <v>0</v>
      </c>
      <c r="X12">
        <f>((SUMIF('Cost Breakdowns'!$D$114:$D$131,"ISIC 27",'Cost Breakdowns'!$B$114:$B$131)))</f>
        <v>0</v>
      </c>
      <c r="Y12">
        <f>((SUMIF('Cost Breakdowns'!$D$114:$D$131,"ISIC 28",'Cost Breakdowns'!$B$114:$B$131)))</f>
        <v>0.51764705882352946</v>
      </c>
      <c r="Z12">
        <f>((SUMIF('Cost Breakdowns'!$D$114:$D$131,"ISIC 29",'Cost Breakdowns'!$B$114:$B$131)))</f>
        <v>0</v>
      </c>
      <c r="AA12">
        <f>((SUMIF('Cost Breakdowns'!$D$114:$D$131,"ISIC 30",'Cost Breakdowns'!$B$114:$B$131)))*'Factors applied'!$E$312</f>
        <v>0</v>
      </c>
      <c r="AB12">
        <f>((SUMIF('Cost Breakdowns'!$D$114:$D$131,"ISIC 30",'Cost Breakdowns'!$B$114:$B$131)))*'Factors applied'!$E$313</f>
        <v>0</v>
      </c>
      <c r="AC12">
        <f>((SUMIF('Cost Breakdowns'!$D$114:$D$131,"ISIC 31T33",'Cost Breakdowns'!$B$114:$B$131)))</f>
        <v>0</v>
      </c>
      <c r="AD12">
        <f>((SUMIF('Cost Breakdowns'!$D$114:$D$131,"ISIC 351",'Cost Breakdowns'!$B$114:$B$131)))</f>
        <v>5.8823529411764714E-3</v>
      </c>
      <c r="AE12">
        <f>((SUMIF('Cost Breakdowns'!$D$114:$D$131,"ISIC 352T353",'Cost Breakdowns'!$B$114:$B$131)))</f>
        <v>0</v>
      </c>
      <c r="AF12">
        <f>((SUMIF('Cost Breakdowns'!$D$114:$D$131,"ISIC 36T39",'Cost Breakdowns'!$B$114:$B$131)))</f>
        <v>0</v>
      </c>
      <c r="AG12">
        <f>((SUMIF('Cost Breakdowns'!$D$114:$D$131,"ISIC 41T43",'Cost Breakdowns'!$B$114:$B$131)))</f>
        <v>0.28235294117647064</v>
      </c>
      <c r="AH12">
        <f>((SUMIF('Cost Breakdowns'!$D$114:$D$131,"ISIC 45T47",'Cost Breakdowns'!$B$114:$B$131)))</f>
        <v>0</v>
      </c>
      <c r="AI12">
        <f>((SUMIF('Cost Breakdowns'!$D$114:$D$131,"ISIC 49T53",'Cost Breakdowns'!$B$114:$B$131)))*'Factors applied'!$E$314</f>
        <v>0</v>
      </c>
      <c r="AJ12">
        <f>((SUMIF('Cost Breakdowns'!$D$114:$D$131,"ISIC 49T53",'Cost Breakdowns'!$B$114:$B$131)))*'Factors applied'!$E$315</f>
        <v>0</v>
      </c>
      <c r="AK12">
        <f>((SUMIF('Cost Breakdowns'!$D$114:$D$131,"ISIC 49T53",'Cost Breakdowns'!$B$114:$B$131)))*'Factors applied'!$E$316</f>
        <v>0</v>
      </c>
      <c r="AL12">
        <f>((SUMIF('Cost Breakdowns'!$D$114:$D$131,"ISIC 49T53",'Cost Breakdowns'!$B$114:$B$131)))*'Factors applied'!$E$317</f>
        <v>0</v>
      </c>
      <c r="AM12">
        <f>((SUMIF('Cost Breakdowns'!$D$114:$D$131,"ISIC 49T53",'Cost Breakdowns'!$B$114:$B$131)))*'Factors applied'!$E$318</f>
        <v>0</v>
      </c>
      <c r="AN12">
        <f>((SUMIF('Cost Breakdowns'!$D$114:$D$131,"ISIC 55T56",'Cost Breakdowns'!$B$114:$B$131)))</f>
        <v>0</v>
      </c>
      <c r="AO12">
        <f>((SUMIF('Cost Breakdowns'!$D$114:$D$131,"ISIC 58T60",'Cost Breakdowns'!$B$114:$B$131)))</f>
        <v>0</v>
      </c>
      <c r="AP12">
        <f>((SUMIF('Cost Breakdowns'!$D$114:$D$131,"ISIC 61",'Cost Breakdowns'!$B$114:$B$131)))</f>
        <v>0</v>
      </c>
      <c r="AQ12">
        <f>((SUMIF('Cost Breakdowns'!$D$114:$D$131,"ISIC 62T63",'Cost Breakdowns'!$B$114:$B$131)))</f>
        <v>0</v>
      </c>
      <c r="AR12">
        <f>((SUMIF('Cost Breakdowns'!$D$114:$D$131,"ISIC 64T66",'Cost Breakdowns'!$B$114:$B$131)))</f>
        <v>5.8823529411764714E-3</v>
      </c>
      <c r="AS12">
        <f>((SUMIF('Cost Breakdowns'!$D$114:$D$131,"ISIC 68",'Cost Breakdowns'!$B$114:$B$131)))</f>
        <v>4.7058823529411757E-2</v>
      </c>
      <c r="AT12">
        <f>((SUMIF('Cost Breakdowns'!$D$114:$D$131,"ISIC 69T82",'Cost Breakdowns'!$B$114:$B$131)))*'Factors applied'!$E$319</f>
        <v>0.11764705882352941</v>
      </c>
      <c r="AU12">
        <f>((SUMIF('Cost Breakdowns'!$D$114:$D$131,"ISIC 69T82",'Cost Breakdowns'!$B$114:$B$131)))*'Factors applied'!$E$320</f>
        <v>0</v>
      </c>
      <c r="AV12">
        <f>((SUMIF('Cost Breakdowns'!$D$114:$D$131,"ISIC 84",'Cost Breakdowns'!$B$114:$B$131)))</f>
        <v>2.3529411764705879E-2</v>
      </c>
      <c r="AW12">
        <f>((SUMIF('Cost Breakdowns'!$D$114:$D$131,"ISIC 85",'Cost Breakdowns'!$B$114:$B$131)))</f>
        <v>0</v>
      </c>
      <c r="AX12">
        <f>((SUMIF('Cost Breakdowns'!$D$114:$D$131,"ISIC 86T88",'Cost Breakdowns'!$B$114:$B$131)))</f>
        <v>0</v>
      </c>
      <c r="AY12">
        <f>((SUMIF('Cost Breakdowns'!$D$114:$D$131,"ISIC 90T96",'Cost Breakdowns'!$B$114:$B$131)))*'Factors applied'!$E$321</f>
        <v>0</v>
      </c>
      <c r="AZ12">
        <f>((SUMIF('Cost Breakdowns'!$D$114:$D$131,"ISIC 90T96",'Cost Breakdowns'!$B$114:$B$131)))*'Factors applied'!$E$322</f>
        <v>0</v>
      </c>
      <c r="BA12">
        <f>((SUMIF('Cost Breakdowns'!$D$114:$D$131,"ISIC 97T98",'Cost Breakdowns'!$B$114:$B$131)))</f>
        <v>0</v>
      </c>
    </row>
    <row r="13" spans="1:53" x14ac:dyDescent="0.25">
      <c r="A13" t="s">
        <v>64</v>
      </c>
      <c r="B13">
        <f>((SUMIF('Cost Breakdowns'!$D$114:$D$131,"ISIC 01T03",'Cost Breakdowns'!$B$114:$B$131)))*'Factors applied'!$E$243</f>
        <v>0</v>
      </c>
      <c r="C13">
        <f>((SUMIF('Cost Breakdowns'!$D$114:$D$131,"ISIC 01T03",'Cost Breakdowns'!$B$114:$B$131)))*'Factors applied'!$E$244</f>
        <v>0</v>
      </c>
      <c r="D13">
        <f>((SUMIF('Cost Breakdowns'!$D$114:$D$131,"ISIC 01T03",'Cost Breakdowns'!$B$114:$B$131)))*'Factors applied'!$E$245</f>
        <v>0</v>
      </c>
      <c r="E13">
        <f>((SUMIF('Cost Breakdowns'!$D$114:$D$131,"ISIC 05",'Cost Breakdowns'!$B$114:$B$131)))</f>
        <v>0</v>
      </c>
      <c r="F13">
        <f>((SUMIF('Cost Breakdowns'!$D$114:$D$131,"ISIC 06",'Cost Breakdowns'!$B$114:$B$131)))</f>
        <v>0</v>
      </c>
      <c r="G13">
        <f>((SUMIF('Cost Breakdowns'!$D$114:$D$131,"ISIC 07T08",'Cost Breakdowns'!$B$114:$B$131)))*'Factors applied'!$E$246</f>
        <v>0</v>
      </c>
      <c r="H13">
        <f>((SUMIF('Cost Breakdowns'!$D$114:$D$131,"ISIC 07T08",'Cost Breakdowns'!$B$114:$B$131)))*'Factors applied'!$E$247</f>
        <v>0</v>
      </c>
      <c r="I13">
        <f>((SUMIF('Cost Breakdowns'!$D$114:$D$131,"ISIC 09",'Cost Breakdowns'!$B$114:$B$131)))</f>
        <v>0</v>
      </c>
      <c r="J13">
        <f>((SUMIF('Cost Breakdowns'!$D$114:$D$131,"ISIC 10T12",'Cost Breakdowns'!$B$114:$B$131)))</f>
        <v>0</v>
      </c>
      <c r="K13">
        <f>((SUMIF('Cost Breakdowns'!$D$114:$D$131,"ISIC 13T15",'Cost Breakdowns'!$B$114:$B$131)))</f>
        <v>0</v>
      </c>
      <c r="L13">
        <f>((SUMIF('Cost Breakdowns'!$D$114:$D$131,"ISIC 16",'Cost Breakdowns'!$B$114:$B$131)))</f>
        <v>0</v>
      </c>
      <c r="M13">
        <f>((SUMIF('Cost Breakdowns'!$D$114:$D$131,"ISIC 17T18",'Cost Breakdowns'!$B$114:$B$131)))</f>
        <v>0</v>
      </c>
      <c r="N13">
        <f>((SUMIF('Cost Breakdowns'!$D$114:$D$131,"ISIC 19",'Cost Breakdowns'!$B$114:$B$131)))</f>
        <v>0</v>
      </c>
      <c r="O13">
        <f>((SUMIF('Cost Breakdowns'!$D$114:$D$131,"ISIC 20",'Cost Breakdowns'!$B$114:$B$131)))</f>
        <v>0</v>
      </c>
      <c r="P13">
        <f>((SUMIF('Cost Breakdowns'!$D$114:$D$131,"ISIC 21",'Cost Breakdowns'!$B$114:$B$131)))</f>
        <v>0</v>
      </c>
      <c r="Q13">
        <f>((SUMIF('Cost Breakdowns'!$D$114:$D$131,"ISIC 22",'Cost Breakdowns'!$B$114:$B$131)))</f>
        <v>0</v>
      </c>
      <c r="R13">
        <f>((SUMIF('Cost Breakdowns'!$D$114:$D$131,"ISIC 231",'Cost Breakdowns'!$B$114:$B$131)))</f>
        <v>0</v>
      </c>
      <c r="S13">
        <f>((SUMIF('Cost Breakdowns'!$D$114:$D$131,"ISIC 239",'Cost Breakdowns'!$B$114:$B$131)))</f>
        <v>0</v>
      </c>
      <c r="T13">
        <f>((SUMIF('Cost Breakdowns'!$D$114:$D$131,"ISIC 241",'Cost Breakdowns'!$B$114:$B$131)))</f>
        <v>0</v>
      </c>
      <c r="U13">
        <f>((SUMIF('Cost Breakdowns'!$D$114:$D$131,"ISIC 242",'Cost Breakdowns'!$B$114:$B$131)))</f>
        <v>0</v>
      </c>
      <c r="V13">
        <f>((SUMIF('Cost Breakdowns'!$D$114:$D$131,"ISIC 25",'Cost Breakdowns'!$B$114:$B$131)))</f>
        <v>0</v>
      </c>
      <c r="W13">
        <f>((SUMIF('Cost Breakdowns'!$D$114:$D$131,"ISIC 26",'Cost Breakdowns'!$B$114:$B$131)))</f>
        <v>0</v>
      </c>
      <c r="X13">
        <f>((SUMIF('Cost Breakdowns'!$D$114:$D$131,"ISIC 27",'Cost Breakdowns'!$B$114:$B$131)))</f>
        <v>0</v>
      </c>
      <c r="Y13">
        <f>((SUMIF('Cost Breakdowns'!$D$114:$D$131,"ISIC 28",'Cost Breakdowns'!$B$114:$B$131)))</f>
        <v>0.51764705882352946</v>
      </c>
      <c r="Z13">
        <f>((SUMIF('Cost Breakdowns'!$D$114:$D$131,"ISIC 29",'Cost Breakdowns'!$B$114:$B$131)))</f>
        <v>0</v>
      </c>
      <c r="AA13">
        <f>((SUMIF('Cost Breakdowns'!$D$114:$D$131,"ISIC 30",'Cost Breakdowns'!$B$114:$B$131)))*'Factors applied'!$E$248</f>
        <v>0</v>
      </c>
      <c r="AB13">
        <f>((SUMIF('Cost Breakdowns'!$D$114:$D$131,"ISIC 30",'Cost Breakdowns'!$B$114:$B$131)))*'Factors applied'!$E$249</f>
        <v>0</v>
      </c>
      <c r="AC13">
        <f>((SUMIF('Cost Breakdowns'!$D$114:$D$131,"ISIC 31T33",'Cost Breakdowns'!$B$114:$B$131)))</f>
        <v>0</v>
      </c>
      <c r="AD13">
        <f>((SUMIF('Cost Breakdowns'!$D$114:$D$131,"ISIC 351",'Cost Breakdowns'!$B$114:$B$131)))</f>
        <v>5.8823529411764714E-3</v>
      </c>
      <c r="AE13">
        <f>((SUMIF('Cost Breakdowns'!$D$114:$D$131,"ISIC 352T353",'Cost Breakdowns'!$B$114:$B$131)))</f>
        <v>0</v>
      </c>
      <c r="AF13">
        <f>((SUMIF('Cost Breakdowns'!$D$114:$D$131,"ISIC 36T39",'Cost Breakdowns'!$B$114:$B$131)))</f>
        <v>0</v>
      </c>
      <c r="AG13">
        <f>((SUMIF('Cost Breakdowns'!$D$114:$D$131,"ISIC 41T43",'Cost Breakdowns'!$B$114:$B$131)))</f>
        <v>0.28235294117647064</v>
      </c>
      <c r="AH13">
        <f>((SUMIF('Cost Breakdowns'!$D$114:$D$131,"ISIC 45T47",'Cost Breakdowns'!$B$114:$B$131)))</f>
        <v>0</v>
      </c>
      <c r="AI13">
        <f>((SUMIF('Cost Breakdowns'!$D$114:$D$131,"ISIC 49T53",'Cost Breakdowns'!$B$114:$B$131)))*'Factors applied'!$E$250</f>
        <v>0</v>
      </c>
      <c r="AJ13">
        <f>((SUMIF('Cost Breakdowns'!$D$114:$D$131,"ISIC 49T53",'Cost Breakdowns'!$B$114:$B$131)))*'Factors applied'!$E$251</f>
        <v>0</v>
      </c>
      <c r="AK13">
        <f>((SUMIF('Cost Breakdowns'!$D$114:$D$131,"ISIC 49T53",'Cost Breakdowns'!$B$114:$B$131)))*'Factors applied'!$E$252</f>
        <v>0</v>
      </c>
      <c r="AL13">
        <f>((SUMIF('Cost Breakdowns'!$D$114:$D$131,"ISIC 49T53",'Cost Breakdowns'!$B$114:$B$131)))*'Factors applied'!$E$253</f>
        <v>0</v>
      </c>
      <c r="AM13">
        <f>((SUMIF('Cost Breakdowns'!$D$114:$D$131,"ISIC 49T53",'Cost Breakdowns'!$B$114:$B$131)))*'Factors applied'!$E$254</f>
        <v>0</v>
      </c>
      <c r="AN13">
        <f>((SUMIF('Cost Breakdowns'!$D$114:$D$131,"ISIC 55T56",'Cost Breakdowns'!$B$114:$B$131)))</f>
        <v>0</v>
      </c>
      <c r="AO13">
        <f>((SUMIF('Cost Breakdowns'!$D$114:$D$131,"ISIC 58T60",'Cost Breakdowns'!$B$114:$B$131)))</f>
        <v>0</v>
      </c>
      <c r="AP13">
        <f>((SUMIF('Cost Breakdowns'!$D$114:$D$131,"ISIC 61",'Cost Breakdowns'!$B$114:$B$131)))</f>
        <v>0</v>
      </c>
      <c r="AQ13">
        <f>((SUMIF('Cost Breakdowns'!$D$114:$D$131,"ISIC 62T63",'Cost Breakdowns'!$B$114:$B$131)))</f>
        <v>0</v>
      </c>
      <c r="AR13">
        <f>((SUMIF('Cost Breakdowns'!$D$114:$D$131,"ISIC 64T66",'Cost Breakdowns'!$B$114:$B$131)))</f>
        <v>5.8823529411764714E-3</v>
      </c>
      <c r="AS13">
        <f>((SUMIF('Cost Breakdowns'!$D$114:$D$131,"ISIC 68",'Cost Breakdowns'!$B$114:$B$131)))</f>
        <v>4.7058823529411757E-2</v>
      </c>
      <c r="AT13">
        <f>((SUMIF('Cost Breakdowns'!$D$114:$D$131,"ISIC 69T82",'Cost Breakdowns'!$B$114:$B$131)))*'Factors applied'!$E$255</f>
        <v>0.11764705882352941</v>
      </c>
      <c r="AU13">
        <f>((SUMIF('Cost Breakdowns'!$D$114:$D$131,"ISIC 69T82",'Cost Breakdowns'!$B$114:$B$131)))*'Factors applied'!$E$256</f>
        <v>0</v>
      </c>
      <c r="AV13">
        <f>((SUMIF('Cost Breakdowns'!$D$114:$D$131,"ISIC 84",'Cost Breakdowns'!$B$114:$B$131)))</f>
        <v>2.3529411764705879E-2</v>
      </c>
      <c r="AW13">
        <f>((SUMIF('Cost Breakdowns'!$D$114:$D$131,"ISIC 85",'Cost Breakdowns'!$B$114:$B$131)))</f>
        <v>0</v>
      </c>
      <c r="AX13">
        <f>((SUMIF('Cost Breakdowns'!$D$114:$D$131,"ISIC 86T88",'Cost Breakdowns'!$B$114:$B$131)))</f>
        <v>0</v>
      </c>
      <c r="AY13">
        <f>((SUMIF('Cost Breakdowns'!$D$114:$D$131,"ISIC 90T96",'Cost Breakdowns'!$B$114:$B$131)))*'Factors applied'!$E$257</f>
        <v>0</v>
      </c>
      <c r="AZ13">
        <f>((SUMIF('Cost Breakdowns'!$D$114:$D$131,"ISIC 90T96",'Cost Breakdowns'!$B$114:$B$131)))*'Factors applied'!$E$258</f>
        <v>0</v>
      </c>
      <c r="BA13">
        <f>((SUMIF('Cost Breakdowns'!$D$114:$D$131,"ISIC 97T98",'Cost Breakdowns'!$B$114:$B$131)))</f>
        <v>0</v>
      </c>
    </row>
    <row r="14" spans="1:53" x14ac:dyDescent="0.25">
      <c r="A14" t="s">
        <v>65</v>
      </c>
      <c r="B14">
        <f>(SUMIF('Cost Breakdowns'!$D$79:$D$96,"ISIC 01T03",'Cost Breakdowns'!$B$79:$B$96))*'Factors applied'!$E$163</f>
        <v>0</v>
      </c>
      <c r="C14">
        <f>(SUMIF('Cost Breakdowns'!$D$79:$D$96,"ISIC 01T03",'Cost Breakdowns'!$B$79:$B$96))*'Factors applied'!$E$164</f>
        <v>0</v>
      </c>
      <c r="D14">
        <f>(SUMIF('Cost Breakdowns'!$D$79:$D$96,"ISIC 01T03",'Cost Breakdowns'!$B$79:$B$96))*'Factors applied'!$E$165</f>
        <v>0</v>
      </c>
      <c r="E14">
        <f>(SUMIF('Cost Breakdowns'!$D$79:$D$96,"ISIC 05",'Cost Breakdowns'!$B$79:$B$96))</f>
        <v>0</v>
      </c>
      <c r="F14">
        <f>(SUMIF('Cost Breakdowns'!$D$79:$D$96,"ISIC 06",'Cost Breakdowns'!$B$79:$B$96))</f>
        <v>0</v>
      </c>
      <c r="G14">
        <f>(SUMIF('Cost Breakdowns'!$D$79:$D$96,"ISIC 07T08",'Cost Breakdowns'!$B$79:$B$96))*'Factors applied'!$E$166</f>
        <v>0</v>
      </c>
      <c r="H14">
        <f>(SUMIF('Cost Breakdowns'!$D$79:$D$96,"ISIC 07T08",'Cost Breakdowns'!$B$79:$B$96))*'Factors applied'!$E$167</f>
        <v>0</v>
      </c>
      <c r="I14">
        <f>(SUMIF('Cost Breakdowns'!$D$79:$D$96,"ISIC 09",'Cost Breakdowns'!$B$79:$B$96))</f>
        <v>0</v>
      </c>
      <c r="J14">
        <f>(SUMIF('Cost Breakdowns'!$D$79:$D$96,"ISIC 10T12",'Cost Breakdowns'!$B$79:$B$96))</f>
        <v>0</v>
      </c>
      <c r="K14">
        <f>(SUMIF('Cost Breakdowns'!$D$79:$D$96,"ISIC 13T15",'Cost Breakdowns'!$B$79:$B$96))</f>
        <v>0</v>
      </c>
      <c r="L14">
        <f>(SUMIF('Cost Breakdowns'!$D$79:$D$96,"ISIC 16",'Cost Breakdowns'!$B$79:$B$96))</f>
        <v>0</v>
      </c>
      <c r="M14">
        <f>(SUMIF('Cost Breakdowns'!$D$79:$D$96,"ISIC 17T18",'Cost Breakdowns'!$B$79:$B$96))</f>
        <v>0</v>
      </c>
      <c r="N14">
        <f>(SUMIF('Cost Breakdowns'!$D$79:$D$96,"ISIC 19",'Cost Breakdowns'!$B$79:$B$96))</f>
        <v>0</v>
      </c>
      <c r="O14">
        <f>(SUMIF('Cost Breakdowns'!$D$79:$D$96,"ISIC 20",'Cost Breakdowns'!$B$79:$B$96))</f>
        <v>1.298854801788919E-3</v>
      </c>
      <c r="P14">
        <f>(SUMIF('Cost Breakdowns'!$D$79:$D$96,"ISIC 21",'Cost Breakdowns'!$B$79:$B$96))</f>
        <v>0</v>
      </c>
      <c r="Q14">
        <f>(SUMIF('Cost Breakdowns'!$D$79:$D$96,"ISIC 22",'Cost Breakdowns'!$B$79:$B$96))</f>
        <v>0</v>
      </c>
      <c r="R14">
        <f>(SUMIF('Cost Breakdowns'!$D$79:$D$96,"ISIC 231",'Cost Breakdowns'!$B$79:$B$96))</f>
        <v>0</v>
      </c>
      <c r="S14">
        <f>(SUMIF('Cost Breakdowns'!$D$79:$D$96,"ISIC 239",'Cost Breakdowns'!$B$79:$B$96))</f>
        <v>0</v>
      </c>
      <c r="T14">
        <f>(SUMIF('Cost Breakdowns'!$D$79:$D$96,"ISIC 241",'Cost Breakdowns'!$B$79:$B$96))</f>
        <v>0</v>
      </c>
      <c r="U14">
        <f>(SUMIF('Cost Breakdowns'!$D$79:$D$96,"ISIC 242",'Cost Breakdowns'!$B$79:$B$96))</f>
        <v>0</v>
      </c>
      <c r="V14">
        <f>(SUMIF('Cost Breakdowns'!$D$79:$D$96,"ISIC 25",'Cost Breakdowns'!$B$79:$B$96))</f>
        <v>0</v>
      </c>
      <c r="W14">
        <f>(SUMIF('Cost Breakdowns'!$D$79:$D$96,"ISIC 26",'Cost Breakdowns'!$B$79:$B$96))</f>
        <v>0</v>
      </c>
      <c r="X14">
        <f>(SUMIF('Cost Breakdowns'!$D$79:$D$96,"ISIC 27",'Cost Breakdowns'!$B$79:$B$96))</f>
        <v>0</v>
      </c>
      <c r="Y14">
        <f>(SUMIF('Cost Breakdowns'!$D$79:$D$96,"ISIC 28",'Cost Breakdowns'!$B$79:$B$96))</f>
        <v>0.37300876505738612</v>
      </c>
      <c r="Z14">
        <f>(SUMIF('Cost Breakdowns'!$D$79:$D$96,"ISIC 29",'Cost Breakdowns'!$B$79:$B$96))</f>
        <v>0</v>
      </c>
      <c r="AA14">
        <f>(SUMIF('Cost Breakdowns'!$D$79:$D$96,"ISIC 30",'Cost Breakdowns'!$B$79:$B$96))*'Factors applied'!$E$168</f>
        <v>0</v>
      </c>
      <c r="AB14">
        <f>(SUMIF('Cost Breakdowns'!$D$79:$D$96,"ISIC 30",'Cost Breakdowns'!$B$79:$B$96))*'Factors applied'!$E$169</f>
        <v>0</v>
      </c>
      <c r="AC14">
        <f>(SUMIF('Cost Breakdowns'!$D$79:$D$96,"ISIC 31T33",'Cost Breakdowns'!$B$79:$B$96))</f>
        <v>0</v>
      </c>
      <c r="AD14">
        <f>(SUMIF('Cost Breakdowns'!$D$79:$D$96,"ISIC 351",'Cost Breakdowns'!$B$79:$B$96))</f>
        <v>0</v>
      </c>
      <c r="AE14">
        <f>(SUMIF('Cost Breakdowns'!$D$79:$D$96,"ISIC 352T353",'Cost Breakdowns'!$B$79:$B$96))</f>
        <v>0</v>
      </c>
      <c r="AF14">
        <f>(SUMIF('Cost Breakdowns'!$D$79:$D$96,"ISIC 36T39",'Cost Breakdowns'!$B$79:$B$96))</f>
        <v>0</v>
      </c>
      <c r="AG14">
        <f>(SUMIF('Cost Breakdowns'!$D$79:$D$96,"ISIC 41T43",'Cost Breakdowns'!$B$79:$B$96))</f>
        <v>0.38864412750459743</v>
      </c>
      <c r="AH14">
        <f>(SUMIF('Cost Breakdowns'!$D$79:$D$96,"ISIC 45T47",'Cost Breakdowns'!$B$79:$B$96))</f>
        <v>0</v>
      </c>
      <c r="AI14">
        <f>(SUMIF('Cost Breakdowns'!$D$79:$D$96,"ISIC 49T53",'Cost Breakdowns'!$B$79:$B$96))*'Factors applied'!$E$170</f>
        <v>0</v>
      </c>
      <c r="AJ14">
        <f>(SUMIF('Cost Breakdowns'!$D$79:$D$96,"ISIC 49T53",'Cost Breakdowns'!$B$79:$B$96))*'Factors applied'!$E$171</f>
        <v>0</v>
      </c>
      <c r="AK14">
        <f>(SUMIF('Cost Breakdowns'!$D$79:$D$96,"ISIC 49T53",'Cost Breakdowns'!$B$79:$B$96))*'Factors applied'!$E$172</f>
        <v>0</v>
      </c>
      <c r="AL14">
        <f>(SUMIF('Cost Breakdowns'!$D$79:$D$96,"ISIC 49T53",'Cost Breakdowns'!$B$79:$B$96))*'Factors applied'!$E$173</f>
        <v>0</v>
      </c>
      <c r="AM14">
        <f>(SUMIF('Cost Breakdowns'!$D$79:$D$96,"ISIC 49T53",'Cost Breakdowns'!$B$79:$B$96))*'Factors applied'!$E$174</f>
        <v>0</v>
      </c>
      <c r="AN14">
        <f>(SUMIF('Cost Breakdowns'!$D$79:$D$96,"ISIC 55T56",'Cost Breakdowns'!$B$79:$B$96))</f>
        <v>0</v>
      </c>
      <c r="AO14">
        <f>(SUMIF('Cost Breakdowns'!$D$79:$D$96,"ISIC 58T60",'Cost Breakdowns'!$B$79:$B$96))</f>
        <v>0</v>
      </c>
      <c r="AP14">
        <f>(SUMIF('Cost Breakdowns'!$D$79:$D$96,"ISIC 61",'Cost Breakdowns'!$B$79:$B$96))</f>
        <v>0</v>
      </c>
      <c r="AQ14">
        <f>(SUMIF('Cost Breakdowns'!$D$79:$D$96,"ISIC 62T63",'Cost Breakdowns'!$B$79:$B$96))</f>
        <v>0</v>
      </c>
      <c r="AR14">
        <f>(SUMIF('Cost Breakdowns'!$D$79:$D$96,"ISIC 64T66",'Cost Breakdowns'!$B$79:$B$96))</f>
        <v>1.1626634167502739E-2</v>
      </c>
      <c r="AS14">
        <f>(SUMIF('Cost Breakdowns'!$D$79:$D$96,"ISIC 68",'Cost Breakdowns'!$B$79:$B$96))</f>
        <v>0</v>
      </c>
      <c r="AT14">
        <f>(SUMIF('Cost Breakdowns'!$D$79:$D$96,"ISIC 69T82",'Cost Breakdowns'!$B$79:$B$96))*'Factors applied'!$E$175</f>
        <v>0.22542161846872494</v>
      </c>
      <c r="AU14">
        <f>(SUMIF('Cost Breakdowns'!$D$79:$D$96,"ISIC 69T82",'Cost Breakdowns'!$B$79:$B$96))*'Factors applied'!$E$176</f>
        <v>0</v>
      </c>
      <c r="AV14">
        <f>(SUMIF('Cost Breakdowns'!$D$79:$D$96,"ISIC 84",'Cost Breakdowns'!$B$79:$B$96))</f>
        <v>0</v>
      </c>
      <c r="AW14">
        <f>(SUMIF('Cost Breakdowns'!$D$79:$D$96,"ISIC 85",'Cost Breakdowns'!$B$79:$B$96))</f>
        <v>0</v>
      </c>
      <c r="AX14">
        <f>(SUMIF('Cost Breakdowns'!$D$79:$D$96,"ISIC 86T88",'Cost Breakdowns'!$B$79:$B$96))</f>
        <v>0</v>
      </c>
      <c r="AY14">
        <f>(SUMIF('Cost Breakdowns'!$D$79:$D$96,"ISIC 90T96",'Cost Breakdowns'!$B$79:$B$96))*'Factors applied'!$E$177</f>
        <v>0</v>
      </c>
      <c r="AZ14">
        <f>(SUMIF('Cost Breakdowns'!$D$79:$D$96,"ISIC 90T96",'Cost Breakdowns'!$B$79:$B$96))*'Factors applied'!$E$178</f>
        <v>0</v>
      </c>
      <c r="BA14">
        <f>(SUMIF('Cost Breakdowns'!$D$79:$D$96,"ISIC 97T98",'Cost Breakdowns'!$B$79:$B$96))</f>
        <v>0</v>
      </c>
    </row>
    <row r="15" spans="1:53" x14ac:dyDescent="0.25">
      <c r="A15" t="s">
        <v>66</v>
      </c>
      <c r="B15">
        <f>(SUMIF('Cost Breakdowns'!$D$319:$D$363,"ISIC 01T03",'Cost Breakdowns'!$B$319:$B$363))*'Factors applied'!$E$291</f>
        <v>0</v>
      </c>
      <c r="C15">
        <f>(SUMIF('Cost Breakdowns'!$D$319:$D$363,"ISIC 01T03",'Cost Breakdowns'!$B$319:$B$363))*'Factors applied'!$E$292</f>
        <v>0</v>
      </c>
      <c r="D15">
        <f>(SUMIF('Cost Breakdowns'!$D$319:$D$363,"ISIC 01T03",'Cost Breakdowns'!$B$319:$B$363))*'Factors applied'!$E$293</f>
        <v>0</v>
      </c>
      <c r="E15">
        <f>(SUMIF('Cost Breakdowns'!$D$319:$D$363,"ISIC 05",'Cost Breakdowns'!$B$319:$B$363))</f>
        <v>0</v>
      </c>
      <c r="F15">
        <f>(SUMIF('Cost Breakdowns'!$D$319:$D$363,"ISIC 06",'Cost Breakdowns'!$B$319:$B$363))</f>
        <v>0</v>
      </c>
      <c r="G15">
        <f>(SUMIF('Cost Breakdowns'!$D$319:$D$363,"ISIC 07T08",'Cost Breakdowns'!$B$319:$B$363))*'Factors applied'!$E$294</f>
        <v>0</v>
      </c>
      <c r="H15">
        <f>(SUMIF('Cost Breakdowns'!$D$319:$D$363,"ISIC 07T08",'Cost Breakdowns'!$B$319:$B$363))*'Factors applied'!$E$295</f>
        <v>0</v>
      </c>
      <c r="I15">
        <f>(SUMIF('Cost Breakdowns'!$D$319:$D$363,"ISIC 09",'Cost Breakdowns'!$B$319:$B$363))</f>
        <v>0</v>
      </c>
      <c r="J15">
        <f>(SUMIF('Cost Breakdowns'!$D$319:$D$363,"ISIC 10T12",'Cost Breakdowns'!$B$319:$B$363))</f>
        <v>0</v>
      </c>
      <c r="K15">
        <f>(SUMIF('Cost Breakdowns'!$D$319:$D$363,"ISIC 13T15",'Cost Breakdowns'!$B$319:$B$363))</f>
        <v>0</v>
      </c>
      <c r="L15">
        <f>(SUMIF('Cost Breakdowns'!$D$319:$D$363,"ISIC 16",'Cost Breakdowns'!$B$319:$B$363))</f>
        <v>0</v>
      </c>
      <c r="M15">
        <f>(SUMIF('Cost Breakdowns'!$D$319:$D$363,"ISIC 17T18",'Cost Breakdowns'!$B$319:$B$363))</f>
        <v>0</v>
      </c>
      <c r="N15">
        <f>(SUMIF('Cost Breakdowns'!$D$319:$D$363,"ISIC 19",'Cost Breakdowns'!$B$319:$B$363))</f>
        <v>0</v>
      </c>
      <c r="O15">
        <f>(SUMIF('Cost Breakdowns'!$D$319:$D$363,"ISIC 20",'Cost Breakdowns'!$B$319:$B$363))</f>
        <v>0</v>
      </c>
      <c r="P15">
        <f>(SUMIF('Cost Breakdowns'!$D$319:$D$363,"ISIC 21",'Cost Breakdowns'!$B$319:$B$363))</f>
        <v>0</v>
      </c>
      <c r="Q15">
        <f>(SUMIF('Cost Breakdowns'!$D$319:$D$363,"ISIC 22",'Cost Breakdowns'!$B$319:$B$363))</f>
        <v>0</v>
      </c>
      <c r="R15">
        <f>(SUMIF('Cost Breakdowns'!$D$319:$D$363,"ISIC 231",'Cost Breakdowns'!$B$319:$B$363))</f>
        <v>0</v>
      </c>
      <c r="S15">
        <f>(SUMIF('Cost Breakdowns'!$D$319:$D$363,"ISIC 239",'Cost Breakdowns'!$B$319:$B$363))</f>
        <v>0</v>
      </c>
      <c r="T15">
        <f>(SUMIF('Cost Breakdowns'!$D$319:$D$363,"ISIC 241",'Cost Breakdowns'!$B$319:$B$363))</f>
        <v>0</v>
      </c>
      <c r="U15">
        <f>(SUMIF('Cost Breakdowns'!$D$319:$D$363,"ISIC 242",'Cost Breakdowns'!$B$319:$B$363))</f>
        <v>0</v>
      </c>
      <c r="V15">
        <f>(SUMIF('Cost Breakdowns'!$D$319:$D$363,"ISIC 25",'Cost Breakdowns'!$B$319:$B$363))</f>
        <v>4.6576763057539591E-2</v>
      </c>
      <c r="W15">
        <f>(SUMIF('Cost Breakdowns'!$D$319:$D$363,"ISIC 26",'Cost Breakdowns'!$B$319:$B$363))</f>
        <v>0</v>
      </c>
      <c r="X15">
        <f>(SUMIF('Cost Breakdowns'!$D$319:$D$363,"ISIC 27",'Cost Breakdowns'!$B$319:$B$363))</f>
        <v>0.27562360980762246</v>
      </c>
      <c r="Y15">
        <f>(SUMIF('Cost Breakdowns'!$D$319:$D$363,"ISIC 28",'Cost Breakdowns'!$B$319:$B$363))</f>
        <v>5.4258419412850437E-2</v>
      </c>
      <c r="Z15">
        <f>(SUMIF('Cost Breakdowns'!$D$319:$D$363,"ISIC 29",'Cost Breakdowns'!$B$319:$B$363))</f>
        <v>0</v>
      </c>
      <c r="AA15">
        <f>(SUMIF('Cost Breakdowns'!$D$319:$D$363,"ISIC 30",'Cost Breakdowns'!$B$319:$B$363))*'Factors applied'!$E$296</f>
        <v>0</v>
      </c>
      <c r="AB15">
        <f>(SUMIF('Cost Breakdowns'!$D$319:$D$363,"ISIC 30",'Cost Breakdowns'!$B$319:$B$363))*'Factors applied'!$E$297</f>
        <v>0</v>
      </c>
      <c r="AC15">
        <f>(SUMIF('Cost Breakdowns'!$D$319:$D$363,"ISIC 31T33",'Cost Breakdowns'!$B$319:$B$363))</f>
        <v>0</v>
      </c>
      <c r="AD15">
        <f>(SUMIF('Cost Breakdowns'!$D$319:$D$363,"ISIC 351",'Cost Breakdowns'!$B$319:$B$363))</f>
        <v>0</v>
      </c>
      <c r="AE15">
        <f>(SUMIF('Cost Breakdowns'!$D$319:$D$363,"ISIC 352T353",'Cost Breakdowns'!$B$319:$B$363))</f>
        <v>0</v>
      </c>
      <c r="AF15">
        <f>(SUMIF('Cost Breakdowns'!$D$319:$D$363,"ISIC 36T39",'Cost Breakdowns'!$B$319:$B$363))</f>
        <v>0</v>
      </c>
      <c r="AG15">
        <f>(SUMIF('Cost Breakdowns'!$D$319:$D$363,"ISIC 41T43",'Cost Breakdowns'!$B$319:$B$363))</f>
        <v>0.14342559674784167</v>
      </c>
      <c r="AH15">
        <f>(SUMIF('Cost Breakdowns'!$D$319:$D$363,"ISIC 45T47",'Cost Breakdowns'!$B$319:$B$363))</f>
        <v>0</v>
      </c>
      <c r="AI15">
        <f>(SUMIF('Cost Breakdowns'!$D$319:$D$363,"ISIC 49T53",'Cost Breakdowns'!$B$319:$B$363))*'Factors applied'!$E$298</f>
        <v>8.4812705240254402E-2</v>
      </c>
      <c r="AJ15">
        <f>(SUMIF('Cost Breakdowns'!$D$319:$D$363,"ISIC 49T53",'Cost Breakdowns'!$B$319:$B$363))*'Factors applied'!$E$299</f>
        <v>8.2469349902129212E-3</v>
      </c>
      <c r="AK15">
        <f>(SUMIF('Cost Breakdowns'!$D$319:$D$363,"ISIC 49T53",'Cost Breakdowns'!$B$319:$B$363))*'Factors applied'!$E$300</f>
        <v>3.5012735834309153E-2</v>
      </c>
      <c r="AL15">
        <f>(SUMIF('Cost Breakdowns'!$D$319:$D$363,"ISIC 49T53",'Cost Breakdowns'!$B$319:$B$363))*'Factors applied'!$E$301</f>
        <v>4.1423308782166969E-2</v>
      </c>
      <c r="AM15">
        <f>(SUMIF('Cost Breakdowns'!$D$319:$D$363,"ISIC 49T53",'Cost Breakdowns'!$B$319:$B$363))*'Factors applied'!$E$302</f>
        <v>1.6371481288431012E-2</v>
      </c>
      <c r="AN15">
        <f>(SUMIF('Cost Breakdowns'!$D$319:$D$363,"ISIC 55T56",'Cost Breakdowns'!$B$319:$B$363))</f>
        <v>0</v>
      </c>
      <c r="AO15">
        <f>(SUMIF('Cost Breakdowns'!$D$319:$D$363,"ISIC 58T60",'Cost Breakdowns'!$B$319:$B$363))</f>
        <v>0</v>
      </c>
      <c r="AP15">
        <f>(SUMIF('Cost Breakdowns'!$D$319:$D$363,"ISIC 61",'Cost Breakdowns'!$B$319:$B$363))</f>
        <v>0</v>
      </c>
      <c r="AQ15">
        <f>(SUMIF('Cost Breakdowns'!$D$319:$D$363,"ISIC 62T63",'Cost Breakdowns'!$B$319:$B$363))</f>
        <v>0</v>
      </c>
      <c r="AR15">
        <f>(SUMIF('Cost Breakdowns'!$D$319:$D$363,"ISIC 64T66",'Cost Breakdowns'!$B$319:$B$363))</f>
        <v>3.4860667826711308E-2</v>
      </c>
      <c r="AS15">
        <f>(SUMIF('Cost Breakdowns'!$D$319:$D$363,"ISIC 68",'Cost Breakdowns'!$B$319:$B$363))</f>
        <v>0</v>
      </c>
      <c r="AT15">
        <f>(SUMIF('Cost Breakdowns'!$D$319:$D$363,"ISIC 69T82",'Cost Breakdowns'!$B$319:$B$363))*'Factors applied'!$E$303</f>
        <v>0.25938777701206028</v>
      </c>
      <c r="AU15">
        <f>(SUMIF('Cost Breakdowns'!$D$319:$D$363,"ISIC 69T82",'Cost Breakdowns'!$B$319:$B$363))*'Factors applied'!$E$304</f>
        <v>0</v>
      </c>
      <c r="AV15">
        <f>(SUMIF('Cost Breakdowns'!$D$319:$D$363,"ISIC 84",'Cost Breakdowns'!$B$319:$B$363))</f>
        <v>0</v>
      </c>
      <c r="AW15">
        <f>(SUMIF('Cost Breakdowns'!$D$319:$D$363,"ISIC 85",'Cost Breakdowns'!$B$319:$B$363))</f>
        <v>0</v>
      </c>
      <c r="AX15">
        <f>(SUMIF('Cost Breakdowns'!$D$319:$D$363,"ISIC 86T88",'Cost Breakdowns'!$B$319:$B$363))</f>
        <v>0</v>
      </c>
      <c r="AY15">
        <f>(SUMIF('Cost Breakdowns'!$D$319:$D$363,"ISIC 90T96",'Cost Breakdowns'!$B$319:$B$363))*'Factors applied'!$E$305</f>
        <v>0</v>
      </c>
      <c r="AZ15">
        <f>(SUMIF('Cost Breakdowns'!$D$319:$D$363,"ISIC 90T96",'Cost Breakdowns'!$B$319:$B$363))*'Factors applied'!$E$306</f>
        <v>0</v>
      </c>
      <c r="BA15">
        <f>(SUMIF('Cost Breakdowns'!$D$319:$D$363,"ISIC 97T98",'Cost Breakdowns'!$B$319:$B$363))</f>
        <v>0</v>
      </c>
    </row>
    <row r="16" spans="1:53" x14ac:dyDescent="0.25">
      <c r="A16" t="s">
        <v>67</v>
      </c>
      <c r="B16">
        <f>((SUMIF('Cost Breakdowns'!$D$114:$D$131,"ISIC 01T03",'Cost Breakdowns'!$B$114:$B$131)))*'Factors applied'!$E$35</f>
        <v>0</v>
      </c>
      <c r="C16">
        <f>((SUMIF('Cost Breakdowns'!$D$114:$D$131,"ISIC 01T03",'Cost Breakdowns'!$B$114:$B$131)))*'Factors applied'!$E$36</f>
        <v>0</v>
      </c>
      <c r="D16">
        <f>((SUMIF('Cost Breakdowns'!$D$114:$D$131,"ISIC 01T03",'Cost Breakdowns'!$B$114:$B$131)))*'Factors applied'!$E$37</f>
        <v>0</v>
      </c>
      <c r="E16">
        <f>((SUMIF('Cost Breakdowns'!$D$114:$D$131,"ISIC 05",'Cost Breakdowns'!$B$114:$B$131)))</f>
        <v>0</v>
      </c>
      <c r="F16">
        <f>((SUMIF('Cost Breakdowns'!$D$114:$D$131,"ISIC 06",'Cost Breakdowns'!$B$114:$B$131)))</f>
        <v>0</v>
      </c>
      <c r="G16">
        <f>((SUMIF('Cost Breakdowns'!$D$114:$D$131,"ISIC 07T08",'Cost Breakdowns'!$B$114:$B$131)))*'Factors applied'!$E$38</f>
        <v>0</v>
      </c>
      <c r="H16">
        <f>((SUMIF('Cost Breakdowns'!$D$114:$D$131,"ISIC 07T08",'Cost Breakdowns'!$B$114:$B$131)))*'Factors applied'!$E$39</f>
        <v>0</v>
      </c>
      <c r="I16">
        <f>((SUMIF('Cost Breakdowns'!$D$114:$D$131,"ISIC 09",'Cost Breakdowns'!$B$114:$B$131)))</f>
        <v>0</v>
      </c>
      <c r="J16">
        <f>((SUMIF('Cost Breakdowns'!$D$114:$D$131,"ISIC 10T12",'Cost Breakdowns'!$B$114:$B$131)))</f>
        <v>0</v>
      </c>
      <c r="K16">
        <f>((SUMIF('Cost Breakdowns'!$D$114:$D$131,"ISIC 13T15",'Cost Breakdowns'!$B$114:$B$131)))</f>
        <v>0</v>
      </c>
      <c r="L16">
        <f>((SUMIF('Cost Breakdowns'!$D$114:$D$131,"ISIC 16",'Cost Breakdowns'!$B$114:$B$131)))</f>
        <v>0</v>
      </c>
      <c r="M16">
        <f>((SUMIF('Cost Breakdowns'!$D$114:$D$131,"ISIC 17T18",'Cost Breakdowns'!$B$114:$B$131)))</f>
        <v>0</v>
      </c>
      <c r="N16">
        <f>((SUMIF('Cost Breakdowns'!$D$114:$D$131,"ISIC 19",'Cost Breakdowns'!$B$114:$B$131)))</f>
        <v>0</v>
      </c>
      <c r="O16">
        <f>((SUMIF('Cost Breakdowns'!$D$114:$D$131,"ISIC 20",'Cost Breakdowns'!$B$114:$B$131)))</f>
        <v>0</v>
      </c>
      <c r="P16">
        <f>((SUMIF('Cost Breakdowns'!$D$114:$D$131,"ISIC 21",'Cost Breakdowns'!$B$114:$B$131)))</f>
        <v>0</v>
      </c>
      <c r="Q16">
        <f>((SUMIF('Cost Breakdowns'!$D$114:$D$131,"ISIC 22",'Cost Breakdowns'!$B$114:$B$131)))</f>
        <v>0</v>
      </c>
      <c r="R16">
        <f>((SUMIF('Cost Breakdowns'!$D$114:$D$131,"ISIC 231",'Cost Breakdowns'!$B$114:$B$131)))</f>
        <v>0</v>
      </c>
      <c r="S16">
        <f>((SUMIF('Cost Breakdowns'!$D$114:$D$131,"ISIC 239",'Cost Breakdowns'!$B$114:$B$131)))</f>
        <v>0</v>
      </c>
      <c r="T16">
        <f>((SUMIF('Cost Breakdowns'!$D$114:$D$131,"ISIC 241",'Cost Breakdowns'!$B$114:$B$131)))</f>
        <v>0</v>
      </c>
      <c r="U16">
        <f>((SUMIF('Cost Breakdowns'!$D$114:$D$131,"ISIC 242",'Cost Breakdowns'!$B$114:$B$131)))</f>
        <v>0</v>
      </c>
      <c r="V16">
        <f>((SUMIF('Cost Breakdowns'!$D$114:$D$131,"ISIC 25",'Cost Breakdowns'!$B$114:$B$131)))</f>
        <v>0</v>
      </c>
      <c r="W16">
        <f>((SUMIF('Cost Breakdowns'!$D$114:$D$131,"ISIC 26",'Cost Breakdowns'!$B$114:$B$131)))</f>
        <v>0</v>
      </c>
      <c r="X16">
        <f>((SUMIF('Cost Breakdowns'!$D$114:$D$131,"ISIC 27",'Cost Breakdowns'!$B$114:$B$131)))</f>
        <v>0</v>
      </c>
      <c r="Y16">
        <f>((SUMIF('Cost Breakdowns'!$D$114:$D$131,"ISIC 28",'Cost Breakdowns'!$B$114:$B$131)))</f>
        <v>0.51764705882352946</v>
      </c>
      <c r="Z16">
        <f>((SUMIF('Cost Breakdowns'!$D$114:$D$131,"ISIC 29",'Cost Breakdowns'!$B$114:$B$131)))</f>
        <v>0</v>
      </c>
      <c r="AA16">
        <f>((SUMIF('Cost Breakdowns'!$D$114:$D$131,"ISIC 30",'Cost Breakdowns'!$B$114:$B$131)))*'Factors applied'!$E$40</f>
        <v>0</v>
      </c>
      <c r="AB16">
        <f>((SUMIF('Cost Breakdowns'!$D$114:$D$131,"ISIC 30",'Cost Breakdowns'!$B$114:$B$131)))*'Factors applied'!$E$41</f>
        <v>0</v>
      </c>
      <c r="AC16">
        <f>((SUMIF('Cost Breakdowns'!$D$114:$D$131,"ISIC 31T33",'Cost Breakdowns'!$B$114:$B$131)))</f>
        <v>0</v>
      </c>
      <c r="AD16">
        <f>((SUMIF('Cost Breakdowns'!$D$114:$D$131,"ISIC 351",'Cost Breakdowns'!$B$114:$B$131)))</f>
        <v>5.8823529411764714E-3</v>
      </c>
      <c r="AE16">
        <f>((SUMIF('Cost Breakdowns'!$D$114:$D$131,"ISIC 352T353",'Cost Breakdowns'!$B$114:$B$131)))</f>
        <v>0</v>
      </c>
      <c r="AF16">
        <f>((SUMIF('Cost Breakdowns'!$D$114:$D$131,"ISIC 36T39",'Cost Breakdowns'!$B$114:$B$131)))</f>
        <v>0</v>
      </c>
      <c r="AG16">
        <f>((SUMIF('Cost Breakdowns'!$D$114:$D$131,"ISIC 41T43",'Cost Breakdowns'!$B$114:$B$131)))</f>
        <v>0.28235294117647064</v>
      </c>
      <c r="AH16">
        <f>((SUMIF('Cost Breakdowns'!$D$114:$D$131,"ISIC 45T47",'Cost Breakdowns'!$B$114:$B$131)))</f>
        <v>0</v>
      </c>
      <c r="AI16">
        <f>((SUMIF('Cost Breakdowns'!$D$114:$D$131,"ISIC 49T53",'Cost Breakdowns'!$B$114:$B$131)))*'Factors applied'!$E$42</f>
        <v>0</v>
      </c>
      <c r="AJ16">
        <f>((SUMIF('Cost Breakdowns'!$D$114:$D$131,"ISIC 49T53",'Cost Breakdowns'!$B$114:$B$131)))*'Factors applied'!$E$43</f>
        <v>0</v>
      </c>
      <c r="AK16">
        <f>((SUMIF('Cost Breakdowns'!$D$114:$D$131,"ISIC 49T53",'Cost Breakdowns'!$B$114:$B$131)))*'Factors applied'!$E$44</f>
        <v>0</v>
      </c>
      <c r="AL16">
        <f>((SUMIF('Cost Breakdowns'!$D$114:$D$131,"ISIC 49T53",'Cost Breakdowns'!$B$114:$B$131)))*'Factors applied'!$E$45</f>
        <v>0</v>
      </c>
      <c r="AM16">
        <f>((SUMIF('Cost Breakdowns'!$D$114:$D$131,"ISIC 49T53",'Cost Breakdowns'!$B$114:$B$131)))*'Factors applied'!$E$46</f>
        <v>0</v>
      </c>
      <c r="AN16">
        <f>((SUMIF('Cost Breakdowns'!$D$114:$D$131,"ISIC 55T56",'Cost Breakdowns'!$B$114:$B$131)))</f>
        <v>0</v>
      </c>
      <c r="AO16">
        <f>((SUMIF('Cost Breakdowns'!$D$114:$D$131,"ISIC 58T60",'Cost Breakdowns'!$B$114:$B$131)))</f>
        <v>0</v>
      </c>
      <c r="AP16">
        <f>((SUMIF('Cost Breakdowns'!$D$114:$D$131,"ISIC 61",'Cost Breakdowns'!$B$114:$B$131)))</f>
        <v>0</v>
      </c>
      <c r="AQ16">
        <f>((SUMIF('Cost Breakdowns'!$D$114:$D$131,"ISIC 62T63",'Cost Breakdowns'!$B$114:$B$131)))</f>
        <v>0</v>
      </c>
      <c r="AR16">
        <f>((SUMIF('Cost Breakdowns'!$D$114:$D$131,"ISIC 64T66",'Cost Breakdowns'!$B$114:$B$131)))</f>
        <v>5.8823529411764714E-3</v>
      </c>
      <c r="AS16">
        <f>((SUMIF('Cost Breakdowns'!$D$114:$D$131,"ISIC 68",'Cost Breakdowns'!$B$114:$B$131)))</f>
        <v>4.7058823529411757E-2</v>
      </c>
      <c r="AT16">
        <f>((SUMIF('Cost Breakdowns'!$D$114:$D$131,"ISIC 69T82",'Cost Breakdowns'!$B$114:$B$131)))*'Factors applied'!$E$47</f>
        <v>0.11764705882352941</v>
      </c>
      <c r="AU16">
        <f>((SUMIF('Cost Breakdowns'!$D$114:$D$131,"ISIC 69T82",'Cost Breakdowns'!$B$114:$B$131)))*'Factors applied'!$E$48</f>
        <v>0</v>
      </c>
      <c r="AV16">
        <f>((SUMIF('Cost Breakdowns'!$D$114:$D$131,"ISIC 84",'Cost Breakdowns'!$B$114:$B$131)))</f>
        <v>2.3529411764705879E-2</v>
      </c>
      <c r="AW16">
        <f>((SUMIF('Cost Breakdowns'!$D$114:$D$131,"ISIC 85",'Cost Breakdowns'!$B$114:$B$131)))</f>
        <v>0</v>
      </c>
      <c r="AX16">
        <f>((SUMIF('Cost Breakdowns'!$D$114:$D$131,"ISIC 86T88",'Cost Breakdowns'!$B$114:$B$131)))</f>
        <v>0</v>
      </c>
      <c r="AY16">
        <f>((SUMIF('Cost Breakdowns'!$D$114:$D$131,"ISIC 90T96",'Cost Breakdowns'!$B$114:$B$131)))*'Factors applied'!$E$49</f>
        <v>0</v>
      </c>
      <c r="AZ16">
        <f>((SUMIF('Cost Breakdowns'!$D$114:$D$131,"ISIC 90T96",'Cost Breakdowns'!$B$114:$B$131)))*'Factors applied'!$E$50</f>
        <v>0</v>
      </c>
      <c r="BA16">
        <f>((SUMIF('Cost Breakdowns'!$D$114:$D$131,"ISIC 97T98",'Cost Breakdowns'!$B$114:$B$131)))</f>
        <v>0</v>
      </c>
    </row>
    <row r="17" spans="1:53" x14ac:dyDescent="0.25">
      <c r="A17" t="s">
        <v>68</v>
      </c>
      <c r="B17">
        <f>((SUMIF('Cost Breakdowns'!$D$114:$D$131,"ISIC 01T03",'Cost Breakdowns'!$B$114:$B$131)))*'Factors applied'!$E$99</f>
        <v>0</v>
      </c>
      <c r="C17">
        <f>((SUMIF('Cost Breakdowns'!$D$114:$D$131,"ISIC 01T03",'Cost Breakdowns'!$B$114:$B$131)))*'Factors applied'!$E$100</f>
        <v>0</v>
      </c>
      <c r="D17">
        <f>((SUMIF('Cost Breakdowns'!$D$114:$D$131,"ISIC 01T03",'Cost Breakdowns'!$B$114:$B$131)))*'Factors applied'!$E$101</f>
        <v>0</v>
      </c>
      <c r="E17">
        <f>((SUMIF('Cost Breakdowns'!$D$114:$D$131,"ISIC 05",'Cost Breakdowns'!$B$114:$B$131)))</f>
        <v>0</v>
      </c>
      <c r="F17">
        <f>((SUMIF('Cost Breakdowns'!$D$114:$D$131,"ISIC 06",'Cost Breakdowns'!$B$114:$B$131)))</f>
        <v>0</v>
      </c>
      <c r="G17">
        <f>((SUMIF('Cost Breakdowns'!$D$114:$D$131,"ISIC 07T08",'Cost Breakdowns'!$B$114:$B$131)))*'Factors applied'!$E$102</f>
        <v>0</v>
      </c>
      <c r="H17">
        <f>((SUMIF('Cost Breakdowns'!$D$114:$D$131,"ISIC 07T08",'Cost Breakdowns'!$B$114:$B$131)))*'Factors applied'!$E$103</f>
        <v>0</v>
      </c>
      <c r="I17">
        <f>((SUMIF('Cost Breakdowns'!$D$114:$D$131,"ISIC 09",'Cost Breakdowns'!$B$114:$B$131)))</f>
        <v>0</v>
      </c>
      <c r="J17">
        <f>((SUMIF('Cost Breakdowns'!$D$114:$D$131,"ISIC 10T12",'Cost Breakdowns'!$B$114:$B$131)))</f>
        <v>0</v>
      </c>
      <c r="K17">
        <f>((SUMIF('Cost Breakdowns'!$D$114:$D$131,"ISIC 13T15",'Cost Breakdowns'!$B$114:$B$131)))</f>
        <v>0</v>
      </c>
      <c r="L17">
        <f>((SUMIF('Cost Breakdowns'!$D$114:$D$131,"ISIC 16",'Cost Breakdowns'!$B$114:$B$131)))</f>
        <v>0</v>
      </c>
      <c r="M17">
        <f>((SUMIF('Cost Breakdowns'!$D$114:$D$131,"ISIC 17T18",'Cost Breakdowns'!$B$114:$B$131)))</f>
        <v>0</v>
      </c>
      <c r="N17">
        <f>((SUMIF('Cost Breakdowns'!$D$114:$D$131,"ISIC 19",'Cost Breakdowns'!$B$114:$B$131)))</f>
        <v>0</v>
      </c>
      <c r="O17">
        <f>((SUMIF('Cost Breakdowns'!$D$114:$D$131,"ISIC 20",'Cost Breakdowns'!$B$114:$B$131)))</f>
        <v>0</v>
      </c>
      <c r="P17">
        <f>((SUMIF('Cost Breakdowns'!$D$114:$D$131,"ISIC 21",'Cost Breakdowns'!$B$114:$B$131)))</f>
        <v>0</v>
      </c>
      <c r="Q17">
        <f>((SUMIF('Cost Breakdowns'!$D$114:$D$131,"ISIC 22",'Cost Breakdowns'!$B$114:$B$131)))</f>
        <v>0</v>
      </c>
      <c r="R17">
        <f>((SUMIF('Cost Breakdowns'!$D$114:$D$131,"ISIC 231",'Cost Breakdowns'!$B$114:$B$131)))</f>
        <v>0</v>
      </c>
      <c r="S17">
        <f>((SUMIF('Cost Breakdowns'!$D$114:$D$131,"ISIC 239",'Cost Breakdowns'!$B$114:$B$131)))</f>
        <v>0</v>
      </c>
      <c r="T17">
        <f>((SUMIF('Cost Breakdowns'!$D$114:$D$131,"ISIC 241",'Cost Breakdowns'!$B$114:$B$131)))</f>
        <v>0</v>
      </c>
      <c r="U17">
        <f>((SUMIF('Cost Breakdowns'!$D$114:$D$131,"ISIC 242",'Cost Breakdowns'!$B$114:$B$131)))</f>
        <v>0</v>
      </c>
      <c r="V17">
        <f>((SUMIF('Cost Breakdowns'!$D$114:$D$131,"ISIC 25",'Cost Breakdowns'!$B$114:$B$131)))</f>
        <v>0</v>
      </c>
      <c r="W17">
        <f>((SUMIF('Cost Breakdowns'!$D$114:$D$131,"ISIC 26",'Cost Breakdowns'!$B$114:$B$131)))</f>
        <v>0</v>
      </c>
      <c r="X17">
        <f>((SUMIF('Cost Breakdowns'!$D$114:$D$131,"ISIC 27",'Cost Breakdowns'!$B$114:$B$131)))</f>
        <v>0</v>
      </c>
      <c r="Y17">
        <f>((SUMIF('Cost Breakdowns'!$D$114:$D$131,"ISIC 28",'Cost Breakdowns'!$B$114:$B$131)))</f>
        <v>0.51764705882352946</v>
      </c>
      <c r="Z17">
        <f>((SUMIF('Cost Breakdowns'!$D$114:$D$131,"ISIC 29",'Cost Breakdowns'!$B$114:$B$131)))</f>
        <v>0</v>
      </c>
      <c r="AA17">
        <f>((SUMIF('Cost Breakdowns'!$D$114:$D$131,"ISIC 30",'Cost Breakdowns'!$B$114:$B$131)))*'Factors applied'!$E$104</f>
        <v>0</v>
      </c>
      <c r="AB17">
        <f>((SUMIF('Cost Breakdowns'!$D$114:$D$131,"ISIC 30",'Cost Breakdowns'!$B$114:$B$131)))*'Factors applied'!$E$105</f>
        <v>0</v>
      </c>
      <c r="AC17">
        <f>((SUMIF('Cost Breakdowns'!$D$114:$D$131,"ISIC 31T33",'Cost Breakdowns'!$B$114:$B$131)))</f>
        <v>0</v>
      </c>
      <c r="AD17">
        <f>((SUMIF('Cost Breakdowns'!$D$114:$D$131,"ISIC 351",'Cost Breakdowns'!$B$114:$B$131)))</f>
        <v>5.8823529411764714E-3</v>
      </c>
      <c r="AE17">
        <f>((SUMIF('Cost Breakdowns'!$D$114:$D$131,"ISIC 352T353",'Cost Breakdowns'!$B$114:$B$131)))</f>
        <v>0</v>
      </c>
      <c r="AF17">
        <f>((SUMIF('Cost Breakdowns'!$D$114:$D$131,"ISIC 36T39",'Cost Breakdowns'!$B$114:$B$131)))</f>
        <v>0</v>
      </c>
      <c r="AG17">
        <f>((SUMIF('Cost Breakdowns'!$D$114:$D$131,"ISIC 41T43",'Cost Breakdowns'!$B$114:$B$131)))</f>
        <v>0.28235294117647064</v>
      </c>
      <c r="AH17">
        <f>((SUMIF('Cost Breakdowns'!$D$114:$D$131,"ISIC 45T47",'Cost Breakdowns'!$B$114:$B$131)))</f>
        <v>0</v>
      </c>
      <c r="AI17">
        <f>((SUMIF('Cost Breakdowns'!$D$114:$D$131,"ISIC 49T53",'Cost Breakdowns'!$B$114:$B$131)))*'Factors applied'!$E$106</f>
        <v>0</v>
      </c>
      <c r="AJ17">
        <f>((SUMIF('Cost Breakdowns'!$D$114:$D$131,"ISIC 49T53",'Cost Breakdowns'!$B$114:$B$131)))*'Factors applied'!$E$107</f>
        <v>0</v>
      </c>
      <c r="AK17">
        <f>((SUMIF('Cost Breakdowns'!$D$114:$D$131,"ISIC 49T53",'Cost Breakdowns'!$B$114:$B$131)))*'Factors applied'!$E$108</f>
        <v>0</v>
      </c>
      <c r="AL17">
        <f>((SUMIF('Cost Breakdowns'!$D$114:$D$131,"ISIC 49T53",'Cost Breakdowns'!$B$114:$B$131)))*'Factors applied'!$E$109</f>
        <v>0</v>
      </c>
      <c r="AM17">
        <f>((SUMIF('Cost Breakdowns'!$D$114:$D$131,"ISIC 49T53",'Cost Breakdowns'!$B$114:$B$131)))*'Factors applied'!$E$110</f>
        <v>0</v>
      </c>
      <c r="AN17">
        <f>((SUMIF('Cost Breakdowns'!$D$114:$D$131,"ISIC 55T56",'Cost Breakdowns'!$B$114:$B$131)))</f>
        <v>0</v>
      </c>
      <c r="AO17">
        <f>((SUMIF('Cost Breakdowns'!$D$114:$D$131,"ISIC 58T60",'Cost Breakdowns'!$B$114:$B$131)))</f>
        <v>0</v>
      </c>
      <c r="AP17">
        <f>((SUMIF('Cost Breakdowns'!$D$114:$D$131,"ISIC 61",'Cost Breakdowns'!$B$114:$B$131)))</f>
        <v>0</v>
      </c>
      <c r="AQ17">
        <f>((SUMIF('Cost Breakdowns'!$D$114:$D$131,"ISIC 62T63",'Cost Breakdowns'!$B$114:$B$131)))</f>
        <v>0</v>
      </c>
      <c r="AR17">
        <f>((SUMIF('Cost Breakdowns'!$D$114:$D$131,"ISIC 64T66",'Cost Breakdowns'!$B$114:$B$131)))</f>
        <v>5.8823529411764714E-3</v>
      </c>
      <c r="AS17">
        <f>((SUMIF('Cost Breakdowns'!$D$114:$D$131,"ISIC 68",'Cost Breakdowns'!$B$114:$B$131)))</f>
        <v>4.7058823529411757E-2</v>
      </c>
      <c r="AT17">
        <f>((SUMIF('Cost Breakdowns'!$D$114:$D$131,"ISIC 69T82",'Cost Breakdowns'!$B$114:$B$131)))*'Factors applied'!$E$111</f>
        <v>0.11764705882352941</v>
      </c>
      <c r="AU17">
        <f>((SUMIF('Cost Breakdowns'!$D$114:$D$131,"ISIC 69T82",'Cost Breakdowns'!$B$114:$B$131)))*'Factors applied'!$E$112</f>
        <v>0</v>
      </c>
      <c r="AV17">
        <f>((SUMIF('Cost Breakdowns'!$D$114:$D$131,"ISIC 84",'Cost Breakdowns'!$B$114:$B$131)))</f>
        <v>2.3529411764705879E-2</v>
      </c>
      <c r="AW17">
        <f>((SUMIF('Cost Breakdowns'!$D$114:$D$131,"ISIC 85",'Cost Breakdowns'!$B$114:$B$131)))</f>
        <v>0</v>
      </c>
      <c r="AX17">
        <f>((SUMIF('Cost Breakdowns'!$D$114:$D$131,"ISIC 86T88",'Cost Breakdowns'!$B$114:$B$131)))</f>
        <v>0</v>
      </c>
      <c r="AY17">
        <f>((SUMIF('Cost Breakdowns'!$D$114:$D$131,"ISIC 90T96",'Cost Breakdowns'!$B$114:$B$131)))*'Factors applied'!$E$113</f>
        <v>0</v>
      </c>
      <c r="AZ17">
        <f>((SUMIF('Cost Breakdowns'!$D$114:$D$131,"ISIC 90T96",'Cost Breakdowns'!$B$114:$B$131)))*'Factors applied'!$E$114</f>
        <v>0</v>
      </c>
      <c r="BA17">
        <f>((SUMIF('Cost Breakdowns'!$D$114:$D$131,"ISIC 97T98",'Cost Breakdowns'!$B$114:$B$131)))</f>
        <v>0</v>
      </c>
    </row>
    <row r="18" spans="1:53" x14ac:dyDescent="0.25">
      <c r="A18" t="s">
        <v>69</v>
      </c>
      <c r="B18">
        <f>((SUMIF('Cost Breakdowns'!$D$222:$D$227,"ISIC 01T03",'Cost Breakdowns'!$B$222:$B$227)))*'Factors applied'!$E$195</f>
        <v>0</v>
      </c>
      <c r="C18">
        <f>((SUMIF('Cost Breakdowns'!$D$222:$D$227,"ISIC 01T03",'Cost Breakdowns'!$B$222:$B$227)))*'Factors applied'!$E$196</f>
        <v>0</v>
      </c>
      <c r="D18">
        <f>((SUMIF('Cost Breakdowns'!$D$222:$D$227,"ISIC 01T03",'Cost Breakdowns'!$B$222:$B$227)))*'Factors applied'!$E$197</f>
        <v>0</v>
      </c>
      <c r="E18">
        <f>((SUMIF('Cost Breakdowns'!$D$222:$D$227,"ISIC 05",'Cost Breakdowns'!$B$222:$B$227)))</f>
        <v>0</v>
      </c>
      <c r="F18">
        <f>((SUMIF('Cost Breakdowns'!$D$222:$D$227,"ISIC 06",'Cost Breakdowns'!$B$222:$B$227)))</f>
        <v>0</v>
      </c>
      <c r="G18">
        <f>((SUMIF('Cost Breakdowns'!$D$222:$D$227,"ISIC 07T08",'Cost Breakdowns'!$B$222:$B$227)))*'Factors applied'!$E$198</f>
        <v>0</v>
      </c>
      <c r="H18">
        <f>((SUMIF('Cost Breakdowns'!$D$222:$D$227,"ISIC 07T08",'Cost Breakdowns'!$B$222:$B$227)))*'Factors applied'!$E$199</f>
        <v>0</v>
      </c>
      <c r="I18">
        <f>((SUMIF('Cost Breakdowns'!$D$222:$D$227,"ISIC 09",'Cost Breakdowns'!$B$222:$B$227)))</f>
        <v>0</v>
      </c>
      <c r="J18">
        <f>((SUMIF('Cost Breakdowns'!$D$222:$D$227,"ISIC 10T12",'Cost Breakdowns'!$B$222:$B$227)))</f>
        <v>0</v>
      </c>
      <c r="K18">
        <f>((SUMIF('Cost Breakdowns'!$D$222:$D$227,"ISIC 13T15",'Cost Breakdowns'!$B$222:$B$227)))</f>
        <v>0</v>
      </c>
      <c r="L18">
        <f>((SUMIF('Cost Breakdowns'!$D$222:$D$227,"ISIC 16",'Cost Breakdowns'!$B$222:$B$227)))</f>
        <v>0</v>
      </c>
      <c r="M18">
        <f>((SUMIF('Cost Breakdowns'!$D$222:$D$227,"ISIC 17T18",'Cost Breakdowns'!$B$222:$B$227)))</f>
        <v>0</v>
      </c>
      <c r="N18">
        <f>((SUMIF('Cost Breakdowns'!$D$222:$D$227,"ISIC 19",'Cost Breakdowns'!$B$222:$B$227)))</f>
        <v>0</v>
      </c>
      <c r="O18">
        <f>((SUMIF('Cost Breakdowns'!$D$222:$D$227,"ISIC 20",'Cost Breakdowns'!$B$222:$B$227)))</f>
        <v>0</v>
      </c>
      <c r="P18">
        <f>((SUMIF('Cost Breakdowns'!$D$222:$D$227,"ISIC 21",'Cost Breakdowns'!$B$222:$B$227)))</f>
        <v>0</v>
      </c>
      <c r="Q18">
        <f>((SUMIF('Cost Breakdowns'!$D$222:$D$227,"ISIC 22",'Cost Breakdowns'!$B$222:$B$227)))</f>
        <v>0</v>
      </c>
      <c r="R18">
        <f>((SUMIF('Cost Breakdowns'!$D$222:$D$227,"ISIC 231",'Cost Breakdowns'!$B$222:$B$227)))</f>
        <v>0</v>
      </c>
      <c r="S18">
        <f>((SUMIF('Cost Breakdowns'!$D$222:$D$227,"ISIC 239",'Cost Breakdowns'!$B$222:$B$227)))</f>
        <v>0</v>
      </c>
      <c r="T18">
        <f>((SUMIF('Cost Breakdowns'!$D$222:$D$227,"ISIC 241",'Cost Breakdowns'!$B$222:$B$227)))</f>
        <v>0</v>
      </c>
      <c r="U18">
        <f>((SUMIF('Cost Breakdowns'!$D$222:$D$227,"ISIC 242",'Cost Breakdowns'!$B$222:$B$227)))</f>
        <v>0</v>
      </c>
      <c r="V18">
        <f>((SUMIF('Cost Breakdowns'!$D$222:$D$227,"ISIC 25",'Cost Breakdowns'!$B$222:$B$227)))</f>
        <v>0</v>
      </c>
      <c r="W18">
        <f>((SUMIF('Cost Breakdowns'!$D$222:$D$227,"ISIC 26",'Cost Breakdowns'!$B$222:$B$227)))</f>
        <v>0</v>
      </c>
      <c r="X18">
        <f>((SUMIF('Cost Breakdowns'!$D$222:$D$227,"ISIC 27",'Cost Breakdowns'!$B$222:$B$227)))</f>
        <v>0</v>
      </c>
      <c r="Y18">
        <f>((SUMIF('Cost Breakdowns'!$D$222:$D$227,"ISIC 28",'Cost Breakdowns'!$B$222:$B$227)))</f>
        <v>0.68</v>
      </c>
      <c r="Z18">
        <f>((SUMIF('Cost Breakdowns'!$D$222:$D$227,"ISIC 29",'Cost Breakdowns'!$B$222:$B$227)))</f>
        <v>0</v>
      </c>
      <c r="AA18">
        <f>((SUMIF('Cost Breakdowns'!$D$222:$D$227,"ISIC 30",'Cost Breakdowns'!$B$222:$B$227)))*'Factors applied'!$E$200</f>
        <v>0</v>
      </c>
      <c r="AB18">
        <f>((SUMIF('Cost Breakdowns'!$D$222:$D$227,"ISIC 30",'Cost Breakdowns'!$B$222:$B$227)))*'Factors applied'!$E$201</f>
        <v>0</v>
      </c>
      <c r="AC18">
        <f>((SUMIF('Cost Breakdowns'!$D$222:$D$227,"ISIC 31T33",'Cost Breakdowns'!$B$222:$B$227)))</f>
        <v>0</v>
      </c>
      <c r="AD18">
        <f>((SUMIF('Cost Breakdowns'!$D$222:$D$227,"ISIC 351",'Cost Breakdowns'!$B$222:$B$227)))</f>
        <v>0</v>
      </c>
      <c r="AE18">
        <f>((SUMIF('Cost Breakdowns'!$D$222:$D$227,"ISIC 352T353",'Cost Breakdowns'!$B$222:$B$227)))</f>
        <v>0</v>
      </c>
      <c r="AF18">
        <f>((SUMIF('Cost Breakdowns'!$D$222:$D$227,"ISIC 36T39",'Cost Breakdowns'!$B$222:$B$227)))</f>
        <v>0</v>
      </c>
      <c r="AG18">
        <f>((SUMIF('Cost Breakdowns'!$D$222:$D$227,"ISIC 41T43",'Cost Breakdowns'!$B$222:$B$227)))</f>
        <v>0.14000000000000001</v>
      </c>
      <c r="AH18">
        <f>((SUMIF('Cost Breakdowns'!$D$222:$D$227,"ISIC 45T47",'Cost Breakdowns'!$B$222:$B$227)))</f>
        <v>0</v>
      </c>
      <c r="AI18">
        <f>((SUMIF('Cost Breakdowns'!$D$222:$D$227,"ISIC 49T53",'Cost Breakdowns'!$B$222:$B$227)))*'Factors applied'!$E$202</f>
        <v>0</v>
      </c>
      <c r="AJ18">
        <f>((SUMIF('Cost Breakdowns'!$D$222:$D$227,"ISIC 49T53",'Cost Breakdowns'!$B$222:$B$227)))*'Factors applied'!$E$203</f>
        <v>0</v>
      </c>
      <c r="AK18">
        <f>((SUMIF('Cost Breakdowns'!$D$222:$D$227,"ISIC 49T53",'Cost Breakdowns'!$B$222:$B$227)))*'Factors applied'!$E$204</f>
        <v>0</v>
      </c>
      <c r="AL18">
        <f>((SUMIF('Cost Breakdowns'!$D$222:$D$227,"ISIC 49T53",'Cost Breakdowns'!$B$222:$B$227)))*'Factors applied'!$E$205</f>
        <v>0</v>
      </c>
      <c r="AM18">
        <f>((SUMIF('Cost Breakdowns'!$D$222:$D$227,"ISIC 49T53",'Cost Breakdowns'!$B$222:$B$227)))*'Factors applied'!$E$206</f>
        <v>0</v>
      </c>
      <c r="AN18">
        <f>((SUMIF('Cost Breakdowns'!$D$222:$D$227,"ISIC 55T56",'Cost Breakdowns'!$B$222:$B$227)))</f>
        <v>0</v>
      </c>
      <c r="AO18">
        <f>((SUMIF('Cost Breakdowns'!$D$222:$D$227,"ISIC 58T60",'Cost Breakdowns'!$B$222:$B$227)))</f>
        <v>0</v>
      </c>
      <c r="AP18">
        <f>((SUMIF('Cost Breakdowns'!$D$222:$D$227,"ISIC 61",'Cost Breakdowns'!$B$222:$B$227)))</f>
        <v>0</v>
      </c>
      <c r="AQ18">
        <f>((SUMIF('Cost Breakdowns'!$D$222:$D$227,"ISIC 62T63",'Cost Breakdowns'!$B$222:$B$227)))</f>
        <v>0</v>
      </c>
      <c r="AR18">
        <f>((SUMIF('Cost Breakdowns'!$D$222:$D$227,"ISIC 64T66",'Cost Breakdowns'!$B$222:$B$227)))</f>
        <v>0</v>
      </c>
      <c r="AS18">
        <f>((SUMIF('Cost Breakdowns'!$D$222:$D$227,"ISIC 68",'Cost Breakdowns'!$B$222:$B$227)))</f>
        <v>0</v>
      </c>
      <c r="AT18">
        <f>((SUMIF('Cost Breakdowns'!$D$222:$D$227,"ISIC 69T82",'Cost Breakdowns'!$B$222:$B$227)))*'Factors applied'!$E$207</f>
        <v>0.18</v>
      </c>
      <c r="AU18">
        <f>((SUMIF('Cost Breakdowns'!$D$222:$D$227,"ISIC 69T82",'Cost Breakdowns'!$B$222:$B$227)))*'Factors applied'!$E$208</f>
        <v>0</v>
      </c>
      <c r="AV18">
        <f>((SUMIF('Cost Breakdowns'!$D$222:$D$227,"ISIC 84",'Cost Breakdowns'!$B$222:$B$227)))</f>
        <v>0</v>
      </c>
      <c r="AW18">
        <f>((SUMIF('Cost Breakdowns'!$D$222:$D$227,"ISIC 85",'Cost Breakdowns'!$B$222:$B$227)))</f>
        <v>0</v>
      </c>
      <c r="AX18">
        <f>((SUMIF('Cost Breakdowns'!$D$222:$D$227,"ISIC 86T88",'Cost Breakdowns'!$B$222:$B$227)))</f>
        <v>0</v>
      </c>
      <c r="AY18">
        <f>((SUMIF('Cost Breakdowns'!$D$222:$D$227,"ISIC 90T96",'Cost Breakdowns'!$B$222:$B$227)))*'Factors applied'!$E$209</f>
        <v>0</v>
      </c>
      <c r="AZ18">
        <f>((SUMIF('Cost Breakdowns'!$D$222:$D$227,"ISIC 90T96",'Cost Breakdowns'!$B$222:$B$227)))*'Factors applied'!$E$210</f>
        <v>0</v>
      </c>
      <c r="BA18">
        <f>((SUMIF('Cost Breakdowns'!$D$222:$D$227,"ISIC 97T98",'Cost Breakdowns'!$B$222:$B$227)))</f>
        <v>0</v>
      </c>
    </row>
    <row r="19" spans="1:53" x14ac:dyDescent="0.25">
      <c r="A19" t="s">
        <v>70</v>
      </c>
      <c r="B19">
        <f>('CCS Costs'!B60+'CCS Costs'!B68)*'Factors applied'!$E$83</f>
        <v>0</v>
      </c>
      <c r="C19">
        <f>('CCS Costs'!B60+'CCS Costs'!B68)*'Factors applied'!$E$84</f>
        <v>0</v>
      </c>
      <c r="D19">
        <f>('CCS Costs'!B60+'CCS Costs'!B68)*'Factors applied'!$E$85</f>
        <v>0</v>
      </c>
      <c r="E19">
        <f>('CCS Costs'!C60+'CCS Costs'!C68)</f>
        <v>0</v>
      </c>
      <c r="F19">
        <f>('CCS Costs'!D60+'CCS Costs'!D68)</f>
        <v>0</v>
      </c>
      <c r="G19">
        <f>('CCS Costs'!E60+'CCS Costs'!E68)*'Factors applied'!$E$86</f>
        <v>0</v>
      </c>
      <c r="H19">
        <f>('CCS Costs'!E60+'CCS Costs'!E68)*'Factors applied'!$E$87</f>
        <v>0</v>
      </c>
      <c r="I19">
        <f>('CCS Costs'!F60+'CCS Costs'!F68)</f>
        <v>0</v>
      </c>
      <c r="J19">
        <f>('CCS Costs'!G60+'CCS Costs'!G68)</f>
        <v>0</v>
      </c>
      <c r="K19">
        <f>('CCS Costs'!H60+'CCS Costs'!H68)</f>
        <v>0</v>
      </c>
      <c r="L19">
        <f>('CCS Costs'!I60+'CCS Costs'!I68)</f>
        <v>0</v>
      </c>
      <c r="M19">
        <f>('CCS Costs'!J60+'CCS Costs'!J68)</f>
        <v>0</v>
      </c>
      <c r="N19">
        <f>('CCS Costs'!K60+'CCS Costs'!K68)</f>
        <v>0</v>
      </c>
      <c r="O19">
        <f>('CCS Costs'!L60+'CCS Costs'!L68)</f>
        <v>7.6421949914944921E-4</v>
      </c>
      <c r="P19">
        <f>('CCS Costs'!M60+'CCS Costs'!M68)</f>
        <v>0</v>
      </c>
      <c r="Q19">
        <f>('CCS Costs'!N60+'CCS Costs'!N68)</f>
        <v>0</v>
      </c>
      <c r="R19">
        <f>('CCS Costs'!O60+'CCS Costs'!O68)</f>
        <v>0</v>
      </c>
      <c r="S19">
        <f>('CCS Costs'!P60+'CCS Costs'!P68)</f>
        <v>0</v>
      </c>
      <c r="T19">
        <f>('CCS Costs'!Q60+'CCS Costs'!Q68)</f>
        <v>0</v>
      </c>
      <c r="U19">
        <f>('CCS Costs'!R60+'CCS Costs'!R68)</f>
        <v>0</v>
      </c>
      <c r="V19">
        <f>('CCS Costs'!S60+'CCS Costs'!S68)</f>
        <v>0</v>
      </c>
      <c r="W19">
        <f>('CCS Costs'!T60+'CCS Costs'!T68)</f>
        <v>0</v>
      </c>
      <c r="X19">
        <f>('CCS Costs'!U60+'CCS Costs'!U68)</f>
        <v>0</v>
      </c>
      <c r="Y19">
        <f>('CCS Costs'!V60+'CCS Costs'!V68)</f>
        <v>0.47111732787969529</v>
      </c>
      <c r="Z19">
        <f>('CCS Costs'!W60+'CCS Costs'!W68)</f>
        <v>0</v>
      </c>
      <c r="AA19">
        <f>('CCS Costs'!X60+'CCS Costs'!X68)*'Factors applied'!$E$88</f>
        <v>0</v>
      </c>
      <c r="AB19">
        <f>('CCS Costs'!X60+'CCS Costs'!X68)*'Factors applied'!$E$89</f>
        <v>0</v>
      </c>
      <c r="AC19">
        <f>('CCS Costs'!Y60+'CCS Costs'!Y68)</f>
        <v>0</v>
      </c>
      <c r="AD19">
        <f>('CCS Costs'!Z60+'CCS Costs'!Z68)</f>
        <v>0</v>
      </c>
      <c r="AE19">
        <f>('CCS Costs'!AA60+'CCS Costs'!AA68)</f>
        <v>0</v>
      </c>
      <c r="AF19">
        <f>('CCS Costs'!AB60+'CCS Costs'!AB68)</f>
        <v>0</v>
      </c>
      <c r="AG19">
        <f>('CCS Costs'!AC60+'CCS Costs'!AC68)</f>
        <v>0.38864412750459743</v>
      </c>
      <c r="AH19">
        <f>('CCS Costs'!AD60+'CCS Costs'!AD68)</f>
        <v>0</v>
      </c>
      <c r="AI19">
        <f>('CCS Costs'!AE60+'CCS Costs'!AE68)*'Factors applied'!$E$90</f>
        <v>0</v>
      </c>
      <c r="AJ19">
        <f>('CCS Costs'!AE60+'CCS Costs'!AE68)*'Factors applied'!$E$91</f>
        <v>0</v>
      </c>
      <c r="AK19">
        <f>('CCS Costs'!AE60+'CCS Costs'!AE68)*'Factors applied'!$E$92</f>
        <v>0</v>
      </c>
      <c r="AL19">
        <f>('CCS Costs'!AE60+'CCS Costs'!AE68)*'Factors applied'!$E$93</f>
        <v>0</v>
      </c>
      <c r="AM19">
        <f>('CCS Costs'!AE60+'CCS Costs'!AE68)*'Factors applied'!$E$94</f>
        <v>0</v>
      </c>
      <c r="AN19">
        <f>('CCS Costs'!AF60+'CCS Costs'!AF68)</f>
        <v>0</v>
      </c>
      <c r="AO19">
        <f>('CCS Costs'!AG60+'CCS Costs'!AG68)</f>
        <v>0</v>
      </c>
      <c r="AP19">
        <f>('CCS Costs'!AH60+'CCS Costs'!AH68)</f>
        <v>0</v>
      </c>
      <c r="AQ19">
        <f>('CCS Costs'!AI60+'CCS Costs'!AI68)</f>
        <v>0</v>
      </c>
      <c r="AR19">
        <f>('CCS Costs'!AJ60+'CCS Costs'!AJ68)</f>
        <v>6.8408728427881618E-3</v>
      </c>
      <c r="AS19">
        <f>('CCS Costs'!AK60+'CCS Costs'!AK68)</f>
        <v>0</v>
      </c>
      <c r="AT19">
        <f>('CCS Costs'!AL60+'CCS Costs'!AL68)*'Factors applied'!$E$95</f>
        <v>0.13263345227376971</v>
      </c>
      <c r="AU19">
        <f>('CCS Costs'!AL60+'CCS Costs'!AL68)*'Factors applied'!$E$96</f>
        <v>0</v>
      </c>
      <c r="AV19">
        <f>('CCS Costs'!AM60+'CCS Costs'!AM68)</f>
        <v>0</v>
      </c>
      <c r="AW19">
        <f>('CCS Costs'!AN60+'CCS Costs'!AN68)</f>
        <v>0</v>
      </c>
      <c r="AX19">
        <f>('CCS Costs'!AO60+'CCS Costs'!AO68)</f>
        <v>0</v>
      </c>
      <c r="AY19">
        <f>('CCS Costs'!AP60+'CCS Costs'!AP68)*'Factors applied'!$E$97</f>
        <v>0</v>
      </c>
      <c r="AZ19">
        <f>('CCS Costs'!AP60+'CCS Costs'!AP68)*'Factors applied'!$E$98</f>
        <v>0</v>
      </c>
      <c r="BA19">
        <f>('CCS Costs'!AQ60+'CCS Costs'!AQ68)</f>
        <v>0</v>
      </c>
    </row>
    <row r="20" spans="1:53" x14ac:dyDescent="0.25">
      <c r="A20" t="s">
        <v>71</v>
      </c>
      <c r="B20">
        <f>('CCS Costs'!B61+'CCS Costs'!B69)*'Factors applied'!$E$227</f>
        <v>0</v>
      </c>
      <c r="C20">
        <f>('CCS Costs'!B61+'CCS Costs'!B69)*'Factors applied'!$E$228</f>
        <v>0</v>
      </c>
      <c r="D20">
        <f>('CCS Costs'!B61+'CCS Costs'!B69)*'Factors applied'!$E$229</f>
        <v>0</v>
      </c>
      <c r="E20">
        <f>('CCS Costs'!C61+'CCS Costs'!C69)</f>
        <v>0</v>
      </c>
      <c r="F20">
        <f>('CCS Costs'!D61+'CCS Costs'!D69)</f>
        <v>0</v>
      </c>
      <c r="G20">
        <f>('CCS Costs'!E61+'CCS Costs'!E69)*'Factors applied'!$E$230</f>
        <v>0</v>
      </c>
      <c r="H20">
        <f>('CCS Costs'!E61+'CCS Costs'!E69)*'Factors applied'!$E$231</f>
        <v>0</v>
      </c>
      <c r="I20">
        <f>('CCS Costs'!F61+'CCS Costs'!F69)</f>
        <v>0</v>
      </c>
      <c r="J20">
        <f>('CCS Costs'!G61+'CCS Costs'!G69)</f>
        <v>0</v>
      </c>
      <c r="K20">
        <f>('CCS Costs'!H61+'CCS Costs'!H69)</f>
        <v>0</v>
      </c>
      <c r="L20">
        <f>('CCS Costs'!I61+'CCS Costs'!I69)</f>
        <v>0</v>
      </c>
      <c r="M20">
        <f>('CCS Costs'!J61+'CCS Costs'!J69)</f>
        <v>0</v>
      </c>
      <c r="N20">
        <f>('CCS Costs'!K61+'CCS Costs'!K69)</f>
        <v>0</v>
      </c>
      <c r="O20">
        <f>('CCS Costs'!L61+'CCS Costs'!L69)</f>
        <v>0</v>
      </c>
      <c r="P20">
        <f>('CCS Costs'!M61+'CCS Costs'!M69)</f>
        <v>0</v>
      </c>
      <c r="Q20">
        <f>('CCS Costs'!N61+'CCS Costs'!N69)</f>
        <v>0</v>
      </c>
      <c r="R20">
        <f>('CCS Costs'!O61+'CCS Costs'!O69)</f>
        <v>0</v>
      </c>
      <c r="S20">
        <f>('CCS Costs'!P61+'CCS Costs'!P69)</f>
        <v>0</v>
      </c>
      <c r="T20">
        <f>('CCS Costs'!Q61+'CCS Costs'!Q69)</f>
        <v>0</v>
      </c>
      <c r="U20">
        <f>('CCS Costs'!R61+'CCS Costs'!R69)</f>
        <v>0</v>
      </c>
      <c r="V20">
        <f>('CCS Costs'!S61+'CCS Costs'!S69)</f>
        <v>0</v>
      </c>
      <c r="W20">
        <f>('CCS Costs'!T61+'CCS Costs'!T69)</f>
        <v>0</v>
      </c>
      <c r="X20">
        <f>('CCS Costs'!U61+'CCS Costs'!U69)</f>
        <v>0</v>
      </c>
      <c r="Y20">
        <f>('CCS Costs'!V61+'CCS Costs'!V69)</f>
        <v>0.6177036371409772</v>
      </c>
      <c r="Z20">
        <f>('CCS Costs'!W61+'CCS Costs'!W69)</f>
        <v>0</v>
      </c>
      <c r="AA20">
        <f>('CCS Costs'!X61+'CCS Costs'!X69)*'Factors applied'!$E$232</f>
        <v>0</v>
      </c>
      <c r="AB20">
        <f>('CCS Costs'!X61+'CCS Costs'!X69)*'Factors applied'!$E$233</f>
        <v>0</v>
      </c>
      <c r="AC20">
        <f>('CCS Costs'!Y61+'CCS Costs'!Y69)</f>
        <v>0</v>
      </c>
      <c r="AD20">
        <f>('CCS Costs'!Z61+'CCS Costs'!Z69)</f>
        <v>2.939512402428005E-3</v>
      </c>
      <c r="AE20">
        <f>('CCS Costs'!AA61+'CCS Costs'!AA69)</f>
        <v>0</v>
      </c>
      <c r="AF20">
        <f>('CCS Costs'!AB61+'CCS Costs'!AB69)</f>
        <v>0</v>
      </c>
      <c r="AG20">
        <f>('CCS Costs'!AC61+'CCS Costs'!AC69)</f>
        <v>0.28235294117647064</v>
      </c>
      <c r="AH20">
        <f>('CCS Costs'!AD61+'CCS Costs'!AD69)</f>
        <v>0</v>
      </c>
      <c r="AI20">
        <f>('CCS Costs'!AE61+'CCS Costs'!AE69)*'Factors applied'!$E$234</f>
        <v>0</v>
      </c>
      <c r="AJ20">
        <f>('CCS Costs'!AE61+'CCS Costs'!AE69)*'Factors applied'!$E$235</f>
        <v>0</v>
      </c>
      <c r="AK20">
        <f>('CCS Costs'!AE61+'CCS Costs'!AE69)*'Factors applied'!$E$236</f>
        <v>0</v>
      </c>
      <c r="AL20">
        <f>('CCS Costs'!AE61+'CCS Costs'!AE69)*'Factors applied'!$E$237</f>
        <v>0</v>
      </c>
      <c r="AM20">
        <f>('CCS Costs'!AE61+'CCS Costs'!AE69)*'Factors applied'!$E$238</f>
        <v>0</v>
      </c>
      <c r="AN20">
        <f>('CCS Costs'!AF61+'CCS Costs'!AF69)</f>
        <v>0</v>
      </c>
      <c r="AO20">
        <f>('CCS Costs'!AG61+'CCS Costs'!AG69)</f>
        <v>0</v>
      </c>
      <c r="AP20">
        <f>('CCS Costs'!AH61+'CCS Costs'!AH69)</f>
        <v>0</v>
      </c>
      <c r="AQ20">
        <f>('CCS Costs'!AI61+'CCS Costs'!AI69)</f>
        <v>0</v>
      </c>
      <c r="AR20">
        <f>('CCS Costs'!AJ61+'CCS Costs'!AJ69)</f>
        <v>2.939512402428005E-3</v>
      </c>
      <c r="AS20">
        <f>('CCS Costs'!AK61+'CCS Costs'!AK69)</f>
        <v>2.3516099219424033E-2</v>
      </c>
      <c r="AT20">
        <f>('CCS Costs'!AL61+'CCS Costs'!AL69)*'Factors applied'!$E$239</f>
        <v>5.879024804856009E-2</v>
      </c>
      <c r="AU20">
        <f>('CCS Costs'!AL61+'CCS Costs'!AL69)*'Factors applied'!$E$240</f>
        <v>0</v>
      </c>
      <c r="AV20">
        <f>('CCS Costs'!AM61+'CCS Costs'!AM69)</f>
        <v>1.1758049609712017E-2</v>
      </c>
      <c r="AW20">
        <f>('CCS Costs'!AN61+'CCS Costs'!AN69)</f>
        <v>0</v>
      </c>
      <c r="AX20">
        <f>('CCS Costs'!AO61+'CCS Costs'!AO69)</f>
        <v>0</v>
      </c>
      <c r="AY20">
        <f>('CCS Costs'!AP61+'CCS Costs'!AP69)*'Factors applied'!$E$241</f>
        <v>0</v>
      </c>
      <c r="AZ20">
        <f>('CCS Costs'!AP61+'CCS Costs'!AP69)*'Factors applied'!$E$242</f>
        <v>0</v>
      </c>
      <c r="BA20">
        <f>('CCS Costs'!AQ61+'CCS Costs'!AQ69)</f>
        <v>0</v>
      </c>
    </row>
    <row r="21" spans="1:53" x14ac:dyDescent="0.25">
      <c r="A21" t="s">
        <v>72</v>
      </c>
      <c r="B21">
        <f>('CCS Costs'!B62+'CCS Costs'!B70)*'Factors applied'!$E$19</f>
        <v>0</v>
      </c>
      <c r="C21">
        <f>('CCS Costs'!B62+'CCS Costs'!B70)*'Factors applied'!$E$20</f>
        <v>0</v>
      </c>
      <c r="D21">
        <f>('CCS Costs'!B62+'CCS Costs'!B70)*'Factors applied'!$E$21</f>
        <v>0</v>
      </c>
      <c r="E21">
        <f>('CCS Costs'!C62+'CCS Costs'!C70)</f>
        <v>0</v>
      </c>
      <c r="F21">
        <f>('CCS Costs'!D62+'CCS Costs'!D70)</f>
        <v>0</v>
      </c>
      <c r="G21">
        <f>('CCS Costs'!E62+'CCS Costs'!E70)*'Factors applied'!$E$22</f>
        <v>0</v>
      </c>
      <c r="H21">
        <f>('CCS Costs'!E62+'CCS Costs'!E70)*'Factors applied'!$E$23</f>
        <v>0</v>
      </c>
      <c r="I21">
        <f>('CCS Costs'!F62+'CCS Costs'!F70)</f>
        <v>0</v>
      </c>
      <c r="J21">
        <f>('CCS Costs'!G62+'CCS Costs'!G70)</f>
        <v>0</v>
      </c>
      <c r="K21">
        <f>('CCS Costs'!H62+'CCS Costs'!H70)</f>
        <v>0</v>
      </c>
      <c r="L21">
        <f>('CCS Costs'!I62+'CCS Costs'!I70)</f>
        <v>0</v>
      </c>
      <c r="M21">
        <f>('CCS Costs'!J62+'CCS Costs'!J70)</f>
        <v>0</v>
      </c>
      <c r="N21">
        <f>('CCS Costs'!K62+'CCS Costs'!K70)</f>
        <v>0</v>
      </c>
      <c r="O21">
        <f>('CCS Costs'!L62+'CCS Costs'!L70)</f>
        <v>0</v>
      </c>
      <c r="P21">
        <f>('CCS Costs'!M62+'CCS Costs'!M70)</f>
        <v>0</v>
      </c>
      <c r="Q21">
        <f>('CCS Costs'!N62+'CCS Costs'!N70)</f>
        <v>0</v>
      </c>
      <c r="R21">
        <f>('CCS Costs'!O62+'CCS Costs'!O70)</f>
        <v>0</v>
      </c>
      <c r="S21">
        <f>('CCS Costs'!P62+'CCS Costs'!P70)</f>
        <v>0</v>
      </c>
      <c r="T21">
        <f>('CCS Costs'!Q62+'CCS Costs'!Q70)</f>
        <v>0</v>
      </c>
      <c r="U21">
        <f>('CCS Costs'!R62+'CCS Costs'!R70)</f>
        <v>0</v>
      </c>
      <c r="V21">
        <f>('CCS Costs'!S62+'CCS Costs'!S70)</f>
        <v>0</v>
      </c>
      <c r="W21">
        <f>('CCS Costs'!T62+'CCS Costs'!T70)</f>
        <v>0</v>
      </c>
      <c r="X21">
        <f>('CCS Costs'!U62+'CCS Costs'!U70)</f>
        <v>0</v>
      </c>
      <c r="Y21">
        <f>('CCS Costs'!V62+'CCS Costs'!V70)</f>
        <v>0.71963926379500387</v>
      </c>
      <c r="Z21">
        <f>('CCS Costs'!W62+'CCS Costs'!W70)</f>
        <v>0</v>
      </c>
      <c r="AA21">
        <f>('CCS Costs'!X62+'CCS Costs'!X70)*'Factors applied'!$E$24</f>
        <v>0</v>
      </c>
      <c r="AB21">
        <f>('CCS Costs'!X62+'CCS Costs'!X70)*'Factors applied'!$E$25</f>
        <v>0</v>
      </c>
      <c r="AC21">
        <f>('CCS Costs'!Y62+'CCS Costs'!Y70)</f>
        <v>0</v>
      </c>
      <c r="AD21">
        <f>('CCS Costs'!Z62+'CCS Costs'!Z70)</f>
        <v>0</v>
      </c>
      <c r="AE21">
        <f>('CCS Costs'!AA62+'CCS Costs'!AA70)</f>
        <v>0</v>
      </c>
      <c r="AF21">
        <f>('CCS Costs'!AB62+'CCS Costs'!AB70)</f>
        <v>0</v>
      </c>
      <c r="AG21">
        <f>('CCS Costs'!AC62+'CCS Costs'!AC70)</f>
        <v>0.14000000000000001</v>
      </c>
      <c r="AH21">
        <f>('CCS Costs'!AD62+'CCS Costs'!AD70)</f>
        <v>0</v>
      </c>
      <c r="AI21">
        <f>('CCS Costs'!AE62+'CCS Costs'!AE70)*'Factors applied'!$E$26</f>
        <v>0</v>
      </c>
      <c r="AJ21">
        <f>('CCS Costs'!AE62+'CCS Costs'!AE70)*'Factors applied'!$E$27</f>
        <v>0</v>
      </c>
      <c r="AK21">
        <f>('CCS Costs'!AE62+'CCS Costs'!AE70)*'Factors applied'!$E$28</f>
        <v>0</v>
      </c>
      <c r="AL21">
        <f>('CCS Costs'!AE62+'CCS Costs'!AE70)*'Factors applied'!$E$29</f>
        <v>0</v>
      </c>
      <c r="AM21">
        <f>('CCS Costs'!AE62+'CCS Costs'!AE70)*'Factors applied'!$E$30</f>
        <v>0</v>
      </c>
      <c r="AN21">
        <f>('CCS Costs'!AF62+'CCS Costs'!AF70)</f>
        <v>0</v>
      </c>
      <c r="AO21">
        <f>('CCS Costs'!AG62+'CCS Costs'!AG70)</f>
        <v>0</v>
      </c>
      <c r="AP21">
        <f>('CCS Costs'!AH62+'CCS Costs'!AH70)</f>
        <v>0</v>
      </c>
      <c r="AQ21">
        <f>('CCS Costs'!AI62+'CCS Costs'!AI70)</f>
        <v>0</v>
      </c>
      <c r="AR21">
        <f>('CCS Costs'!AJ62+'CCS Costs'!AJ70)</f>
        <v>0</v>
      </c>
      <c r="AS21">
        <f>('CCS Costs'!AK62+'CCS Costs'!AK70)</f>
        <v>0</v>
      </c>
      <c r="AT21">
        <f>('CCS Costs'!AL62+'CCS Costs'!AL70)*'Factors applied'!$E$31</f>
        <v>0.1403607362049962</v>
      </c>
      <c r="AU21">
        <f>('CCS Costs'!AL62+'CCS Costs'!AL70)*'Factors applied'!$E$32</f>
        <v>0</v>
      </c>
      <c r="AV21">
        <f>('CCS Costs'!AM62+'CCS Costs'!AM70)</f>
        <v>0</v>
      </c>
      <c r="AW21">
        <f>('CCS Costs'!AN62+'CCS Costs'!AN70)</f>
        <v>0</v>
      </c>
      <c r="AX21">
        <f>('CCS Costs'!AO62+'CCS Costs'!AO70)</f>
        <v>0</v>
      </c>
      <c r="AY21">
        <f>('CCS Costs'!AP62+'CCS Costs'!AP70)*'Factors applied'!$E$33</f>
        <v>0</v>
      </c>
      <c r="AZ21">
        <f>('CCS Costs'!AP62+'CCS Costs'!AP70)*'Factors applied'!$E$34</f>
        <v>0</v>
      </c>
      <c r="BA21">
        <f>('CCS Costs'!AQ62+'CCS Costs'!AQ70)</f>
        <v>0</v>
      </c>
    </row>
    <row r="22" spans="1:53" x14ac:dyDescent="0.25">
      <c r="A22" t="s">
        <v>73</v>
      </c>
      <c r="B22">
        <f>('CCS Costs'!B63+'CCS Costs'!B71)*'Factors applied'!$E$179</f>
        <v>0</v>
      </c>
      <c r="C22">
        <f>('CCS Costs'!B63+'CCS Costs'!B71)*'Factors applied'!$E$180</f>
        <v>0</v>
      </c>
      <c r="D22">
        <f>('CCS Costs'!B63+'CCS Costs'!B71)*'Factors applied'!$E$181</f>
        <v>0</v>
      </c>
      <c r="E22">
        <f>('CCS Costs'!C63+'CCS Costs'!C71)</f>
        <v>0</v>
      </c>
      <c r="F22">
        <f>('CCS Costs'!D63+'CCS Costs'!D71)</f>
        <v>0</v>
      </c>
      <c r="G22">
        <f>('CCS Costs'!E63+'CCS Costs'!E71)*'Factors applied'!$E$182</f>
        <v>0</v>
      </c>
      <c r="H22">
        <f>('CCS Costs'!E63+'CCS Costs'!E71)*'Factors applied'!$E$183</f>
        <v>0</v>
      </c>
      <c r="I22">
        <f>('CCS Costs'!F63+'CCS Costs'!F71)</f>
        <v>0</v>
      </c>
      <c r="J22">
        <f>('CCS Costs'!G63+'CCS Costs'!G71)</f>
        <v>0</v>
      </c>
      <c r="K22">
        <f>('CCS Costs'!H63+'CCS Costs'!H71)</f>
        <v>0</v>
      </c>
      <c r="L22">
        <f>('CCS Costs'!I63+'CCS Costs'!I71)</f>
        <v>0</v>
      </c>
      <c r="M22">
        <f>('CCS Costs'!J63+'CCS Costs'!J71)</f>
        <v>0</v>
      </c>
      <c r="N22">
        <f>('CCS Costs'!K63+'CCS Costs'!K71)</f>
        <v>0</v>
      </c>
      <c r="O22">
        <f>('CCS Costs'!L63+'CCS Costs'!L71)</f>
        <v>7.6421949914944921E-4</v>
      </c>
      <c r="P22">
        <f>('CCS Costs'!M63+'CCS Costs'!M71)</f>
        <v>0</v>
      </c>
      <c r="Q22">
        <f>('CCS Costs'!N63+'CCS Costs'!N71)</f>
        <v>0</v>
      </c>
      <c r="R22">
        <f>('CCS Costs'!O63+'CCS Costs'!O71)</f>
        <v>0</v>
      </c>
      <c r="S22">
        <f>('CCS Costs'!P63+'CCS Costs'!P71)</f>
        <v>0</v>
      </c>
      <c r="T22">
        <f>('CCS Costs'!Q63+'CCS Costs'!Q71)</f>
        <v>0</v>
      </c>
      <c r="U22">
        <f>('CCS Costs'!R63+'CCS Costs'!R71)</f>
        <v>0</v>
      </c>
      <c r="V22">
        <f>('CCS Costs'!S63+'CCS Costs'!S71)</f>
        <v>0</v>
      </c>
      <c r="W22">
        <f>('CCS Costs'!T63+'CCS Costs'!T71)</f>
        <v>0</v>
      </c>
      <c r="X22">
        <f>('CCS Costs'!U63+'CCS Costs'!U71)</f>
        <v>0</v>
      </c>
      <c r="Y22">
        <f>('CCS Costs'!V63+'CCS Costs'!V71)</f>
        <v>0.4711173278796954</v>
      </c>
      <c r="Z22">
        <f>('CCS Costs'!W63+'CCS Costs'!W71)</f>
        <v>0</v>
      </c>
      <c r="AA22">
        <f>('CCS Costs'!X63+'CCS Costs'!X71)*'Factors applied'!$E$184</f>
        <v>0</v>
      </c>
      <c r="AB22">
        <f>('CCS Costs'!X63+'CCS Costs'!X71)*'Factors applied'!$E$185</f>
        <v>0</v>
      </c>
      <c r="AC22">
        <f>('CCS Costs'!Y63+'CCS Costs'!Y71)</f>
        <v>0</v>
      </c>
      <c r="AD22">
        <f>('CCS Costs'!Z63+'CCS Costs'!Z71)</f>
        <v>0</v>
      </c>
      <c r="AE22">
        <f>('CCS Costs'!AA63+'CCS Costs'!AA71)</f>
        <v>0</v>
      </c>
      <c r="AF22">
        <f>('CCS Costs'!AB63+'CCS Costs'!AB71)</f>
        <v>0</v>
      </c>
      <c r="AG22">
        <f>('CCS Costs'!AC63+'CCS Costs'!AC71)</f>
        <v>0.38864412750459743</v>
      </c>
      <c r="AH22">
        <f>('CCS Costs'!AD63+'CCS Costs'!AD71)</f>
        <v>0</v>
      </c>
      <c r="AI22">
        <f>('CCS Costs'!AE63+'CCS Costs'!AE71)*'Factors applied'!$E$186</f>
        <v>0</v>
      </c>
      <c r="AJ22">
        <f>('CCS Costs'!AE63+'CCS Costs'!AE71)*'Factors applied'!$E$187</f>
        <v>0</v>
      </c>
      <c r="AK22">
        <f>('CCS Costs'!AE63+'CCS Costs'!AE71)*'Factors applied'!$E$188</f>
        <v>0</v>
      </c>
      <c r="AL22">
        <f>('CCS Costs'!AE63+'CCS Costs'!AE71)*'Factors applied'!$E$189</f>
        <v>0</v>
      </c>
      <c r="AM22">
        <f>('CCS Costs'!AE63+'CCS Costs'!AE71)*'Factors applied'!$E$190</f>
        <v>0</v>
      </c>
      <c r="AN22">
        <f>('CCS Costs'!AF63+'CCS Costs'!AF71)</f>
        <v>0</v>
      </c>
      <c r="AO22">
        <f>('CCS Costs'!AG63+'CCS Costs'!AG71)</f>
        <v>0</v>
      </c>
      <c r="AP22">
        <f>('CCS Costs'!AH63+'CCS Costs'!AH71)</f>
        <v>0</v>
      </c>
      <c r="AQ22">
        <f>('CCS Costs'!AI63+'CCS Costs'!AI71)</f>
        <v>0</v>
      </c>
      <c r="AR22">
        <f>('CCS Costs'!AJ63+'CCS Costs'!AJ71)</f>
        <v>6.8408728427881618E-3</v>
      </c>
      <c r="AS22">
        <f>('CCS Costs'!AK63+'CCS Costs'!AK71)</f>
        <v>0</v>
      </c>
      <c r="AT22">
        <f>('CCS Costs'!AL63+'CCS Costs'!AL71)*'Factors applied'!$E$191</f>
        <v>0.13263345227376971</v>
      </c>
      <c r="AU22">
        <f>('CCS Costs'!AL63+'CCS Costs'!AL71)*'Factors applied'!$E$192</f>
        <v>0</v>
      </c>
      <c r="AV22">
        <f>('CCS Costs'!AM63+'CCS Costs'!AM71)</f>
        <v>0</v>
      </c>
      <c r="AW22">
        <f>('CCS Costs'!AN63+'CCS Costs'!AN71)</f>
        <v>0</v>
      </c>
      <c r="AX22">
        <f>('CCS Costs'!AO63+'CCS Costs'!AO71)</f>
        <v>0</v>
      </c>
      <c r="AY22">
        <f>('CCS Costs'!AP63+'CCS Costs'!AP71)*'Factors applied'!$E$193</f>
        <v>0</v>
      </c>
      <c r="AZ22">
        <f>('CCS Costs'!AP63+'CCS Costs'!AP71)*'Factors applied'!$E$194</f>
        <v>0</v>
      </c>
      <c r="BA22">
        <f>('CCS Costs'!AQ63+'CCS Costs'!AQ71)</f>
        <v>0</v>
      </c>
    </row>
    <row r="23" spans="1:53" x14ac:dyDescent="0.25">
      <c r="A23" t="s">
        <v>74</v>
      </c>
      <c r="B23">
        <f>((SUMIF('Cost Breakdowns'!$D$149:$D$157,"ISIC 01T03",'Cost Breakdowns'!$B$149:$B$157)))*'Factors applied'!$E$323</f>
        <v>0</v>
      </c>
      <c r="C23">
        <f>((SUMIF('Cost Breakdowns'!$D$149:$D$157,"ISIC 01T03",'Cost Breakdowns'!$B$149:$B$157)))*'Factors applied'!$E$324</f>
        <v>0</v>
      </c>
      <c r="D23">
        <f>((SUMIF('Cost Breakdowns'!$D$149:$D$157,"ISIC 01T03",'Cost Breakdowns'!$B$149:$B$157)))*'Factors applied'!$E$325</f>
        <v>0</v>
      </c>
      <c r="E23">
        <f>((SUMIF('Cost Breakdowns'!$D$149:$D$157,"ISIC 05",'Cost Breakdowns'!$B$149:$B$157)))</f>
        <v>0</v>
      </c>
      <c r="F23">
        <f>((SUMIF('Cost Breakdowns'!$D$149:$D$157,"ISIC 06",'Cost Breakdowns'!$B$149:$B$157)))</f>
        <v>0</v>
      </c>
      <c r="G23">
        <f>((SUMIF('Cost Breakdowns'!$D$149:$D$157,"ISIC 07T08",'Cost Breakdowns'!$B$149:$B$157)))*'Factors applied'!$E$326</f>
        <v>1.2982106508371257E-2</v>
      </c>
      <c r="H23">
        <f>((SUMIF('Cost Breakdowns'!$D$149:$D$157,"ISIC 07T08",'Cost Breakdowns'!$B$149:$B$157)))*'Factors applied'!$E$327</f>
        <v>1.7017893491628744E-2</v>
      </c>
      <c r="I23">
        <f>((SUMIF('Cost Breakdowns'!$D$149:$D$157,"ISIC 09",'Cost Breakdowns'!$B$149:$B$157)))</f>
        <v>0</v>
      </c>
      <c r="J23">
        <f>((SUMIF('Cost Breakdowns'!$D$149:$D$157,"ISIC 10T12",'Cost Breakdowns'!$B$149:$B$157)))</f>
        <v>0</v>
      </c>
      <c r="K23">
        <f>((SUMIF('Cost Breakdowns'!$D$149:$D$157,"ISIC 13T15",'Cost Breakdowns'!$B$149:$B$157)))</f>
        <v>0</v>
      </c>
      <c r="L23">
        <f>((SUMIF('Cost Breakdowns'!$D$149:$D$157,"ISIC 16",'Cost Breakdowns'!$B$149:$B$157)))</f>
        <v>0</v>
      </c>
      <c r="M23">
        <f>((SUMIF('Cost Breakdowns'!$D$149:$D$157,"ISIC 17T18",'Cost Breakdowns'!$B$149:$B$157)))</f>
        <v>0</v>
      </c>
      <c r="N23">
        <f>((SUMIF('Cost Breakdowns'!$D$149:$D$157,"ISIC 19",'Cost Breakdowns'!$B$149:$B$157)))</f>
        <v>0</v>
      </c>
      <c r="O23">
        <f>((SUMIF('Cost Breakdowns'!$D$149:$D$157,"ISIC 20",'Cost Breakdowns'!$B$149:$B$157)))</f>
        <v>0</v>
      </c>
      <c r="P23">
        <f>((SUMIF('Cost Breakdowns'!$D$149:$D$157,"ISIC 21",'Cost Breakdowns'!$B$149:$B$157)))</f>
        <v>0</v>
      </c>
      <c r="Q23">
        <f>((SUMIF('Cost Breakdowns'!$D$149:$D$157,"ISIC 22",'Cost Breakdowns'!$B$149:$B$157)))</f>
        <v>0</v>
      </c>
      <c r="R23">
        <f>((SUMIF('Cost Breakdowns'!$D$149:$D$157,"ISIC 231",'Cost Breakdowns'!$B$149:$B$157)))</f>
        <v>0</v>
      </c>
      <c r="S23">
        <f>((SUMIF('Cost Breakdowns'!$D$149:$D$157,"ISIC 239",'Cost Breakdowns'!$B$149:$B$157)))</f>
        <v>0</v>
      </c>
      <c r="T23">
        <f>((SUMIF('Cost Breakdowns'!$D$149:$D$157,"ISIC 241",'Cost Breakdowns'!$B$149:$B$157)))</f>
        <v>0</v>
      </c>
      <c r="U23">
        <f>((SUMIF('Cost Breakdowns'!$D$149:$D$157,"ISIC 242",'Cost Breakdowns'!$B$149:$B$157)))</f>
        <v>0</v>
      </c>
      <c r="V23">
        <f>((SUMIF('Cost Breakdowns'!$D$149:$D$157,"ISIC 25",'Cost Breakdowns'!$B$149:$B$157)))</f>
        <v>0</v>
      </c>
      <c r="W23">
        <f>((SUMIF('Cost Breakdowns'!$D$149:$D$157,"ISIC 26",'Cost Breakdowns'!$B$149:$B$157)))</f>
        <v>0</v>
      </c>
      <c r="X23">
        <f>((SUMIF('Cost Breakdowns'!$D$149:$D$157,"ISIC 27",'Cost Breakdowns'!$B$149:$B$157)))</f>
        <v>0</v>
      </c>
      <c r="Y23">
        <f>((SUMIF('Cost Breakdowns'!$D$149:$D$157,"ISIC 28",'Cost Breakdowns'!$B$149:$B$157)))</f>
        <v>0.60000000000000009</v>
      </c>
      <c r="Z23">
        <f>((SUMIF('Cost Breakdowns'!$D$149:$D$157,"ISIC 29",'Cost Breakdowns'!$B$149:$B$157)))</f>
        <v>0</v>
      </c>
      <c r="AA23">
        <f>((SUMIF('Cost Breakdowns'!$D$149:$D$157,"ISIC 30",'Cost Breakdowns'!$B$149:$B$157)))*'Factors applied'!$E$328</f>
        <v>0</v>
      </c>
      <c r="AB23">
        <f>((SUMIF('Cost Breakdowns'!$D$149:$D$157,"ISIC 30",'Cost Breakdowns'!$B$149:$B$157)))*'Factors applied'!$E$329</f>
        <v>0</v>
      </c>
      <c r="AC23">
        <f>((SUMIF('Cost Breakdowns'!$D$149:$D$157,"ISIC 31T33",'Cost Breakdowns'!$B$149:$B$157)))</f>
        <v>0</v>
      </c>
      <c r="AD23">
        <f>((SUMIF('Cost Breakdowns'!$D$149:$D$157,"ISIC 351",'Cost Breakdowns'!$B$149:$B$157)))</f>
        <v>0</v>
      </c>
      <c r="AE23">
        <f>((SUMIF('Cost Breakdowns'!$D$149:$D$157,"ISIC 352T353",'Cost Breakdowns'!$B$149:$B$157)))</f>
        <v>0</v>
      </c>
      <c r="AF23">
        <f>((SUMIF('Cost Breakdowns'!$D$149:$D$157,"ISIC 36T39",'Cost Breakdowns'!$B$149:$B$157)))</f>
        <v>0</v>
      </c>
      <c r="AG23">
        <f>((SUMIF('Cost Breakdowns'!$D$149:$D$157,"ISIC 41T43",'Cost Breakdowns'!$B$149:$B$157)))</f>
        <v>0.35</v>
      </c>
      <c r="AH23">
        <f>((SUMIF('Cost Breakdowns'!$D$149:$D$157,"ISIC 45T47",'Cost Breakdowns'!$B$149:$B$157)))</f>
        <v>0</v>
      </c>
      <c r="AI23">
        <f>((SUMIF('Cost Breakdowns'!$D$149:$D$157,"ISIC 49T53",'Cost Breakdowns'!$B$149:$B$157)))*'Factors applied'!$E$330</f>
        <v>0</v>
      </c>
      <c r="AJ23">
        <f>((SUMIF('Cost Breakdowns'!$D$149:$D$157,"ISIC 49T53",'Cost Breakdowns'!$B$149:$B$157)))*'Factors applied'!$E$331</f>
        <v>0</v>
      </c>
      <c r="AK23">
        <f>((SUMIF('Cost Breakdowns'!$D$149:$D$157,"ISIC 49T53",'Cost Breakdowns'!$B$149:$B$157)))*'Factors applied'!$E$332</f>
        <v>0</v>
      </c>
      <c r="AL23">
        <f>((SUMIF('Cost Breakdowns'!$D$149:$D$157,"ISIC 49T53",'Cost Breakdowns'!$B$149:$B$157)))*'Factors applied'!$E$333</f>
        <v>0</v>
      </c>
      <c r="AM23">
        <f>((SUMIF('Cost Breakdowns'!$D$149:$D$157,"ISIC 49T53",'Cost Breakdowns'!$B$149:$B$157)))*'Factors applied'!$E$334</f>
        <v>0</v>
      </c>
      <c r="AN23">
        <f>((SUMIF('Cost Breakdowns'!$D$149:$D$157,"ISIC 55T56",'Cost Breakdowns'!$B$149:$B$157)))</f>
        <v>0</v>
      </c>
      <c r="AO23">
        <f>((SUMIF('Cost Breakdowns'!$D$149:$D$157,"ISIC 58T60",'Cost Breakdowns'!$B$149:$B$157)))</f>
        <v>0</v>
      </c>
      <c r="AP23">
        <f>((SUMIF('Cost Breakdowns'!$D$149:$D$157,"ISIC 61",'Cost Breakdowns'!$B$149:$B$157)))</f>
        <v>0</v>
      </c>
      <c r="AQ23">
        <f>((SUMIF('Cost Breakdowns'!$D$149:$D$157,"ISIC 62T63",'Cost Breakdowns'!$B$149:$B$157)))</f>
        <v>0</v>
      </c>
      <c r="AR23">
        <f>((SUMIF('Cost Breakdowns'!$D$149:$D$157,"ISIC 64T66",'Cost Breakdowns'!$B$149:$B$157)))</f>
        <v>0</v>
      </c>
      <c r="AS23">
        <f>((SUMIF('Cost Breakdowns'!$D$149:$D$157,"ISIC 68",'Cost Breakdowns'!$B$149:$B$157)))</f>
        <v>0</v>
      </c>
      <c r="AT23">
        <f>((SUMIF('Cost Breakdowns'!$D$149:$D$157,"ISIC 69T82",'Cost Breakdowns'!$B$149:$B$157)))*'Factors applied'!$E$335</f>
        <v>0.02</v>
      </c>
      <c r="AU23">
        <f>((SUMIF('Cost Breakdowns'!$D$149:$D$157,"ISIC 69T82",'Cost Breakdowns'!$B$149:$B$157)))*'Factors applied'!$E$336</f>
        <v>0</v>
      </c>
      <c r="AV23">
        <f>((SUMIF('Cost Breakdowns'!$D$149:$D$157,"ISIC 84",'Cost Breakdowns'!$B$149:$B$157)))</f>
        <v>0</v>
      </c>
      <c r="AW23">
        <f>((SUMIF('Cost Breakdowns'!$D$149:$D$157,"ISIC 85",'Cost Breakdowns'!$B$149:$B$157)))</f>
        <v>0</v>
      </c>
      <c r="AX23">
        <f>((SUMIF('Cost Breakdowns'!$D$149:$D$157,"ISIC 86T88",'Cost Breakdowns'!$B$149:$B$157)))</f>
        <v>0</v>
      </c>
      <c r="AY23">
        <f>((SUMIF('Cost Breakdowns'!$D$149:$D$157,"ISIC 90T96",'Cost Breakdowns'!$B$149:$B$157)))*'Factors applied'!$E$337</f>
        <v>0</v>
      </c>
      <c r="AZ23">
        <f>((SUMIF('Cost Breakdowns'!$D$149:$D$157,"ISIC 90T96",'Cost Breakdowns'!$B$149:$B$157)))*'Factors applied'!$E$338</f>
        <v>0</v>
      </c>
      <c r="BA23">
        <f>((SUMIF('Cost Breakdowns'!$D$149:$D$157,"ISIC 97T98",'Cost Breakdowns'!$B$149:$B$157)))</f>
        <v>0</v>
      </c>
    </row>
    <row r="24" spans="1:53" x14ac:dyDescent="0.25">
      <c r="A24" t="s">
        <v>75</v>
      </c>
      <c r="B24">
        <f>(((SUMIF('Cost Breakdowns'!$D$114:$D$131,"ISIC 01T03",'Cost Breakdowns'!$B$114:$B$131))))*'Factors applied'!$E$147</f>
        <v>0</v>
      </c>
      <c r="C24">
        <f>(((SUMIF('Cost Breakdowns'!$D$114:$D$131,"ISIC 01T03",'Cost Breakdowns'!$B$114:$B$131))))*'Factors applied'!$E$148</f>
        <v>0</v>
      </c>
      <c r="D24">
        <f>(((SUMIF('Cost Breakdowns'!$D$114:$D$131,"ISIC 01T03",'Cost Breakdowns'!$B$114:$B$131))))*'Factors applied'!$E$149</f>
        <v>0</v>
      </c>
      <c r="E24">
        <f>(((SUMIF('Cost Breakdowns'!$D$114:$D$131,"ISIC 05",'Cost Breakdowns'!$B$114:$B$131))))</f>
        <v>0</v>
      </c>
      <c r="F24">
        <f>(((SUMIF('Cost Breakdowns'!$D$114:$D$131,"ISIC 06",'Cost Breakdowns'!$B$114:$B$131))))</f>
        <v>0</v>
      </c>
      <c r="G24">
        <f>(((SUMIF('Cost Breakdowns'!$D$114:$D$131,"ISIC 07T08",'Cost Breakdowns'!$B$114:$B$131))))*'Factors applied'!$E$150</f>
        <v>0</v>
      </c>
      <c r="H24">
        <f>(((SUMIF('Cost Breakdowns'!$D$114:$D$131,"ISIC 07T08",'Cost Breakdowns'!$B$114:$B$131))))*'Factors applied'!$E$151</f>
        <v>0</v>
      </c>
      <c r="I24">
        <f>(((SUMIF('Cost Breakdowns'!$D$114:$D$131,"ISIC 09",'Cost Breakdowns'!$B$114:$B$131))))</f>
        <v>0</v>
      </c>
      <c r="J24">
        <f>(((SUMIF('Cost Breakdowns'!$D$114:$D$131,"ISIC 10T12",'Cost Breakdowns'!$B$114:$B$131))))</f>
        <v>0</v>
      </c>
      <c r="K24">
        <f>(((SUMIF('Cost Breakdowns'!$D$114:$D$131,"ISIC 13T15",'Cost Breakdowns'!$B$114:$B$131))))</f>
        <v>0</v>
      </c>
      <c r="L24">
        <f>(((SUMIF('Cost Breakdowns'!$D$114:$D$131,"ISIC 16",'Cost Breakdowns'!$B$114:$B$131))))</f>
        <v>0</v>
      </c>
      <c r="M24">
        <f>(((SUMIF('Cost Breakdowns'!$D$114:$D$131,"ISIC 17T18",'Cost Breakdowns'!$B$114:$B$131))))</f>
        <v>0</v>
      </c>
      <c r="N24">
        <f>(((SUMIF('Cost Breakdowns'!$D$114:$D$131,"ISIC 19",'Cost Breakdowns'!$B$114:$B$131))))</f>
        <v>0</v>
      </c>
      <c r="O24">
        <f>(((SUMIF('Cost Breakdowns'!$D$114:$D$131,"ISIC 20",'Cost Breakdowns'!$B$114:$B$131))))</f>
        <v>0</v>
      </c>
      <c r="P24">
        <f>(((SUMIF('Cost Breakdowns'!$D$114:$D$131,"ISIC 21",'Cost Breakdowns'!$B$114:$B$131))))</f>
        <v>0</v>
      </c>
      <c r="Q24">
        <f>(((SUMIF('Cost Breakdowns'!$D$114:$D$131,"ISIC 22",'Cost Breakdowns'!$B$114:$B$131))))</f>
        <v>0</v>
      </c>
      <c r="R24">
        <f>(((SUMIF('Cost Breakdowns'!$D$114:$D$131,"ISIC 231",'Cost Breakdowns'!$B$114:$B$131))))</f>
        <v>0</v>
      </c>
      <c r="S24">
        <f>(((SUMIF('Cost Breakdowns'!$D$114:$D$131,"ISIC 239",'Cost Breakdowns'!$B$114:$B$131))))</f>
        <v>0</v>
      </c>
      <c r="T24">
        <f>(((SUMIF('Cost Breakdowns'!$D$114:$D$131,"ISIC 241",'Cost Breakdowns'!$B$114:$B$131))))</f>
        <v>0</v>
      </c>
      <c r="U24">
        <f>(((SUMIF('Cost Breakdowns'!$D$114:$D$131,"ISIC 242",'Cost Breakdowns'!$B$114:$B$131))))</f>
        <v>0</v>
      </c>
      <c r="V24">
        <f>(((SUMIF('Cost Breakdowns'!$D$114:$D$131,"ISIC 25",'Cost Breakdowns'!$B$114:$B$131))))</f>
        <v>0</v>
      </c>
      <c r="W24">
        <f>(((SUMIF('Cost Breakdowns'!$D$114:$D$131,"ISIC 26",'Cost Breakdowns'!$B$114:$B$131))))</f>
        <v>0</v>
      </c>
      <c r="X24">
        <f>(((SUMIF('Cost Breakdowns'!$D$114:$D$131,"ISIC 27",'Cost Breakdowns'!$B$114:$B$131))))</f>
        <v>0</v>
      </c>
      <c r="Y24">
        <f>(((SUMIF('Cost Breakdowns'!$D$114:$D$131,"ISIC 28",'Cost Breakdowns'!$B$114:$B$131))))</f>
        <v>0.51764705882352946</v>
      </c>
      <c r="Z24">
        <f>(((SUMIF('Cost Breakdowns'!$D$114:$D$131,"ISIC 29",'Cost Breakdowns'!$B$114:$B$131))))</f>
        <v>0</v>
      </c>
      <c r="AA24">
        <f>(((SUMIF('Cost Breakdowns'!$D$114:$D$131,"ISIC 30",'Cost Breakdowns'!$B$114:$B$131))))*'Factors applied'!$E$152</f>
        <v>0</v>
      </c>
      <c r="AB24">
        <f>(((SUMIF('Cost Breakdowns'!$D$114:$D$131,"ISIC 30",'Cost Breakdowns'!$B$114:$B$131))))*'Factors applied'!$E$153</f>
        <v>0</v>
      </c>
      <c r="AC24">
        <f>(((SUMIF('Cost Breakdowns'!$D$114:$D$131,"ISIC 31T33",'Cost Breakdowns'!$B$114:$B$131))))</f>
        <v>0</v>
      </c>
      <c r="AD24">
        <f>(((SUMIF('Cost Breakdowns'!$D$114:$D$131,"ISIC 351",'Cost Breakdowns'!$B$114:$B$131))))</f>
        <v>5.8823529411764714E-3</v>
      </c>
      <c r="AE24">
        <f>(((SUMIF('Cost Breakdowns'!$D$114:$D$131,"ISIC 352T353",'Cost Breakdowns'!$B$114:$B$131))))</f>
        <v>0</v>
      </c>
      <c r="AF24">
        <f>(((SUMIF('Cost Breakdowns'!$D$114:$D$131,"ISIC 36T39",'Cost Breakdowns'!$B$114:$B$131))))</f>
        <v>0</v>
      </c>
      <c r="AG24">
        <f>(((SUMIF('Cost Breakdowns'!$D$114:$D$131,"ISIC 41T43",'Cost Breakdowns'!$B$114:$B$131))))</f>
        <v>0.28235294117647064</v>
      </c>
      <c r="AH24">
        <f>(((SUMIF('Cost Breakdowns'!$D$114:$D$131,"ISIC 45T47",'Cost Breakdowns'!$B$114:$B$131))))</f>
        <v>0</v>
      </c>
      <c r="AI24">
        <f>(((SUMIF('Cost Breakdowns'!$D$114:$D$131,"ISIC 49T53",'Cost Breakdowns'!$B$114:$B$131))))*'Factors applied'!$E$154</f>
        <v>0</v>
      </c>
      <c r="AJ24">
        <f>(((SUMIF('Cost Breakdowns'!$D$114:$D$131,"ISIC 49T53",'Cost Breakdowns'!$B$114:$B$131))))*'Factors applied'!$E$155</f>
        <v>0</v>
      </c>
      <c r="AK24">
        <f>(((SUMIF('Cost Breakdowns'!$D$114:$D$131,"ISIC 49T53",'Cost Breakdowns'!$B$114:$B$131))))*'Factors applied'!$E$156</f>
        <v>0</v>
      </c>
      <c r="AL24">
        <f>(((SUMIF('Cost Breakdowns'!$D$114:$D$131,"ISIC 49T53",'Cost Breakdowns'!$B$114:$B$131))))*'Factors applied'!$E$157</f>
        <v>0</v>
      </c>
      <c r="AM24">
        <f>(((SUMIF('Cost Breakdowns'!$D$114:$D$131,"ISIC 49T53",'Cost Breakdowns'!$B$114:$B$131))))*'Factors applied'!$E$158</f>
        <v>0</v>
      </c>
      <c r="AN24">
        <f>(((SUMIF('Cost Breakdowns'!$D$114:$D$131,"ISIC 55T56",'Cost Breakdowns'!$B$114:$B$131))))</f>
        <v>0</v>
      </c>
      <c r="AO24">
        <f>(((SUMIF('Cost Breakdowns'!$D$114:$D$131,"ISIC 58T60",'Cost Breakdowns'!$B$114:$B$131))))</f>
        <v>0</v>
      </c>
      <c r="AP24">
        <f>(((SUMIF('Cost Breakdowns'!$D$114:$D$131,"ISIC 61",'Cost Breakdowns'!$B$114:$B$131))))</f>
        <v>0</v>
      </c>
      <c r="AQ24">
        <f>(((SUMIF('Cost Breakdowns'!$D$114:$D$131,"ISIC 62T63",'Cost Breakdowns'!$B$114:$B$131))))</f>
        <v>0</v>
      </c>
      <c r="AR24">
        <f>(((SUMIF('Cost Breakdowns'!$D$114:$D$131,"ISIC 64T66",'Cost Breakdowns'!$B$114:$B$131))))</f>
        <v>5.8823529411764714E-3</v>
      </c>
      <c r="AS24">
        <f>(((SUMIF('Cost Breakdowns'!$D$114:$D$131,"ISIC 68",'Cost Breakdowns'!$B$114:$B$131))))</f>
        <v>4.7058823529411757E-2</v>
      </c>
      <c r="AT24">
        <f>(((SUMIF('Cost Breakdowns'!$D$114:$D$131,"ISIC 69T82",'Cost Breakdowns'!$B$114:$B$131))))*'Factors applied'!$E$159</f>
        <v>0.11764705882352941</v>
      </c>
      <c r="AU24">
        <f>(((SUMIF('Cost Breakdowns'!$D$114:$D$131,"ISIC 69T82",'Cost Breakdowns'!$B$114:$B$131))))*'Factors applied'!$E$160</f>
        <v>0</v>
      </c>
      <c r="AV24">
        <f>(((SUMIF('Cost Breakdowns'!$D$114:$D$131,"ISIC 84",'Cost Breakdowns'!$B$114:$B$131))))</f>
        <v>2.3529411764705879E-2</v>
      </c>
      <c r="AW24">
        <f>(((SUMIF('Cost Breakdowns'!$D$114:$D$131,"ISIC 85",'Cost Breakdowns'!$B$114:$B$131))))</f>
        <v>0</v>
      </c>
      <c r="AX24">
        <f>(((SUMIF('Cost Breakdowns'!$D$114:$D$131,"ISIC 86T88",'Cost Breakdowns'!$B$114:$B$131))))</f>
        <v>0</v>
      </c>
      <c r="AY24">
        <f>(((SUMIF('Cost Breakdowns'!$D$114:$D$131,"ISIC 90T96",'Cost Breakdowns'!$B$114:$B$131))))*'Factors applied'!$E$161</f>
        <v>0</v>
      </c>
      <c r="AZ24">
        <f>(((SUMIF('Cost Breakdowns'!$D$114:$D$131,"ISIC 90T96",'Cost Breakdowns'!$B$114:$B$131))))*'Factors applied'!$E$162</f>
        <v>0</v>
      </c>
      <c r="BA24">
        <f>(((SUMIF('Cost Breakdowns'!$D$114:$D$131,"ISIC 97T98",'Cost Breakdowns'!$B$114:$B$131))))</f>
        <v>0</v>
      </c>
    </row>
    <row r="25" spans="1:53" x14ac:dyDescent="0.25">
      <c r="A25" t="s">
        <v>76</v>
      </c>
      <c r="B25">
        <f>(((SUMIF('Cost Breakdowns'!$D$114:$D$131,"ISIC 01T03",'Cost Breakdowns'!$B$114:$B$131))))*'Factors applied'!$E$131</f>
        <v>0</v>
      </c>
      <c r="C25">
        <f>(((SUMIF('Cost Breakdowns'!$D$114:$D$131,"ISIC 01T03",'Cost Breakdowns'!$B$114:$B$131))))*'Factors applied'!$E$132</f>
        <v>0</v>
      </c>
      <c r="D25">
        <f>(((SUMIF('Cost Breakdowns'!$D$114:$D$131,"ISIC 01T03",'Cost Breakdowns'!$B$114:$B$131))))*'Factors applied'!$E$133</f>
        <v>0</v>
      </c>
      <c r="E25">
        <f>(((SUMIF('Cost Breakdowns'!$D$114:$D$131,"ISIC 05",'Cost Breakdowns'!$B$114:$B$131))))</f>
        <v>0</v>
      </c>
      <c r="F25">
        <f>(((SUMIF('Cost Breakdowns'!$D$114:$D$131,"ISIC 06",'Cost Breakdowns'!$B$114:$B$131))))</f>
        <v>0</v>
      </c>
      <c r="G25">
        <f>(((SUMIF('Cost Breakdowns'!$D$114:$D$131,"ISIC 07T08",'Cost Breakdowns'!$B$114:$B$131))))*'Factors applied'!$E$134</f>
        <v>0</v>
      </c>
      <c r="H25">
        <f>(((SUMIF('Cost Breakdowns'!$D$114:$D$131,"ISIC 07T08",'Cost Breakdowns'!$B$114:$B$131))))*'Factors applied'!$E$135</f>
        <v>0</v>
      </c>
      <c r="I25">
        <f>(((SUMIF('Cost Breakdowns'!$D$114:$D$131,"ISIC 09",'Cost Breakdowns'!$B$114:$B$131))))</f>
        <v>0</v>
      </c>
      <c r="J25">
        <f>(((SUMIF('Cost Breakdowns'!$D$114:$D$131,"ISIC 10T12",'Cost Breakdowns'!$B$114:$B$131))))</f>
        <v>0</v>
      </c>
      <c r="K25">
        <f>(((SUMIF('Cost Breakdowns'!$D$114:$D$131,"ISIC 13T15",'Cost Breakdowns'!$B$114:$B$131))))</f>
        <v>0</v>
      </c>
      <c r="L25">
        <f>(((SUMIF('Cost Breakdowns'!$D$114:$D$131,"ISIC 16",'Cost Breakdowns'!$B$114:$B$131))))</f>
        <v>0</v>
      </c>
      <c r="M25">
        <f>(((SUMIF('Cost Breakdowns'!$D$114:$D$131,"ISIC 17T18",'Cost Breakdowns'!$B$114:$B$131))))</f>
        <v>0</v>
      </c>
      <c r="N25">
        <f>(((SUMIF('Cost Breakdowns'!$D$114:$D$131,"ISIC 19",'Cost Breakdowns'!$B$114:$B$131))))</f>
        <v>0</v>
      </c>
      <c r="O25">
        <f>(((SUMIF('Cost Breakdowns'!$D$114:$D$131,"ISIC 20",'Cost Breakdowns'!$B$114:$B$131))))</f>
        <v>0</v>
      </c>
      <c r="P25">
        <f>(((SUMIF('Cost Breakdowns'!$D$114:$D$131,"ISIC 21",'Cost Breakdowns'!$B$114:$B$131))))</f>
        <v>0</v>
      </c>
      <c r="Q25">
        <f>(((SUMIF('Cost Breakdowns'!$D$114:$D$131,"ISIC 22",'Cost Breakdowns'!$B$114:$B$131))))</f>
        <v>0</v>
      </c>
      <c r="R25">
        <f>(((SUMIF('Cost Breakdowns'!$D$114:$D$131,"ISIC 231",'Cost Breakdowns'!$B$114:$B$131))))</f>
        <v>0</v>
      </c>
      <c r="S25">
        <f>(((SUMIF('Cost Breakdowns'!$D$114:$D$131,"ISIC 239",'Cost Breakdowns'!$B$114:$B$131))))</f>
        <v>0</v>
      </c>
      <c r="T25">
        <f>(((SUMIF('Cost Breakdowns'!$D$114:$D$131,"ISIC 241",'Cost Breakdowns'!$B$114:$B$131))))</f>
        <v>0</v>
      </c>
      <c r="U25">
        <f>(((SUMIF('Cost Breakdowns'!$D$114:$D$131,"ISIC 242",'Cost Breakdowns'!$B$114:$B$131))))</f>
        <v>0</v>
      </c>
      <c r="V25">
        <f>(((SUMIF('Cost Breakdowns'!$D$114:$D$131,"ISIC 25",'Cost Breakdowns'!$B$114:$B$131))))</f>
        <v>0</v>
      </c>
      <c r="W25">
        <f>(((SUMIF('Cost Breakdowns'!$D$114:$D$131,"ISIC 26",'Cost Breakdowns'!$B$114:$B$131))))</f>
        <v>0</v>
      </c>
      <c r="X25">
        <f>(((SUMIF('Cost Breakdowns'!$D$114:$D$131,"ISIC 27",'Cost Breakdowns'!$B$114:$B$131))))</f>
        <v>0</v>
      </c>
      <c r="Y25">
        <f>(((SUMIF('Cost Breakdowns'!$D$114:$D$131,"ISIC 28",'Cost Breakdowns'!$B$114:$B$131))))</f>
        <v>0.51764705882352946</v>
      </c>
      <c r="Z25">
        <f>(((SUMIF('Cost Breakdowns'!$D$114:$D$131,"ISIC 29",'Cost Breakdowns'!$B$114:$B$131))))</f>
        <v>0</v>
      </c>
      <c r="AA25">
        <f>(((SUMIF('Cost Breakdowns'!$D$114:$D$131,"ISIC 30",'Cost Breakdowns'!$B$114:$B$131))))*'Factors applied'!$E$136</f>
        <v>0</v>
      </c>
      <c r="AB25">
        <f>(((SUMIF('Cost Breakdowns'!$D$114:$D$131,"ISIC 30",'Cost Breakdowns'!$B$114:$B$131))))*'Factors applied'!$E$137</f>
        <v>0</v>
      </c>
      <c r="AC25">
        <f>(((SUMIF('Cost Breakdowns'!$D$114:$D$131,"ISIC 31T33",'Cost Breakdowns'!$B$114:$B$131))))</f>
        <v>0</v>
      </c>
      <c r="AD25">
        <f>(((SUMIF('Cost Breakdowns'!$D$114:$D$131,"ISIC 351",'Cost Breakdowns'!$B$114:$B$131))))</f>
        <v>5.8823529411764714E-3</v>
      </c>
      <c r="AE25">
        <f>(((SUMIF('Cost Breakdowns'!$D$114:$D$131,"ISIC 352T353",'Cost Breakdowns'!$B$114:$B$131))))</f>
        <v>0</v>
      </c>
      <c r="AF25">
        <f>(((SUMIF('Cost Breakdowns'!$D$114:$D$131,"ISIC 36T39",'Cost Breakdowns'!$B$114:$B$131))))</f>
        <v>0</v>
      </c>
      <c r="AG25">
        <f>(((SUMIF('Cost Breakdowns'!$D$114:$D$131,"ISIC 41T43",'Cost Breakdowns'!$B$114:$B$131))))</f>
        <v>0.28235294117647064</v>
      </c>
      <c r="AH25">
        <f>(((SUMIF('Cost Breakdowns'!$D$114:$D$131,"ISIC 45T47",'Cost Breakdowns'!$B$114:$B$131))))</f>
        <v>0</v>
      </c>
      <c r="AI25">
        <f>(((SUMIF('Cost Breakdowns'!$D$114:$D$131,"ISIC 49T53",'Cost Breakdowns'!$B$114:$B$131))))*'Factors applied'!$E$138</f>
        <v>0</v>
      </c>
      <c r="AJ25">
        <f>(((SUMIF('Cost Breakdowns'!$D$114:$D$131,"ISIC 49T53",'Cost Breakdowns'!$B$114:$B$131))))*'Factors applied'!$E$139</f>
        <v>0</v>
      </c>
      <c r="AK25">
        <f>(((SUMIF('Cost Breakdowns'!$D$114:$D$131,"ISIC 49T53",'Cost Breakdowns'!$B$114:$B$131))))*'Factors applied'!$E$140</f>
        <v>0</v>
      </c>
      <c r="AL25">
        <f>(((SUMIF('Cost Breakdowns'!$D$114:$D$131,"ISIC 49T53",'Cost Breakdowns'!$B$114:$B$131))))*'Factors applied'!$E$141</f>
        <v>0</v>
      </c>
      <c r="AM25">
        <f>(((SUMIF('Cost Breakdowns'!$D$114:$D$131,"ISIC 49T53",'Cost Breakdowns'!$B$114:$B$131))))*'Factors applied'!$E$142</f>
        <v>0</v>
      </c>
      <c r="AN25">
        <f>(((SUMIF('Cost Breakdowns'!$D$114:$D$131,"ISIC 55T56",'Cost Breakdowns'!$B$114:$B$131))))</f>
        <v>0</v>
      </c>
      <c r="AO25">
        <f>(((SUMIF('Cost Breakdowns'!$D$114:$D$131,"ISIC 58T60",'Cost Breakdowns'!$B$114:$B$131))))</f>
        <v>0</v>
      </c>
      <c r="AP25">
        <f>(((SUMIF('Cost Breakdowns'!$D$114:$D$131,"ISIC 61",'Cost Breakdowns'!$B$114:$B$131))))</f>
        <v>0</v>
      </c>
      <c r="AQ25">
        <f>(((SUMIF('Cost Breakdowns'!$D$114:$D$131,"ISIC 62T63",'Cost Breakdowns'!$B$114:$B$131))))</f>
        <v>0</v>
      </c>
      <c r="AR25">
        <f>(((SUMIF('Cost Breakdowns'!$D$114:$D$131,"ISIC 64T66",'Cost Breakdowns'!$B$114:$B$131))))</f>
        <v>5.8823529411764714E-3</v>
      </c>
      <c r="AS25">
        <f>(((SUMIF('Cost Breakdowns'!$D$114:$D$131,"ISIC 68",'Cost Breakdowns'!$B$114:$B$131))))</f>
        <v>4.7058823529411757E-2</v>
      </c>
      <c r="AT25">
        <f>(((SUMIF('Cost Breakdowns'!$D$114:$D$131,"ISIC 69T82",'Cost Breakdowns'!$B$114:$B$131))))*'Factors applied'!$E$143</f>
        <v>0.11764705882352941</v>
      </c>
      <c r="AU25">
        <f>(((SUMIF('Cost Breakdowns'!$D$114:$D$131,"ISIC 69T82",'Cost Breakdowns'!$B$114:$B$131))))*'Factors applied'!$E$144</f>
        <v>0</v>
      </c>
      <c r="AV25">
        <f>(((SUMIF('Cost Breakdowns'!$D$114:$D$131,"ISIC 84",'Cost Breakdowns'!$B$114:$B$131))))</f>
        <v>2.3529411764705879E-2</v>
      </c>
      <c r="AW25">
        <f>(((SUMIF('Cost Breakdowns'!$D$114:$D$131,"ISIC 85",'Cost Breakdowns'!$B$114:$B$131))))</f>
        <v>0</v>
      </c>
      <c r="AX25">
        <f>(((SUMIF('Cost Breakdowns'!$D$114:$D$131,"ISIC 86T88",'Cost Breakdowns'!$B$114:$B$131))))</f>
        <v>0</v>
      </c>
      <c r="AY25">
        <f>(((SUMIF('Cost Breakdowns'!$D$114:$D$131,"ISIC 90T96",'Cost Breakdowns'!$B$114:$B$131))))*'Factors applied'!$E$145</f>
        <v>0</v>
      </c>
      <c r="AZ25">
        <f>(((SUMIF('Cost Breakdowns'!$D$114:$D$131,"ISIC 90T96",'Cost Breakdowns'!$B$114:$B$131))))*'Factors applied'!$E$146</f>
        <v>0</v>
      </c>
      <c r="BA25">
        <f>(((SUMIF('Cost Breakdowns'!$D$114:$D$131,"ISIC 97T98",'Cost Breakdowns'!$B$114:$B$131))))</f>
        <v>0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</sheetPr>
  <dimension ref="A1:BA25"/>
  <sheetViews>
    <sheetView topLeftCell="N1" workbookViewId="0">
      <selection activeCell="B25" sqref="B25:AQ25"/>
    </sheetView>
  </sheetViews>
  <sheetFormatPr defaultRowHeight="15" x14ac:dyDescent="0.25"/>
  <cols>
    <col min="1" max="1" width="27.42578125" customWidth="1"/>
    <col min="2" max="2" width="10.5703125" bestFit="1" customWidth="1"/>
    <col min="3" max="3" width="9.7109375" bestFit="1" customWidth="1"/>
    <col min="4" max="4" width="9.7109375" customWidth="1"/>
    <col min="5" max="5" width="9.7109375" bestFit="1" customWidth="1"/>
    <col min="6" max="6" width="6.7109375" bestFit="1" customWidth="1"/>
    <col min="7" max="8" width="9.7109375" bestFit="1" customWidth="1"/>
    <col min="9" max="9" width="6.7109375" bestFit="1" customWidth="1"/>
    <col min="10" max="10" width="9.7109375" bestFit="1" customWidth="1"/>
    <col min="11" max="11" width="7.140625" customWidth="1"/>
    <col min="12" max="12" width="9.7109375" bestFit="1" customWidth="1"/>
    <col min="13" max="24" width="8" customWidth="1"/>
    <col min="25" max="26" width="9.7109375" bestFit="1" customWidth="1"/>
    <col min="27" max="28" width="9.7109375" customWidth="1"/>
    <col min="29" max="33" width="9.7109375" bestFit="1" customWidth="1"/>
    <col min="34" max="34" width="6.7109375" bestFit="1" customWidth="1"/>
    <col min="35" max="36" width="9.7109375" bestFit="1" customWidth="1"/>
    <col min="37" max="37" width="6.7109375" bestFit="1" customWidth="1"/>
    <col min="38" max="38" width="9.7109375" bestFit="1" customWidth="1"/>
    <col min="39" max="40" width="7.140625" customWidth="1"/>
    <col min="41" max="43" width="9.7109375" bestFit="1" customWidth="1"/>
  </cols>
  <sheetData>
    <row r="1" spans="1:53" x14ac:dyDescent="0.25">
      <c r="A1" s="124" t="s">
        <v>0</v>
      </c>
      <c r="B1" s="123" t="s">
        <v>1</v>
      </c>
      <c r="C1" s="123" t="s">
        <v>2</v>
      </c>
      <c r="D1" s="123" t="s">
        <v>3</v>
      </c>
      <c r="E1" s="123" t="s">
        <v>4</v>
      </c>
      <c r="F1" s="123" t="s">
        <v>5</v>
      </c>
      <c r="G1" s="123" t="s">
        <v>6</v>
      </c>
      <c r="H1" s="123" t="s">
        <v>7</v>
      </c>
      <c r="I1" s="123" t="s">
        <v>8</v>
      </c>
      <c r="J1" s="123" t="s">
        <v>9</v>
      </c>
      <c r="K1" s="123" t="s">
        <v>10</v>
      </c>
      <c r="L1" s="123" t="s">
        <v>11</v>
      </c>
      <c r="M1" s="123" t="s">
        <v>12</v>
      </c>
      <c r="N1" s="123" t="s">
        <v>13</v>
      </c>
      <c r="O1" s="123" t="s">
        <v>14</v>
      </c>
      <c r="P1" s="123" t="s">
        <v>15</v>
      </c>
      <c r="Q1" s="123" t="s">
        <v>16</v>
      </c>
      <c r="R1" s="123" t="s">
        <v>17</v>
      </c>
      <c r="S1" s="123" t="s">
        <v>18</v>
      </c>
      <c r="T1" s="123" t="s">
        <v>19</v>
      </c>
      <c r="U1" s="123" t="s">
        <v>20</v>
      </c>
      <c r="V1" s="123" t="s">
        <v>21</v>
      </c>
      <c r="W1" s="123" t="s">
        <v>22</v>
      </c>
      <c r="X1" s="123" t="s">
        <v>23</v>
      </c>
      <c r="Y1" s="123" t="s">
        <v>24</v>
      </c>
      <c r="Z1" s="123" t="s">
        <v>25</v>
      </c>
      <c r="AA1" s="123" t="s">
        <v>26</v>
      </c>
      <c r="AB1" s="123" t="s">
        <v>27</v>
      </c>
      <c r="AC1" s="123" t="s">
        <v>28</v>
      </c>
      <c r="AD1" s="123" t="s">
        <v>29</v>
      </c>
      <c r="AE1" s="123" t="s">
        <v>30</v>
      </c>
      <c r="AF1" s="123" t="s">
        <v>31</v>
      </c>
      <c r="AG1" s="123" t="s">
        <v>32</v>
      </c>
      <c r="AH1" s="123" t="s">
        <v>33</v>
      </c>
      <c r="AI1" s="123" t="s">
        <v>34</v>
      </c>
      <c r="AJ1" s="123" t="s">
        <v>35</v>
      </c>
      <c r="AK1" s="123" t="s">
        <v>36</v>
      </c>
      <c r="AL1" s="123" t="s">
        <v>37</v>
      </c>
      <c r="AM1" s="123" t="s">
        <v>38</v>
      </c>
      <c r="AN1" s="123" t="s">
        <v>39</v>
      </c>
      <c r="AO1" s="123" t="s">
        <v>40</v>
      </c>
      <c r="AP1" s="123" t="s">
        <v>41</v>
      </c>
      <c r="AQ1" s="123" t="s">
        <v>42</v>
      </c>
      <c r="AR1" s="123" t="s">
        <v>43</v>
      </c>
      <c r="AS1" s="123" t="s">
        <v>44</v>
      </c>
      <c r="AT1" s="123" t="s">
        <v>45</v>
      </c>
      <c r="AU1" s="123" t="s">
        <v>46</v>
      </c>
      <c r="AV1" s="123" t="s">
        <v>47</v>
      </c>
      <c r="AW1" s="123" t="s">
        <v>48</v>
      </c>
      <c r="AX1" s="123" t="s">
        <v>49</v>
      </c>
      <c r="AY1" s="123" t="s">
        <v>50</v>
      </c>
      <c r="AZ1" s="123" t="s">
        <v>51</v>
      </c>
      <c r="BA1" s="123" t="s">
        <v>52</v>
      </c>
    </row>
    <row r="2" spans="1:53" x14ac:dyDescent="0.25">
      <c r="A2" t="s">
        <v>53</v>
      </c>
      <c r="B2">
        <f>(SUMIF('Cost Breakdowns'!$D$100:$D$102,"ISIC 01T03",'Cost Breakdowns'!$B$100:$B$102))*'Factors applied'!$E$451</f>
        <v>0</v>
      </c>
      <c r="C2">
        <f>(SUMIF('Cost Breakdowns'!$D$100:$D$102,"ISIC 01T03",'Cost Breakdowns'!$B$100:$B$102))*'Factors applied'!$E$452</f>
        <v>0</v>
      </c>
      <c r="D2">
        <f>(SUMIF('Cost Breakdowns'!$D$100:$D$102,"ISIC 01T03",'Cost Breakdowns'!$B$100:$B$102))*'Factors applied'!$E$453</f>
        <v>0</v>
      </c>
      <c r="E2">
        <f>(SUMIF('Cost Breakdowns'!$D$100:$D$102,"ISIC 05",'Cost Breakdowns'!$B$100:$B$102))</f>
        <v>0</v>
      </c>
      <c r="F2">
        <f>(SUMIF('Cost Breakdowns'!$D$100:$D$102,"ISIC 06",'Cost Breakdowns'!$B$100:$B$102))</f>
        <v>0</v>
      </c>
      <c r="G2">
        <f>(SUMIF('Cost Breakdowns'!$D$100:$D$102,"ISIC 07T08",'Cost Breakdowns'!$B$100:$B$102))*'Factors applied'!$E$454</f>
        <v>0</v>
      </c>
      <c r="H2">
        <f>(SUMIF('Cost Breakdowns'!$D$100:$D$102,"ISIC 07T08",'Cost Breakdowns'!$B$100:$B$102))*'Factors applied'!$E$455</f>
        <v>0</v>
      </c>
      <c r="I2">
        <f>(SUMIF('Cost Breakdowns'!$D$100:$D$102,"ISIC 09",'Cost Breakdowns'!$B$100:$B$102))</f>
        <v>0</v>
      </c>
      <c r="J2">
        <f>(SUMIF('Cost Breakdowns'!$D$100:$D$102,"ISIC 10T12",'Cost Breakdowns'!$B$100:$B$102))</f>
        <v>0</v>
      </c>
      <c r="K2">
        <f>(SUMIF('Cost Breakdowns'!$D$100:$D$102,"ISIC 13T15",'Cost Breakdowns'!$B$100:$B$102))</f>
        <v>0</v>
      </c>
      <c r="L2">
        <f>(SUMIF('Cost Breakdowns'!$D$100:$D$102,"ISIC 16",'Cost Breakdowns'!$B$100:$B$102))</f>
        <v>0</v>
      </c>
      <c r="M2">
        <f>(SUMIF('Cost Breakdowns'!$D$100:$D$102,"ISIC 17T18",'Cost Breakdowns'!$B$100:$B$102))</f>
        <v>0</v>
      </c>
      <c r="N2">
        <f>(SUMIF('Cost Breakdowns'!$D$100:$D$102,"ISIC 19",'Cost Breakdowns'!$B$100:$B$102))</f>
        <v>0</v>
      </c>
      <c r="O2">
        <f>(SUMIF('Cost Breakdowns'!$D$100:$D$102,"ISIC 20",'Cost Breakdowns'!$B$100:$B$102))</f>
        <v>0</v>
      </c>
      <c r="P2">
        <f>(SUMIF('Cost Breakdowns'!$D$100:$D$102,"ISIC 21",'Cost Breakdowns'!$B$100:$B$102))</f>
        <v>0</v>
      </c>
      <c r="Q2">
        <f>(SUMIF('Cost Breakdowns'!$D$100:$D$102,"ISIC 22",'Cost Breakdowns'!$B$100:$B$102))</f>
        <v>0</v>
      </c>
      <c r="R2">
        <f>(SUMIF('Cost Breakdowns'!$D$100:$D$102,"ISIC 231",'Cost Breakdowns'!$B$100:$B$102))</f>
        <v>0</v>
      </c>
      <c r="S2">
        <f>(SUMIF('Cost Breakdowns'!$D$100:$D$102,"ISIC 239",'Cost Breakdowns'!$B$100:$B$102))</f>
        <v>0</v>
      </c>
      <c r="T2">
        <f>(SUMIF('Cost Breakdowns'!$D$100:$D$102,"ISIC 241",'Cost Breakdowns'!$B$100:$B$102))</f>
        <v>0</v>
      </c>
      <c r="U2">
        <f>(SUMIF('Cost Breakdowns'!$D$100:$D$102,"ISIC 242",'Cost Breakdowns'!$B$100:$B$102))</f>
        <v>0</v>
      </c>
      <c r="V2">
        <f>(SUMIF('Cost Breakdowns'!$D$100:$D$102,"ISIC 25",'Cost Breakdowns'!$B$100:$B$102))</f>
        <v>0</v>
      </c>
      <c r="W2">
        <f>(SUMIF('Cost Breakdowns'!$D$100:$D$102,"ISIC 26",'Cost Breakdowns'!$B$100:$B$102))</f>
        <v>0</v>
      </c>
      <c r="X2">
        <f>(SUMIF('Cost Breakdowns'!$D$100:$D$102,"ISIC 27",'Cost Breakdowns'!$B$100:$B$102))</f>
        <v>0</v>
      </c>
      <c r="Y2">
        <f>(SUMIF('Cost Breakdowns'!$D$100:$D$102,"ISIC 28",'Cost Breakdowns'!$B$100:$B$102))</f>
        <v>0.25108225108225107</v>
      </c>
      <c r="Z2">
        <f>(SUMIF('Cost Breakdowns'!$D$100:$D$102,"ISIC 29",'Cost Breakdowns'!$B$100:$B$102))</f>
        <v>0</v>
      </c>
      <c r="AA2">
        <f>(SUMIF('Cost Breakdowns'!$D$100:$D$102,"ISIC 30",'Cost Breakdowns'!$B$100:$B$102))*'Factors applied'!$E$456</f>
        <v>0</v>
      </c>
      <c r="AB2">
        <f>(SUMIF('Cost Breakdowns'!$D$100:$D$102,"ISIC 30",'Cost Breakdowns'!$B$100:$B$102))*'Factors applied'!$E$457</f>
        <v>0</v>
      </c>
      <c r="AC2">
        <f>(SUMIF('Cost Breakdowns'!$D$100:$D$102,"ISIC 31T33",'Cost Breakdowns'!$B$100:$B$102))</f>
        <v>0</v>
      </c>
      <c r="AD2">
        <f>(SUMIF('Cost Breakdowns'!$D$100:$D$102,"ISIC 351",'Cost Breakdowns'!$B$100:$B$102))</f>
        <v>0.59740259740259738</v>
      </c>
      <c r="AE2">
        <f>(SUMIF('Cost Breakdowns'!$D$100:$D$102,"ISIC 352T353",'Cost Breakdowns'!$B$100:$B$102))</f>
        <v>0</v>
      </c>
      <c r="AF2">
        <f>(SUMIF('Cost Breakdowns'!$D$100:$D$102,"ISIC 36T39",'Cost Breakdowns'!$B$100:$B$102))</f>
        <v>0</v>
      </c>
      <c r="AG2">
        <f>(SUMIF('Cost Breakdowns'!$D$100:$D$102,"ISIC 41T43",'Cost Breakdowns'!$B$100:$B$102))</f>
        <v>0</v>
      </c>
      <c r="AH2">
        <f>(SUMIF('Cost Breakdowns'!$D$100:$D$102,"ISIC 45T47",'Cost Breakdowns'!$B$100:$B$102))</f>
        <v>0</v>
      </c>
      <c r="AI2">
        <f>(SUMIF('Cost Breakdowns'!$D$100:$D$102,"ISIC 49T53",'Cost Breakdowns'!$B$100:$B$102))*'Factors applied'!$E$458</f>
        <v>0</v>
      </c>
      <c r="AJ2">
        <f>(SUMIF('Cost Breakdowns'!$D$100:$D$102,"ISIC 49T53",'Cost Breakdowns'!$B$100:$B$102))*'Factors applied'!$E$459</f>
        <v>0</v>
      </c>
      <c r="AK2">
        <f>(SUMIF('Cost Breakdowns'!$D$100:$D$102,"ISIC 49T53",'Cost Breakdowns'!$B$100:$B$102))*'Factors applied'!$E$460</f>
        <v>0</v>
      </c>
      <c r="AL2">
        <f>(SUMIF('Cost Breakdowns'!$D$100:$D$102,"ISIC 49T53",'Cost Breakdowns'!$B$100:$B$102))*'Factors applied'!$E$461</f>
        <v>0</v>
      </c>
      <c r="AM2">
        <f>(SUMIF('Cost Breakdowns'!$D$100:$D$102,"ISIC 49T53",'Cost Breakdowns'!$B$100:$B$102))*'Factors applied'!$E$462</f>
        <v>0</v>
      </c>
      <c r="AN2">
        <f>(SUMIF('Cost Breakdowns'!$D$100:$D$102,"ISIC 55T56",'Cost Breakdowns'!$B$100:$B$102))</f>
        <v>0</v>
      </c>
      <c r="AO2">
        <f>(SUMIF('Cost Breakdowns'!$D$100:$D$102,"ISIC 58T60",'Cost Breakdowns'!$B$100:$B$102))</f>
        <v>0</v>
      </c>
      <c r="AP2">
        <f>(SUMIF('Cost Breakdowns'!$D$100:$D$102,"ISIC 61",'Cost Breakdowns'!$B$100:$B$102))</f>
        <v>0</v>
      </c>
      <c r="AQ2">
        <f>(SUMIF('Cost Breakdowns'!$D$100:$D$102,"ISIC 62T63",'Cost Breakdowns'!$B$100:$B$102))</f>
        <v>0</v>
      </c>
      <c r="AR2">
        <f>(SUMIF('Cost Breakdowns'!$D$100:$D$102,"ISIC 64T66",'Cost Breakdowns'!$B$100:$B$102))</f>
        <v>0</v>
      </c>
      <c r="AS2">
        <f>(SUMIF('Cost Breakdowns'!$D$100:$D$102,"ISIC 68",'Cost Breakdowns'!$B$100:$B$102))</f>
        <v>0</v>
      </c>
      <c r="AT2">
        <f>(SUMIF('Cost Breakdowns'!$D$100:$D$102,"ISIC 69T82",'Cost Breakdowns'!$B$100:$B$102))*'Factors applied'!$E$463</f>
        <v>0.15151515151515149</v>
      </c>
      <c r="AU2">
        <f>(SUMIF('Cost Breakdowns'!$D$100:$D$102,"ISIC 69T82",'Cost Breakdowns'!$B$100:$B$102))*'Factors applied'!$E$464</f>
        <v>0</v>
      </c>
      <c r="AV2">
        <f>(SUMIF('Cost Breakdowns'!$D$100:$D$102,"ISIC 84",'Cost Breakdowns'!$B$100:$B$102))</f>
        <v>0</v>
      </c>
      <c r="AW2">
        <f>(SUMIF('Cost Breakdowns'!$D$100:$D$102,"ISIC 85",'Cost Breakdowns'!$B$100:$B$102))</f>
        <v>0</v>
      </c>
      <c r="AX2">
        <f>(SUMIF('Cost Breakdowns'!$D$100:$D$102,"ISIC 86T88",'Cost Breakdowns'!$B$100:$B$102))</f>
        <v>0</v>
      </c>
      <c r="AY2">
        <f>(SUMIF('Cost Breakdowns'!$D$100:$D$102,"ISIC 90T96",'Cost Breakdowns'!$B$100:$B$102))*'Factors applied'!$E$465</f>
        <v>0</v>
      </c>
      <c r="AZ2">
        <f>(SUMIF('Cost Breakdowns'!$D$100:$D$102,"ISIC 90T96",'Cost Breakdowns'!$B$100:$B$102))*'Factors applied'!$E$466</f>
        <v>0</v>
      </c>
      <c r="BA2">
        <f>(SUMIF('Cost Breakdowns'!$D$100:$D$102,"ISIC 97T98",'Cost Breakdowns'!$B$100:$B$102))</f>
        <v>0</v>
      </c>
    </row>
    <row r="3" spans="1:53" x14ac:dyDescent="0.25">
      <c r="A3" t="s">
        <v>54</v>
      </c>
      <c r="B3">
        <f>(SUMIF('Cost Breakdowns'!$D$135:$D$137,"ISIC 01T03",'Cost Breakdowns'!$B$135:$B$137))*'Factors applied'!$E$643</f>
        <v>0</v>
      </c>
      <c r="C3">
        <f>(SUMIF('Cost Breakdowns'!$D$135:$D$137,"ISIC 01T03",'Cost Breakdowns'!$B$135:$B$137))*'Factors applied'!$E$644</f>
        <v>0</v>
      </c>
      <c r="D3">
        <f>(SUMIF('Cost Breakdowns'!$D$135:$D$137,"ISIC 01T03",'Cost Breakdowns'!$B$135:$B$137))*'Factors applied'!$E$645</f>
        <v>0</v>
      </c>
      <c r="E3">
        <f>(SUMIF('Cost Breakdowns'!$D$135:$D$137,"ISIC 05",'Cost Breakdowns'!$B$135:$B$137))</f>
        <v>0</v>
      </c>
      <c r="F3">
        <f>(SUMIF('Cost Breakdowns'!$D$135:$D$137,"ISIC 06",'Cost Breakdowns'!$B$135:$B$137))</f>
        <v>0</v>
      </c>
      <c r="G3">
        <f>(SUMIF('Cost Breakdowns'!$D$135:$D$137,"ISIC 07T08",'Cost Breakdowns'!$B$135:$B$137))*'Factors applied'!$E$646</f>
        <v>0</v>
      </c>
      <c r="H3">
        <f>(SUMIF('Cost Breakdowns'!$D$135:$D$137,"ISIC 07T08",'Cost Breakdowns'!$B$135:$B$137))*'Factors applied'!$E$647</f>
        <v>0</v>
      </c>
      <c r="I3">
        <f>(SUMIF('Cost Breakdowns'!$D$135:$D$137,"ISIC 09",'Cost Breakdowns'!$B$135:$B$137))</f>
        <v>0</v>
      </c>
      <c r="J3">
        <f>(SUMIF('Cost Breakdowns'!$D$135:$D$137,"ISIC 10T12",'Cost Breakdowns'!$B$135:$B$137))</f>
        <v>0</v>
      </c>
      <c r="K3">
        <f>(SUMIF('Cost Breakdowns'!$D$135:$D$137,"ISIC 13T15",'Cost Breakdowns'!$B$135:$B$137))</f>
        <v>0</v>
      </c>
      <c r="L3">
        <f>(SUMIF('Cost Breakdowns'!$D$135:$D$137,"ISIC 16",'Cost Breakdowns'!$B$135:$B$137))</f>
        <v>0</v>
      </c>
      <c r="M3">
        <f>(SUMIF('Cost Breakdowns'!$D$135:$D$137,"ISIC 17T18",'Cost Breakdowns'!$B$135:$B$137))</f>
        <v>0</v>
      </c>
      <c r="N3">
        <f>(SUMIF('Cost Breakdowns'!$D$135:$D$137,"ISIC 19",'Cost Breakdowns'!$B$135:$B$137))</f>
        <v>0</v>
      </c>
      <c r="O3">
        <f>(SUMIF('Cost Breakdowns'!$D$135:$D$137,"ISIC 20",'Cost Breakdowns'!$B$135:$B$137))</f>
        <v>0</v>
      </c>
      <c r="P3">
        <f>(SUMIF('Cost Breakdowns'!$D$135:$D$137,"ISIC 21",'Cost Breakdowns'!$B$135:$B$137))</f>
        <v>0</v>
      </c>
      <c r="Q3">
        <f>(SUMIF('Cost Breakdowns'!$D$135:$D$137,"ISIC 22",'Cost Breakdowns'!$B$135:$B$137))</f>
        <v>0</v>
      </c>
      <c r="R3">
        <f>(SUMIF('Cost Breakdowns'!$D$135:$D$137,"ISIC 231",'Cost Breakdowns'!$B$135:$B$137))</f>
        <v>0</v>
      </c>
      <c r="S3">
        <f>(SUMIF('Cost Breakdowns'!$D$135:$D$137,"ISIC 239",'Cost Breakdowns'!$B$135:$B$137))</f>
        <v>0</v>
      </c>
      <c r="T3">
        <f>(SUMIF('Cost Breakdowns'!$D$135:$D$137,"ISIC 241",'Cost Breakdowns'!$B$135:$B$137))</f>
        <v>0</v>
      </c>
      <c r="U3">
        <f>(SUMIF('Cost Breakdowns'!$D$135:$D$137,"ISIC 242",'Cost Breakdowns'!$B$135:$B$137))</f>
        <v>0</v>
      </c>
      <c r="V3">
        <f>(SUMIF('Cost Breakdowns'!$D$135:$D$137,"ISIC 25",'Cost Breakdowns'!$B$135:$B$137))</f>
        <v>0</v>
      </c>
      <c r="W3">
        <f>(SUMIF('Cost Breakdowns'!$D$135:$D$137,"ISIC 26",'Cost Breakdowns'!$B$135:$B$137))</f>
        <v>0</v>
      </c>
      <c r="X3">
        <f>(SUMIF('Cost Breakdowns'!$D$135:$D$137,"ISIC 27",'Cost Breakdowns'!$B$135:$B$137))</f>
        <v>0</v>
      </c>
      <c r="Y3">
        <f>(SUMIF('Cost Breakdowns'!$D$135:$D$137,"ISIC 28",'Cost Breakdowns'!$B$135:$B$137))</f>
        <v>6.0604166666666653E-2</v>
      </c>
      <c r="Z3">
        <f>(SUMIF('Cost Breakdowns'!$D$135:$D$137,"ISIC 29",'Cost Breakdowns'!$B$135:$B$137))</f>
        <v>0</v>
      </c>
      <c r="AA3">
        <f>(SUMIF('Cost Breakdowns'!$D$135:$D$137,"ISIC 30",'Cost Breakdowns'!$B$135:$B$137))*'Factors applied'!$E$648</f>
        <v>0</v>
      </c>
      <c r="AB3">
        <f>(SUMIF('Cost Breakdowns'!$D$135:$D$137,"ISIC 30",'Cost Breakdowns'!$B$135:$B$137))*'Factors applied'!$E$649</f>
        <v>0</v>
      </c>
      <c r="AC3">
        <f>(SUMIF('Cost Breakdowns'!$D$135:$D$137,"ISIC 31T33",'Cost Breakdowns'!$B$135:$B$137))</f>
        <v>0</v>
      </c>
      <c r="AD3">
        <f>(SUMIF('Cost Breakdowns'!$D$135:$D$137,"ISIC 351",'Cost Breakdowns'!$B$135:$B$137))</f>
        <v>0.41820000000000018</v>
      </c>
      <c r="AE3">
        <f>(SUMIF('Cost Breakdowns'!$D$135:$D$137,"ISIC 352T353",'Cost Breakdowns'!$B$135:$B$137))</f>
        <v>0</v>
      </c>
      <c r="AF3">
        <f>(SUMIF('Cost Breakdowns'!$D$135:$D$137,"ISIC 36T39",'Cost Breakdowns'!$B$135:$B$137))</f>
        <v>0</v>
      </c>
      <c r="AG3">
        <f>(SUMIF('Cost Breakdowns'!$D$135:$D$137,"ISIC 41T43",'Cost Breakdowns'!$B$135:$B$137))</f>
        <v>0</v>
      </c>
      <c r="AH3">
        <f>(SUMIF('Cost Breakdowns'!$D$135:$D$137,"ISIC 45T47",'Cost Breakdowns'!$B$135:$B$137))</f>
        <v>0</v>
      </c>
      <c r="AI3">
        <f>(SUMIF('Cost Breakdowns'!$D$135:$D$137,"ISIC 49T53",'Cost Breakdowns'!$B$135:$B$137))*'Factors applied'!$E$650</f>
        <v>0</v>
      </c>
      <c r="AJ3">
        <f>(SUMIF('Cost Breakdowns'!$D$135:$D$137,"ISIC 49T53",'Cost Breakdowns'!$B$135:$B$137))*'Factors applied'!$E$651</f>
        <v>0</v>
      </c>
      <c r="AK3">
        <f>(SUMIF('Cost Breakdowns'!$D$135:$D$137,"ISIC 49T53",'Cost Breakdowns'!$B$135:$B$137))*'Factors applied'!$E$652</f>
        <v>0</v>
      </c>
      <c r="AL3">
        <f>(SUMIF('Cost Breakdowns'!$D$135:$D$137,"ISIC 49T53",'Cost Breakdowns'!$B$135:$B$137))*'Factors applied'!$E$653</f>
        <v>0</v>
      </c>
      <c r="AM3">
        <f>(SUMIF('Cost Breakdowns'!$D$135:$D$137,"ISIC 49T53",'Cost Breakdowns'!$B$135:$B$137))*'Factors applied'!$E$654</f>
        <v>0</v>
      </c>
      <c r="AN3">
        <f>(SUMIF('Cost Breakdowns'!$D$135:$D$137,"ISIC 55T56",'Cost Breakdowns'!$B$135:$B$137))</f>
        <v>0</v>
      </c>
      <c r="AO3">
        <f>(SUMIF('Cost Breakdowns'!$D$135:$D$137,"ISIC 58T60",'Cost Breakdowns'!$B$135:$B$137))</f>
        <v>0</v>
      </c>
      <c r="AP3">
        <f>(SUMIF('Cost Breakdowns'!$D$135:$D$137,"ISIC 61",'Cost Breakdowns'!$B$135:$B$137))</f>
        <v>0</v>
      </c>
      <c r="AQ3">
        <f>(SUMIF('Cost Breakdowns'!$D$135:$D$137,"ISIC 62T63",'Cost Breakdowns'!$B$135:$B$137))</f>
        <v>0</v>
      </c>
      <c r="AR3">
        <f>(SUMIF('Cost Breakdowns'!$D$135:$D$137,"ISIC 64T66",'Cost Breakdowns'!$B$135:$B$137))</f>
        <v>0</v>
      </c>
      <c r="AS3">
        <f>(SUMIF('Cost Breakdowns'!$D$135:$D$137,"ISIC 68",'Cost Breakdowns'!$B$135:$B$137))</f>
        <v>0</v>
      </c>
      <c r="AT3">
        <f>(SUMIF('Cost Breakdowns'!$D$135:$D$137,"ISIC 69T82",'Cost Breakdowns'!$B$135:$B$137))*'Factors applied'!$E$655</f>
        <v>0.52119583333333308</v>
      </c>
      <c r="AU3">
        <f>(SUMIF('Cost Breakdowns'!$D$135:$D$137,"ISIC 69T82",'Cost Breakdowns'!$B$135:$B$137))*'Factors applied'!$E$656</f>
        <v>0</v>
      </c>
      <c r="AV3">
        <f>(SUMIF('Cost Breakdowns'!$D$135:$D$137,"ISIC 84",'Cost Breakdowns'!$B$135:$B$137))</f>
        <v>0</v>
      </c>
      <c r="AW3">
        <f>(SUMIF('Cost Breakdowns'!$D$135:$D$137,"ISIC 85",'Cost Breakdowns'!$B$135:$B$137))</f>
        <v>0</v>
      </c>
      <c r="AX3">
        <f>(SUMIF('Cost Breakdowns'!$D$135:$D$137,"ISIC 86T88",'Cost Breakdowns'!$B$135:$B$137))</f>
        <v>0</v>
      </c>
      <c r="AY3">
        <f>(SUMIF('Cost Breakdowns'!$D$135:$D$137,"ISIC 90T96",'Cost Breakdowns'!$B$135:$B$137))*'Factors applied'!$E$657</f>
        <v>0</v>
      </c>
      <c r="AZ3">
        <f>(SUMIF('Cost Breakdowns'!$D$135:$D$137,"ISIC 90T96",'Cost Breakdowns'!$B$135:$B$137))*'Factors applied'!$E$658</f>
        <v>0</v>
      </c>
      <c r="BA3">
        <f>(SUMIF('Cost Breakdowns'!$D$135:$D$137,"ISIC 97T98",'Cost Breakdowns'!$B$135:$B$137))</f>
        <v>0</v>
      </c>
    </row>
    <row r="4" spans="1:53" x14ac:dyDescent="0.25">
      <c r="A4" t="s">
        <v>55</v>
      </c>
      <c r="B4">
        <f>((SUMIF('Cost Breakdowns'!$D$135:$D$137,"ISIC 01T03",'Cost Breakdowns'!$B$135:$B$137)))*'Factors applied'!$E$595</f>
        <v>0</v>
      </c>
      <c r="C4">
        <f>((SUMIF('Cost Breakdowns'!$D$135:$D$137,"ISIC 01T03",'Cost Breakdowns'!$B$135:$B$137)))*'Factors applied'!$E$596</f>
        <v>0</v>
      </c>
      <c r="D4">
        <f>((SUMIF('Cost Breakdowns'!$D$135:$D$137,"ISIC 01T03",'Cost Breakdowns'!$B$135:$B$137)))*'Factors applied'!$E$597</f>
        <v>0</v>
      </c>
      <c r="E4">
        <f>((SUMIF('Cost Breakdowns'!$D$135:$D$137,"ISIC 05",'Cost Breakdowns'!$B$135:$B$137)))</f>
        <v>0</v>
      </c>
      <c r="F4">
        <f>((SUMIF('Cost Breakdowns'!$D$135:$D$137,"ISIC 06",'Cost Breakdowns'!$B$135:$B$137)))</f>
        <v>0</v>
      </c>
      <c r="G4">
        <f>((SUMIF('Cost Breakdowns'!$D$135:$D$137,"ISIC 07T08",'Cost Breakdowns'!$B$135:$B$137)))*'Factors applied'!$E$598</f>
        <v>0</v>
      </c>
      <c r="H4">
        <f>((SUMIF('Cost Breakdowns'!$D$135:$D$137,"ISIC 07T08",'Cost Breakdowns'!$B$135:$B$137)))*'Factors applied'!$E$599</f>
        <v>0</v>
      </c>
      <c r="I4">
        <f>((SUMIF('Cost Breakdowns'!$D$135:$D$137,"ISIC 09",'Cost Breakdowns'!$B$135:$B$137)))</f>
        <v>0</v>
      </c>
      <c r="J4">
        <f>((SUMIF('Cost Breakdowns'!$D$135:$D$137,"ISIC 10T12",'Cost Breakdowns'!$B$135:$B$137)))</f>
        <v>0</v>
      </c>
      <c r="K4">
        <f>((SUMIF('Cost Breakdowns'!$D$135:$D$137,"ISIC 13T15",'Cost Breakdowns'!$B$135:$B$137)))</f>
        <v>0</v>
      </c>
      <c r="L4">
        <f>((SUMIF('Cost Breakdowns'!$D$135:$D$137,"ISIC 16",'Cost Breakdowns'!$B$135:$B$137)))</f>
        <v>0</v>
      </c>
      <c r="M4">
        <f>((SUMIF('Cost Breakdowns'!$D$135:$D$137,"ISIC 17T18",'Cost Breakdowns'!$B$135:$B$137)))</f>
        <v>0</v>
      </c>
      <c r="N4">
        <f>((SUMIF('Cost Breakdowns'!$D$135:$D$137,"ISIC 19",'Cost Breakdowns'!$B$135:$B$137)))</f>
        <v>0</v>
      </c>
      <c r="O4">
        <f>((SUMIF('Cost Breakdowns'!$D$135:$D$137,"ISIC 20",'Cost Breakdowns'!$B$135:$B$137)))</f>
        <v>0</v>
      </c>
      <c r="P4">
        <f>((SUMIF('Cost Breakdowns'!$D$135:$D$137,"ISIC 21",'Cost Breakdowns'!$B$135:$B$137)))</f>
        <v>0</v>
      </c>
      <c r="Q4">
        <f>((SUMIF('Cost Breakdowns'!$D$135:$D$137,"ISIC 22",'Cost Breakdowns'!$B$135:$B$137)))</f>
        <v>0</v>
      </c>
      <c r="R4">
        <f>((SUMIF('Cost Breakdowns'!$D$135:$D$137,"ISIC 231",'Cost Breakdowns'!$B$135:$B$137)))</f>
        <v>0</v>
      </c>
      <c r="S4">
        <f>((SUMIF('Cost Breakdowns'!$D$135:$D$137,"ISIC 239",'Cost Breakdowns'!$B$135:$B$137)))</f>
        <v>0</v>
      </c>
      <c r="T4">
        <f>((SUMIF('Cost Breakdowns'!$D$135:$D$137,"ISIC 241",'Cost Breakdowns'!$B$135:$B$137)))</f>
        <v>0</v>
      </c>
      <c r="U4">
        <f>((SUMIF('Cost Breakdowns'!$D$135:$D$137,"ISIC 242",'Cost Breakdowns'!$B$135:$B$137)))</f>
        <v>0</v>
      </c>
      <c r="V4">
        <f>((SUMIF('Cost Breakdowns'!$D$135:$D$137,"ISIC 25",'Cost Breakdowns'!$B$135:$B$137)))</f>
        <v>0</v>
      </c>
      <c r="W4">
        <f>((SUMIF('Cost Breakdowns'!$D$135:$D$137,"ISIC 26",'Cost Breakdowns'!$B$135:$B$137)))</f>
        <v>0</v>
      </c>
      <c r="X4">
        <f>((SUMIF('Cost Breakdowns'!$D$135:$D$137,"ISIC 27",'Cost Breakdowns'!$B$135:$B$137)))</f>
        <v>0</v>
      </c>
      <c r="Y4">
        <f>((SUMIF('Cost Breakdowns'!$D$135:$D$137,"ISIC 28",'Cost Breakdowns'!$B$135:$B$137)))</f>
        <v>6.0604166666666653E-2</v>
      </c>
      <c r="Z4">
        <f>((SUMIF('Cost Breakdowns'!$D$135:$D$137,"ISIC 29",'Cost Breakdowns'!$B$135:$B$137)))</f>
        <v>0</v>
      </c>
      <c r="AA4">
        <f>((SUMIF('Cost Breakdowns'!$D$135:$D$137,"ISIC 30",'Cost Breakdowns'!$B$135:$B$137)))*'Factors applied'!$E$600</f>
        <v>0</v>
      </c>
      <c r="AB4">
        <f>((SUMIF('Cost Breakdowns'!$D$135:$D$137,"ISIC 30",'Cost Breakdowns'!$B$135:$B$137)))*'Factors applied'!$E$601</f>
        <v>0</v>
      </c>
      <c r="AC4">
        <f>((SUMIF('Cost Breakdowns'!$D$135:$D$137,"ISIC 31T33",'Cost Breakdowns'!$B$135:$B$137)))</f>
        <v>0</v>
      </c>
      <c r="AD4">
        <f>((SUMIF('Cost Breakdowns'!$D$135:$D$137,"ISIC 351",'Cost Breakdowns'!$B$135:$B$137)))</f>
        <v>0.41820000000000018</v>
      </c>
      <c r="AE4">
        <f>((SUMIF('Cost Breakdowns'!$D$135:$D$137,"ISIC 352T353",'Cost Breakdowns'!$B$135:$B$137)))</f>
        <v>0</v>
      </c>
      <c r="AF4">
        <f>((SUMIF('Cost Breakdowns'!$D$135:$D$137,"ISIC 36T39",'Cost Breakdowns'!$B$135:$B$137)))</f>
        <v>0</v>
      </c>
      <c r="AG4">
        <f>((SUMIF('Cost Breakdowns'!$D$135:$D$137,"ISIC 41T43",'Cost Breakdowns'!$B$135:$B$137)))</f>
        <v>0</v>
      </c>
      <c r="AH4">
        <f>((SUMIF('Cost Breakdowns'!$D$135:$D$137,"ISIC 45T47",'Cost Breakdowns'!$B$135:$B$137)))</f>
        <v>0</v>
      </c>
      <c r="AI4">
        <f>((SUMIF('Cost Breakdowns'!$D$135:$D$137,"ISIC 49T53",'Cost Breakdowns'!$B$135:$B$137)))*'Factors applied'!$E$602</f>
        <v>0</v>
      </c>
      <c r="AJ4">
        <f>((SUMIF('Cost Breakdowns'!$D$135:$D$137,"ISIC 49T53",'Cost Breakdowns'!$B$135:$B$137)))*'Factors applied'!$E$603</f>
        <v>0</v>
      </c>
      <c r="AK4">
        <f>((SUMIF('Cost Breakdowns'!$D$135:$D$137,"ISIC 49T53",'Cost Breakdowns'!$B$135:$B$137)))*'Factors applied'!$E$604</f>
        <v>0</v>
      </c>
      <c r="AL4">
        <f>((SUMIF('Cost Breakdowns'!$D$135:$D$137,"ISIC 49T53",'Cost Breakdowns'!$B$135:$B$137)))*'Factors applied'!$E$605</f>
        <v>0</v>
      </c>
      <c r="AM4">
        <f>((SUMIF('Cost Breakdowns'!$D$135:$D$137,"ISIC 49T53",'Cost Breakdowns'!$B$135:$B$137)))*'Factors applied'!$E$606</f>
        <v>0</v>
      </c>
      <c r="AN4">
        <f>((SUMIF('Cost Breakdowns'!$D$135:$D$137,"ISIC 55T56",'Cost Breakdowns'!$B$135:$B$137)))</f>
        <v>0</v>
      </c>
      <c r="AO4">
        <f>((SUMIF('Cost Breakdowns'!$D$135:$D$137,"ISIC 58T60",'Cost Breakdowns'!$B$135:$B$137)))</f>
        <v>0</v>
      </c>
      <c r="AP4">
        <f>((SUMIF('Cost Breakdowns'!$D$135:$D$137,"ISIC 61",'Cost Breakdowns'!$B$135:$B$137)))</f>
        <v>0</v>
      </c>
      <c r="AQ4">
        <f>((SUMIF('Cost Breakdowns'!$D$135:$D$137,"ISIC 62T63",'Cost Breakdowns'!$B$135:$B$137)))</f>
        <v>0</v>
      </c>
      <c r="AR4">
        <f>((SUMIF('Cost Breakdowns'!$D$135:$D$137,"ISIC 64T66",'Cost Breakdowns'!$B$135:$B$137)))</f>
        <v>0</v>
      </c>
      <c r="AS4">
        <f>((SUMIF('Cost Breakdowns'!$D$135:$D$137,"ISIC 68",'Cost Breakdowns'!$B$135:$B$137)))</f>
        <v>0</v>
      </c>
      <c r="AT4">
        <f>((SUMIF('Cost Breakdowns'!$D$135:$D$137,"ISIC 69T82",'Cost Breakdowns'!$B$135:$B$137)))*'Factors applied'!$E$607</f>
        <v>0.52119583333333308</v>
      </c>
      <c r="AU4">
        <f>((SUMIF('Cost Breakdowns'!$D$135:$D$137,"ISIC 69T82",'Cost Breakdowns'!$B$135:$B$137)))*'Factors applied'!$E$608</f>
        <v>0</v>
      </c>
      <c r="AV4">
        <f>((SUMIF('Cost Breakdowns'!$D$135:$D$137,"ISIC 84",'Cost Breakdowns'!$B$135:$B$137)))</f>
        <v>0</v>
      </c>
      <c r="AW4">
        <f>((SUMIF('Cost Breakdowns'!$D$135:$D$137,"ISIC 85",'Cost Breakdowns'!$B$135:$B$137)))</f>
        <v>0</v>
      </c>
      <c r="AX4">
        <f>((SUMIF('Cost Breakdowns'!$D$135:$D$137,"ISIC 86T88",'Cost Breakdowns'!$B$135:$B$137)))</f>
        <v>0</v>
      </c>
      <c r="AY4">
        <f>((SUMIF('Cost Breakdowns'!$D$135:$D$137,"ISIC 90T96",'Cost Breakdowns'!$B$135:$B$137)))*'Factors applied'!$E$609</f>
        <v>0</v>
      </c>
      <c r="AZ4">
        <f>((SUMIF('Cost Breakdowns'!$D$135:$D$137,"ISIC 90T96",'Cost Breakdowns'!$B$135:$B$137)))*'Factors applied'!$E$610</f>
        <v>0</v>
      </c>
      <c r="BA4">
        <f>((SUMIF('Cost Breakdowns'!$D$135:$D$137,"ISIC 97T98",'Cost Breakdowns'!$B$135:$B$137)))</f>
        <v>0</v>
      </c>
    </row>
    <row r="5" spans="1:53" x14ac:dyDescent="0.25">
      <c r="A5" t="s">
        <v>56</v>
      </c>
      <c r="B5">
        <f>(SUMIF('Cost Breakdowns'!$D$160:$D$160,"ISIC 01T03",'Cost Breakdowns'!$B$160:$B$160))*'Factors applied'!$E$659</f>
        <v>0</v>
      </c>
      <c r="C5">
        <f>(SUMIF('Cost Breakdowns'!$D$160:$D$160,"ISIC 01T03",'Cost Breakdowns'!$B$160:$B$160))*'Factors applied'!$E$660</f>
        <v>0</v>
      </c>
      <c r="D5">
        <f>(SUMIF('Cost Breakdowns'!$D$160:$D$160,"ISIC 01T03",'Cost Breakdowns'!$B$160:$B$160))*'Factors applied'!$E$661</f>
        <v>0</v>
      </c>
      <c r="E5">
        <f>(SUMIF('Cost Breakdowns'!$D$160:$D$160,"ISIC 05",'Cost Breakdowns'!$B$160:$B$160))</f>
        <v>0</v>
      </c>
      <c r="F5">
        <f>(SUMIF('Cost Breakdowns'!$D$160:$D$160,"ISIC 06",'Cost Breakdowns'!$B$160:$B$160))</f>
        <v>0</v>
      </c>
      <c r="G5">
        <f>(SUMIF('Cost Breakdowns'!$D$160:$D$160,"ISIC 07T08",'Cost Breakdowns'!$B$160:$B$160))*'Factors applied'!$E$662</f>
        <v>0</v>
      </c>
      <c r="H5">
        <f>(SUMIF('Cost Breakdowns'!$D$160:$D$160,"ISIC 07T08",'Cost Breakdowns'!$B$160:$B$160))*'Factors applied'!$E$663</f>
        <v>0</v>
      </c>
      <c r="I5">
        <f>(SUMIF('Cost Breakdowns'!$D$160:$D$160,"ISIC 09",'Cost Breakdowns'!$B$160:$B$160))</f>
        <v>0</v>
      </c>
      <c r="J5">
        <f>(SUMIF('Cost Breakdowns'!$D$160:$D$160,"ISIC 10T12",'Cost Breakdowns'!$B$160:$B$160))</f>
        <v>0</v>
      </c>
      <c r="K5">
        <f>(SUMIF('Cost Breakdowns'!$D$160:$D$160,"ISIC 13T15",'Cost Breakdowns'!$B$160:$B$160))</f>
        <v>0</v>
      </c>
      <c r="L5">
        <f>(SUMIF('Cost Breakdowns'!$D$160:$D$160,"ISIC 16",'Cost Breakdowns'!$B$160:$B$160))</f>
        <v>0</v>
      </c>
      <c r="M5">
        <f>(SUMIF('Cost Breakdowns'!$D$160:$D$160,"ISIC 17T18",'Cost Breakdowns'!$B$160:$B$160))</f>
        <v>0</v>
      </c>
      <c r="N5">
        <f>(SUMIF('Cost Breakdowns'!$D$160:$D$160,"ISIC 19",'Cost Breakdowns'!$B$160:$B$160))</f>
        <v>0</v>
      </c>
      <c r="O5">
        <f>(SUMIF('Cost Breakdowns'!$D$160:$D$160,"ISIC 20",'Cost Breakdowns'!$B$160:$B$160))</f>
        <v>0</v>
      </c>
      <c r="P5">
        <f>(SUMIF('Cost Breakdowns'!$D$160:$D$160,"ISIC 21",'Cost Breakdowns'!$B$160:$B$160))</f>
        <v>0</v>
      </c>
      <c r="Q5">
        <f>(SUMIF('Cost Breakdowns'!$D$160:$D$160,"ISIC 22",'Cost Breakdowns'!$B$160:$B$160))</f>
        <v>0</v>
      </c>
      <c r="R5">
        <f>(SUMIF('Cost Breakdowns'!$D$160:$D$160,"ISIC 231",'Cost Breakdowns'!$B$160:$B$160))</f>
        <v>0</v>
      </c>
      <c r="S5">
        <f>(SUMIF('Cost Breakdowns'!$D$160:$D$160,"ISIC 239",'Cost Breakdowns'!$B$160:$B$160))</f>
        <v>0</v>
      </c>
      <c r="T5">
        <f>(SUMIF('Cost Breakdowns'!$D$160:$D$160,"ISIC 241",'Cost Breakdowns'!$B$160:$B$160))</f>
        <v>0</v>
      </c>
      <c r="U5">
        <f>(SUMIF('Cost Breakdowns'!$D$160:$D$160,"ISIC 242",'Cost Breakdowns'!$B$160:$B$160))</f>
        <v>0</v>
      </c>
      <c r="V5">
        <f>(SUMIF('Cost Breakdowns'!$D$160:$D$160,"ISIC 25",'Cost Breakdowns'!$B$160:$B$160))</f>
        <v>0</v>
      </c>
      <c r="W5">
        <f>(SUMIF('Cost Breakdowns'!$D$160:$D$160,"ISIC 26",'Cost Breakdowns'!$B$160:$B$160))</f>
        <v>0</v>
      </c>
      <c r="X5">
        <f>(SUMIF('Cost Breakdowns'!$D$160:$D$160,"ISIC 27",'Cost Breakdowns'!$B$160:$B$160))</f>
        <v>0</v>
      </c>
      <c r="Y5">
        <f>(SUMIF('Cost Breakdowns'!$D$160:$D$160,"ISIC 28",'Cost Breakdowns'!$B$160:$B$160))</f>
        <v>0</v>
      </c>
      <c r="Z5">
        <f>(SUMIF('Cost Breakdowns'!$D$160:$D$160,"ISIC 29",'Cost Breakdowns'!$B$160:$B$160))</f>
        <v>0</v>
      </c>
      <c r="AA5">
        <f>(SUMIF('Cost Breakdowns'!$D$160:$D$160,"ISIC 30",'Cost Breakdowns'!$B$160:$B$160))*'Factors applied'!$E$664</f>
        <v>0</v>
      </c>
      <c r="AB5">
        <f>(SUMIF('Cost Breakdowns'!$D$160:$D$160,"ISIC 30",'Cost Breakdowns'!$B$160:$B$160))*'Factors applied'!$E$665</f>
        <v>0</v>
      </c>
      <c r="AC5">
        <f>(SUMIF('Cost Breakdowns'!$D$160:$D$160,"ISIC 31T33",'Cost Breakdowns'!$B$160:$B$160))</f>
        <v>0</v>
      </c>
      <c r="AD5">
        <f>(SUMIF('Cost Breakdowns'!$D$160:$D$160,"ISIC 351",'Cost Breakdowns'!$B$160:$B$160))</f>
        <v>1</v>
      </c>
      <c r="AE5">
        <f>(SUMIF('Cost Breakdowns'!$D$160:$D$160,"ISIC 352T353",'Cost Breakdowns'!$B$160:$B$160))</f>
        <v>0</v>
      </c>
      <c r="AF5">
        <f>(SUMIF('Cost Breakdowns'!$D$160:$D$160,"ISIC 36T39",'Cost Breakdowns'!$B$160:$B$160))</f>
        <v>0</v>
      </c>
      <c r="AG5">
        <f>(SUMIF('Cost Breakdowns'!$D$160:$D$160,"ISIC 41T43",'Cost Breakdowns'!$B$160:$B$160))</f>
        <v>0</v>
      </c>
      <c r="AH5">
        <f>(SUMIF('Cost Breakdowns'!$D$160:$D$160,"ISIC 45T47",'Cost Breakdowns'!$B$160:$B$160))</f>
        <v>0</v>
      </c>
      <c r="AI5">
        <f>(SUMIF('Cost Breakdowns'!$D$160:$D$160,"ISIC 49T53",'Cost Breakdowns'!$B$160:$B$160))*'Factors applied'!$E$666</f>
        <v>0</v>
      </c>
      <c r="AJ5">
        <f>(SUMIF('Cost Breakdowns'!$D$160:$D$160,"ISIC 49T53",'Cost Breakdowns'!$B$160:$B$160))*'Factors applied'!$E$667</f>
        <v>0</v>
      </c>
      <c r="AK5">
        <f>(SUMIF('Cost Breakdowns'!$D$160:$D$160,"ISIC 49T53",'Cost Breakdowns'!$B$160:$B$160))*'Factors applied'!$E$668</f>
        <v>0</v>
      </c>
      <c r="AL5">
        <f>(SUMIF('Cost Breakdowns'!$D$160:$D$160,"ISIC 49T53",'Cost Breakdowns'!$B$160:$B$160))*'Factors applied'!$E$669</f>
        <v>0</v>
      </c>
      <c r="AM5">
        <f>(SUMIF('Cost Breakdowns'!$D$160:$D$160,"ISIC 49T53",'Cost Breakdowns'!$B$160:$B$160))*'Factors applied'!$E$670</f>
        <v>0</v>
      </c>
      <c r="AN5">
        <f>(SUMIF('Cost Breakdowns'!$D$160:$D$160,"ISIC 55T56",'Cost Breakdowns'!$B$160:$B$160))</f>
        <v>0</v>
      </c>
      <c r="AO5">
        <f>(SUMIF('Cost Breakdowns'!$D$160:$D$160,"ISIC 58T60",'Cost Breakdowns'!$B$160:$B$160))</f>
        <v>0</v>
      </c>
      <c r="AP5">
        <f>(SUMIF('Cost Breakdowns'!$D$160:$D$160,"ISIC 61",'Cost Breakdowns'!$B$160:$B$160))</f>
        <v>0</v>
      </c>
      <c r="AQ5">
        <f>(SUMIF('Cost Breakdowns'!$D$160:$D$160,"ISIC 62T63",'Cost Breakdowns'!$B$160:$B$160))</f>
        <v>0</v>
      </c>
      <c r="AR5">
        <f>(SUMIF('Cost Breakdowns'!$D$160:$D$160,"ISIC 64T66",'Cost Breakdowns'!$B$160:$B$160))</f>
        <v>0</v>
      </c>
      <c r="AS5">
        <f>(SUMIF('Cost Breakdowns'!$D$160:$D$160,"ISIC 68",'Cost Breakdowns'!$B$160:$B$160))</f>
        <v>0</v>
      </c>
      <c r="AT5">
        <f>(SUMIF('Cost Breakdowns'!$D$160:$D$160,"ISIC 69T82",'Cost Breakdowns'!$B$160:$B$160))*'Factors applied'!$E$671</f>
        <v>0</v>
      </c>
      <c r="AU5">
        <f>(SUMIF('Cost Breakdowns'!$D$160:$D$160,"ISIC 69T82",'Cost Breakdowns'!$B$160:$B$160))*'Factors applied'!$E$672</f>
        <v>0</v>
      </c>
      <c r="AV5">
        <f>(SUMIF('Cost Breakdowns'!$D$160:$D$160,"ISIC 84",'Cost Breakdowns'!$B$160:$B$160))</f>
        <v>0</v>
      </c>
      <c r="AW5">
        <f>(SUMIF('Cost Breakdowns'!$D$160:$D$160,"ISIC 85",'Cost Breakdowns'!$B$160:$B$160))</f>
        <v>0</v>
      </c>
      <c r="AX5">
        <f>(SUMIF('Cost Breakdowns'!$D$160:$D$160,"ISIC 86T88",'Cost Breakdowns'!$B$160:$B$160))</f>
        <v>0</v>
      </c>
      <c r="AY5">
        <f>(SUMIF('Cost Breakdowns'!$D$160:$D$160,"ISIC 90T96",'Cost Breakdowns'!$B$160:$B$160))*'Factors applied'!$E$673</f>
        <v>0</v>
      </c>
      <c r="AZ5">
        <f>(SUMIF('Cost Breakdowns'!$D$160:$D$160,"ISIC 90T96",'Cost Breakdowns'!$B$160:$B$160))*'Factors applied'!$E$674</f>
        <v>0</v>
      </c>
      <c r="BA5">
        <f>(SUMIF('Cost Breakdowns'!$D$160:$D$160,"ISIC 97T98",'Cost Breakdowns'!$B$160:$B$160))</f>
        <v>0</v>
      </c>
    </row>
    <row r="6" spans="1:53" x14ac:dyDescent="0.25">
      <c r="A6" t="s">
        <v>57</v>
      </c>
      <c r="B6">
        <f>(SUMIF('Cost Breakdowns'!$D$204:$D$211,"ISIC 01T03",'Cost Breakdowns'!$B$204:$B$211))*'Factors applied'!$E$499</f>
        <v>0</v>
      </c>
      <c r="C6">
        <f>(SUMIF('Cost Breakdowns'!$D$204:$D$211,"ISIC 01T03",'Cost Breakdowns'!$B$204:$B$211))*'Factors applied'!$E$500</f>
        <v>0</v>
      </c>
      <c r="D6">
        <f>(SUMIF('Cost Breakdowns'!$D$204:$D$211,"ISIC 01T03",'Cost Breakdowns'!$B$204:$B$211))*'Factors applied'!$E$501</f>
        <v>0</v>
      </c>
      <c r="E6">
        <f>(SUMIF('Cost Breakdowns'!$D$204:$D$211,"ISIC 05",'Cost Breakdowns'!$B$204:$B$211))</f>
        <v>0</v>
      </c>
      <c r="F6">
        <f>(SUMIF('Cost Breakdowns'!$D$204:$D$211,"ISIC 06",'Cost Breakdowns'!$B$204:$B$211))</f>
        <v>0</v>
      </c>
      <c r="G6">
        <f>(SUMIF('Cost Breakdowns'!$D$204:$D$211,"ISIC 07T08",'Cost Breakdowns'!$B$204:$B$211))*'Factors applied'!$E$502</f>
        <v>0</v>
      </c>
      <c r="H6">
        <f>(SUMIF('Cost Breakdowns'!$D$204:$D$211,"ISIC 07T08",'Cost Breakdowns'!$B$204:$B$211))*'Factors applied'!$E$503</f>
        <v>0</v>
      </c>
      <c r="I6">
        <f>(SUMIF('Cost Breakdowns'!$D$204:$D$211,"ISIC 09",'Cost Breakdowns'!$B$204:$B$211))</f>
        <v>0</v>
      </c>
      <c r="J6">
        <f>(SUMIF('Cost Breakdowns'!$D$204:$D$211,"ISIC 10T12",'Cost Breakdowns'!$B$204:$B$211))</f>
        <v>0</v>
      </c>
      <c r="K6">
        <f>(SUMIF('Cost Breakdowns'!$D$204:$D$211,"ISIC 13T15",'Cost Breakdowns'!$B$204:$B$211))</f>
        <v>0</v>
      </c>
      <c r="L6">
        <f>(SUMIF('Cost Breakdowns'!$D$204:$D$211,"ISIC 16",'Cost Breakdowns'!$B$204:$B$211))</f>
        <v>0</v>
      </c>
      <c r="M6">
        <f>(SUMIF('Cost Breakdowns'!$D$204:$D$211,"ISIC 17T18",'Cost Breakdowns'!$B$204:$B$211))</f>
        <v>0</v>
      </c>
      <c r="N6">
        <f>(SUMIF('Cost Breakdowns'!$D$204:$D$211,"ISIC 19",'Cost Breakdowns'!$B$204:$B$211))</f>
        <v>0</v>
      </c>
      <c r="O6">
        <f>(SUMIF('Cost Breakdowns'!$D$204:$D$211,"ISIC 20",'Cost Breakdowns'!$B$204:$B$211))</f>
        <v>0</v>
      </c>
      <c r="P6">
        <f>(SUMIF('Cost Breakdowns'!$D$204:$D$211,"ISIC 21",'Cost Breakdowns'!$B$204:$B$211))</f>
        <v>0</v>
      </c>
      <c r="Q6">
        <f>(SUMIF('Cost Breakdowns'!$D$204:$D$211,"ISIC 22",'Cost Breakdowns'!$B$204:$B$211))</f>
        <v>0</v>
      </c>
      <c r="R6">
        <f>(SUMIF('Cost Breakdowns'!$D$204:$D$211,"ISIC 231",'Cost Breakdowns'!$B$204:$B$211))</f>
        <v>0</v>
      </c>
      <c r="S6">
        <f>(SUMIF('Cost Breakdowns'!$D$204:$D$211,"ISIC 239",'Cost Breakdowns'!$B$204:$B$211))</f>
        <v>0</v>
      </c>
      <c r="T6">
        <f>(SUMIF('Cost Breakdowns'!$D$204:$D$211,"ISIC 241",'Cost Breakdowns'!$B$204:$B$211))</f>
        <v>0</v>
      </c>
      <c r="U6">
        <f>(SUMIF('Cost Breakdowns'!$D$204:$D$211,"ISIC 242",'Cost Breakdowns'!$B$204:$B$211))</f>
        <v>0</v>
      </c>
      <c r="V6">
        <f>(SUMIF('Cost Breakdowns'!$D$204:$D$211,"ISIC 25",'Cost Breakdowns'!$B$204:$B$211))</f>
        <v>0</v>
      </c>
      <c r="W6">
        <f>(SUMIF('Cost Breakdowns'!$D$204:$D$211,"ISIC 26",'Cost Breakdowns'!$B$204:$B$211))</f>
        <v>0</v>
      </c>
      <c r="X6">
        <f>(SUMIF('Cost Breakdowns'!$D$204:$D$211,"ISIC 27",'Cost Breakdowns'!$B$204:$B$211))</f>
        <v>0.19317941441524111</v>
      </c>
      <c r="Y6">
        <f>(SUMIF('Cost Breakdowns'!$D$204:$D$211,"ISIC 28",'Cost Breakdowns'!$B$204:$B$211))</f>
        <v>9.6589707207620543E-2</v>
      </c>
      <c r="Z6">
        <f>(SUMIF('Cost Breakdowns'!$D$204:$D$211,"ISIC 29",'Cost Breakdowns'!$B$204:$B$211))</f>
        <v>0</v>
      </c>
      <c r="AA6">
        <f>(SUMIF('Cost Breakdowns'!$D$204:$D$211,"ISIC 30",'Cost Breakdowns'!$B$204:$B$211))*'Factors applied'!$E$504</f>
        <v>0</v>
      </c>
      <c r="AB6">
        <f>(SUMIF('Cost Breakdowns'!$D$204:$D$211,"ISIC 30",'Cost Breakdowns'!$B$204:$B$211))*'Factors applied'!$E$505</f>
        <v>0</v>
      </c>
      <c r="AC6">
        <f>(SUMIF('Cost Breakdowns'!$D$204:$D$211,"ISIC 31T33",'Cost Breakdowns'!$B$204:$B$211))</f>
        <v>0</v>
      </c>
      <c r="AD6">
        <f>(SUMIF('Cost Breakdowns'!$D$204:$D$211,"ISIC 351",'Cost Breakdowns'!$B$204:$B$211))</f>
        <v>0.21705639003696489</v>
      </c>
      <c r="AE6">
        <f>(SUMIF('Cost Breakdowns'!$D$204:$D$211,"ISIC 352T353",'Cost Breakdowns'!$B$204:$B$211))</f>
        <v>0</v>
      </c>
      <c r="AF6">
        <f>(SUMIF('Cost Breakdowns'!$D$204:$D$211,"ISIC 36T39",'Cost Breakdowns'!$B$204:$B$211))</f>
        <v>0</v>
      </c>
      <c r="AG6">
        <f>(SUMIF('Cost Breakdowns'!$D$204:$D$211,"ISIC 41T43",'Cost Breakdowns'!$B$204:$B$211))</f>
        <v>0</v>
      </c>
      <c r="AH6">
        <f>(SUMIF('Cost Breakdowns'!$D$204:$D$211,"ISIC 45T47",'Cost Breakdowns'!$B$204:$B$211))</f>
        <v>0</v>
      </c>
      <c r="AI6">
        <f>(SUMIF('Cost Breakdowns'!$D$204:$D$211,"ISIC 49T53",'Cost Breakdowns'!$B$204:$B$211))*'Factors applied'!$E$506</f>
        <v>0</v>
      </c>
      <c r="AJ6">
        <f>(SUMIF('Cost Breakdowns'!$D$204:$D$211,"ISIC 49T53",'Cost Breakdowns'!$B$204:$B$211))*'Factors applied'!$E$507</f>
        <v>0</v>
      </c>
      <c r="AK6">
        <f>(SUMIF('Cost Breakdowns'!$D$204:$D$211,"ISIC 49T53",'Cost Breakdowns'!$B$204:$B$211))*'Factors applied'!$E$508</f>
        <v>0</v>
      </c>
      <c r="AL6">
        <f>(SUMIF('Cost Breakdowns'!$D$204:$D$211,"ISIC 49T53",'Cost Breakdowns'!$B$204:$B$211))*'Factors applied'!$E$509</f>
        <v>0</v>
      </c>
      <c r="AM6">
        <f>(SUMIF('Cost Breakdowns'!$D$204:$D$211,"ISIC 49T53",'Cost Breakdowns'!$B$204:$B$211))*'Factors applied'!$E$510</f>
        <v>0</v>
      </c>
      <c r="AN6">
        <f>(SUMIF('Cost Breakdowns'!$D$204:$D$211,"ISIC 55T56",'Cost Breakdowns'!$B$204:$B$211))</f>
        <v>0</v>
      </c>
      <c r="AO6">
        <f>(SUMIF('Cost Breakdowns'!$D$204:$D$211,"ISIC 58T60",'Cost Breakdowns'!$B$204:$B$211))</f>
        <v>0</v>
      </c>
      <c r="AP6">
        <f>(SUMIF('Cost Breakdowns'!$D$204:$D$211,"ISIC 61",'Cost Breakdowns'!$B$204:$B$211))</f>
        <v>0</v>
      </c>
      <c r="AQ6">
        <f>(SUMIF('Cost Breakdowns'!$D$204:$D$211,"ISIC 62T63",'Cost Breakdowns'!$B$204:$B$211))</f>
        <v>0</v>
      </c>
      <c r="AR6">
        <f>(SUMIF('Cost Breakdowns'!$D$204:$D$211,"ISIC 64T66",'Cost Breakdowns'!$B$204:$B$211))</f>
        <v>0.31251599767025628</v>
      </c>
      <c r="AS6">
        <f>(SUMIF('Cost Breakdowns'!$D$204:$D$211,"ISIC 68",'Cost Breakdowns'!$B$204:$B$211))</f>
        <v>0</v>
      </c>
      <c r="AT6">
        <f>(SUMIF('Cost Breakdowns'!$D$204:$D$211,"ISIC 69T82",'Cost Breakdowns'!$B$204:$B$211))*'Factors applied'!$E$511</f>
        <v>0.18065849066991721</v>
      </c>
      <c r="AU6">
        <f>(SUMIF('Cost Breakdowns'!$D$204:$D$211,"ISIC 69T82",'Cost Breakdowns'!$B$204:$B$211))*'Factors applied'!$E$512</f>
        <v>0</v>
      </c>
      <c r="AV6">
        <f>(SUMIF('Cost Breakdowns'!$D$204:$D$211,"ISIC 84",'Cost Breakdowns'!$B$204:$B$211))</f>
        <v>0</v>
      </c>
      <c r="AW6">
        <f>(SUMIF('Cost Breakdowns'!$D$204:$D$211,"ISIC 85",'Cost Breakdowns'!$B$204:$B$211))</f>
        <v>0</v>
      </c>
      <c r="AX6">
        <f>(SUMIF('Cost Breakdowns'!$D$204:$D$211,"ISIC 86T88",'Cost Breakdowns'!$B$204:$B$211))</f>
        <v>0</v>
      </c>
      <c r="AY6">
        <f>(SUMIF('Cost Breakdowns'!$D$204:$D$211,"ISIC 90T96",'Cost Breakdowns'!$B$204:$B$211))*'Factors applied'!$E$513</f>
        <v>0</v>
      </c>
      <c r="AZ6">
        <f>(SUMIF('Cost Breakdowns'!$D$204:$D$211,"ISIC 90T96",'Cost Breakdowns'!$B$204:$B$211))*'Factors applied'!$E$514</f>
        <v>0</v>
      </c>
      <c r="BA6">
        <f>(SUMIF('Cost Breakdowns'!$D$204:$D$211,"ISIC 97T98",'Cost Breakdowns'!$B$204:$B$211))</f>
        <v>0</v>
      </c>
    </row>
    <row r="7" spans="1:53" x14ac:dyDescent="0.25">
      <c r="A7" t="s">
        <v>58</v>
      </c>
      <c r="B7">
        <f>(SUMIF('Cost Breakdowns'!$D$57:$D$71,"ISIC 01T03",'Cost Breakdowns'!$B$57:$B$71))*'Factors applied'!$E$755</f>
        <v>0</v>
      </c>
      <c r="C7">
        <f>(SUMIF('Cost Breakdowns'!$D$57:$D$71,"ISIC 01T03",'Cost Breakdowns'!$B$57:$B$71))*'Factors applied'!$E$756</f>
        <v>0</v>
      </c>
      <c r="D7">
        <f>(SUMIF('Cost Breakdowns'!$D$57:$D$71,"ISIC 01T03",'Cost Breakdowns'!$B$57:$B$71))*'Factors applied'!$E$757</f>
        <v>0</v>
      </c>
      <c r="E7">
        <f>(SUMIF('Cost Breakdowns'!$D$57:$D$71,"ISIC 05",'Cost Breakdowns'!$B$57:$B$71))</f>
        <v>0</v>
      </c>
      <c r="F7">
        <f>(SUMIF('Cost Breakdowns'!$D$57:$D$71,"ISIC 06",'Cost Breakdowns'!$B$57:$B$71))</f>
        <v>0</v>
      </c>
      <c r="G7">
        <f>(SUMIF('Cost Breakdowns'!$D$57:$D$71,"ISIC 07T08",'Cost Breakdowns'!$B$57:$B$71))*'Factors applied'!$E$758</f>
        <v>0</v>
      </c>
      <c r="H7">
        <f>(SUMIF('Cost Breakdowns'!$D$57:$D$71,"ISIC 07T08",'Cost Breakdowns'!$B$57:$B$71))*'Factors applied'!$E$759</f>
        <v>0</v>
      </c>
      <c r="I7">
        <f>(SUMIF('Cost Breakdowns'!$D$57:$D$71,"ISIC 09",'Cost Breakdowns'!$B$57:$B$71))</f>
        <v>0</v>
      </c>
      <c r="J7">
        <f>(SUMIF('Cost Breakdowns'!$D$57:$D$71,"ISIC 10T12",'Cost Breakdowns'!$B$57:$B$71))</f>
        <v>0</v>
      </c>
      <c r="K7">
        <f>(SUMIF('Cost Breakdowns'!$D$57:$D$71,"ISIC 13T15",'Cost Breakdowns'!$B$57:$B$71))</f>
        <v>0</v>
      </c>
      <c r="L7">
        <f>(SUMIF('Cost Breakdowns'!$D$57:$D$71,"ISIC 16",'Cost Breakdowns'!$B$57:$B$71))</f>
        <v>0</v>
      </c>
      <c r="M7">
        <f>(SUMIF('Cost Breakdowns'!$D$57:$D$71,"ISIC 17T18",'Cost Breakdowns'!$B$57:$B$71))</f>
        <v>0</v>
      </c>
      <c r="N7">
        <f>(SUMIF('Cost Breakdowns'!$D$57:$D$71,"ISIC 19",'Cost Breakdowns'!$B$57:$B$71))</f>
        <v>9.5771625191948158E-3</v>
      </c>
      <c r="O7">
        <f>(SUMIF('Cost Breakdowns'!$D$57:$D$71,"ISIC 20",'Cost Breakdowns'!$B$57:$B$71))</f>
        <v>0</v>
      </c>
      <c r="P7">
        <f>(SUMIF('Cost Breakdowns'!$D$57:$D$71,"ISIC 21",'Cost Breakdowns'!$B$57:$B$71))</f>
        <v>0</v>
      </c>
      <c r="Q7">
        <f>(SUMIF('Cost Breakdowns'!$D$57:$D$71,"ISIC 22",'Cost Breakdowns'!$B$57:$B$71))</f>
        <v>0</v>
      </c>
      <c r="R7">
        <f>(SUMIF('Cost Breakdowns'!$D$57:$D$71,"ISIC 231",'Cost Breakdowns'!$B$57:$B$71))</f>
        <v>0</v>
      </c>
      <c r="S7">
        <f>(SUMIF('Cost Breakdowns'!$D$57:$D$71,"ISIC 239",'Cost Breakdowns'!$B$57:$B$71))</f>
        <v>0</v>
      </c>
      <c r="T7">
        <f>(SUMIF('Cost Breakdowns'!$D$57:$D$71,"ISIC 241",'Cost Breakdowns'!$B$57:$B$71))</f>
        <v>0</v>
      </c>
      <c r="U7">
        <f>(SUMIF('Cost Breakdowns'!$D$57:$D$71,"ISIC 242",'Cost Breakdowns'!$B$57:$B$71))</f>
        <v>0</v>
      </c>
      <c r="V7">
        <f>(SUMIF('Cost Breakdowns'!$D$57:$D$71,"ISIC 25",'Cost Breakdowns'!$B$57:$B$71))</f>
        <v>0</v>
      </c>
      <c r="W7">
        <f>(SUMIF('Cost Breakdowns'!$D$57:$D$71,"ISIC 26",'Cost Breakdowns'!$B$57:$B$71))</f>
        <v>0</v>
      </c>
      <c r="X7">
        <f>(SUMIF('Cost Breakdowns'!$D$57:$D$71,"ISIC 27",'Cost Breakdowns'!$B$57:$B$71))</f>
        <v>0</v>
      </c>
      <c r="Y7">
        <f>(SUMIF('Cost Breakdowns'!$D$57:$D$71,"ISIC 28",'Cost Breakdowns'!$B$57:$B$71))</f>
        <v>0.54552991118951999</v>
      </c>
      <c r="Z7">
        <f>(SUMIF('Cost Breakdowns'!$D$57:$D$71,"ISIC 29",'Cost Breakdowns'!$B$57:$B$71))</f>
        <v>0</v>
      </c>
      <c r="AA7">
        <f>(SUMIF('Cost Breakdowns'!$D$57:$D$71,"ISIC 30",'Cost Breakdowns'!$B$57:$B$71))*'Factors applied'!$E$760</f>
        <v>0</v>
      </c>
      <c r="AB7">
        <f>(SUMIF('Cost Breakdowns'!$D$57:$D$71,"ISIC 30",'Cost Breakdowns'!$B$57:$B$71))*'Factors applied'!$E$761</f>
        <v>0</v>
      </c>
      <c r="AC7">
        <f>(SUMIF('Cost Breakdowns'!$D$57:$D$71,"ISIC 31T33",'Cost Breakdowns'!$B$57:$B$71))</f>
        <v>0</v>
      </c>
      <c r="AD7">
        <f>(SUMIF('Cost Breakdowns'!$D$57:$D$71,"ISIC 351",'Cost Breakdowns'!$B$57:$B$71))</f>
        <v>0.11938911517015141</v>
      </c>
      <c r="AE7">
        <f>(SUMIF('Cost Breakdowns'!$D$57:$D$71,"ISIC 352T353",'Cost Breakdowns'!$B$57:$B$71))</f>
        <v>0</v>
      </c>
      <c r="AF7">
        <f>(SUMIF('Cost Breakdowns'!$D$57:$D$71,"ISIC 36T39",'Cost Breakdowns'!$B$57:$B$71))</f>
        <v>0</v>
      </c>
      <c r="AG7">
        <f>(SUMIF('Cost Breakdowns'!$D$57:$D$71,"ISIC 41T43",'Cost Breakdowns'!$B$57:$B$71))</f>
        <v>0</v>
      </c>
      <c r="AH7">
        <f>(SUMIF('Cost Breakdowns'!$D$57:$D$71,"ISIC 45T47",'Cost Breakdowns'!$B$57:$B$71))</f>
        <v>8.6808383347060702E-2</v>
      </c>
      <c r="AI7">
        <f>(SUMIF('Cost Breakdowns'!$D$57:$D$71,"ISIC 49T53",'Cost Breakdowns'!$B$57:$B$71))*'Factors applied'!$E$762</f>
        <v>0</v>
      </c>
      <c r="AJ7">
        <f>(SUMIF('Cost Breakdowns'!$D$57:$D$71,"ISIC 49T53",'Cost Breakdowns'!$B$57:$B$71))*'Factors applied'!$E$763</f>
        <v>0</v>
      </c>
      <c r="AK7">
        <f>(SUMIF('Cost Breakdowns'!$D$57:$D$71,"ISIC 49T53",'Cost Breakdowns'!$B$57:$B$71))*'Factors applied'!$E$764</f>
        <v>0</v>
      </c>
      <c r="AL7">
        <f>(SUMIF('Cost Breakdowns'!$D$57:$D$71,"ISIC 49T53",'Cost Breakdowns'!$B$57:$B$71))*'Factors applied'!$E$765</f>
        <v>0</v>
      </c>
      <c r="AM7">
        <f>(SUMIF('Cost Breakdowns'!$D$57:$D$71,"ISIC 49T53",'Cost Breakdowns'!$B$57:$B$71))*'Factors applied'!$E$766</f>
        <v>0</v>
      </c>
      <c r="AN7">
        <f>(SUMIF('Cost Breakdowns'!$D$57:$D$71,"ISIC 55T56",'Cost Breakdowns'!$B$57:$B$71))</f>
        <v>0</v>
      </c>
      <c r="AO7">
        <f>(SUMIF('Cost Breakdowns'!$D$57:$D$71,"ISIC 58T60",'Cost Breakdowns'!$B$57:$B$71))</f>
        <v>0</v>
      </c>
      <c r="AP7">
        <f>(SUMIF('Cost Breakdowns'!$D$57:$D$71,"ISIC 61",'Cost Breakdowns'!$B$57:$B$71))</f>
        <v>0</v>
      </c>
      <c r="AQ7">
        <f>(SUMIF('Cost Breakdowns'!$D$57:$D$71,"ISIC 62T63",'Cost Breakdowns'!$B$57:$B$71))</f>
        <v>0</v>
      </c>
      <c r="AR7">
        <f>(SUMIF('Cost Breakdowns'!$D$57:$D$71,"ISIC 64T66",'Cost Breakdowns'!$B$57:$B$71))</f>
        <v>0.18417620229220799</v>
      </c>
      <c r="AS7">
        <f>(SUMIF('Cost Breakdowns'!$D$57:$D$71,"ISIC 68",'Cost Breakdowns'!$B$57:$B$71))</f>
        <v>0</v>
      </c>
      <c r="AT7">
        <f>(SUMIF('Cost Breakdowns'!$D$57:$D$71,"ISIC 69T82",'Cost Breakdowns'!$B$57:$B$71))*'Factors applied'!$E$767</f>
        <v>9.5771625191948158E-3</v>
      </c>
      <c r="AU7">
        <f>(SUMIF('Cost Breakdowns'!$D$57:$D$71,"ISIC 69T82",'Cost Breakdowns'!$B$57:$B$71))*'Factors applied'!$E$768</f>
        <v>0</v>
      </c>
      <c r="AV7">
        <f>(SUMIF('Cost Breakdowns'!$D$57:$D$71,"ISIC 84",'Cost Breakdowns'!$B$57:$B$71))</f>
        <v>4.4942062962670289E-2</v>
      </c>
      <c r="AW7">
        <f>(SUMIF('Cost Breakdowns'!$D$57:$D$71,"ISIC 85",'Cost Breakdowns'!$B$57:$B$71))</f>
        <v>0</v>
      </c>
      <c r="AX7">
        <f>(SUMIF('Cost Breakdowns'!$D$57:$D$71,"ISIC 86T88",'Cost Breakdowns'!$B$57:$B$71))</f>
        <v>0</v>
      </c>
      <c r="AY7">
        <f>(SUMIF('Cost Breakdowns'!$D$57:$D$71,"ISIC 90T96",'Cost Breakdowns'!$B$57:$B$71))*'Factors applied'!$E$769</f>
        <v>0</v>
      </c>
      <c r="AZ7">
        <f>(SUMIF('Cost Breakdowns'!$D$57:$D$71,"ISIC 90T96",'Cost Breakdowns'!$B$57:$B$71))*'Factors applied'!$E$770</f>
        <v>0</v>
      </c>
      <c r="BA7">
        <f>(SUMIF('Cost Breakdowns'!$D$57:$D$71,"ISIC 97T98",'Cost Breakdowns'!$B$57:$B$71))</f>
        <v>0</v>
      </c>
    </row>
    <row r="8" spans="1:53" x14ac:dyDescent="0.25">
      <c r="A8" t="s">
        <v>59</v>
      </c>
      <c r="B8">
        <f>(SUMIF('Cost Breakdowns'!$D$15:$D$16,"ISIC 01T03",'Cost Breakdowns'!$B$15:$B$16))*'Factors applied'!$E$723</f>
        <v>0</v>
      </c>
      <c r="C8">
        <f>(SUMIF('Cost Breakdowns'!$D$15:$D$16,"ISIC 01T03",'Cost Breakdowns'!$B$15:$B$16))*'Factors applied'!$E$724</f>
        <v>0</v>
      </c>
      <c r="D8">
        <f>(SUMIF('Cost Breakdowns'!$D$15:$D$16,"ISIC 01T03",'Cost Breakdowns'!$B$15:$B$16))*'Factors applied'!$E$725</f>
        <v>0</v>
      </c>
      <c r="E8">
        <f>(SUMIF('Cost Breakdowns'!$D$15:$D$16,"ISIC 05",'Cost Breakdowns'!$B$15:$B$16))</f>
        <v>0</v>
      </c>
      <c r="F8">
        <f>(SUMIF('Cost Breakdowns'!$D$15:$D$16,"ISIC 06",'Cost Breakdowns'!$B$15:$B$16))</f>
        <v>0</v>
      </c>
      <c r="G8">
        <f>(SUMIF('Cost Breakdowns'!$D$15:$D$16,"ISIC 07T08",'Cost Breakdowns'!$B$15:$B$16))*'Factors applied'!$E$726</f>
        <v>0</v>
      </c>
      <c r="H8">
        <f>(SUMIF('Cost Breakdowns'!$D$15:$D$16,"ISIC 07T08",'Cost Breakdowns'!$B$15:$B$16))*'Factors applied'!$E$727</f>
        <v>0</v>
      </c>
      <c r="I8">
        <f>(SUMIF('Cost Breakdowns'!$D$15:$D$16,"ISIC 09",'Cost Breakdowns'!$B$15:$B$16))</f>
        <v>0</v>
      </c>
      <c r="J8">
        <f>(SUMIF('Cost Breakdowns'!$D$15:$D$16,"ISIC 10T12",'Cost Breakdowns'!$B$15:$B$16))</f>
        <v>0</v>
      </c>
      <c r="K8">
        <f>(SUMIF('Cost Breakdowns'!$D$15:$D$16,"ISIC 13T15",'Cost Breakdowns'!$B$15:$B$16))</f>
        <v>0</v>
      </c>
      <c r="L8">
        <f>(SUMIF('Cost Breakdowns'!$D$15:$D$16,"ISIC 16",'Cost Breakdowns'!$B$15:$B$16))</f>
        <v>0</v>
      </c>
      <c r="M8">
        <f>(SUMIF('Cost Breakdowns'!$D$15:$D$16,"ISIC 17T18",'Cost Breakdowns'!$B$15:$B$16))</f>
        <v>0</v>
      </c>
      <c r="N8">
        <f>(SUMIF('Cost Breakdowns'!$D$15:$D$16,"ISIC 19",'Cost Breakdowns'!$B$15:$B$16))</f>
        <v>0</v>
      </c>
      <c r="O8">
        <f>(SUMIF('Cost Breakdowns'!$D$15:$D$16,"ISIC 20",'Cost Breakdowns'!$B$15:$B$16))</f>
        <v>0</v>
      </c>
      <c r="P8">
        <f>(SUMIF('Cost Breakdowns'!$D$15:$D$16,"ISIC 21",'Cost Breakdowns'!$B$15:$B$16))</f>
        <v>0</v>
      </c>
      <c r="Q8">
        <f>(SUMIF('Cost Breakdowns'!$D$15:$D$16,"ISIC 22",'Cost Breakdowns'!$B$15:$B$16))</f>
        <v>0</v>
      </c>
      <c r="R8">
        <f>(SUMIF('Cost Breakdowns'!$D$15:$D$16,"ISIC 231",'Cost Breakdowns'!$B$15:$B$16))</f>
        <v>0</v>
      </c>
      <c r="S8">
        <f>(SUMIF('Cost Breakdowns'!$D$15:$D$16,"ISIC 239",'Cost Breakdowns'!$B$15:$B$16))</f>
        <v>0</v>
      </c>
      <c r="T8">
        <f>(SUMIF('Cost Breakdowns'!$D$15:$D$16,"ISIC 241",'Cost Breakdowns'!$B$15:$B$16))</f>
        <v>0</v>
      </c>
      <c r="U8">
        <f>(SUMIF('Cost Breakdowns'!$D$15:$D$16,"ISIC 242",'Cost Breakdowns'!$B$15:$B$16))</f>
        <v>0</v>
      </c>
      <c r="V8">
        <f>(SUMIF('Cost Breakdowns'!$D$15:$D$16,"ISIC 25",'Cost Breakdowns'!$B$15:$B$16))</f>
        <v>0</v>
      </c>
      <c r="W8">
        <f>(SUMIF('Cost Breakdowns'!$D$15:$D$16,"ISIC 26",'Cost Breakdowns'!$B$15:$B$16))</f>
        <v>0.46466666666666573</v>
      </c>
      <c r="X8">
        <f>(SUMIF('Cost Breakdowns'!$D$15:$D$16,"ISIC 27",'Cost Breakdowns'!$B$15:$B$16))</f>
        <v>0</v>
      </c>
      <c r="Y8">
        <f>(SUMIF('Cost Breakdowns'!$D$15:$D$16,"ISIC 28",'Cost Breakdowns'!$B$15:$B$16))</f>
        <v>0</v>
      </c>
      <c r="Z8">
        <f>(SUMIF('Cost Breakdowns'!$D$15:$D$16,"ISIC 29",'Cost Breakdowns'!$B$15:$B$16))</f>
        <v>0</v>
      </c>
      <c r="AA8">
        <f>(SUMIF('Cost Breakdowns'!$D$15:$D$16,"ISIC 30",'Cost Breakdowns'!$B$15:$B$16))*'Factors applied'!$E$728</f>
        <v>0</v>
      </c>
      <c r="AB8">
        <f>(SUMIF('Cost Breakdowns'!$D$15:$D$16,"ISIC 30",'Cost Breakdowns'!$B$15:$B$16))*'Factors applied'!$E$729</f>
        <v>0</v>
      </c>
      <c r="AC8">
        <f>(SUMIF('Cost Breakdowns'!$D$15:$D$16,"ISIC 31T33",'Cost Breakdowns'!$B$15:$B$16))</f>
        <v>0</v>
      </c>
      <c r="AD8">
        <f>(SUMIF('Cost Breakdowns'!$D$15:$D$16,"ISIC 351",'Cost Breakdowns'!$B$15:$B$16))</f>
        <v>0</v>
      </c>
      <c r="AE8">
        <f>(SUMIF('Cost Breakdowns'!$D$15:$D$16,"ISIC 352T353",'Cost Breakdowns'!$B$15:$B$16))</f>
        <v>0</v>
      </c>
      <c r="AF8">
        <f>(SUMIF('Cost Breakdowns'!$D$15:$D$16,"ISIC 36T39",'Cost Breakdowns'!$B$15:$B$16))</f>
        <v>0</v>
      </c>
      <c r="AG8">
        <f>(SUMIF('Cost Breakdowns'!$D$15:$D$16,"ISIC 41T43",'Cost Breakdowns'!$B$15:$B$16))</f>
        <v>0.53533333333333422</v>
      </c>
      <c r="AH8">
        <f>(SUMIF('Cost Breakdowns'!$D$15:$D$16,"ISIC 45T47",'Cost Breakdowns'!$B$15:$B$16))</f>
        <v>0</v>
      </c>
      <c r="AI8">
        <f>(SUMIF('Cost Breakdowns'!$D$15:$D$16,"ISIC 49T53",'Cost Breakdowns'!$B$15:$B$16))*'Factors applied'!$E$730</f>
        <v>0</v>
      </c>
      <c r="AJ8">
        <f>(SUMIF('Cost Breakdowns'!$D$15:$D$16,"ISIC 49T53",'Cost Breakdowns'!$B$15:$B$16))*'Factors applied'!$E$731</f>
        <v>0</v>
      </c>
      <c r="AK8">
        <f>(SUMIF('Cost Breakdowns'!$D$15:$D$16,"ISIC 49T53",'Cost Breakdowns'!$B$15:$B$16))*'Factors applied'!$E$732</f>
        <v>0</v>
      </c>
      <c r="AL8">
        <f>(SUMIF('Cost Breakdowns'!$D$15:$D$16,"ISIC 49T53",'Cost Breakdowns'!$B$15:$B$16))*'Factors applied'!$E$733</f>
        <v>0</v>
      </c>
      <c r="AM8">
        <f>(SUMIF('Cost Breakdowns'!$D$15:$D$16,"ISIC 49T53",'Cost Breakdowns'!$B$15:$B$16))*'Factors applied'!$E$734</f>
        <v>0</v>
      </c>
      <c r="AN8">
        <f>(SUMIF('Cost Breakdowns'!$D$15:$D$16,"ISIC 55T56",'Cost Breakdowns'!$B$15:$B$16))</f>
        <v>0</v>
      </c>
      <c r="AO8">
        <f>(SUMIF('Cost Breakdowns'!$D$15:$D$16,"ISIC 58T60",'Cost Breakdowns'!$B$15:$B$16))</f>
        <v>0</v>
      </c>
      <c r="AP8">
        <f>(SUMIF('Cost Breakdowns'!$D$15:$D$16,"ISIC 61",'Cost Breakdowns'!$B$15:$B$16))</f>
        <v>0</v>
      </c>
      <c r="AQ8">
        <f>(SUMIF('Cost Breakdowns'!$D$15:$D$16,"ISIC 62T63",'Cost Breakdowns'!$B$15:$B$16))</f>
        <v>0</v>
      </c>
      <c r="AR8">
        <f>(SUMIF('Cost Breakdowns'!$D$15:$D$16,"ISIC 64T66",'Cost Breakdowns'!$B$15:$B$16))</f>
        <v>0</v>
      </c>
      <c r="AS8">
        <f>(SUMIF('Cost Breakdowns'!$D$15:$D$16,"ISIC 68",'Cost Breakdowns'!$B$15:$B$16))</f>
        <v>0</v>
      </c>
      <c r="AT8">
        <f>(SUMIF('Cost Breakdowns'!$D$15:$D$16,"ISIC 69T82",'Cost Breakdowns'!$B$15:$B$16))*'Factors applied'!$E$735</f>
        <v>0</v>
      </c>
      <c r="AU8">
        <f>(SUMIF('Cost Breakdowns'!$D$15:$D$16,"ISIC 69T82",'Cost Breakdowns'!$B$15:$B$16))*'Factors applied'!$E$736</f>
        <v>0</v>
      </c>
      <c r="AV8">
        <f>(SUMIF('Cost Breakdowns'!$D$15:$D$16,"ISIC 84",'Cost Breakdowns'!$B$15:$B$16))</f>
        <v>0</v>
      </c>
      <c r="AW8">
        <f>(SUMIF('Cost Breakdowns'!$D$15:$D$16,"ISIC 85",'Cost Breakdowns'!$B$15:$B$16))</f>
        <v>0</v>
      </c>
      <c r="AX8">
        <f>(SUMIF('Cost Breakdowns'!$D$15:$D$16,"ISIC 86T88",'Cost Breakdowns'!$B$15:$B$16))</f>
        <v>0</v>
      </c>
      <c r="AY8">
        <f>(SUMIF('Cost Breakdowns'!$D$15:$D$16,"ISIC 90T96",'Cost Breakdowns'!$B$15:$B$16))*'Factors applied'!$E$737</f>
        <v>0</v>
      </c>
      <c r="AZ8">
        <f>(SUMIF('Cost Breakdowns'!$D$15:$D$16,"ISIC 90T96",'Cost Breakdowns'!$B$15:$B$16))*'Factors applied'!$E$738</f>
        <v>0</v>
      </c>
      <c r="BA8">
        <f>(SUMIF('Cost Breakdowns'!$D$15:$D$16,"ISIC 97T98",'Cost Breakdowns'!$B$15:$B$16))</f>
        <v>0</v>
      </c>
    </row>
    <row r="9" spans="1:53" x14ac:dyDescent="0.25">
      <c r="A9" t="s">
        <v>60</v>
      </c>
      <c r="B9">
        <f>(SUMIF('Cost Breakdowns'!$D$274:$D$287,"ISIC 01T03",'Cost Breakdowns'!$B$274:$B$287))*'Factors applied'!$E$739</f>
        <v>0</v>
      </c>
      <c r="C9">
        <f>(SUMIF('Cost Breakdowns'!$D$274:$D$287,"ISIC 01T03",'Cost Breakdowns'!$B$274:$B$287))*'Factors applied'!$E$740</f>
        <v>0</v>
      </c>
      <c r="D9">
        <f>(SUMIF('Cost Breakdowns'!$D$274:$D$287,"ISIC 01T03",'Cost Breakdowns'!$B$274:$B$287))*'Factors applied'!$E$741</f>
        <v>0</v>
      </c>
      <c r="E9">
        <f>(SUMIF('Cost Breakdowns'!$D$274:$D$287,"ISIC 05",'Cost Breakdowns'!$B$274:$B$287))</f>
        <v>0</v>
      </c>
      <c r="F9">
        <f>(SUMIF('Cost Breakdowns'!$D$274:$D$287,"ISIC 06",'Cost Breakdowns'!$B$274:$B$287))</f>
        <v>0</v>
      </c>
      <c r="G9">
        <f>(SUMIF('Cost Breakdowns'!$D$274:$D$287,"ISIC 07T08",'Cost Breakdowns'!$B$274:$B$287))*'Factors applied'!$E$742</f>
        <v>0</v>
      </c>
      <c r="H9">
        <f>(SUMIF('Cost Breakdowns'!$D$274:$D$287,"ISIC 07T08",'Cost Breakdowns'!$B$274:$B$287))*'Factors applied'!$E$743</f>
        <v>0</v>
      </c>
      <c r="I9">
        <f>(SUMIF('Cost Breakdowns'!$D$274:$D$287,"ISIC 09",'Cost Breakdowns'!$B$274:$B$287))</f>
        <v>0</v>
      </c>
      <c r="J9">
        <f>(SUMIF('Cost Breakdowns'!$D$274:$D$287,"ISIC 10T12",'Cost Breakdowns'!$B$274:$B$287))</f>
        <v>0</v>
      </c>
      <c r="K9">
        <f>(SUMIF('Cost Breakdowns'!$D$274:$D$287,"ISIC 13T15",'Cost Breakdowns'!$B$274:$B$287))</f>
        <v>0</v>
      </c>
      <c r="L9">
        <f>(SUMIF('Cost Breakdowns'!$D$274:$D$287,"ISIC 16",'Cost Breakdowns'!$B$274:$B$287))</f>
        <v>0</v>
      </c>
      <c r="M9">
        <f>(SUMIF('Cost Breakdowns'!$D$274:$D$287,"ISIC 17T18",'Cost Breakdowns'!$B$274:$B$287))</f>
        <v>0</v>
      </c>
      <c r="N9">
        <f>(SUMIF('Cost Breakdowns'!$D$274:$D$287,"ISIC 19",'Cost Breakdowns'!$B$274:$B$287))</f>
        <v>0</v>
      </c>
      <c r="O9">
        <f>(SUMIF('Cost Breakdowns'!$D$274:$D$287,"ISIC 20",'Cost Breakdowns'!$B$274:$B$287))</f>
        <v>1.7192251878116429E-2</v>
      </c>
      <c r="P9">
        <f>(SUMIF('Cost Breakdowns'!$D$274:$D$287,"ISIC 21",'Cost Breakdowns'!$B$274:$B$287))</f>
        <v>0</v>
      </c>
      <c r="Q9">
        <f>(SUMIF('Cost Breakdowns'!$D$274:$D$287,"ISIC 22",'Cost Breakdowns'!$B$274:$B$287))</f>
        <v>0</v>
      </c>
      <c r="R9">
        <f>(SUMIF('Cost Breakdowns'!$D$274:$D$287,"ISIC 231",'Cost Breakdowns'!$B$274:$B$287))</f>
        <v>0</v>
      </c>
      <c r="S9">
        <f>(SUMIF('Cost Breakdowns'!$D$274:$D$287,"ISIC 239",'Cost Breakdowns'!$B$274:$B$287))</f>
        <v>0</v>
      </c>
      <c r="T9">
        <f>(SUMIF('Cost Breakdowns'!$D$274:$D$287,"ISIC 241",'Cost Breakdowns'!$B$274:$B$287))</f>
        <v>0</v>
      </c>
      <c r="U9">
        <f>(SUMIF('Cost Breakdowns'!$D$274:$D$287,"ISIC 242",'Cost Breakdowns'!$B$274:$B$287))</f>
        <v>0</v>
      </c>
      <c r="V9">
        <f>(SUMIF('Cost Breakdowns'!$D$274:$D$287,"ISIC 25",'Cost Breakdowns'!$B$274:$B$287))</f>
        <v>0.42277656301083039</v>
      </c>
      <c r="W9">
        <f>(SUMIF('Cost Breakdowns'!$D$274:$D$287,"ISIC 26",'Cost Breakdowns'!$B$274:$B$287))</f>
        <v>0</v>
      </c>
      <c r="X9">
        <f>(SUMIF('Cost Breakdowns'!$D$274:$D$287,"ISIC 27",'Cost Breakdowns'!$B$274:$B$287))</f>
        <v>0</v>
      </c>
      <c r="Y9">
        <f>(SUMIF('Cost Breakdowns'!$D$274:$D$287,"ISIC 28",'Cost Breakdowns'!$B$274:$B$287))</f>
        <v>0</v>
      </c>
      <c r="Z9">
        <f>(SUMIF('Cost Breakdowns'!$D$274:$D$287,"ISIC 29",'Cost Breakdowns'!$B$274:$B$287))</f>
        <v>0</v>
      </c>
      <c r="AA9">
        <f>(SUMIF('Cost Breakdowns'!$D$274:$D$287,"ISIC 30",'Cost Breakdowns'!$B$274:$B$287))*'Factors applied'!$E$744</f>
        <v>0</v>
      </c>
      <c r="AB9">
        <f>(SUMIF('Cost Breakdowns'!$D$274:$D$287,"ISIC 30",'Cost Breakdowns'!$B$274:$B$287))*'Factors applied'!$E$745</f>
        <v>0</v>
      </c>
      <c r="AC9">
        <f>(SUMIF('Cost Breakdowns'!$D$274:$D$287,"ISIC 31T33",'Cost Breakdowns'!$B$274:$B$287))</f>
        <v>0</v>
      </c>
      <c r="AD9">
        <f>(SUMIF('Cost Breakdowns'!$D$274:$D$287,"ISIC 351",'Cost Breakdowns'!$B$274:$B$287))</f>
        <v>0.41615575034208502</v>
      </c>
      <c r="AE9">
        <f>(SUMIF('Cost Breakdowns'!$D$274:$D$287,"ISIC 352T353",'Cost Breakdowns'!$B$274:$B$287))</f>
        <v>0</v>
      </c>
      <c r="AF9">
        <f>(SUMIF('Cost Breakdowns'!$D$274:$D$287,"ISIC 36T39",'Cost Breakdowns'!$B$274:$B$287))</f>
        <v>6.6213883181614627E-2</v>
      </c>
      <c r="AG9">
        <f>(SUMIF('Cost Breakdowns'!$D$274:$D$287,"ISIC 41T43",'Cost Breakdowns'!$B$274:$B$287))</f>
        <v>0</v>
      </c>
      <c r="AH9">
        <f>(SUMIF('Cost Breakdowns'!$D$274:$D$287,"ISIC 45T47",'Cost Breakdowns'!$B$274:$B$287))</f>
        <v>0</v>
      </c>
      <c r="AI9">
        <f>(SUMIF('Cost Breakdowns'!$D$274:$D$287,"ISIC 49T53",'Cost Breakdowns'!$B$274:$B$287))*'Factors applied'!$E$746</f>
        <v>0</v>
      </c>
      <c r="AJ9">
        <f>(SUMIF('Cost Breakdowns'!$D$274:$D$287,"ISIC 49T53",'Cost Breakdowns'!$B$274:$B$287))*'Factors applied'!$E$747</f>
        <v>0</v>
      </c>
      <c r="AK9">
        <f>(SUMIF('Cost Breakdowns'!$D$274:$D$287,"ISIC 49T53",'Cost Breakdowns'!$B$274:$B$287))*'Factors applied'!$E$748</f>
        <v>0</v>
      </c>
      <c r="AL9">
        <f>(SUMIF('Cost Breakdowns'!$D$274:$D$287,"ISIC 49T53",'Cost Breakdowns'!$B$274:$B$287))*'Factors applied'!$E$749</f>
        <v>0</v>
      </c>
      <c r="AM9">
        <f>(SUMIF('Cost Breakdowns'!$D$274:$D$287,"ISIC 49T53",'Cost Breakdowns'!$B$274:$B$287))*'Factors applied'!$E$750</f>
        <v>0</v>
      </c>
      <c r="AN9">
        <f>(SUMIF('Cost Breakdowns'!$D$274:$D$287,"ISIC 55T56",'Cost Breakdowns'!$B$274:$B$287))</f>
        <v>0</v>
      </c>
      <c r="AO9">
        <f>(SUMIF('Cost Breakdowns'!$D$274:$D$287,"ISIC 58T60",'Cost Breakdowns'!$B$274:$B$287))</f>
        <v>0</v>
      </c>
      <c r="AP9">
        <f>(SUMIF('Cost Breakdowns'!$D$274:$D$287,"ISIC 61",'Cost Breakdowns'!$B$274:$B$287))</f>
        <v>0</v>
      </c>
      <c r="AQ9">
        <f>(SUMIF('Cost Breakdowns'!$D$274:$D$287,"ISIC 62T63",'Cost Breakdowns'!$B$274:$B$287))</f>
        <v>0</v>
      </c>
      <c r="AR9">
        <f>(SUMIF('Cost Breakdowns'!$D$274:$D$287,"ISIC 64T66",'Cost Breakdowns'!$B$274:$B$287))</f>
        <v>0</v>
      </c>
      <c r="AS9">
        <f>(SUMIF('Cost Breakdowns'!$D$274:$D$287,"ISIC 68",'Cost Breakdowns'!$B$274:$B$287))</f>
        <v>0</v>
      </c>
      <c r="AT9">
        <f>(SUMIF('Cost Breakdowns'!$D$274:$D$287,"ISIC 69T82",'Cost Breakdowns'!$B$274:$B$287))*'Factors applied'!$E$751</f>
        <v>7.7661551587353536E-2</v>
      </c>
      <c r="AU9">
        <f>(SUMIF('Cost Breakdowns'!$D$274:$D$287,"ISIC 69T82",'Cost Breakdowns'!$B$274:$B$287))*'Factors applied'!$E$752</f>
        <v>0</v>
      </c>
      <c r="AV9">
        <f>(SUMIF('Cost Breakdowns'!$D$274:$D$287,"ISIC 84",'Cost Breakdowns'!$B$274:$B$287))</f>
        <v>0</v>
      </c>
      <c r="AW9">
        <f>(SUMIF('Cost Breakdowns'!$D$274:$D$287,"ISIC 85",'Cost Breakdowns'!$B$274:$B$287))</f>
        <v>0</v>
      </c>
      <c r="AX9">
        <f>(SUMIF('Cost Breakdowns'!$D$274:$D$287,"ISIC 86T88",'Cost Breakdowns'!$B$274:$B$287))</f>
        <v>0</v>
      </c>
      <c r="AY9">
        <f>(SUMIF('Cost Breakdowns'!$D$274:$D$287,"ISIC 90T96",'Cost Breakdowns'!$B$274:$B$287))*'Factors applied'!$E$753</f>
        <v>0</v>
      </c>
      <c r="AZ9">
        <f>(SUMIF('Cost Breakdowns'!$D$274:$D$287,"ISIC 90T96",'Cost Breakdowns'!$B$274:$B$287))*'Factors applied'!$E$754</f>
        <v>0</v>
      </c>
      <c r="BA9">
        <f>(SUMIF('Cost Breakdowns'!$D$274:$D$287,"ISIC 97T98",'Cost Breakdowns'!$B$274:$B$287))</f>
        <v>0</v>
      </c>
    </row>
    <row r="10" spans="1:53" x14ac:dyDescent="0.25">
      <c r="A10" t="s">
        <v>61</v>
      </c>
      <c r="B10">
        <f>(SUMIF('Cost Breakdowns'!$D$229:$D$229,"ISIC 01T03",'Cost Breakdowns'!$B$229:$B$229))*'Factors applied'!$E$387</f>
        <v>0</v>
      </c>
      <c r="C10">
        <f>(SUMIF('Cost Breakdowns'!$D$229:$D$229,"ISIC 01T03",'Cost Breakdowns'!$B$229:$B$229))*'Factors applied'!$E$388</f>
        <v>0</v>
      </c>
      <c r="D10">
        <f>(SUMIF('Cost Breakdowns'!$D$229:$D$229,"ISIC 01T03",'Cost Breakdowns'!$B$229:$B$229))*'Factors applied'!$E$389</f>
        <v>0</v>
      </c>
      <c r="E10">
        <f>(SUMIF('Cost Breakdowns'!$D$229:$D$229,"ISIC 05",'Cost Breakdowns'!$B$229:$B$229))</f>
        <v>0</v>
      </c>
      <c r="F10">
        <f>(SUMIF('Cost Breakdowns'!$D$229:$D$229,"ISIC 06",'Cost Breakdowns'!$B$229:$B$229))</f>
        <v>0</v>
      </c>
      <c r="G10">
        <f>(SUMIF('Cost Breakdowns'!$D$229:$D$229,"ISIC 07T08",'Cost Breakdowns'!$B$229:$B$229))*'Factors applied'!$E$390</f>
        <v>0</v>
      </c>
      <c r="H10">
        <f>(SUMIF('Cost Breakdowns'!$D$229:$D$229,"ISIC 07T08",'Cost Breakdowns'!$B$229:$B$229))*'Factors applied'!$E$391</f>
        <v>0</v>
      </c>
      <c r="I10">
        <f>(SUMIF('Cost Breakdowns'!$D$229:$D$229,"ISIC 09",'Cost Breakdowns'!$B$229:$B$229))</f>
        <v>0</v>
      </c>
      <c r="J10">
        <f>(SUMIF('Cost Breakdowns'!$D$229:$D$229,"ISIC 10T12",'Cost Breakdowns'!$B$229:$B$229))</f>
        <v>0</v>
      </c>
      <c r="K10">
        <f>(SUMIF('Cost Breakdowns'!$D$229:$D$229,"ISIC 13T15",'Cost Breakdowns'!$B$229:$B$229))</f>
        <v>0</v>
      </c>
      <c r="L10">
        <f>(SUMIF('Cost Breakdowns'!$D$229:$D$229,"ISIC 16",'Cost Breakdowns'!$B$229:$B$229))</f>
        <v>0</v>
      </c>
      <c r="M10">
        <f>(SUMIF('Cost Breakdowns'!$D$229:$D$229,"ISIC 17T18",'Cost Breakdowns'!$B$229:$B$229))</f>
        <v>0</v>
      </c>
      <c r="N10">
        <f>(SUMIF('Cost Breakdowns'!$D$229:$D$229,"ISIC 19",'Cost Breakdowns'!$B$229:$B$229))</f>
        <v>0</v>
      </c>
      <c r="O10">
        <f>(SUMIF('Cost Breakdowns'!$D$229:$D$229,"ISIC 20",'Cost Breakdowns'!$B$229:$B$229))</f>
        <v>0</v>
      </c>
      <c r="P10">
        <f>(SUMIF('Cost Breakdowns'!$D$229:$D$229,"ISIC 21",'Cost Breakdowns'!$B$229:$B$229))</f>
        <v>0</v>
      </c>
      <c r="Q10">
        <f>(SUMIF('Cost Breakdowns'!$D$229:$D$229,"ISIC 22",'Cost Breakdowns'!$B$229:$B$229))</f>
        <v>0</v>
      </c>
      <c r="R10">
        <f>(SUMIF('Cost Breakdowns'!$D$229:$D$229,"ISIC 231",'Cost Breakdowns'!$B$229:$B$229))</f>
        <v>0</v>
      </c>
      <c r="S10">
        <f>(SUMIF('Cost Breakdowns'!$D$229:$D$229,"ISIC 239",'Cost Breakdowns'!$B$229:$B$229))</f>
        <v>0</v>
      </c>
      <c r="T10">
        <f>(SUMIF('Cost Breakdowns'!$D$229:$D$229,"ISIC 241",'Cost Breakdowns'!$B$229:$B$229))</f>
        <v>0</v>
      </c>
      <c r="U10">
        <f>(SUMIF('Cost Breakdowns'!$D$229:$D$229,"ISIC 242",'Cost Breakdowns'!$B$229:$B$229))</f>
        <v>0</v>
      </c>
      <c r="V10">
        <f>(SUMIF('Cost Breakdowns'!$D$229:$D$229,"ISIC 25",'Cost Breakdowns'!$B$229:$B$229))</f>
        <v>0</v>
      </c>
      <c r="W10">
        <f>(SUMIF('Cost Breakdowns'!$D$229:$D$229,"ISIC 26",'Cost Breakdowns'!$B$229:$B$229))</f>
        <v>0</v>
      </c>
      <c r="X10">
        <f>(SUMIF('Cost Breakdowns'!$D$229:$D$229,"ISIC 27",'Cost Breakdowns'!$B$229:$B$229))</f>
        <v>0</v>
      </c>
      <c r="Y10">
        <f>(SUMIF('Cost Breakdowns'!$D$229:$D$229,"ISIC 28",'Cost Breakdowns'!$B$229:$B$229))</f>
        <v>0</v>
      </c>
      <c r="Z10">
        <f>(SUMIF('Cost Breakdowns'!$D$229:$D$229,"ISIC 29",'Cost Breakdowns'!$B$229:$B$229))</f>
        <v>0</v>
      </c>
      <c r="AA10">
        <f>(SUMIF('Cost Breakdowns'!$D$229:$D$229,"ISIC 30",'Cost Breakdowns'!$B$229:$B$229))*'Factors applied'!$E$392</f>
        <v>0</v>
      </c>
      <c r="AB10">
        <f>(SUMIF('Cost Breakdowns'!$D$229:$D$229,"ISIC 30",'Cost Breakdowns'!$B$229:$B$229))*'Factors applied'!$E$393</f>
        <v>0</v>
      </c>
      <c r="AC10">
        <f>(SUMIF('Cost Breakdowns'!$D$229:$D$229,"ISIC 31T33",'Cost Breakdowns'!$B$229:$B$229))</f>
        <v>0</v>
      </c>
      <c r="AD10">
        <f>(SUMIF('Cost Breakdowns'!$D$229:$D$229,"ISIC 351",'Cost Breakdowns'!$B$229:$B$229))</f>
        <v>1</v>
      </c>
      <c r="AE10">
        <f>(SUMIF('Cost Breakdowns'!$D$229:$D$229,"ISIC 352T353",'Cost Breakdowns'!$B$229:$B$229))</f>
        <v>0</v>
      </c>
      <c r="AF10">
        <f>(SUMIF('Cost Breakdowns'!$D$229:$D$229,"ISIC 36T39",'Cost Breakdowns'!$B$229:$B$229))</f>
        <v>0</v>
      </c>
      <c r="AG10">
        <f>(SUMIF('Cost Breakdowns'!$D$229:$D$229,"ISIC 41T43",'Cost Breakdowns'!$B$229:$B$229))</f>
        <v>0</v>
      </c>
      <c r="AH10">
        <f>(SUMIF('Cost Breakdowns'!$D$229:$D$229,"ISIC 45T47",'Cost Breakdowns'!$B$229:$B$229))</f>
        <v>0</v>
      </c>
      <c r="AI10">
        <f>(SUMIF('Cost Breakdowns'!$D$229:$D$229,"ISIC 49T53",'Cost Breakdowns'!$B$229:$B$229))*'Factors applied'!$E$394</f>
        <v>0</v>
      </c>
      <c r="AJ10">
        <f>(SUMIF('Cost Breakdowns'!$D$229:$D$229,"ISIC 49T53",'Cost Breakdowns'!$B$229:$B$229))*'Factors applied'!$E$395</f>
        <v>0</v>
      </c>
      <c r="AK10">
        <f>(SUMIF('Cost Breakdowns'!$D$229:$D$229,"ISIC 49T53",'Cost Breakdowns'!$B$229:$B$229))*'Factors applied'!$E$396</f>
        <v>0</v>
      </c>
      <c r="AL10">
        <f>(SUMIF('Cost Breakdowns'!$D$229:$D$229,"ISIC 49T53",'Cost Breakdowns'!$B$229:$B$229))*'Factors applied'!$E$397</f>
        <v>0</v>
      </c>
      <c r="AM10">
        <f>(SUMIF('Cost Breakdowns'!$D$229:$D$229,"ISIC 49T53",'Cost Breakdowns'!$B$229:$B$229))*'Factors applied'!$E$398</f>
        <v>0</v>
      </c>
      <c r="AN10">
        <f>(SUMIF('Cost Breakdowns'!$D$229:$D$229,"ISIC 55T56",'Cost Breakdowns'!$B$229:$B$229))</f>
        <v>0</v>
      </c>
      <c r="AO10">
        <f>(SUMIF('Cost Breakdowns'!$D$229:$D$229,"ISIC 58T60",'Cost Breakdowns'!$B$229:$B$229))</f>
        <v>0</v>
      </c>
      <c r="AP10">
        <f>(SUMIF('Cost Breakdowns'!$D$229:$D$229,"ISIC 61",'Cost Breakdowns'!$B$229:$B$229))</f>
        <v>0</v>
      </c>
      <c r="AQ10">
        <f>(SUMIF('Cost Breakdowns'!$D$229:$D$229,"ISIC 62T63",'Cost Breakdowns'!$B$229:$B$229))</f>
        <v>0</v>
      </c>
      <c r="AR10">
        <f>(SUMIF('Cost Breakdowns'!$D$229:$D$229,"ISIC 64T66",'Cost Breakdowns'!$B$229:$B$229))</f>
        <v>0</v>
      </c>
      <c r="AS10">
        <f>(SUMIF('Cost Breakdowns'!$D$229:$D$229,"ISIC 68",'Cost Breakdowns'!$B$229:$B$229))</f>
        <v>0</v>
      </c>
      <c r="AT10">
        <f>(SUMIF('Cost Breakdowns'!$D$229:$D$229,"ISIC 69T82",'Cost Breakdowns'!$B$229:$B$229))*'Factors applied'!$E$399</f>
        <v>0</v>
      </c>
      <c r="AU10">
        <f>(SUMIF('Cost Breakdowns'!$D$229:$D$229,"ISIC 69T82",'Cost Breakdowns'!$B$229:$B$229))*'Factors applied'!$E$400</f>
        <v>0</v>
      </c>
      <c r="AV10">
        <f>(SUMIF('Cost Breakdowns'!$D$229:$D$229,"ISIC 84",'Cost Breakdowns'!$B$229:$B$229))</f>
        <v>0</v>
      </c>
      <c r="AW10">
        <f>(SUMIF('Cost Breakdowns'!$D$229:$D$229,"ISIC 85",'Cost Breakdowns'!$B$229:$B$229))</f>
        <v>0</v>
      </c>
      <c r="AX10">
        <f>(SUMIF('Cost Breakdowns'!$D$229:$D$229,"ISIC 86T88",'Cost Breakdowns'!$B$229:$B$229))</f>
        <v>0</v>
      </c>
      <c r="AY10">
        <f>(SUMIF('Cost Breakdowns'!$D$229:$D$229,"ISIC 90T96",'Cost Breakdowns'!$B$229:$B$229))*'Factors applied'!$E$401</f>
        <v>0</v>
      </c>
      <c r="AZ10">
        <f>(SUMIF('Cost Breakdowns'!$D$229:$D$229,"ISIC 90T96",'Cost Breakdowns'!$B$229:$B$229))*'Factors applied'!$E$402</f>
        <v>0</v>
      </c>
      <c r="BA10">
        <f>(SUMIF('Cost Breakdowns'!$D$229:$D$229,"ISIC 97T98",'Cost Breakdowns'!$B$229:$B$229))</f>
        <v>0</v>
      </c>
    </row>
    <row r="11" spans="1:53" x14ac:dyDescent="0.25">
      <c r="A11" t="s">
        <v>62</v>
      </c>
      <c r="B11">
        <f>(SUMIF('Cost Breakdowns'!$D$308:$D$311,"ISIC 01T03",'Cost Breakdowns'!$B$308:$B$311))*'Factors applied'!$E$435</f>
        <v>0</v>
      </c>
      <c r="C11">
        <f>(SUMIF('Cost Breakdowns'!$D$308:$D$311,"ISIC 01T03",'Cost Breakdowns'!$B$308:$B$311))*'Factors applied'!$E$436</f>
        <v>0</v>
      </c>
      <c r="D11">
        <f>(SUMIF('Cost Breakdowns'!$D$308:$D$311,"ISIC 01T03",'Cost Breakdowns'!$B$308:$B$311))*'Factors applied'!$E$437</f>
        <v>0</v>
      </c>
      <c r="E11">
        <f>(SUMIF('Cost Breakdowns'!$D$308:$D$311,"ISIC 05",'Cost Breakdowns'!$B$308:$B$311))</f>
        <v>0</v>
      </c>
      <c r="F11">
        <f>(SUMIF('Cost Breakdowns'!$D$308:$D$311,"ISIC 06",'Cost Breakdowns'!$B$308:$B$311))</f>
        <v>0</v>
      </c>
      <c r="G11">
        <f>(SUMIF('Cost Breakdowns'!$D$308:$D$311,"ISIC 07T08",'Cost Breakdowns'!$B$308:$B$311))*'Factors applied'!$E$438</f>
        <v>0</v>
      </c>
      <c r="H11">
        <f>(SUMIF('Cost Breakdowns'!$D$308:$D$311,"ISIC 07T08",'Cost Breakdowns'!$B$308:$B$311))*'Factors applied'!$E$439</f>
        <v>0</v>
      </c>
      <c r="I11">
        <f>(SUMIF('Cost Breakdowns'!$D$308:$D$311,"ISIC 09",'Cost Breakdowns'!$B$308:$B$311))</f>
        <v>0</v>
      </c>
      <c r="J11">
        <f>(SUMIF('Cost Breakdowns'!$D$308:$D$311,"ISIC 10T12",'Cost Breakdowns'!$B$308:$B$311))</f>
        <v>0</v>
      </c>
      <c r="K11">
        <f>(SUMIF('Cost Breakdowns'!$D$308:$D$311,"ISIC 13T15",'Cost Breakdowns'!$B$308:$B$311))</f>
        <v>0</v>
      </c>
      <c r="L11">
        <f>(SUMIF('Cost Breakdowns'!$D$308:$D$311,"ISIC 16",'Cost Breakdowns'!$B$308:$B$311))</f>
        <v>0</v>
      </c>
      <c r="M11">
        <f>(SUMIF('Cost Breakdowns'!$D$308:$D$311,"ISIC 17T18",'Cost Breakdowns'!$B$308:$B$311))</f>
        <v>0</v>
      </c>
      <c r="N11">
        <f>(SUMIF('Cost Breakdowns'!$D$308:$D$311,"ISIC 19",'Cost Breakdowns'!$B$308:$B$311))</f>
        <v>0</v>
      </c>
      <c r="O11">
        <f>(SUMIF('Cost Breakdowns'!$D$308:$D$311,"ISIC 20",'Cost Breakdowns'!$B$308:$B$311))</f>
        <v>0</v>
      </c>
      <c r="P11">
        <f>(SUMIF('Cost Breakdowns'!$D$308:$D$311,"ISIC 21",'Cost Breakdowns'!$B$308:$B$311))</f>
        <v>0</v>
      </c>
      <c r="Q11">
        <f>(SUMIF('Cost Breakdowns'!$D$308:$D$311,"ISIC 22",'Cost Breakdowns'!$B$308:$B$311))</f>
        <v>0</v>
      </c>
      <c r="R11">
        <f>(SUMIF('Cost Breakdowns'!$D$308:$D$311,"ISIC 231",'Cost Breakdowns'!$B$308:$B$311))</f>
        <v>0</v>
      </c>
      <c r="S11">
        <f>(SUMIF('Cost Breakdowns'!$D$308:$D$311,"ISIC 239",'Cost Breakdowns'!$B$308:$B$311))</f>
        <v>0</v>
      </c>
      <c r="T11">
        <f>(SUMIF('Cost Breakdowns'!$D$308:$D$311,"ISIC 241",'Cost Breakdowns'!$B$308:$B$311))</f>
        <v>0</v>
      </c>
      <c r="U11">
        <f>(SUMIF('Cost Breakdowns'!$D$308:$D$311,"ISIC 242",'Cost Breakdowns'!$B$308:$B$311))</f>
        <v>0</v>
      </c>
      <c r="V11">
        <f>(SUMIF('Cost Breakdowns'!$D$308:$D$311,"ISIC 25",'Cost Breakdowns'!$B$308:$B$311))</f>
        <v>0</v>
      </c>
      <c r="W11">
        <f>(SUMIF('Cost Breakdowns'!$D$308:$D$311,"ISIC 26",'Cost Breakdowns'!$B$308:$B$311))</f>
        <v>0</v>
      </c>
      <c r="X11">
        <f>(SUMIF('Cost Breakdowns'!$D$308:$D$311,"ISIC 27",'Cost Breakdowns'!$B$308:$B$311))</f>
        <v>0</v>
      </c>
      <c r="Y11">
        <f>(SUMIF('Cost Breakdowns'!$D$308:$D$311,"ISIC 28",'Cost Breakdowns'!$B$308:$B$311))</f>
        <v>0</v>
      </c>
      <c r="Z11">
        <f>(SUMIF('Cost Breakdowns'!$D$308:$D$311,"ISIC 29",'Cost Breakdowns'!$B$308:$B$311))</f>
        <v>0</v>
      </c>
      <c r="AA11">
        <f>(SUMIF('Cost Breakdowns'!$D$308:$D$311,"ISIC 30",'Cost Breakdowns'!$B$308:$B$311))*'Factors applied'!$E$440</f>
        <v>0</v>
      </c>
      <c r="AB11">
        <f>(SUMIF('Cost Breakdowns'!$D$308:$D$311,"ISIC 30",'Cost Breakdowns'!$B$308:$B$311))*'Factors applied'!$E$441</f>
        <v>0</v>
      </c>
      <c r="AC11">
        <f>(SUMIF('Cost Breakdowns'!$D$308:$D$311,"ISIC 31T33",'Cost Breakdowns'!$B$308:$B$311))</f>
        <v>0.58345780433159067</v>
      </c>
      <c r="AD11">
        <f>(SUMIF('Cost Breakdowns'!$D$308:$D$311,"ISIC 351",'Cost Breakdowns'!$B$308:$B$311))</f>
        <v>0.31357356235997003</v>
      </c>
      <c r="AE11">
        <f>(SUMIF('Cost Breakdowns'!$D$308:$D$311,"ISIC 352T353",'Cost Breakdowns'!$B$308:$B$311))</f>
        <v>0</v>
      </c>
      <c r="AF11">
        <f>(SUMIF('Cost Breakdowns'!$D$308:$D$311,"ISIC 36T39",'Cost Breakdowns'!$B$308:$B$311))</f>
        <v>0</v>
      </c>
      <c r="AG11">
        <f>(SUMIF('Cost Breakdowns'!$D$308:$D$311,"ISIC 41T43",'Cost Breakdowns'!$B$308:$B$311))</f>
        <v>0</v>
      </c>
      <c r="AH11">
        <f>(SUMIF('Cost Breakdowns'!$D$308:$D$311,"ISIC 45T47",'Cost Breakdowns'!$B$308:$B$311))</f>
        <v>0</v>
      </c>
      <c r="AI11">
        <f>(SUMIF('Cost Breakdowns'!$D$308:$D$311,"ISIC 49T53",'Cost Breakdowns'!$B$308:$B$311))*'Factors applied'!$E$442</f>
        <v>0</v>
      </c>
      <c r="AJ11">
        <f>(SUMIF('Cost Breakdowns'!$D$308:$D$311,"ISIC 49T53",'Cost Breakdowns'!$B$308:$B$311))*'Factors applied'!$E$443</f>
        <v>0</v>
      </c>
      <c r="AK11">
        <f>(SUMIF('Cost Breakdowns'!$D$308:$D$311,"ISIC 49T53",'Cost Breakdowns'!$B$308:$B$311))*'Factors applied'!$E$444</f>
        <v>0</v>
      </c>
      <c r="AL11">
        <f>(SUMIF('Cost Breakdowns'!$D$308:$D$311,"ISIC 49T53",'Cost Breakdowns'!$B$308:$B$311))*'Factors applied'!$E$445</f>
        <v>0</v>
      </c>
      <c r="AM11">
        <f>(SUMIF('Cost Breakdowns'!$D$308:$D$311,"ISIC 49T53",'Cost Breakdowns'!$B$308:$B$311))*'Factors applied'!$E$446</f>
        <v>0</v>
      </c>
      <c r="AN11">
        <f>(SUMIF('Cost Breakdowns'!$D$308:$D$311,"ISIC 55T56",'Cost Breakdowns'!$B$308:$B$311))</f>
        <v>0</v>
      </c>
      <c r="AO11">
        <f>(SUMIF('Cost Breakdowns'!$D$308:$D$311,"ISIC 58T60",'Cost Breakdowns'!$B$308:$B$311))</f>
        <v>0</v>
      </c>
      <c r="AP11">
        <f>(SUMIF('Cost Breakdowns'!$D$308:$D$311,"ISIC 61",'Cost Breakdowns'!$B$308:$B$311))</f>
        <v>0</v>
      </c>
      <c r="AQ11">
        <f>(SUMIF('Cost Breakdowns'!$D$308:$D$311,"ISIC 62T63",'Cost Breakdowns'!$B$308:$B$311))</f>
        <v>0</v>
      </c>
      <c r="AR11">
        <f>(SUMIF('Cost Breakdowns'!$D$308:$D$311,"ISIC 64T66",'Cost Breakdowns'!$B$308:$B$311))</f>
        <v>0</v>
      </c>
      <c r="AS11">
        <f>(SUMIF('Cost Breakdowns'!$D$308:$D$311,"ISIC 68",'Cost Breakdowns'!$B$308:$B$311))</f>
        <v>0</v>
      </c>
      <c r="AT11">
        <f>(SUMIF('Cost Breakdowns'!$D$308:$D$311,"ISIC 69T82",'Cost Breakdowns'!$B$308:$B$311))*'Factors applied'!$E$447</f>
        <v>0.1029686333084391</v>
      </c>
      <c r="AU11">
        <f>(SUMIF('Cost Breakdowns'!$D$308:$D$311,"ISIC 69T82",'Cost Breakdowns'!$B$308:$B$311))*'Factors applied'!$E$448</f>
        <v>0</v>
      </c>
      <c r="AV11">
        <f>(SUMIF('Cost Breakdowns'!$D$308:$D$311,"ISIC 84",'Cost Breakdowns'!$B$308:$B$311))</f>
        <v>0</v>
      </c>
      <c r="AW11">
        <f>(SUMIF('Cost Breakdowns'!$D$308:$D$311,"ISIC 85",'Cost Breakdowns'!$B$308:$B$311))</f>
        <v>0</v>
      </c>
      <c r="AX11">
        <f>(SUMIF('Cost Breakdowns'!$D$308:$D$311,"ISIC 86T88",'Cost Breakdowns'!$B$308:$B$311))</f>
        <v>0</v>
      </c>
      <c r="AY11">
        <f>(SUMIF('Cost Breakdowns'!$D$308:$D$311,"ISIC 90T96",'Cost Breakdowns'!$B$308:$B$311))*'Factors applied'!$E$449</f>
        <v>0</v>
      </c>
      <c r="AZ11">
        <f>(SUMIF('Cost Breakdowns'!$D$308:$D$311,"ISIC 90T96",'Cost Breakdowns'!$B$308:$B$311))*'Factors applied'!$E$450</f>
        <v>0</v>
      </c>
      <c r="BA11">
        <f>(SUMIF('Cost Breakdowns'!$D$308:$D$311,"ISIC 97T98",'Cost Breakdowns'!$B$308:$B$311))</f>
        <v>0</v>
      </c>
    </row>
    <row r="12" spans="1:53" x14ac:dyDescent="0.25">
      <c r="A12" t="s">
        <v>63</v>
      </c>
      <c r="B12">
        <f>((SUMIF('Cost Breakdowns'!$D$135:$D$137,"ISIC 01T03",'Cost Breakdowns'!$B$135:$B$137)))*'Factors applied'!$E$691</f>
        <v>0</v>
      </c>
      <c r="C12">
        <f>((SUMIF('Cost Breakdowns'!$D$135:$D$137,"ISIC 01T03",'Cost Breakdowns'!$B$135:$B$137)))*'Factors applied'!$E$692</f>
        <v>0</v>
      </c>
      <c r="D12">
        <f>((SUMIF('Cost Breakdowns'!$D$135:$D$137,"ISIC 01T03",'Cost Breakdowns'!$B$135:$B$137)))*'Factors applied'!$E$693</f>
        <v>0</v>
      </c>
      <c r="E12">
        <f>((SUMIF('Cost Breakdowns'!$D$135:$D$137,"ISIC 05",'Cost Breakdowns'!$B$135:$B$137)))</f>
        <v>0</v>
      </c>
      <c r="F12">
        <f>((SUMIF('Cost Breakdowns'!$D$135:$D$137,"ISIC 06",'Cost Breakdowns'!$B$135:$B$137)))</f>
        <v>0</v>
      </c>
      <c r="G12">
        <f>((SUMIF('Cost Breakdowns'!$D$135:$D$137,"ISIC 07T08",'Cost Breakdowns'!$B$135:$B$137)))*'Factors applied'!$E$694</f>
        <v>0</v>
      </c>
      <c r="H12">
        <f>((SUMIF('Cost Breakdowns'!$D$135:$D$137,"ISIC 07T08",'Cost Breakdowns'!$B$135:$B$137)))*'Factors applied'!$E$695</f>
        <v>0</v>
      </c>
      <c r="I12">
        <f>((SUMIF('Cost Breakdowns'!$D$135:$D$137,"ISIC 09",'Cost Breakdowns'!$B$135:$B$137)))</f>
        <v>0</v>
      </c>
      <c r="J12">
        <f>((SUMIF('Cost Breakdowns'!$D$135:$D$137,"ISIC 10T12",'Cost Breakdowns'!$B$135:$B$137)))</f>
        <v>0</v>
      </c>
      <c r="K12">
        <f>((SUMIF('Cost Breakdowns'!$D$135:$D$137,"ISIC 13T15",'Cost Breakdowns'!$B$135:$B$137)))</f>
        <v>0</v>
      </c>
      <c r="L12">
        <f>((SUMIF('Cost Breakdowns'!$D$135:$D$137,"ISIC 16",'Cost Breakdowns'!$B$135:$B$137)))</f>
        <v>0</v>
      </c>
      <c r="M12">
        <f>((SUMIF('Cost Breakdowns'!$D$135:$D$137,"ISIC 17T18",'Cost Breakdowns'!$B$135:$B$137)))</f>
        <v>0</v>
      </c>
      <c r="N12">
        <f>((SUMIF('Cost Breakdowns'!$D$135:$D$137,"ISIC 19",'Cost Breakdowns'!$B$135:$B$137)))</f>
        <v>0</v>
      </c>
      <c r="O12">
        <f>((SUMIF('Cost Breakdowns'!$D$135:$D$137,"ISIC 20",'Cost Breakdowns'!$B$135:$B$137)))</f>
        <v>0</v>
      </c>
      <c r="P12">
        <f>((SUMIF('Cost Breakdowns'!$D$135:$D$137,"ISIC 21",'Cost Breakdowns'!$B$135:$B$137)))</f>
        <v>0</v>
      </c>
      <c r="Q12">
        <f>((SUMIF('Cost Breakdowns'!$D$135:$D$137,"ISIC 22",'Cost Breakdowns'!$B$135:$B$137)))</f>
        <v>0</v>
      </c>
      <c r="R12">
        <f>((SUMIF('Cost Breakdowns'!$D$135:$D$137,"ISIC 231",'Cost Breakdowns'!$B$135:$B$137)))</f>
        <v>0</v>
      </c>
      <c r="S12">
        <f>((SUMIF('Cost Breakdowns'!$D$135:$D$137,"ISIC 239",'Cost Breakdowns'!$B$135:$B$137)))</f>
        <v>0</v>
      </c>
      <c r="T12">
        <f>((SUMIF('Cost Breakdowns'!$D$135:$D$137,"ISIC 241",'Cost Breakdowns'!$B$135:$B$137)))</f>
        <v>0</v>
      </c>
      <c r="U12">
        <f>((SUMIF('Cost Breakdowns'!$D$135:$D$137,"ISIC 242",'Cost Breakdowns'!$B$135:$B$137)))</f>
        <v>0</v>
      </c>
      <c r="V12">
        <f>((SUMIF('Cost Breakdowns'!$D$135:$D$137,"ISIC 25",'Cost Breakdowns'!$B$135:$B$137)))</f>
        <v>0</v>
      </c>
      <c r="W12">
        <f>((SUMIF('Cost Breakdowns'!$D$135:$D$137,"ISIC 26",'Cost Breakdowns'!$B$135:$B$137)))</f>
        <v>0</v>
      </c>
      <c r="X12">
        <f>((SUMIF('Cost Breakdowns'!$D$135:$D$137,"ISIC 27",'Cost Breakdowns'!$B$135:$B$137)))</f>
        <v>0</v>
      </c>
      <c r="Y12">
        <f>((SUMIF('Cost Breakdowns'!$D$135:$D$137,"ISIC 28",'Cost Breakdowns'!$B$135:$B$137)))</f>
        <v>6.0604166666666653E-2</v>
      </c>
      <c r="Z12">
        <f>((SUMIF('Cost Breakdowns'!$D$135:$D$137,"ISIC 29",'Cost Breakdowns'!$B$135:$B$137)))</f>
        <v>0</v>
      </c>
      <c r="AA12">
        <f>((SUMIF('Cost Breakdowns'!$D$135:$D$137,"ISIC 30",'Cost Breakdowns'!$B$135:$B$137)))*'Factors applied'!$E$696</f>
        <v>0</v>
      </c>
      <c r="AB12">
        <f>((SUMIF('Cost Breakdowns'!$D$135:$D$137,"ISIC 30",'Cost Breakdowns'!$B$135:$B$137)))*'Factors applied'!$E$697</f>
        <v>0</v>
      </c>
      <c r="AC12">
        <f>((SUMIF('Cost Breakdowns'!$D$135:$D$137,"ISIC 31T33",'Cost Breakdowns'!$B$135:$B$137)))</f>
        <v>0</v>
      </c>
      <c r="AD12">
        <f>((SUMIF('Cost Breakdowns'!$D$135:$D$137,"ISIC 351",'Cost Breakdowns'!$B$135:$B$137)))</f>
        <v>0.41820000000000018</v>
      </c>
      <c r="AE12">
        <f>((SUMIF('Cost Breakdowns'!$D$135:$D$137,"ISIC 352T353",'Cost Breakdowns'!$B$135:$B$137)))</f>
        <v>0</v>
      </c>
      <c r="AF12">
        <f>((SUMIF('Cost Breakdowns'!$D$135:$D$137,"ISIC 36T39",'Cost Breakdowns'!$B$135:$B$137)))</f>
        <v>0</v>
      </c>
      <c r="AG12">
        <f>((SUMIF('Cost Breakdowns'!$D$135:$D$137,"ISIC 41T43",'Cost Breakdowns'!$B$135:$B$137)))</f>
        <v>0</v>
      </c>
      <c r="AH12">
        <f>((SUMIF('Cost Breakdowns'!$D$135:$D$137,"ISIC 45T47",'Cost Breakdowns'!$B$135:$B$137)))</f>
        <v>0</v>
      </c>
      <c r="AI12">
        <f>((SUMIF('Cost Breakdowns'!$D$135:$D$137,"ISIC 49T53",'Cost Breakdowns'!$B$135:$B$137)))*'Factors applied'!$E$698</f>
        <v>0</v>
      </c>
      <c r="AJ12">
        <f>((SUMIF('Cost Breakdowns'!$D$135:$D$137,"ISIC 49T53",'Cost Breakdowns'!$B$135:$B$137)))*'Factors applied'!$E$699</f>
        <v>0</v>
      </c>
      <c r="AK12">
        <f>((SUMIF('Cost Breakdowns'!$D$135:$D$137,"ISIC 49T53",'Cost Breakdowns'!$B$135:$B$137)))*'Factors applied'!$E$700</f>
        <v>0</v>
      </c>
      <c r="AL12">
        <f>((SUMIF('Cost Breakdowns'!$D$135:$D$137,"ISIC 49T53",'Cost Breakdowns'!$B$135:$B$137)))*'Factors applied'!$E$701</f>
        <v>0</v>
      </c>
      <c r="AM12">
        <f>((SUMIF('Cost Breakdowns'!$D$135:$D$137,"ISIC 49T53",'Cost Breakdowns'!$B$135:$B$137)))*'Factors applied'!$E$702</f>
        <v>0</v>
      </c>
      <c r="AN12">
        <f>((SUMIF('Cost Breakdowns'!$D$135:$D$137,"ISIC 55T56",'Cost Breakdowns'!$B$135:$B$137)))</f>
        <v>0</v>
      </c>
      <c r="AO12">
        <f>((SUMIF('Cost Breakdowns'!$D$135:$D$137,"ISIC 58T60",'Cost Breakdowns'!$B$135:$B$137)))</f>
        <v>0</v>
      </c>
      <c r="AP12">
        <f>((SUMIF('Cost Breakdowns'!$D$135:$D$137,"ISIC 61",'Cost Breakdowns'!$B$135:$B$137)))</f>
        <v>0</v>
      </c>
      <c r="AQ12">
        <f>((SUMIF('Cost Breakdowns'!$D$135:$D$137,"ISIC 62T63",'Cost Breakdowns'!$B$135:$B$137)))</f>
        <v>0</v>
      </c>
      <c r="AR12">
        <f>((SUMIF('Cost Breakdowns'!$D$135:$D$137,"ISIC 64T66",'Cost Breakdowns'!$B$135:$B$137)))</f>
        <v>0</v>
      </c>
      <c r="AS12">
        <f>((SUMIF('Cost Breakdowns'!$D$135:$D$137,"ISIC 68",'Cost Breakdowns'!$B$135:$B$137)))</f>
        <v>0</v>
      </c>
      <c r="AT12">
        <f>((SUMIF('Cost Breakdowns'!$D$135:$D$137,"ISIC 69T82",'Cost Breakdowns'!$B$135:$B$137)))*'Factors applied'!$E$703</f>
        <v>0.52119583333333308</v>
      </c>
      <c r="AU12">
        <f>((SUMIF('Cost Breakdowns'!$D$135:$D$137,"ISIC 69T82",'Cost Breakdowns'!$B$135:$B$137)))*'Factors applied'!$E$704</f>
        <v>0</v>
      </c>
      <c r="AV12">
        <f>((SUMIF('Cost Breakdowns'!$D$135:$D$137,"ISIC 84",'Cost Breakdowns'!$B$135:$B$137)))</f>
        <v>0</v>
      </c>
      <c r="AW12">
        <f>((SUMIF('Cost Breakdowns'!$D$135:$D$137,"ISIC 85",'Cost Breakdowns'!$B$135:$B$137)))</f>
        <v>0</v>
      </c>
      <c r="AX12">
        <f>((SUMIF('Cost Breakdowns'!$D$135:$D$137,"ISIC 86T88",'Cost Breakdowns'!$B$135:$B$137)))</f>
        <v>0</v>
      </c>
      <c r="AY12">
        <f>((SUMIF('Cost Breakdowns'!$D$135:$D$137,"ISIC 90T96",'Cost Breakdowns'!$B$135:$B$137)))*'Factors applied'!$E$705</f>
        <v>0</v>
      </c>
      <c r="AZ12">
        <f>((SUMIF('Cost Breakdowns'!$D$135:$D$137,"ISIC 90T96",'Cost Breakdowns'!$B$135:$B$137)))*'Factors applied'!$E$706</f>
        <v>0</v>
      </c>
      <c r="BA12">
        <f>((SUMIF('Cost Breakdowns'!$D$135:$D$137,"ISIC 97T98",'Cost Breakdowns'!$B$135:$B$137)))</f>
        <v>0</v>
      </c>
    </row>
    <row r="13" spans="1:53" x14ac:dyDescent="0.25">
      <c r="A13" t="s">
        <v>64</v>
      </c>
      <c r="B13">
        <f>((SUMIF('Cost Breakdowns'!$D$135:$D$137,"ISIC 01T03",'Cost Breakdowns'!$B$135:$B$137)))*'Factors applied'!$E$627</f>
        <v>0</v>
      </c>
      <c r="C13">
        <f>((SUMIF('Cost Breakdowns'!$D$135:$D$137,"ISIC 01T03",'Cost Breakdowns'!$B$135:$B$137)))*'Factors applied'!$E$628</f>
        <v>0</v>
      </c>
      <c r="D13">
        <f>((SUMIF('Cost Breakdowns'!$D$135:$D$137,"ISIC 01T03",'Cost Breakdowns'!$B$135:$B$137)))*'Factors applied'!$E$629</f>
        <v>0</v>
      </c>
      <c r="E13">
        <f>((SUMIF('Cost Breakdowns'!$D$135:$D$137,"ISIC 05",'Cost Breakdowns'!$B$135:$B$137)))</f>
        <v>0</v>
      </c>
      <c r="F13">
        <f>((SUMIF('Cost Breakdowns'!$D$135:$D$137,"ISIC 06",'Cost Breakdowns'!$B$135:$B$137)))</f>
        <v>0</v>
      </c>
      <c r="G13">
        <f>((SUMIF('Cost Breakdowns'!$D$135:$D$137,"ISIC 07T08",'Cost Breakdowns'!$B$135:$B$137)))*'Factors applied'!$E$630</f>
        <v>0</v>
      </c>
      <c r="H13">
        <f>((SUMIF('Cost Breakdowns'!$D$135:$D$137,"ISIC 07T08",'Cost Breakdowns'!$B$135:$B$137)))*'Factors applied'!$E$631</f>
        <v>0</v>
      </c>
      <c r="I13">
        <f>((SUMIF('Cost Breakdowns'!$D$135:$D$137,"ISIC 09",'Cost Breakdowns'!$B$135:$B$137)))</f>
        <v>0</v>
      </c>
      <c r="J13">
        <f>((SUMIF('Cost Breakdowns'!$D$135:$D$137,"ISIC 10T12",'Cost Breakdowns'!$B$135:$B$137)))</f>
        <v>0</v>
      </c>
      <c r="K13">
        <f>((SUMIF('Cost Breakdowns'!$D$135:$D$137,"ISIC 13T15",'Cost Breakdowns'!$B$135:$B$137)))</f>
        <v>0</v>
      </c>
      <c r="L13">
        <f>((SUMIF('Cost Breakdowns'!$D$135:$D$137,"ISIC 16",'Cost Breakdowns'!$B$135:$B$137)))</f>
        <v>0</v>
      </c>
      <c r="M13">
        <f>((SUMIF('Cost Breakdowns'!$D$135:$D$137,"ISIC 17T18",'Cost Breakdowns'!$B$135:$B$137)))</f>
        <v>0</v>
      </c>
      <c r="N13">
        <f>((SUMIF('Cost Breakdowns'!$D$135:$D$137,"ISIC 19",'Cost Breakdowns'!$B$135:$B$137)))</f>
        <v>0</v>
      </c>
      <c r="O13">
        <f>((SUMIF('Cost Breakdowns'!$D$135:$D$137,"ISIC 20",'Cost Breakdowns'!$B$135:$B$137)))</f>
        <v>0</v>
      </c>
      <c r="P13">
        <f>((SUMIF('Cost Breakdowns'!$D$135:$D$137,"ISIC 21",'Cost Breakdowns'!$B$135:$B$137)))</f>
        <v>0</v>
      </c>
      <c r="Q13">
        <f>((SUMIF('Cost Breakdowns'!$D$135:$D$137,"ISIC 22",'Cost Breakdowns'!$B$135:$B$137)))</f>
        <v>0</v>
      </c>
      <c r="R13">
        <f>((SUMIF('Cost Breakdowns'!$D$135:$D$137,"ISIC 231",'Cost Breakdowns'!$B$135:$B$137)))</f>
        <v>0</v>
      </c>
      <c r="S13">
        <f>((SUMIF('Cost Breakdowns'!$D$135:$D$137,"ISIC 239",'Cost Breakdowns'!$B$135:$B$137)))</f>
        <v>0</v>
      </c>
      <c r="T13">
        <f>((SUMIF('Cost Breakdowns'!$D$135:$D$137,"ISIC 241",'Cost Breakdowns'!$B$135:$B$137)))</f>
        <v>0</v>
      </c>
      <c r="U13">
        <f>((SUMIF('Cost Breakdowns'!$D$135:$D$137,"ISIC 242",'Cost Breakdowns'!$B$135:$B$137)))</f>
        <v>0</v>
      </c>
      <c r="V13">
        <f>((SUMIF('Cost Breakdowns'!$D$135:$D$137,"ISIC 25",'Cost Breakdowns'!$B$135:$B$137)))</f>
        <v>0</v>
      </c>
      <c r="W13">
        <f>((SUMIF('Cost Breakdowns'!$D$135:$D$137,"ISIC 26",'Cost Breakdowns'!$B$135:$B$137)))</f>
        <v>0</v>
      </c>
      <c r="X13">
        <f>((SUMIF('Cost Breakdowns'!$D$135:$D$137,"ISIC 27",'Cost Breakdowns'!$B$135:$B$137)))</f>
        <v>0</v>
      </c>
      <c r="Y13">
        <f>((SUMIF('Cost Breakdowns'!$D$135:$D$137,"ISIC 28",'Cost Breakdowns'!$B$135:$B$137)))</f>
        <v>6.0604166666666653E-2</v>
      </c>
      <c r="Z13">
        <f>((SUMIF('Cost Breakdowns'!$D$135:$D$137,"ISIC 29",'Cost Breakdowns'!$B$135:$B$137)))</f>
        <v>0</v>
      </c>
      <c r="AA13">
        <f>((SUMIF('Cost Breakdowns'!$D$135:$D$137,"ISIC 30",'Cost Breakdowns'!$B$135:$B$137)))*'Factors applied'!$E$632</f>
        <v>0</v>
      </c>
      <c r="AB13">
        <f>((SUMIF('Cost Breakdowns'!$D$135:$D$137,"ISIC 30",'Cost Breakdowns'!$B$135:$B$137)))*'Factors applied'!$E$633</f>
        <v>0</v>
      </c>
      <c r="AC13">
        <f>((SUMIF('Cost Breakdowns'!$D$135:$D$137,"ISIC 31T33",'Cost Breakdowns'!$B$135:$B$137)))</f>
        <v>0</v>
      </c>
      <c r="AD13">
        <f>((SUMIF('Cost Breakdowns'!$D$135:$D$137,"ISIC 351",'Cost Breakdowns'!$B$135:$B$137)))</f>
        <v>0.41820000000000018</v>
      </c>
      <c r="AE13">
        <f>((SUMIF('Cost Breakdowns'!$D$135:$D$137,"ISIC 352T353",'Cost Breakdowns'!$B$135:$B$137)))</f>
        <v>0</v>
      </c>
      <c r="AF13">
        <f>((SUMIF('Cost Breakdowns'!$D$135:$D$137,"ISIC 36T39",'Cost Breakdowns'!$B$135:$B$137)))</f>
        <v>0</v>
      </c>
      <c r="AG13">
        <f>((SUMIF('Cost Breakdowns'!$D$135:$D$137,"ISIC 41T43",'Cost Breakdowns'!$B$135:$B$137)))</f>
        <v>0</v>
      </c>
      <c r="AH13">
        <f>((SUMIF('Cost Breakdowns'!$D$135:$D$137,"ISIC 45T47",'Cost Breakdowns'!$B$135:$B$137)))</f>
        <v>0</v>
      </c>
      <c r="AI13">
        <f>((SUMIF('Cost Breakdowns'!$D$135:$D$137,"ISIC 49T53",'Cost Breakdowns'!$B$135:$B$137)))*'Factors applied'!$E$634</f>
        <v>0</v>
      </c>
      <c r="AJ13">
        <f>((SUMIF('Cost Breakdowns'!$D$135:$D$137,"ISIC 49T53",'Cost Breakdowns'!$B$135:$B$137)))*'Factors applied'!$E$635</f>
        <v>0</v>
      </c>
      <c r="AK13">
        <f>((SUMIF('Cost Breakdowns'!$D$135:$D$137,"ISIC 49T53",'Cost Breakdowns'!$B$135:$B$137)))*'Factors applied'!$E$636</f>
        <v>0</v>
      </c>
      <c r="AL13">
        <f>((SUMIF('Cost Breakdowns'!$D$135:$D$137,"ISIC 49T53",'Cost Breakdowns'!$B$135:$B$137)))*'Factors applied'!$E$637</f>
        <v>0</v>
      </c>
      <c r="AM13">
        <f>((SUMIF('Cost Breakdowns'!$D$135:$D$137,"ISIC 49T53",'Cost Breakdowns'!$B$135:$B$137)))*'Factors applied'!$E$638</f>
        <v>0</v>
      </c>
      <c r="AN13">
        <f>((SUMIF('Cost Breakdowns'!$D$135:$D$137,"ISIC 55T56",'Cost Breakdowns'!$B$135:$B$137)))</f>
        <v>0</v>
      </c>
      <c r="AO13">
        <f>((SUMIF('Cost Breakdowns'!$D$135:$D$137,"ISIC 58T60",'Cost Breakdowns'!$B$135:$B$137)))</f>
        <v>0</v>
      </c>
      <c r="AP13">
        <f>((SUMIF('Cost Breakdowns'!$D$135:$D$137,"ISIC 61",'Cost Breakdowns'!$B$135:$B$137)))</f>
        <v>0</v>
      </c>
      <c r="AQ13">
        <f>((SUMIF('Cost Breakdowns'!$D$135:$D$137,"ISIC 62T63",'Cost Breakdowns'!$B$135:$B$137)))</f>
        <v>0</v>
      </c>
      <c r="AR13">
        <f>((SUMIF('Cost Breakdowns'!$D$135:$D$137,"ISIC 64T66",'Cost Breakdowns'!$B$135:$B$137)))</f>
        <v>0</v>
      </c>
      <c r="AS13">
        <f>((SUMIF('Cost Breakdowns'!$D$135:$D$137,"ISIC 68",'Cost Breakdowns'!$B$135:$B$137)))</f>
        <v>0</v>
      </c>
      <c r="AT13">
        <f>((SUMIF('Cost Breakdowns'!$D$135:$D$137,"ISIC 69T82",'Cost Breakdowns'!$B$135:$B$137)))*'Factors applied'!$E$639</f>
        <v>0.52119583333333308</v>
      </c>
      <c r="AU13">
        <f>((SUMIF('Cost Breakdowns'!$D$135:$D$137,"ISIC 69T82",'Cost Breakdowns'!$B$135:$B$137)))*'Factors applied'!$E$640</f>
        <v>0</v>
      </c>
      <c r="AV13">
        <f>((SUMIF('Cost Breakdowns'!$D$135:$D$137,"ISIC 84",'Cost Breakdowns'!$B$135:$B$137)))</f>
        <v>0</v>
      </c>
      <c r="AW13">
        <f>((SUMIF('Cost Breakdowns'!$D$135:$D$137,"ISIC 85",'Cost Breakdowns'!$B$135:$B$137)))</f>
        <v>0</v>
      </c>
      <c r="AX13">
        <f>((SUMIF('Cost Breakdowns'!$D$135:$D$137,"ISIC 86T88",'Cost Breakdowns'!$B$135:$B$137)))</f>
        <v>0</v>
      </c>
      <c r="AY13">
        <f>((SUMIF('Cost Breakdowns'!$D$135:$D$137,"ISIC 90T96",'Cost Breakdowns'!$B$135:$B$137)))*'Factors applied'!$E$641</f>
        <v>0</v>
      </c>
      <c r="AZ13">
        <f>((SUMIF('Cost Breakdowns'!$D$135:$D$137,"ISIC 90T96",'Cost Breakdowns'!$B$135:$B$137)))*'Factors applied'!$E$642</f>
        <v>0</v>
      </c>
      <c r="BA13">
        <f>((SUMIF('Cost Breakdowns'!$D$135:$D$137,"ISIC 97T98",'Cost Breakdowns'!$B$135:$B$137)))</f>
        <v>0</v>
      </c>
    </row>
    <row r="14" spans="1:53" x14ac:dyDescent="0.25">
      <c r="A14" t="s">
        <v>65</v>
      </c>
      <c r="B14">
        <f>(SUMIF('Cost Breakdowns'!$D$100:$D$102,"ISIC 01T03",'Cost Breakdowns'!$B$100:$B$102))*'Factors applied'!$E$547</f>
        <v>0</v>
      </c>
      <c r="C14">
        <f>(SUMIF('Cost Breakdowns'!$D$100:$D$102,"ISIC 01T03",'Cost Breakdowns'!$B$100:$B$102))*'Factors applied'!$E$548</f>
        <v>0</v>
      </c>
      <c r="D14">
        <f>(SUMIF('Cost Breakdowns'!$D$100:$D$102,"ISIC 01T03",'Cost Breakdowns'!$B$100:$B$102))*'Factors applied'!$E$549</f>
        <v>0</v>
      </c>
      <c r="E14">
        <f>(SUMIF('Cost Breakdowns'!$D$100:$D$102,"ISIC 05",'Cost Breakdowns'!$B$100:$B$102))</f>
        <v>0</v>
      </c>
      <c r="F14">
        <f>(SUMIF('Cost Breakdowns'!$D$100:$D$102,"ISIC 06",'Cost Breakdowns'!$B$100:$B$102))</f>
        <v>0</v>
      </c>
      <c r="G14">
        <f>(SUMIF('Cost Breakdowns'!$D$100:$D$102,"ISIC 07T08",'Cost Breakdowns'!$B$100:$B$102))*'Factors applied'!$E$550</f>
        <v>0</v>
      </c>
      <c r="H14">
        <f>(SUMIF('Cost Breakdowns'!$D$100:$D$102,"ISIC 07T08",'Cost Breakdowns'!$B$100:$B$102))*'Factors applied'!$E$551</f>
        <v>0</v>
      </c>
      <c r="I14">
        <f>(SUMIF('Cost Breakdowns'!$D$100:$D$102,"ISIC 09",'Cost Breakdowns'!$B$100:$B$102))</f>
        <v>0</v>
      </c>
      <c r="J14">
        <f>(SUMIF('Cost Breakdowns'!$D$100:$D$102,"ISIC 10T12",'Cost Breakdowns'!$B$100:$B$102))</f>
        <v>0</v>
      </c>
      <c r="K14">
        <f>(SUMIF('Cost Breakdowns'!$D$100:$D$102,"ISIC 13T15",'Cost Breakdowns'!$B$100:$B$102))</f>
        <v>0</v>
      </c>
      <c r="L14">
        <f>(SUMIF('Cost Breakdowns'!$D$100:$D$102,"ISIC 16",'Cost Breakdowns'!$B$100:$B$102))</f>
        <v>0</v>
      </c>
      <c r="M14">
        <f>(SUMIF('Cost Breakdowns'!$D$100:$D$102,"ISIC 17T18",'Cost Breakdowns'!$B$100:$B$102))</f>
        <v>0</v>
      </c>
      <c r="N14">
        <f>(SUMIF('Cost Breakdowns'!$D$100:$D$102,"ISIC 19",'Cost Breakdowns'!$B$100:$B$102))</f>
        <v>0</v>
      </c>
      <c r="O14">
        <f>(SUMIF('Cost Breakdowns'!$D$100:$D$102,"ISIC 20",'Cost Breakdowns'!$B$100:$B$102))</f>
        <v>0</v>
      </c>
      <c r="P14">
        <f>(SUMIF('Cost Breakdowns'!$D$100:$D$102,"ISIC 21",'Cost Breakdowns'!$B$100:$B$102))</f>
        <v>0</v>
      </c>
      <c r="Q14">
        <f>(SUMIF('Cost Breakdowns'!$D$100:$D$102,"ISIC 22",'Cost Breakdowns'!$B$100:$B$102))</f>
        <v>0</v>
      </c>
      <c r="R14">
        <f>(SUMIF('Cost Breakdowns'!$D$100:$D$102,"ISIC 231",'Cost Breakdowns'!$B$100:$B$102))</f>
        <v>0</v>
      </c>
      <c r="S14">
        <f>(SUMIF('Cost Breakdowns'!$D$100:$D$102,"ISIC 239",'Cost Breakdowns'!$B$100:$B$102))</f>
        <v>0</v>
      </c>
      <c r="T14">
        <f>(SUMIF('Cost Breakdowns'!$D$100:$D$102,"ISIC 241",'Cost Breakdowns'!$B$100:$B$102))</f>
        <v>0</v>
      </c>
      <c r="U14">
        <f>(SUMIF('Cost Breakdowns'!$D$100:$D$102,"ISIC 242",'Cost Breakdowns'!$B$100:$B$102))</f>
        <v>0</v>
      </c>
      <c r="V14">
        <f>(SUMIF('Cost Breakdowns'!$D$100:$D$102,"ISIC 25",'Cost Breakdowns'!$B$100:$B$102))</f>
        <v>0</v>
      </c>
      <c r="W14">
        <f>(SUMIF('Cost Breakdowns'!$D$100:$D$102,"ISIC 26",'Cost Breakdowns'!$B$100:$B$102))</f>
        <v>0</v>
      </c>
      <c r="X14">
        <f>(SUMIF('Cost Breakdowns'!$D$100:$D$102,"ISIC 27",'Cost Breakdowns'!$B$100:$B$102))</f>
        <v>0</v>
      </c>
      <c r="Y14">
        <f>(SUMIF('Cost Breakdowns'!$D$100:$D$102,"ISIC 28",'Cost Breakdowns'!$B$100:$B$102))</f>
        <v>0.25108225108225107</v>
      </c>
      <c r="Z14">
        <f>(SUMIF('Cost Breakdowns'!$D$100:$D$102,"ISIC 29",'Cost Breakdowns'!$B$100:$B$102))</f>
        <v>0</v>
      </c>
      <c r="AA14">
        <f>(SUMIF('Cost Breakdowns'!$D$100:$D$102,"ISIC 30",'Cost Breakdowns'!$B$100:$B$102))*'Factors applied'!$E$552</f>
        <v>0</v>
      </c>
      <c r="AB14">
        <f>(SUMIF('Cost Breakdowns'!$D$100:$D$102,"ISIC 30",'Cost Breakdowns'!$B$100:$B$102))*'Factors applied'!$E$553</f>
        <v>0</v>
      </c>
      <c r="AC14">
        <f>(SUMIF('Cost Breakdowns'!$D$100:$D$102,"ISIC 31T33",'Cost Breakdowns'!$B$100:$B$102))</f>
        <v>0</v>
      </c>
      <c r="AD14">
        <f>(SUMIF('Cost Breakdowns'!$D$100:$D$102,"ISIC 351",'Cost Breakdowns'!$B$100:$B$102))</f>
        <v>0.59740259740259738</v>
      </c>
      <c r="AE14">
        <f>(SUMIF('Cost Breakdowns'!$D$100:$D$102,"ISIC 352T353",'Cost Breakdowns'!$B$100:$B$102))</f>
        <v>0</v>
      </c>
      <c r="AF14">
        <f>(SUMIF('Cost Breakdowns'!$D$100:$D$102,"ISIC 36T39",'Cost Breakdowns'!$B$100:$B$102))</f>
        <v>0</v>
      </c>
      <c r="AG14">
        <f>(SUMIF('Cost Breakdowns'!$D$100:$D$102,"ISIC 41T43",'Cost Breakdowns'!$B$100:$B$102))</f>
        <v>0</v>
      </c>
      <c r="AH14">
        <f>(SUMIF('Cost Breakdowns'!$D$100:$D$102,"ISIC 45T47",'Cost Breakdowns'!$B$100:$B$102))</f>
        <v>0</v>
      </c>
      <c r="AI14">
        <f>(SUMIF('Cost Breakdowns'!$D$100:$D$102,"ISIC 49T53",'Cost Breakdowns'!$B$100:$B$102))*'Factors applied'!$E$554</f>
        <v>0</v>
      </c>
      <c r="AJ14">
        <f>(SUMIF('Cost Breakdowns'!$D$100:$D$102,"ISIC 49T53",'Cost Breakdowns'!$B$100:$B$102))*'Factors applied'!$E$555</f>
        <v>0</v>
      </c>
      <c r="AK14">
        <f>(SUMIF('Cost Breakdowns'!$D$100:$D$102,"ISIC 49T53",'Cost Breakdowns'!$B$100:$B$102))*'Factors applied'!$E$556</f>
        <v>0</v>
      </c>
      <c r="AL14">
        <f>(SUMIF('Cost Breakdowns'!$D$100:$D$102,"ISIC 49T53",'Cost Breakdowns'!$B$100:$B$102))*'Factors applied'!$E$557</f>
        <v>0</v>
      </c>
      <c r="AM14">
        <f>(SUMIF('Cost Breakdowns'!$D$100:$D$102,"ISIC 49T53",'Cost Breakdowns'!$B$100:$B$102))*'Factors applied'!$E$558</f>
        <v>0</v>
      </c>
      <c r="AN14">
        <f>(SUMIF('Cost Breakdowns'!$D$100:$D$102,"ISIC 55T56",'Cost Breakdowns'!$B$100:$B$102))</f>
        <v>0</v>
      </c>
      <c r="AO14">
        <f>(SUMIF('Cost Breakdowns'!$D$100:$D$102,"ISIC 58T60",'Cost Breakdowns'!$B$100:$B$102))</f>
        <v>0</v>
      </c>
      <c r="AP14">
        <f>(SUMIF('Cost Breakdowns'!$D$100:$D$102,"ISIC 61",'Cost Breakdowns'!$B$100:$B$102))</f>
        <v>0</v>
      </c>
      <c r="AQ14">
        <f>(SUMIF('Cost Breakdowns'!$D$100:$D$102,"ISIC 62T63",'Cost Breakdowns'!$B$100:$B$102))</f>
        <v>0</v>
      </c>
      <c r="AR14">
        <f>(SUMIF('Cost Breakdowns'!$D$100:$D$102,"ISIC 64T66",'Cost Breakdowns'!$B$100:$B$102))</f>
        <v>0</v>
      </c>
      <c r="AS14">
        <f>(SUMIF('Cost Breakdowns'!$D$100:$D$102,"ISIC 68",'Cost Breakdowns'!$B$100:$B$102))</f>
        <v>0</v>
      </c>
      <c r="AT14">
        <f>(SUMIF('Cost Breakdowns'!$D$100:$D$102,"ISIC 69T82",'Cost Breakdowns'!$B$100:$B$102))*'Factors applied'!$E$559</f>
        <v>0.15151515151515149</v>
      </c>
      <c r="AU14">
        <f>(SUMIF('Cost Breakdowns'!$D$100:$D$102,"ISIC 69T82",'Cost Breakdowns'!$B$100:$B$102))*'Factors applied'!$E$560</f>
        <v>0</v>
      </c>
      <c r="AV14">
        <f>(SUMIF('Cost Breakdowns'!$D$100:$D$102,"ISIC 84",'Cost Breakdowns'!$B$100:$B$102))</f>
        <v>0</v>
      </c>
      <c r="AW14">
        <f>(SUMIF('Cost Breakdowns'!$D$100:$D$102,"ISIC 85",'Cost Breakdowns'!$B$100:$B$102))</f>
        <v>0</v>
      </c>
      <c r="AX14">
        <f>(SUMIF('Cost Breakdowns'!$D$100:$D$102,"ISIC 86T88",'Cost Breakdowns'!$B$100:$B$102))</f>
        <v>0</v>
      </c>
      <c r="AY14">
        <f>(SUMIF('Cost Breakdowns'!$D$100:$D$102,"ISIC 90T96",'Cost Breakdowns'!$B$100:$B$102))*'Factors applied'!$E$561</f>
        <v>0</v>
      </c>
      <c r="AZ14">
        <f>(SUMIF('Cost Breakdowns'!$D$100:$D$102,"ISIC 90T96",'Cost Breakdowns'!$B$100:$B$102))*'Factors applied'!$E$562</f>
        <v>0</v>
      </c>
      <c r="BA14">
        <f>(SUMIF('Cost Breakdowns'!$D$100:$D$102,"ISIC 97T98",'Cost Breakdowns'!$B$100:$B$102))</f>
        <v>0</v>
      </c>
    </row>
    <row r="15" spans="1:53" x14ac:dyDescent="0.25">
      <c r="A15" t="s">
        <v>66</v>
      </c>
      <c r="B15">
        <f>(SUMIF('Cost Breakdowns'!$D$367:$D$380,"ISIC 01T03",'Cost Breakdowns'!$B$367:$B$380))*'Factors applied'!$E$675</f>
        <v>0</v>
      </c>
      <c r="C15">
        <f>(SUMIF('Cost Breakdowns'!$D$367:$D$380,"ISIC 01T03",'Cost Breakdowns'!$B$367:$B$380))*'Factors applied'!$E$676</f>
        <v>0</v>
      </c>
      <c r="D15">
        <f>(SUMIF('Cost Breakdowns'!$D$367:$D$380,"ISIC 01T03",'Cost Breakdowns'!$B$367:$B$380))*'Factors applied'!$E$677</f>
        <v>0</v>
      </c>
      <c r="E15">
        <f>(SUMIF('Cost Breakdowns'!$D$367:$D$380,"ISIC 05",'Cost Breakdowns'!$B$367:$B$380))</f>
        <v>0</v>
      </c>
      <c r="F15">
        <f>(SUMIF('Cost Breakdowns'!$D$367:$D$380,"ISIC 06",'Cost Breakdowns'!$B$367:$B$380))</f>
        <v>0</v>
      </c>
      <c r="G15">
        <f>(SUMIF('Cost Breakdowns'!$D$367:$D$380,"ISIC 07T08",'Cost Breakdowns'!$B$367:$B$380))*'Factors applied'!$E$678</f>
        <v>0</v>
      </c>
      <c r="H15">
        <f>(SUMIF('Cost Breakdowns'!$D$367:$D$380,"ISIC 07T08",'Cost Breakdowns'!$B$367:$B$380))*'Factors applied'!$E$679</f>
        <v>0</v>
      </c>
      <c r="I15">
        <f>(SUMIF('Cost Breakdowns'!$D$367:$D$380,"ISIC 09",'Cost Breakdowns'!$B$367:$B$380))</f>
        <v>0</v>
      </c>
      <c r="J15">
        <f>(SUMIF('Cost Breakdowns'!$D$367:$D$380,"ISIC 10T12",'Cost Breakdowns'!$B$367:$B$380))</f>
        <v>0</v>
      </c>
      <c r="K15">
        <f>(SUMIF('Cost Breakdowns'!$D$367:$D$380,"ISIC 13T15",'Cost Breakdowns'!$B$367:$B$380))</f>
        <v>0</v>
      </c>
      <c r="L15">
        <f>(SUMIF('Cost Breakdowns'!$D$367:$D$380,"ISIC 16",'Cost Breakdowns'!$B$367:$B$380))</f>
        <v>0</v>
      </c>
      <c r="M15">
        <f>(SUMIF('Cost Breakdowns'!$D$367:$D$380,"ISIC 17T18",'Cost Breakdowns'!$B$367:$B$380))</f>
        <v>0</v>
      </c>
      <c r="N15">
        <f>(SUMIF('Cost Breakdowns'!$D$367:$D$380,"ISIC 19",'Cost Breakdowns'!$B$367:$B$380))</f>
        <v>0</v>
      </c>
      <c r="O15">
        <f>(SUMIF('Cost Breakdowns'!$D$367:$D$380,"ISIC 20",'Cost Breakdowns'!$B$367:$B$380))</f>
        <v>0</v>
      </c>
      <c r="P15">
        <f>(SUMIF('Cost Breakdowns'!$D$367:$D$380,"ISIC 21",'Cost Breakdowns'!$B$367:$B$380))</f>
        <v>0</v>
      </c>
      <c r="Q15">
        <f>(SUMIF('Cost Breakdowns'!$D$367:$D$380,"ISIC 22",'Cost Breakdowns'!$B$367:$B$380))</f>
        <v>0</v>
      </c>
      <c r="R15">
        <f>(SUMIF('Cost Breakdowns'!$D$367:$D$380,"ISIC 231",'Cost Breakdowns'!$B$367:$B$380))</f>
        <v>0</v>
      </c>
      <c r="S15">
        <f>(SUMIF('Cost Breakdowns'!$D$367:$D$380,"ISIC 239",'Cost Breakdowns'!$B$367:$B$380))</f>
        <v>0</v>
      </c>
      <c r="T15">
        <f>(SUMIF('Cost Breakdowns'!$D$367:$D$380,"ISIC 241",'Cost Breakdowns'!$B$367:$B$380))</f>
        <v>0</v>
      </c>
      <c r="U15">
        <f>(SUMIF('Cost Breakdowns'!$D$367:$D$380,"ISIC 242",'Cost Breakdowns'!$B$367:$B$380))</f>
        <v>0</v>
      </c>
      <c r="V15">
        <f>(SUMIF('Cost Breakdowns'!$D$367:$D$380,"ISIC 25",'Cost Breakdowns'!$B$367:$B$380))</f>
        <v>0</v>
      </c>
      <c r="W15">
        <f>(SUMIF('Cost Breakdowns'!$D$367:$D$380,"ISIC 26",'Cost Breakdowns'!$B$367:$B$380))</f>
        <v>0</v>
      </c>
      <c r="X15">
        <f>(SUMIF('Cost Breakdowns'!$D$367:$D$380,"ISIC 27",'Cost Breakdowns'!$B$367:$B$380))</f>
        <v>0</v>
      </c>
      <c r="Y15">
        <f>(SUMIF('Cost Breakdowns'!$D$367:$D$380,"ISIC 28",'Cost Breakdowns'!$B$367:$B$380))</f>
        <v>0.50570276670805148</v>
      </c>
      <c r="Z15">
        <f>(SUMIF('Cost Breakdowns'!$D$367:$D$380,"ISIC 29",'Cost Breakdowns'!$B$367:$B$380))</f>
        <v>0</v>
      </c>
      <c r="AA15">
        <f>(SUMIF('Cost Breakdowns'!$D$367:$D$380,"ISIC 30",'Cost Breakdowns'!$B$367:$B$380))*'Factors applied'!$E$680</f>
        <v>0</v>
      </c>
      <c r="AB15">
        <f>(SUMIF('Cost Breakdowns'!$D$367:$D$380,"ISIC 30",'Cost Breakdowns'!$B$367:$B$380))*'Factors applied'!$E$681</f>
        <v>0</v>
      </c>
      <c r="AC15">
        <f>(SUMIF('Cost Breakdowns'!$D$367:$D$380,"ISIC 31T33",'Cost Breakdowns'!$B$367:$B$380))</f>
        <v>0</v>
      </c>
      <c r="AD15">
        <f>(SUMIF('Cost Breakdowns'!$D$367:$D$380,"ISIC 351",'Cost Breakdowns'!$B$367:$B$380))</f>
        <v>0.13104595016362994</v>
      </c>
      <c r="AE15">
        <f>(SUMIF('Cost Breakdowns'!$D$367:$D$380,"ISIC 352T353",'Cost Breakdowns'!$B$367:$B$380))</f>
        <v>0</v>
      </c>
      <c r="AF15">
        <f>(SUMIF('Cost Breakdowns'!$D$367:$D$380,"ISIC 36T39",'Cost Breakdowns'!$B$367:$B$380))</f>
        <v>0</v>
      </c>
      <c r="AG15">
        <f>(SUMIF('Cost Breakdowns'!$D$367:$D$380,"ISIC 41T43",'Cost Breakdowns'!$B$367:$B$380))</f>
        <v>6.4103167610879766E-2</v>
      </c>
      <c r="AH15">
        <f>(SUMIF('Cost Breakdowns'!$D$367:$D$380,"ISIC 45T47",'Cost Breakdowns'!$B$367:$B$380))</f>
        <v>0</v>
      </c>
      <c r="AI15">
        <f>(SUMIF('Cost Breakdowns'!$D$367:$D$380,"ISIC 49T53",'Cost Breakdowns'!$B$367:$B$380))*'Factors applied'!$E$682</f>
        <v>9.1002484810681031E-2</v>
      </c>
      <c r="AJ15">
        <f>(SUMIF('Cost Breakdowns'!$D$367:$D$380,"ISIC 49T53",'Cost Breakdowns'!$B$367:$B$380))*'Factors applied'!$E$683</f>
        <v>8.8488107301324687E-3</v>
      </c>
      <c r="AK15">
        <f>(SUMIF('Cost Breakdowns'!$D$367:$D$380,"ISIC 49T53",'Cost Breakdowns'!$B$367:$B$380))*'Factors applied'!$E$684</f>
        <v>3.7568026534659196E-2</v>
      </c>
      <c r="AL15">
        <f>(SUMIF('Cost Breakdowns'!$D$367:$D$380,"ISIC 49T53",'Cost Breakdowns'!$B$367:$B$380))*'Factors applied'!$E$685</f>
        <v>4.4446454308689293E-2</v>
      </c>
      <c r="AM15">
        <f>(SUMIF('Cost Breakdowns'!$D$367:$D$380,"ISIC 49T53",'Cost Breakdowns'!$B$367:$B$380))*'Factors applied'!$E$686</f>
        <v>1.7566300627463904E-2</v>
      </c>
      <c r="AN15">
        <f>(SUMIF('Cost Breakdowns'!$D$367:$D$380,"ISIC 55T56",'Cost Breakdowns'!$B$367:$B$380))</f>
        <v>0</v>
      </c>
      <c r="AO15">
        <f>(SUMIF('Cost Breakdowns'!$D$367:$D$380,"ISIC 58T60",'Cost Breakdowns'!$B$367:$B$380))</f>
        <v>0</v>
      </c>
      <c r="AP15">
        <f>(SUMIF('Cost Breakdowns'!$D$367:$D$380,"ISIC 61",'Cost Breakdowns'!$B$367:$B$380))</f>
        <v>0</v>
      </c>
      <c r="AQ15">
        <f>(SUMIF('Cost Breakdowns'!$D$367:$D$380,"ISIC 62T63",'Cost Breakdowns'!$B$367:$B$380))</f>
        <v>0</v>
      </c>
      <c r="AR15">
        <f>(SUMIF('Cost Breakdowns'!$D$367:$D$380,"ISIC 64T66",'Cost Breakdowns'!$B$367:$B$380))</f>
        <v>0</v>
      </c>
      <c r="AS15">
        <f>(SUMIF('Cost Breakdowns'!$D$367:$D$380,"ISIC 68",'Cost Breakdowns'!$B$367:$B$380))</f>
        <v>0</v>
      </c>
      <c r="AT15">
        <f>(SUMIF('Cost Breakdowns'!$D$367:$D$380,"ISIC 69T82",'Cost Breakdowns'!$B$367:$B$380))*'Factors applied'!$E$687</f>
        <v>9.9716038505812954E-2</v>
      </c>
      <c r="AU15">
        <f>(SUMIF('Cost Breakdowns'!$D$367:$D$380,"ISIC 69T82",'Cost Breakdowns'!$B$367:$B$380))*'Factors applied'!$E$688</f>
        <v>0</v>
      </c>
      <c r="AV15">
        <f>(SUMIF('Cost Breakdowns'!$D$367:$D$380,"ISIC 84",'Cost Breakdowns'!$B$367:$B$380))</f>
        <v>0</v>
      </c>
      <c r="AW15">
        <f>(SUMIF('Cost Breakdowns'!$D$367:$D$380,"ISIC 85",'Cost Breakdowns'!$B$367:$B$380))</f>
        <v>0</v>
      </c>
      <c r="AX15">
        <f>(SUMIF('Cost Breakdowns'!$D$367:$D$380,"ISIC 86T88",'Cost Breakdowns'!$B$367:$B$380))</f>
        <v>0</v>
      </c>
      <c r="AY15">
        <f>(SUMIF('Cost Breakdowns'!$D$367:$D$380,"ISIC 90T96",'Cost Breakdowns'!$B$367:$B$380))*'Factors applied'!$E$689</f>
        <v>0</v>
      </c>
      <c r="AZ15">
        <f>(SUMIF('Cost Breakdowns'!$D$367:$D$380,"ISIC 90T96",'Cost Breakdowns'!$B$367:$B$380))*'Factors applied'!$E$690</f>
        <v>0</v>
      </c>
      <c r="BA15">
        <f>(SUMIF('Cost Breakdowns'!$D$367:$D$380,"ISIC 97T98",'Cost Breakdowns'!$B$367:$B$380))</f>
        <v>0</v>
      </c>
    </row>
    <row r="16" spans="1:53" x14ac:dyDescent="0.25">
      <c r="A16" t="s">
        <v>67</v>
      </c>
      <c r="B16">
        <f>((SUMIF('Cost Breakdowns'!$D$135:$D$137,"ISIC 01T03",'Cost Breakdowns'!$B$135:$B$137)))*'Factors applied'!$E$419</f>
        <v>0</v>
      </c>
      <c r="C16">
        <f>((SUMIF('Cost Breakdowns'!$D$135:$D$137,"ISIC 01T03",'Cost Breakdowns'!$B$135:$B$137)))*'Factors applied'!$E$420</f>
        <v>0</v>
      </c>
      <c r="D16">
        <f>((SUMIF('Cost Breakdowns'!$D$135:$D$137,"ISIC 01T03",'Cost Breakdowns'!$B$135:$B$137)))*'Factors applied'!$E$421</f>
        <v>0</v>
      </c>
      <c r="E16">
        <f>((SUMIF('Cost Breakdowns'!$D$135:$D$137,"ISIC 05",'Cost Breakdowns'!$B$135:$B$137)))</f>
        <v>0</v>
      </c>
      <c r="F16">
        <f>((SUMIF('Cost Breakdowns'!$D$135:$D$137,"ISIC 06",'Cost Breakdowns'!$B$135:$B$137)))</f>
        <v>0</v>
      </c>
      <c r="G16">
        <f>((SUMIF('Cost Breakdowns'!$D$135:$D$137,"ISIC 07T08",'Cost Breakdowns'!$B$135:$B$137)))*'Factors applied'!$E$422</f>
        <v>0</v>
      </c>
      <c r="H16">
        <f>((SUMIF('Cost Breakdowns'!$D$135:$D$137,"ISIC 07T08",'Cost Breakdowns'!$B$135:$B$137)))*'Factors applied'!$E$423</f>
        <v>0</v>
      </c>
      <c r="I16">
        <f>((SUMIF('Cost Breakdowns'!$D$135:$D$137,"ISIC 09",'Cost Breakdowns'!$B$135:$B$137)))</f>
        <v>0</v>
      </c>
      <c r="J16">
        <f>((SUMIF('Cost Breakdowns'!$D$135:$D$137,"ISIC 10T12",'Cost Breakdowns'!$B$135:$B$137)))</f>
        <v>0</v>
      </c>
      <c r="K16">
        <f>((SUMIF('Cost Breakdowns'!$D$135:$D$137,"ISIC 13T15",'Cost Breakdowns'!$B$135:$B$137)))</f>
        <v>0</v>
      </c>
      <c r="L16">
        <f>((SUMIF('Cost Breakdowns'!$D$135:$D$137,"ISIC 16",'Cost Breakdowns'!$B$135:$B$137)))</f>
        <v>0</v>
      </c>
      <c r="M16">
        <f>((SUMIF('Cost Breakdowns'!$D$135:$D$137,"ISIC 17T18",'Cost Breakdowns'!$B$135:$B$137)))</f>
        <v>0</v>
      </c>
      <c r="N16">
        <f>((SUMIF('Cost Breakdowns'!$D$135:$D$137,"ISIC 19",'Cost Breakdowns'!$B$135:$B$137)))</f>
        <v>0</v>
      </c>
      <c r="O16">
        <f>((SUMIF('Cost Breakdowns'!$D$135:$D$137,"ISIC 20",'Cost Breakdowns'!$B$135:$B$137)))</f>
        <v>0</v>
      </c>
      <c r="P16">
        <f>((SUMIF('Cost Breakdowns'!$D$135:$D$137,"ISIC 21",'Cost Breakdowns'!$B$135:$B$137)))</f>
        <v>0</v>
      </c>
      <c r="Q16">
        <f>((SUMIF('Cost Breakdowns'!$D$135:$D$137,"ISIC 22",'Cost Breakdowns'!$B$135:$B$137)))</f>
        <v>0</v>
      </c>
      <c r="R16">
        <f>((SUMIF('Cost Breakdowns'!$D$135:$D$137,"ISIC 231",'Cost Breakdowns'!$B$135:$B$137)))</f>
        <v>0</v>
      </c>
      <c r="S16">
        <f>((SUMIF('Cost Breakdowns'!$D$135:$D$137,"ISIC 239",'Cost Breakdowns'!$B$135:$B$137)))</f>
        <v>0</v>
      </c>
      <c r="T16">
        <f>((SUMIF('Cost Breakdowns'!$D$135:$D$137,"ISIC 241",'Cost Breakdowns'!$B$135:$B$137)))</f>
        <v>0</v>
      </c>
      <c r="U16">
        <f>((SUMIF('Cost Breakdowns'!$D$135:$D$137,"ISIC 242",'Cost Breakdowns'!$B$135:$B$137)))</f>
        <v>0</v>
      </c>
      <c r="V16">
        <f>((SUMIF('Cost Breakdowns'!$D$135:$D$137,"ISIC 25",'Cost Breakdowns'!$B$135:$B$137)))</f>
        <v>0</v>
      </c>
      <c r="W16">
        <f>((SUMIF('Cost Breakdowns'!$D$135:$D$137,"ISIC 26",'Cost Breakdowns'!$B$135:$B$137)))</f>
        <v>0</v>
      </c>
      <c r="X16">
        <f>((SUMIF('Cost Breakdowns'!$D$135:$D$137,"ISIC 27",'Cost Breakdowns'!$B$135:$B$137)))</f>
        <v>0</v>
      </c>
      <c r="Y16">
        <f>((SUMIF('Cost Breakdowns'!$D$135:$D$137,"ISIC 28",'Cost Breakdowns'!$B$135:$B$137)))</f>
        <v>6.0604166666666653E-2</v>
      </c>
      <c r="Z16">
        <f>((SUMIF('Cost Breakdowns'!$D$135:$D$137,"ISIC 29",'Cost Breakdowns'!$B$135:$B$137)))</f>
        <v>0</v>
      </c>
      <c r="AA16">
        <f>((SUMIF('Cost Breakdowns'!$D$135:$D$137,"ISIC 30",'Cost Breakdowns'!$B$135:$B$137)))*'Factors applied'!$E$424</f>
        <v>0</v>
      </c>
      <c r="AB16">
        <f>((SUMIF('Cost Breakdowns'!$D$135:$D$137,"ISIC 30",'Cost Breakdowns'!$B$135:$B$137)))*'Factors applied'!$E$425</f>
        <v>0</v>
      </c>
      <c r="AC16">
        <f>((SUMIF('Cost Breakdowns'!$D$135:$D$137,"ISIC 31T33",'Cost Breakdowns'!$B$135:$B$137)))</f>
        <v>0</v>
      </c>
      <c r="AD16">
        <f>((SUMIF('Cost Breakdowns'!$D$135:$D$137,"ISIC 351",'Cost Breakdowns'!$B$135:$B$137)))</f>
        <v>0.41820000000000018</v>
      </c>
      <c r="AE16">
        <f>((SUMIF('Cost Breakdowns'!$D$135:$D$137,"ISIC 352T353",'Cost Breakdowns'!$B$135:$B$137)))</f>
        <v>0</v>
      </c>
      <c r="AF16">
        <f>((SUMIF('Cost Breakdowns'!$D$135:$D$137,"ISIC 36T39",'Cost Breakdowns'!$B$135:$B$137)))</f>
        <v>0</v>
      </c>
      <c r="AG16">
        <f>((SUMIF('Cost Breakdowns'!$D$135:$D$137,"ISIC 41T43",'Cost Breakdowns'!$B$135:$B$137)))</f>
        <v>0</v>
      </c>
      <c r="AH16">
        <f>((SUMIF('Cost Breakdowns'!$D$135:$D$137,"ISIC 45T47",'Cost Breakdowns'!$B$135:$B$137)))</f>
        <v>0</v>
      </c>
      <c r="AI16">
        <f>((SUMIF('Cost Breakdowns'!$D$135:$D$137,"ISIC 49T53",'Cost Breakdowns'!$B$135:$B$137)))*'Factors applied'!$E$426</f>
        <v>0</v>
      </c>
      <c r="AJ16">
        <f>((SUMIF('Cost Breakdowns'!$D$135:$D$137,"ISIC 49T53",'Cost Breakdowns'!$B$135:$B$137)))*'Factors applied'!$E$427</f>
        <v>0</v>
      </c>
      <c r="AK16">
        <f>((SUMIF('Cost Breakdowns'!$D$135:$D$137,"ISIC 49T53",'Cost Breakdowns'!$B$135:$B$137)))*'Factors applied'!$E$428</f>
        <v>0</v>
      </c>
      <c r="AL16">
        <f>((SUMIF('Cost Breakdowns'!$D$135:$D$137,"ISIC 49T53",'Cost Breakdowns'!$B$135:$B$137)))*'Factors applied'!$E$429</f>
        <v>0</v>
      </c>
      <c r="AM16">
        <f>((SUMIF('Cost Breakdowns'!$D$135:$D$137,"ISIC 49T53",'Cost Breakdowns'!$B$135:$B$137)))*'Factors applied'!$E$430</f>
        <v>0</v>
      </c>
      <c r="AN16">
        <f>((SUMIF('Cost Breakdowns'!$D$135:$D$137,"ISIC 55T56",'Cost Breakdowns'!$B$135:$B$137)))</f>
        <v>0</v>
      </c>
      <c r="AO16">
        <f>((SUMIF('Cost Breakdowns'!$D$135:$D$137,"ISIC 58T60",'Cost Breakdowns'!$B$135:$B$137)))</f>
        <v>0</v>
      </c>
      <c r="AP16">
        <f>((SUMIF('Cost Breakdowns'!$D$135:$D$137,"ISIC 61",'Cost Breakdowns'!$B$135:$B$137)))</f>
        <v>0</v>
      </c>
      <c r="AQ16">
        <f>((SUMIF('Cost Breakdowns'!$D$135:$D$137,"ISIC 62T63",'Cost Breakdowns'!$B$135:$B$137)))</f>
        <v>0</v>
      </c>
      <c r="AR16">
        <f>((SUMIF('Cost Breakdowns'!$D$135:$D$137,"ISIC 64T66",'Cost Breakdowns'!$B$135:$B$137)))</f>
        <v>0</v>
      </c>
      <c r="AS16">
        <f>((SUMIF('Cost Breakdowns'!$D$135:$D$137,"ISIC 68",'Cost Breakdowns'!$B$135:$B$137)))</f>
        <v>0</v>
      </c>
      <c r="AT16">
        <f>((SUMIF('Cost Breakdowns'!$D$135:$D$137,"ISIC 69T82",'Cost Breakdowns'!$B$135:$B$137)))*'Factors applied'!$E$431</f>
        <v>0.52119583333333308</v>
      </c>
      <c r="AU16">
        <f>((SUMIF('Cost Breakdowns'!$D$135:$D$137,"ISIC 69T82",'Cost Breakdowns'!$B$135:$B$137)))*'Factors applied'!$E$432</f>
        <v>0</v>
      </c>
      <c r="AV16">
        <f>((SUMIF('Cost Breakdowns'!$D$135:$D$137,"ISIC 84",'Cost Breakdowns'!$B$135:$B$137)))</f>
        <v>0</v>
      </c>
      <c r="AW16">
        <f>((SUMIF('Cost Breakdowns'!$D$135:$D$137,"ISIC 85",'Cost Breakdowns'!$B$135:$B$137)))</f>
        <v>0</v>
      </c>
      <c r="AX16">
        <f>((SUMIF('Cost Breakdowns'!$D$135:$D$137,"ISIC 86T88",'Cost Breakdowns'!$B$135:$B$137)))</f>
        <v>0</v>
      </c>
      <c r="AY16">
        <f>((SUMIF('Cost Breakdowns'!$D$135:$D$137,"ISIC 90T96",'Cost Breakdowns'!$B$135:$B$137)))*'Factors applied'!$E$433</f>
        <v>0</v>
      </c>
      <c r="AZ16">
        <f>((SUMIF('Cost Breakdowns'!$D$135:$D$137,"ISIC 90T96",'Cost Breakdowns'!$B$135:$B$137)))*'Factors applied'!$E$434</f>
        <v>0</v>
      </c>
      <c r="BA16">
        <f>((SUMIF('Cost Breakdowns'!$D$135:$D$137,"ISIC 97T98",'Cost Breakdowns'!$B$135:$B$137)))</f>
        <v>0</v>
      </c>
    </row>
    <row r="17" spans="1:53" x14ac:dyDescent="0.25">
      <c r="A17" t="s">
        <v>68</v>
      </c>
      <c r="B17">
        <f>((SUMIF('Cost Breakdowns'!$D$135:$D$137,"ISIC 01T03",'Cost Breakdowns'!$B$135:$B$137)))*'Factors applied'!$E$483</f>
        <v>0</v>
      </c>
      <c r="C17">
        <f>((SUMIF('Cost Breakdowns'!$D$135:$D$137,"ISIC 01T03",'Cost Breakdowns'!$B$135:$B$137)))*'Factors applied'!$E$484</f>
        <v>0</v>
      </c>
      <c r="D17">
        <f>((SUMIF('Cost Breakdowns'!$D$135:$D$137,"ISIC 01T03",'Cost Breakdowns'!$B$135:$B$137)))*'Factors applied'!$E$485</f>
        <v>0</v>
      </c>
      <c r="E17">
        <f>((SUMIF('Cost Breakdowns'!$D$135:$D$137,"ISIC 05",'Cost Breakdowns'!$B$135:$B$137)))</f>
        <v>0</v>
      </c>
      <c r="F17">
        <f>((SUMIF('Cost Breakdowns'!$D$135:$D$137,"ISIC 06",'Cost Breakdowns'!$B$135:$B$137)))</f>
        <v>0</v>
      </c>
      <c r="G17">
        <f>((SUMIF('Cost Breakdowns'!$D$135:$D$137,"ISIC 07T08",'Cost Breakdowns'!$B$135:$B$137)))*'Factors applied'!$E$486</f>
        <v>0</v>
      </c>
      <c r="H17">
        <f>((SUMIF('Cost Breakdowns'!$D$135:$D$137,"ISIC 07T08",'Cost Breakdowns'!$B$135:$B$137)))*'Factors applied'!$E$487</f>
        <v>0</v>
      </c>
      <c r="I17">
        <f>((SUMIF('Cost Breakdowns'!$D$135:$D$137,"ISIC 09",'Cost Breakdowns'!$B$135:$B$137)))</f>
        <v>0</v>
      </c>
      <c r="J17">
        <f>((SUMIF('Cost Breakdowns'!$D$135:$D$137,"ISIC 10T12",'Cost Breakdowns'!$B$135:$B$137)))</f>
        <v>0</v>
      </c>
      <c r="K17">
        <f>((SUMIF('Cost Breakdowns'!$D$135:$D$137,"ISIC 13T15",'Cost Breakdowns'!$B$135:$B$137)))</f>
        <v>0</v>
      </c>
      <c r="L17">
        <f>((SUMIF('Cost Breakdowns'!$D$135:$D$137,"ISIC 16",'Cost Breakdowns'!$B$135:$B$137)))</f>
        <v>0</v>
      </c>
      <c r="M17">
        <f>((SUMIF('Cost Breakdowns'!$D$135:$D$137,"ISIC 17T18",'Cost Breakdowns'!$B$135:$B$137)))</f>
        <v>0</v>
      </c>
      <c r="N17">
        <f>((SUMIF('Cost Breakdowns'!$D$135:$D$137,"ISIC 19",'Cost Breakdowns'!$B$135:$B$137)))</f>
        <v>0</v>
      </c>
      <c r="O17">
        <f>((SUMIF('Cost Breakdowns'!$D$135:$D$137,"ISIC 20",'Cost Breakdowns'!$B$135:$B$137)))</f>
        <v>0</v>
      </c>
      <c r="P17">
        <f>((SUMIF('Cost Breakdowns'!$D$135:$D$137,"ISIC 21",'Cost Breakdowns'!$B$135:$B$137)))</f>
        <v>0</v>
      </c>
      <c r="Q17">
        <f>((SUMIF('Cost Breakdowns'!$D$135:$D$137,"ISIC 22",'Cost Breakdowns'!$B$135:$B$137)))</f>
        <v>0</v>
      </c>
      <c r="R17">
        <f>((SUMIF('Cost Breakdowns'!$D$135:$D$137,"ISIC 231",'Cost Breakdowns'!$B$135:$B$137)))</f>
        <v>0</v>
      </c>
      <c r="S17">
        <f>((SUMIF('Cost Breakdowns'!$D$135:$D$137,"ISIC 239",'Cost Breakdowns'!$B$135:$B$137)))</f>
        <v>0</v>
      </c>
      <c r="T17">
        <f>((SUMIF('Cost Breakdowns'!$D$135:$D$137,"ISIC 241",'Cost Breakdowns'!$B$135:$B$137)))</f>
        <v>0</v>
      </c>
      <c r="U17">
        <f>((SUMIF('Cost Breakdowns'!$D$135:$D$137,"ISIC 242",'Cost Breakdowns'!$B$135:$B$137)))</f>
        <v>0</v>
      </c>
      <c r="V17">
        <f>((SUMIF('Cost Breakdowns'!$D$135:$D$137,"ISIC 25",'Cost Breakdowns'!$B$135:$B$137)))</f>
        <v>0</v>
      </c>
      <c r="W17">
        <f>((SUMIF('Cost Breakdowns'!$D$135:$D$137,"ISIC 26",'Cost Breakdowns'!$B$135:$B$137)))</f>
        <v>0</v>
      </c>
      <c r="X17">
        <f>((SUMIF('Cost Breakdowns'!$D$135:$D$137,"ISIC 27",'Cost Breakdowns'!$B$135:$B$137)))</f>
        <v>0</v>
      </c>
      <c r="Y17">
        <f>((SUMIF('Cost Breakdowns'!$D$135:$D$137,"ISIC 28",'Cost Breakdowns'!$B$135:$B$137)))</f>
        <v>6.0604166666666653E-2</v>
      </c>
      <c r="Z17">
        <f>((SUMIF('Cost Breakdowns'!$D$135:$D$137,"ISIC 29",'Cost Breakdowns'!$B$135:$B$137)))</f>
        <v>0</v>
      </c>
      <c r="AA17">
        <f>((SUMIF('Cost Breakdowns'!$D$135:$D$137,"ISIC 30",'Cost Breakdowns'!$B$135:$B$137)))*'Factors applied'!$E$488</f>
        <v>0</v>
      </c>
      <c r="AB17">
        <f>((SUMIF('Cost Breakdowns'!$D$135:$D$137,"ISIC 30",'Cost Breakdowns'!$B$135:$B$137)))*'Factors applied'!$E$489</f>
        <v>0</v>
      </c>
      <c r="AC17">
        <f>((SUMIF('Cost Breakdowns'!$D$135:$D$137,"ISIC 31T33",'Cost Breakdowns'!$B$135:$B$137)))</f>
        <v>0</v>
      </c>
      <c r="AD17">
        <f>((SUMIF('Cost Breakdowns'!$D$135:$D$137,"ISIC 351",'Cost Breakdowns'!$B$135:$B$137)))</f>
        <v>0.41820000000000018</v>
      </c>
      <c r="AE17">
        <f>((SUMIF('Cost Breakdowns'!$D$135:$D$137,"ISIC 352T353",'Cost Breakdowns'!$B$135:$B$137)))</f>
        <v>0</v>
      </c>
      <c r="AF17">
        <f>((SUMIF('Cost Breakdowns'!$D$135:$D$137,"ISIC 36T39",'Cost Breakdowns'!$B$135:$B$137)))</f>
        <v>0</v>
      </c>
      <c r="AG17">
        <f>((SUMIF('Cost Breakdowns'!$D$135:$D$137,"ISIC 41T43",'Cost Breakdowns'!$B$135:$B$137)))</f>
        <v>0</v>
      </c>
      <c r="AH17">
        <f>((SUMIF('Cost Breakdowns'!$D$135:$D$137,"ISIC 45T47",'Cost Breakdowns'!$B$135:$B$137)))</f>
        <v>0</v>
      </c>
      <c r="AI17">
        <f>((SUMIF('Cost Breakdowns'!$D$135:$D$137,"ISIC 49T53",'Cost Breakdowns'!$B$135:$B$137)))*'Factors applied'!$E$490</f>
        <v>0</v>
      </c>
      <c r="AJ17">
        <f>((SUMIF('Cost Breakdowns'!$D$135:$D$137,"ISIC 49T53",'Cost Breakdowns'!$B$135:$B$137)))*'Factors applied'!$E$491</f>
        <v>0</v>
      </c>
      <c r="AK17">
        <f>((SUMIF('Cost Breakdowns'!$D$135:$D$137,"ISIC 49T53",'Cost Breakdowns'!$B$135:$B$137)))*'Factors applied'!$E$492</f>
        <v>0</v>
      </c>
      <c r="AL17">
        <f>((SUMIF('Cost Breakdowns'!$D$135:$D$137,"ISIC 49T53",'Cost Breakdowns'!$B$135:$B$137)))*'Factors applied'!$E$493</f>
        <v>0</v>
      </c>
      <c r="AM17">
        <f>((SUMIF('Cost Breakdowns'!$D$135:$D$137,"ISIC 49T53",'Cost Breakdowns'!$B$135:$B$137)))*'Factors applied'!$E$494</f>
        <v>0</v>
      </c>
      <c r="AN17">
        <f>((SUMIF('Cost Breakdowns'!$D$135:$D$137,"ISIC 55T56",'Cost Breakdowns'!$B$135:$B$137)))</f>
        <v>0</v>
      </c>
      <c r="AO17">
        <f>((SUMIF('Cost Breakdowns'!$D$135:$D$137,"ISIC 58T60",'Cost Breakdowns'!$B$135:$B$137)))</f>
        <v>0</v>
      </c>
      <c r="AP17">
        <f>((SUMIF('Cost Breakdowns'!$D$135:$D$137,"ISIC 61",'Cost Breakdowns'!$B$135:$B$137)))</f>
        <v>0</v>
      </c>
      <c r="AQ17">
        <f>((SUMIF('Cost Breakdowns'!$D$135:$D$137,"ISIC 62T63",'Cost Breakdowns'!$B$135:$B$137)))</f>
        <v>0</v>
      </c>
      <c r="AR17">
        <f>((SUMIF('Cost Breakdowns'!$D$135:$D$137,"ISIC 64T66",'Cost Breakdowns'!$B$135:$B$137)))</f>
        <v>0</v>
      </c>
      <c r="AS17">
        <f>((SUMIF('Cost Breakdowns'!$D$135:$D$137,"ISIC 68",'Cost Breakdowns'!$B$135:$B$137)))</f>
        <v>0</v>
      </c>
      <c r="AT17">
        <f>((SUMIF('Cost Breakdowns'!$D$135:$D$137,"ISIC 69T82",'Cost Breakdowns'!$B$135:$B$137)))*'Factors applied'!$E$495</f>
        <v>0.52119583333333308</v>
      </c>
      <c r="AU17">
        <f>((SUMIF('Cost Breakdowns'!$D$135:$D$137,"ISIC 69T82",'Cost Breakdowns'!$B$135:$B$137)))*'Factors applied'!$E$496</f>
        <v>0</v>
      </c>
      <c r="AV17">
        <f>((SUMIF('Cost Breakdowns'!$D$135:$D$137,"ISIC 84",'Cost Breakdowns'!$B$135:$B$137)))</f>
        <v>0</v>
      </c>
      <c r="AW17">
        <f>((SUMIF('Cost Breakdowns'!$D$135:$D$137,"ISIC 85",'Cost Breakdowns'!$B$135:$B$137)))</f>
        <v>0</v>
      </c>
      <c r="AX17">
        <f>((SUMIF('Cost Breakdowns'!$D$135:$D$137,"ISIC 86T88",'Cost Breakdowns'!$B$135:$B$137)))</f>
        <v>0</v>
      </c>
      <c r="AY17">
        <f>((SUMIF('Cost Breakdowns'!$D$135:$D$137,"ISIC 90T96",'Cost Breakdowns'!$B$135:$B$137)))*'Factors applied'!$E$497</f>
        <v>0</v>
      </c>
      <c r="AZ17">
        <f>((SUMIF('Cost Breakdowns'!$D$135:$D$137,"ISIC 90T96",'Cost Breakdowns'!$B$135:$B$137)))*'Factors applied'!$E$498</f>
        <v>0</v>
      </c>
      <c r="BA17">
        <f>((SUMIF('Cost Breakdowns'!$D$135:$D$137,"ISIC 97T98",'Cost Breakdowns'!$B$135:$B$137)))</f>
        <v>0</v>
      </c>
    </row>
    <row r="18" spans="1:53" x14ac:dyDescent="0.25">
      <c r="A18" t="s">
        <v>69</v>
      </c>
      <c r="B18">
        <f>((SUMIF('Cost Breakdowns'!$D$229:$D$229,"ISIC 01T03",'Cost Breakdowns'!$B$229:$B$229)))*'Factors applied'!$E$579</f>
        <v>0</v>
      </c>
      <c r="C18">
        <f>((SUMIF('Cost Breakdowns'!$D$229:$D$229,"ISIC 01T03",'Cost Breakdowns'!$B$229:$B$229)))*'Factors applied'!$E$580</f>
        <v>0</v>
      </c>
      <c r="D18">
        <f>((SUMIF('Cost Breakdowns'!$D$229:$D$229,"ISIC 01T03",'Cost Breakdowns'!$B$229:$B$229)))*'Factors applied'!$E$581</f>
        <v>0</v>
      </c>
      <c r="E18">
        <f>((SUMIF('Cost Breakdowns'!$D$229:$D$229,"ISIC 05",'Cost Breakdowns'!$B$229:$B$229)))</f>
        <v>0</v>
      </c>
      <c r="F18">
        <f>((SUMIF('Cost Breakdowns'!$D$229:$D$229,"ISIC 06",'Cost Breakdowns'!$B$229:$B$229)))</f>
        <v>0</v>
      </c>
      <c r="G18">
        <f>((SUMIF('Cost Breakdowns'!$D$229:$D$229,"ISIC 07T08",'Cost Breakdowns'!$B$229:$B$229)))*'Factors applied'!$E$582</f>
        <v>0</v>
      </c>
      <c r="H18">
        <f>((SUMIF('Cost Breakdowns'!$D$229:$D$229,"ISIC 07T08",'Cost Breakdowns'!$B$229:$B$229)))*'Factors applied'!$E$583</f>
        <v>0</v>
      </c>
      <c r="I18">
        <f>((SUMIF('Cost Breakdowns'!$D$229:$D$229,"ISIC 09",'Cost Breakdowns'!$B$229:$B$229)))</f>
        <v>0</v>
      </c>
      <c r="J18">
        <f>((SUMIF('Cost Breakdowns'!$D$229:$D$229,"ISIC 10T12",'Cost Breakdowns'!$B$229:$B$229)))</f>
        <v>0</v>
      </c>
      <c r="K18">
        <f>((SUMIF('Cost Breakdowns'!$D$229:$D$229,"ISIC 13T15",'Cost Breakdowns'!$B$229:$B$229)))</f>
        <v>0</v>
      </c>
      <c r="L18">
        <f>((SUMIF('Cost Breakdowns'!$D$229:$D$229,"ISIC 16",'Cost Breakdowns'!$B$229:$B$229)))</f>
        <v>0</v>
      </c>
      <c r="M18">
        <f>((SUMIF('Cost Breakdowns'!$D$229:$D$229,"ISIC 17T18",'Cost Breakdowns'!$B$229:$B$229)))</f>
        <v>0</v>
      </c>
      <c r="N18">
        <f>((SUMIF('Cost Breakdowns'!$D$229:$D$229,"ISIC 19",'Cost Breakdowns'!$B$229:$B$229)))</f>
        <v>0</v>
      </c>
      <c r="O18">
        <f>((SUMIF('Cost Breakdowns'!$D$229:$D$229,"ISIC 20",'Cost Breakdowns'!$B$229:$B$229)))</f>
        <v>0</v>
      </c>
      <c r="P18">
        <f>((SUMIF('Cost Breakdowns'!$D$229:$D$229,"ISIC 21",'Cost Breakdowns'!$B$229:$B$229)))</f>
        <v>0</v>
      </c>
      <c r="Q18">
        <f>((SUMIF('Cost Breakdowns'!$D$229:$D$229,"ISIC 22",'Cost Breakdowns'!$B$229:$B$229)))</f>
        <v>0</v>
      </c>
      <c r="R18">
        <f>((SUMIF('Cost Breakdowns'!$D$229:$D$229,"ISIC 231",'Cost Breakdowns'!$B$229:$B$229)))</f>
        <v>0</v>
      </c>
      <c r="S18">
        <f>((SUMIF('Cost Breakdowns'!$D$229:$D$229,"ISIC 239",'Cost Breakdowns'!$B$229:$B$229)))</f>
        <v>0</v>
      </c>
      <c r="T18">
        <f>((SUMIF('Cost Breakdowns'!$D$229:$D$229,"ISIC 241",'Cost Breakdowns'!$B$229:$B$229)))</f>
        <v>0</v>
      </c>
      <c r="U18">
        <f>((SUMIF('Cost Breakdowns'!$D$229:$D$229,"ISIC 242",'Cost Breakdowns'!$B$229:$B$229)))</f>
        <v>0</v>
      </c>
      <c r="V18">
        <f>((SUMIF('Cost Breakdowns'!$D$229:$D$229,"ISIC 25",'Cost Breakdowns'!$B$229:$B$229)))</f>
        <v>0</v>
      </c>
      <c r="W18">
        <f>((SUMIF('Cost Breakdowns'!$D$229:$D$229,"ISIC 26",'Cost Breakdowns'!$B$229:$B$229)))</f>
        <v>0</v>
      </c>
      <c r="X18">
        <f>((SUMIF('Cost Breakdowns'!$D$229:$D$229,"ISIC 27",'Cost Breakdowns'!$B$229:$B$229)))</f>
        <v>0</v>
      </c>
      <c r="Y18">
        <f>((SUMIF('Cost Breakdowns'!$D$229:$D$229,"ISIC 28",'Cost Breakdowns'!$B$229:$B$229)))</f>
        <v>0</v>
      </c>
      <c r="Z18">
        <f>((SUMIF('Cost Breakdowns'!$D$229:$D$229,"ISIC 29",'Cost Breakdowns'!$B$229:$B$229)))</f>
        <v>0</v>
      </c>
      <c r="AA18">
        <f>((SUMIF('Cost Breakdowns'!$D$229:$D$229,"ISIC 30",'Cost Breakdowns'!$B$229:$B$229)))*'Factors applied'!$E$584</f>
        <v>0</v>
      </c>
      <c r="AB18">
        <f>((SUMIF('Cost Breakdowns'!$D$229:$D$229,"ISIC 30",'Cost Breakdowns'!$B$229:$B$229)))*'Factors applied'!$E$585</f>
        <v>0</v>
      </c>
      <c r="AC18">
        <f>((SUMIF('Cost Breakdowns'!$D$229:$D$229,"ISIC 31T33",'Cost Breakdowns'!$B$229:$B$229)))</f>
        <v>0</v>
      </c>
      <c r="AD18">
        <f>((SUMIF('Cost Breakdowns'!$D$229:$D$229,"ISIC 351",'Cost Breakdowns'!$B$229:$B$229)))</f>
        <v>1</v>
      </c>
      <c r="AE18">
        <f>((SUMIF('Cost Breakdowns'!$D$229:$D$229,"ISIC 352T353",'Cost Breakdowns'!$B$229:$B$229)))</f>
        <v>0</v>
      </c>
      <c r="AF18">
        <f>((SUMIF('Cost Breakdowns'!$D$229:$D$229,"ISIC 36T39",'Cost Breakdowns'!$B$229:$B$229)))</f>
        <v>0</v>
      </c>
      <c r="AG18">
        <f>((SUMIF('Cost Breakdowns'!$D$229:$D$229,"ISIC 41T43",'Cost Breakdowns'!$B$229:$B$229)))</f>
        <v>0</v>
      </c>
      <c r="AH18">
        <f>((SUMIF('Cost Breakdowns'!$D$229:$D$229,"ISIC 45T47",'Cost Breakdowns'!$B$229:$B$229)))</f>
        <v>0</v>
      </c>
      <c r="AI18">
        <f>((SUMIF('Cost Breakdowns'!$D$229:$D$229,"ISIC 49T53",'Cost Breakdowns'!$B$229:$B$229)))*'Factors applied'!$E$586</f>
        <v>0</v>
      </c>
      <c r="AJ18">
        <f>((SUMIF('Cost Breakdowns'!$D$229:$D$229,"ISIC 49T53",'Cost Breakdowns'!$B$229:$B$229)))*'Factors applied'!$E$587</f>
        <v>0</v>
      </c>
      <c r="AK18">
        <f>((SUMIF('Cost Breakdowns'!$D$229:$D$229,"ISIC 49T53",'Cost Breakdowns'!$B$229:$B$229)))*'Factors applied'!$E$588</f>
        <v>0</v>
      </c>
      <c r="AL18">
        <f>((SUMIF('Cost Breakdowns'!$D$229:$D$229,"ISIC 49T53",'Cost Breakdowns'!$B$229:$B$229)))*'Factors applied'!$E$589</f>
        <v>0</v>
      </c>
      <c r="AM18">
        <f>((SUMIF('Cost Breakdowns'!$D$229:$D$229,"ISIC 49T53",'Cost Breakdowns'!$B$229:$B$229)))*'Factors applied'!$E$590</f>
        <v>0</v>
      </c>
      <c r="AN18">
        <f>((SUMIF('Cost Breakdowns'!$D$229:$D$229,"ISIC 55T56",'Cost Breakdowns'!$B$229:$B$229)))</f>
        <v>0</v>
      </c>
      <c r="AO18">
        <f>((SUMIF('Cost Breakdowns'!$D$229:$D$229,"ISIC 58T60",'Cost Breakdowns'!$B$229:$B$229)))</f>
        <v>0</v>
      </c>
      <c r="AP18">
        <f>((SUMIF('Cost Breakdowns'!$D$229:$D$229,"ISIC 61",'Cost Breakdowns'!$B$229:$B$229)))</f>
        <v>0</v>
      </c>
      <c r="AQ18">
        <f>((SUMIF('Cost Breakdowns'!$D$229:$D$229,"ISIC 62T63",'Cost Breakdowns'!$B$229:$B$229)))</f>
        <v>0</v>
      </c>
      <c r="AR18">
        <f>((SUMIF('Cost Breakdowns'!$D$229:$D$229,"ISIC 64T66",'Cost Breakdowns'!$B$229:$B$229)))</f>
        <v>0</v>
      </c>
      <c r="AS18">
        <f>((SUMIF('Cost Breakdowns'!$D$229:$D$229,"ISIC 68",'Cost Breakdowns'!$B$229:$B$229)))</f>
        <v>0</v>
      </c>
      <c r="AT18">
        <f>((SUMIF('Cost Breakdowns'!$D$229:$D$229,"ISIC 69T82",'Cost Breakdowns'!$B$229:$B$229)))*'Factors applied'!$E$591</f>
        <v>0</v>
      </c>
      <c r="AU18">
        <f>((SUMIF('Cost Breakdowns'!$D$229:$D$229,"ISIC 69T82",'Cost Breakdowns'!$B$229:$B$229)))*'Factors applied'!$E$592</f>
        <v>0</v>
      </c>
      <c r="AV18">
        <f>((SUMIF('Cost Breakdowns'!$D$229:$D$229,"ISIC 84",'Cost Breakdowns'!$B$229:$B$229)))</f>
        <v>0</v>
      </c>
      <c r="AW18">
        <f>((SUMIF('Cost Breakdowns'!$D$229:$D$229,"ISIC 85",'Cost Breakdowns'!$B$229:$B$229)))</f>
        <v>0</v>
      </c>
      <c r="AX18">
        <f>((SUMIF('Cost Breakdowns'!$D$229:$D$229,"ISIC 86T88",'Cost Breakdowns'!$B$229:$B$229)))</f>
        <v>0</v>
      </c>
      <c r="AY18">
        <f>((SUMIF('Cost Breakdowns'!$D$229:$D$229,"ISIC 90T96",'Cost Breakdowns'!$B$229:$B$229)))*'Factors applied'!$E$593</f>
        <v>0</v>
      </c>
      <c r="AZ18">
        <f>((SUMIF('Cost Breakdowns'!$D$229:$D$229,"ISIC 90T96",'Cost Breakdowns'!$B$229:$B$229)))*'Factors applied'!$E$594</f>
        <v>0</v>
      </c>
      <c r="BA18">
        <f>((SUMIF('Cost Breakdowns'!$D$229:$D$229,"ISIC 97T98",'Cost Breakdowns'!$B$229:$B$229)))</f>
        <v>0</v>
      </c>
    </row>
    <row r="19" spans="1:53" x14ac:dyDescent="0.25">
      <c r="A19" t="s">
        <v>70</v>
      </c>
      <c r="B19">
        <f>('CCS Costs'!B75+'CCS Costs'!B83)*'Factors applied'!$E$467</f>
        <v>0</v>
      </c>
      <c r="C19">
        <f>('CCS Costs'!B75+'CCS Costs'!B83)*'Factors applied'!$E$468</f>
        <v>0</v>
      </c>
      <c r="D19">
        <f>('CCS Costs'!B75+'CCS Costs'!B83)*'Factors applied'!$E$469</f>
        <v>0</v>
      </c>
      <c r="E19">
        <f>('CCS Costs'!C75+'CCS Costs'!C83)</f>
        <v>0</v>
      </c>
      <c r="F19">
        <f>('CCS Costs'!D75+'CCS Costs'!D83)</f>
        <v>0</v>
      </c>
      <c r="G19">
        <f>('CCS Costs'!E75+'CCS Costs'!E83)*'Factors applied'!$E$470</f>
        <v>0</v>
      </c>
      <c r="H19">
        <f>('CCS Costs'!E75+'CCS Costs'!E83)*'Factors applied'!$E$471</f>
        <v>0</v>
      </c>
      <c r="I19">
        <f>('CCS Costs'!F75+'CCS Costs'!F83)</f>
        <v>0</v>
      </c>
      <c r="J19">
        <f>('CCS Costs'!G75+'CCS Costs'!G83)</f>
        <v>0</v>
      </c>
      <c r="K19">
        <f>('CCS Costs'!H75+'CCS Costs'!H83)</f>
        <v>0</v>
      </c>
      <c r="L19">
        <f>('CCS Costs'!I75+'CCS Costs'!I83)</f>
        <v>0</v>
      </c>
      <c r="M19">
        <f>('CCS Costs'!J75+'CCS Costs'!J83)</f>
        <v>0</v>
      </c>
      <c r="N19">
        <f>('CCS Costs'!K75+'CCS Costs'!K83)</f>
        <v>0</v>
      </c>
      <c r="O19">
        <f>('CCS Costs'!L75+'CCS Costs'!L83)</f>
        <v>0</v>
      </c>
      <c r="P19">
        <f>('CCS Costs'!M75+'CCS Costs'!M83)</f>
        <v>0</v>
      </c>
      <c r="Q19">
        <f>('CCS Costs'!N75+'CCS Costs'!N83)</f>
        <v>0</v>
      </c>
      <c r="R19">
        <f>('CCS Costs'!O75+'CCS Costs'!O83)</f>
        <v>0</v>
      </c>
      <c r="S19">
        <f>('CCS Costs'!P75+'CCS Costs'!P83)</f>
        <v>0</v>
      </c>
      <c r="T19">
        <f>('CCS Costs'!Q75+'CCS Costs'!Q83)</f>
        <v>0</v>
      </c>
      <c r="U19">
        <f>('CCS Costs'!R75+'CCS Costs'!R83)</f>
        <v>0</v>
      </c>
      <c r="V19">
        <f>('CCS Costs'!S75+'CCS Costs'!S83)</f>
        <v>0</v>
      </c>
      <c r="W19">
        <f>('CCS Costs'!T75+'CCS Costs'!T83)</f>
        <v>0</v>
      </c>
      <c r="X19">
        <f>('CCS Costs'!U75+'CCS Costs'!U83)</f>
        <v>0</v>
      </c>
      <c r="Y19">
        <f>('CCS Costs'!V75+'CCS Costs'!V83)</f>
        <v>0.15637225268043886</v>
      </c>
      <c r="Z19">
        <f>('CCS Costs'!W75+'CCS Costs'!W83)</f>
        <v>0</v>
      </c>
      <c r="AA19">
        <f>('CCS Costs'!X75+'CCS Costs'!X83)*'Factors applied'!$E$472</f>
        <v>0</v>
      </c>
      <c r="AB19">
        <f>('CCS Costs'!X75+'CCS Costs'!X83)*'Factors applied'!$E$473</f>
        <v>0</v>
      </c>
      <c r="AC19">
        <f>('CCS Costs'!Y75+'CCS Costs'!Y83)</f>
        <v>0</v>
      </c>
      <c r="AD19">
        <f>('CCS Costs'!Z75+'CCS Costs'!Z83)</f>
        <v>0.74926518104688244</v>
      </c>
      <c r="AE19">
        <f>('CCS Costs'!AA75+'CCS Costs'!AA83)</f>
        <v>0</v>
      </c>
      <c r="AF19">
        <f>('CCS Costs'!AB75+'CCS Costs'!AB83)</f>
        <v>0</v>
      </c>
      <c r="AG19">
        <f>('CCS Costs'!AC75+'CCS Costs'!AC83)</f>
        <v>0</v>
      </c>
      <c r="AH19">
        <f>('CCS Costs'!AD75+'CCS Costs'!AD83)</f>
        <v>0</v>
      </c>
      <c r="AI19">
        <f>('CCS Costs'!AE75+'CCS Costs'!AE83)*'Factors applied'!$E$474</f>
        <v>0</v>
      </c>
      <c r="AJ19">
        <f>('CCS Costs'!AE75+'CCS Costs'!AE83)*'Factors applied'!$E$475</f>
        <v>0</v>
      </c>
      <c r="AK19">
        <f>('CCS Costs'!AE75+'CCS Costs'!AE83)*'Factors applied'!$E$476</f>
        <v>0</v>
      </c>
      <c r="AL19">
        <f>('CCS Costs'!AE75+'CCS Costs'!AE83)*'Factors applied'!$E$477</f>
        <v>0</v>
      </c>
      <c r="AM19">
        <f>('CCS Costs'!AE75+'CCS Costs'!AE83)*'Factors applied'!$E$478</f>
        <v>0</v>
      </c>
      <c r="AN19">
        <f>('CCS Costs'!AF75+'CCS Costs'!AF83)</f>
        <v>0</v>
      </c>
      <c r="AO19">
        <f>('CCS Costs'!AG75+'CCS Costs'!AG83)</f>
        <v>0</v>
      </c>
      <c r="AP19">
        <f>('CCS Costs'!AH75+'CCS Costs'!AH83)</f>
        <v>0</v>
      </c>
      <c r="AQ19">
        <f>('CCS Costs'!AI75+'CCS Costs'!AI83)</f>
        <v>0</v>
      </c>
      <c r="AR19">
        <f>('CCS Costs'!AJ75+'CCS Costs'!AJ83)</f>
        <v>0</v>
      </c>
      <c r="AS19">
        <f>('CCS Costs'!AK75+'CCS Costs'!AK83)</f>
        <v>0</v>
      </c>
      <c r="AT19">
        <f>('CCS Costs'!AL75+'CCS Costs'!AL83)*'Factors applied'!$E$479</f>
        <v>9.4362566272678611E-2</v>
      </c>
      <c r="AU19">
        <f>('CCS Costs'!AL75+'CCS Costs'!AL83)*'Factors applied'!$E$480</f>
        <v>0</v>
      </c>
      <c r="AV19">
        <f>('CCS Costs'!AM75+'CCS Costs'!AM83)</f>
        <v>0</v>
      </c>
      <c r="AW19">
        <f>('CCS Costs'!AN75+'CCS Costs'!AN83)</f>
        <v>0</v>
      </c>
      <c r="AX19">
        <f>('CCS Costs'!AO75+'CCS Costs'!AO83)</f>
        <v>0</v>
      </c>
      <c r="AY19">
        <f>('CCS Costs'!AP75+'CCS Costs'!AP83)*'Factors applied'!$E$481</f>
        <v>0</v>
      </c>
      <c r="AZ19">
        <f>('CCS Costs'!AP75+'CCS Costs'!AP83)*'Factors applied'!$E$482</f>
        <v>0</v>
      </c>
      <c r="BA19">
        <f>('CCS Costs'!AQ75+'CCS Costs'!AQ83)</f>
        <v>0</v>
      </c>
    </row>
    <row r="20" spans="1:53" x14ac:dyDescent="0.25">
      <c r="A20" t="s">
        <v>71</v>
      </c>
      <c r="B20">
        <f>('CCS Costs'!B76+'CCS Costs'!B84)*'Factors applied'!$E$611</f>
        <v>0</v>
      </c>
      <c r="C20">
        <f>('CCS Costs'!B76+'CCS Costs'!B84)*'Factors applied'!$E$612</f>
        <v>0</v>
      </c>
      <c r="D20">
        <f>('CCS Costs'!B76+'CCS Costs'!B84)*'Factors applied'!$E$613</f>
        <v>0</v>
      </c>
      <c r="E20">
        <f>('CCS Costs'!C76+'CCS Costs'!C84)</f>
        <v>0</v>
      </c>
      <c r="F20">
        <f>('CCS Costs'!D76+'CCS Costs'!D84)</f>
        <v>0</v>
      </c>
      <c r="G20">
        <f>('CCS Costs'!E76+'CCS Costs'!E84)*'Factors applied'!$E$614</f>
        <v>0</v>
      </c>
      <c r="H20">
        <f>('CCS Costs'!E76+'CCS Costs'!E84)*'Factors applied'!$E$615</f>
        <v>0</v>
      </c>
      <c r="I20">
        <f>('CCS Costs'!F76+'CCS Costs'!F84)</f>
        <v>0</v>
      </c>
      <c r="J20">
        <f>('CCS Costs'!G76+'CCS Costs'!G84)</f>
        <v>0</v>
      </c>
      <c r="K20">
        <f>('CCS Costs'!H76+'CCS Costs'!H84)</f>
        <v>0</v>
      </c>
      <c r="L20">
        <f>('CCS Costs'!I76+'CCS Costs'!I84)</f>
        <v>0</v>
      </c>
      <c r="M20">
        <f>('CCS Costs'!J76+'CCS Costs'!J84)</f>
        <v>0</v>
      </c>
      <c r="N20">
        <f>('CCS Costs'!K76+'CCS Costs'!K84)</f>
        <v>0</v>
      </c>
      <c r="O20">
        <f>('CCS Costs'!L76+'CCS Costs'!L84)</f>
        <v>0</v>
      </c>
      <c r="P20">
        <f>('CCS Costs'!M76+'CCS Costs'!M84)</f>
        <v>0</v>
      </c>
      <c r="Q20">
        <f>('CCS Costs'!N76+'CCS Costs'!N84)</f>
        <v>0</v>
      </c>
      <c r="R20">
        <f>('CCS Costs'!O76+'CCS Costs'!O84)</f>
        <v>0</v>
      </c>
      <c r="S20">
        <f>('CCS Costs'!P76+'CCS Costs'!P84)</f>
        <v>0</v>
      </c>
      <c r="T20">
        <f>('CCS Costs'!Q76+'CCS Costs'!Q84)</f>
        <v>0</v>
      </c>
      <c r="U20">
        <f>('CCS Costs'!R76+'CCS Costs'!R84)</f>
        <v>0</v>
      </c>
      <c r="V20">
        <f>('CCS Costs'!S76+'CCS Costs'!S84)</f>
        <v>0</v>
      </c>
      <c r="W20">
        <f>('CCS Costs'!T76+'CCS Costs'!T84)</f>
        <v>0</v>
      </c>
      <c r="X20">
        <f>('CCS Costs'!U76+'CCS Costs'!U84)</f>
        <v>0</v>
      </c>
      <c r="Y20">
        <f>('CCS Costs'!V76+'CCS Costs'!V84)</f>
        <v>3.1058374930671095E-2</v>
      </c>
      <c r="Z20">
        <f>('CCS Costs'!W76+'CCS Costs'!W84)</f>
        <v>0</v>
      </c>
      <c r="AA20">
        <f>('CCS Costs'!X76+'CCS Costs'!X84)*'Factors applied'!$E$616</f>
        <v>0</v>
      </c>
      <c r="AB20">
        <f>('CCS Costs'!X76+'CCS Costs'!X84)*'Factors applied'!$E$617</f>
        <v>0</v>
      </c>
      <c r="AC20">
        <f>('CCS Costs'!Y76+'CCS Costs'!Y84)</f>
        <v>0</v>
      </c>
      <c r="AD20">
        <f>('CCS Costs'!Z76+'CCS Costs'!Z84)</f>
        <v>0.70183960066555751</v>
      </c>
      <c r="AE20">
        <f>('CCS Costs'!AA76+'CCS Costs'!AA84)</f>
        <v>0</v>
      </c>
      <c r="AF20">
        <f>('CCS Costs'!AB76+'CCS Costs'!AB84)</f>
        <v>0</v>
      </c>
      <c r="AG20">
        <f>('CCS Costs'!AC76+'CCS Costs'!AC84)</f>
        <v>0</v>
      </c>
      <c r="AH20">
        <f>('CCS Costs'!AD76+'CCS Costs'!AD84)</f>
        <v>0</v>
      </c>
      <c r="AI20">
        <f>('CCS Costs'!AE76+'CCS Costs'!AE84)*'Factors applied'!$E$618</f>
        <v>0</v>
      </c>
      <c r="AJ20">
        <f>('CCS Costs'!AE76+'CCS Costs'!AE84)*'Factors applied'!$E$619</f>
        <v>0</v>
      </c>
      <c r="AK20">
        <f>('CCS Costs'!AE76+'CCS Costs'!AE84)*'Factors applied'!$E$620</f>
        <v>0</v>
      </c>
      <c r="AL20">
        <f>('CCS Costs'!AE76+'CCS Costs'!AE84)*'Factors applied'!$E$621</f>
        <v>0</v>
      </c>
      <c r="AM20">
        <f>('CCS Costs'!AE76+'CCS Costs'!AE84)*'Factors applied'!$E$622</f>
        <v>0</v>
      </c>
      <c r="AN20">
        <f>('CCS Costs'!AF76+'CCS Costs'!AF84)</f>
        <v>0</v>
      </c>
      <c r="AO20">
        <f>('CCS Costs'!AG76+'CCS Costs'!AG84)</f>
        <v>0</v>
      </c>
      <c r="AP20">
        <f>('CCS Costs'!AH76+'CCS Costs'!AH84)</f>
        <v>0</v>
      </c>
      <c r="AQ20">
        <f>('CCS Costs'!AI76+'CCS Costs'!AI84)</f>
        <v>0</v>
      </c>
      <c r="AR20">
        <f>('CCS Costs'!AJ76+'CCS Costs'!AJ84)</f>
        <v>0</v>
      </c>
      <c r="AS20">
        <f>('CCS Costs'!AK76+'CCS Costs'!AK84)</f>
        <v>0</v>
      </c>
      <c r="AT20">
        <f>('CCS Costs'!AL76+'CCS Costs'!AL84)*'Factors applied'!$E$623</f>
        <v>0.26710202440377134</v>
      </c>
      <c r="AU20">
        <f>('CCS Costs'!AL76+'CCS Costs'!AL84)*'Factors applied'!$E$624</f>
        <v>0</v>
      </c>
      <c r="AV20">
        <f>('CCS Costs'!AM76+'CCS Costs'!AM84)</f>
        <v>0</v>
      </c>
      <c r="AW20">
        <f>('CCS Costs'!AN76+'CCS Costs'!AN84)</f>
        <v>0</v>
      </c>
      <c r="AX20">
        <f>('CCS Costs'!AO76+'CCS Costs'!AO84)</f>
        <v>0</v>
      </c>
      <c r="AY20">
        <f>('CCS Costs'!AP76+'CCS Costs'!AP84)*'Factors applied'!$E$625</f>
        <v>0</v>
      </c>
      <c r="AZ20">
        <f>('CCS Costs'!AP76+'CCS Costs'!AP84)*'Factors applied'!$E$626</f>
        <v>0</v>
      </c>
      <c r="BA20">
        <f>('CCS Costs'!AQ76+'CCS Costs'!AQ84)</f>
        <v>0</v>
      </c>
    </row>
    <row r="21" spans="1:53" x14ac:dyDescent="0.25">
      <c r="A21" t="s">
        <v>72</v>
      </c>
      <c r="B21">
        <f>('CCS Costs'!B77+'CCS Costs'!B85)*'Factors applied'!$E$403</f>
        <v>0</v>
      </c>
      <c r="C21">
        <f>('CCS Costs'!B77+'CCS Costs'!B85)*'Factors applied'!$E$404</f>
        <v>0</v>
      </c>
      <c r="D21">
        <f>('CCS Costs'!B77+'CCS Costs'!B85)*'Factors applied'!$E$405</f>
        <v>0</v>
      </c>
      <c r="E21">
        <f>('CCS Costs'!C77+'CCS Costs'!C85)</f>
        <v>0</v>
      </c>
      <c r="F21">
        <f>('CCS Costs'!D77+'CCS Costs'!D85)</f>
        <v>0</v>
      </c>
      <c r="G21">
        <f>('CCS Costs'!E77+'CCS Costs'!E85)*'Factors applied'!$E$406</f>
        <v>0</v>
      </c>
      <c r="H21">
        <f>('CCS Costs'!E77+'CCS Costs'!E85)*'Factors applied'!$E$407</f>
        <v>0</v>
      </c>
      <c r="I21">
        <f>('CCS Costs'!F77+'CCS Costs'!F85)</f>
        <v>0</v>
      </c>
      <c r="J21">
        <f>('CCS Costs'!G77+'CCS Costs'!G85)</f>
        <v>0</v>
      </c>
      <c r="K21">
        <f>('CCS Costs'!H77+'CCS Costs'!H85)</f>
        <v>0</v>
      </c>
      <c r="L21">
        <f>('CCS Costs'!I77+'CCS Costs'!I85)</f>
        <v>0</v>
      </c>
      <c r="M21">
        <f>('CCS Costs'!J77+'CCS Costs'!J85)</f>
        <v>0</v>
      </c>
      <c r="N21">
        <f>('CCS Costs'!K77+'CCS Costs'!K85)</f>
        <v>0</v>
      </c>
      <c r="O21">
        <f>('CCS Costs'!L77+'CCS Costs'!L85)</f>
        <v>0</v>
      </c>
      <c r="P21">
        <f>('CCS Costs'!M77+'CCS Costs'!M85)</f>
        <v>0</v>
      </c>
      <c r="Q21">
        <f>('CCS Costs'!N77+'CCS Costs'!N85)</f>
        <v>0</v>
      </c>
      <c r="R21">
        <f>('CCS Costs'!O77+'CCS Costs'!O85)</f>
        <v>0</v>
      </c>
      <c r="S21">
        <f>('CCS Costs'!P77+'CCS Costs'!P85)</f>
        <v>0</v>
      </c>
      <c r="T21">
        <f>('CCS Costs'!Q77+'CCS Costs'!Q85)</f>
        <v>0</v>
      </c>
      <c r="U21">
        <f>('CCS Costs'!R77+'CCS Costs'!R85)</f>
        <v>0</v>
      </c>
      <c r="V21">
        <f>('CCS Costs'!S77+'CCS Costs'!S85)</f>
        <v>0</v>
      </c>
      <c r="W21">
        <f>('CCS Costs'!T77+'CCS Costs'!T85)</f>
        <v>0</v>
      </c>
      <c r="X21">
        <f>('CCS Costs'!U77+'CCS Costs'!U85)</f>
        <v>0</v>
      </c>
      <c r="Y21">
        <f>('CCS Costs'!V77+'CCS Costs'!V85)</f>
        <v>0</v>
      </c>
      <c r="Z21">
        <f>('CCS Costs'!W77+'CCS Costs'!W85)</f>
        <v>0</v>
      </c>
      <c r="AA21">
        <f>('CCS Costs'!X77+'CCS Costs'!X85)*'Factors applied'!$E$408</f>
        <v>0</v>
      </c>
      <c r="AB21">
        <f>('CCS Costs'!X77+'CCS Costs'!X85)*'Factors applied'!$E$409</f>
        <v>0</v>
      </c>
      <c r="AC21">
        <f>('CCS Costs'!Y77+'CCS Costs'!Y85)</f>
        <v>0</v>
      </c>
      <c r="AD21">
        <f>('CCS Costs'!Z77+'CCS Costs'!Z85)</f>
        <v>1</v>
      </c>
      <c r="AE21">
        <f>('CCS Costs'!AA77+'CCS Costs'!AA85)</f>
        <v>0</v>
      </c>
      <c r="AF21">
        <f>('CCS Costs'!AB77+'CCS Costs'!AB85)</f>
        <v>0</v>
      </c>
      <c r="AG21">
        <f>('CCS Costs'!AC77+'CCS Costs'!AC85)</f>
        <v>0</v>
      </c>
      <c r="AH21">
        <f>('CCS Costs'!AD77+'CCS Costs'!AD85)</f>
        <v>0</v>
      </c>
      <c r="AI21">
        <f>('CCS Costs'!AE77+'CCS Costs'!AE85)*'Factors applied'!$E$410</f>
        <v>0</v>
      </c>
      <c r="AJ21">
        <f>('CCS Costs'!AE77+'CCS Costs'!AE85)*'Factors applied'!$E$411</f>
        <v>0</v>
      </c>
      <c r="AK21">
        <f>('CCS Costs'!AE77+'CCS Costs'!AE85)*'Factors applied'!$E$412</f>
        <v>0</v>
      </c>
      <c r="AL21">
        <f>('CCS Costs'!AE77+'CCS Costs'!AE85)*'Factors applied'!$E$413</f>
        <v>0</v>
      </c>
      <c r="AM21">
        <f>('CCS Costs'!AE77+'CCS Costs'!AE85)*'Factors applied'!$E$414</f>
        <v>0</v>
      </c>
      <c r="AN21">
        <f>('CCS Costs'!AF77+'CCS Costs'!AF85)</f>
        <v>0</v>
      </c>
      <c r="AO21">
        <f>('CCS Costs'!AG77+'CCS Costs'!AG85)</f>
        <v>0</v>
      </c>
      <c r="AP21">
        <f>('CCS Costs'!AH77+'CCS Costs'!AH85)</f>
        <v>0</v>
      </c>
      <c r="AQ21">
        <f>('CCS Costs'!AI77+'CCS Costs'!AI85)</f>
        <v>0</v>
      </c>
      <c r="AR21">
        <f>('CCS Costs'!AJ77+'CCS Costs'!AJ85)</f>
        <v>0</v>
      </c>
      <c r="AS21">
        <f>('CCS Costs'!AK77+'CCS Costs'!AK85)</f>
        <v>0</v>
      </c>
      <c r="AT21">
        <f>('CCS Costs'!AL77+'CCS Costs'!AL85)*'Factors applied'!$E$415</f>
        <v>0</v>
      </c>
      <c r="AU21">
        <f>('CCS Costs'!AL77+'CCS Costs'!AL85)*'Factors applied'!$E$416</f>
        <v>0</v>
      </c>
      <c r="AV21">
        <f>('CCS Costs'!AM77+'CCS Costs'!AM85)</f>
        <v>0</v>
      </c>
      <c r="AW21">
        <f>('CCS Costs'!AN77+'CCS Costs'!AN85)</f>
        <v>0</v>
      </c>
      <c r="AX21">
        <f>('CCS Costs'!AO77+'CCS Costs'!AO85)</f>
        <v>0</v>
      </c>
      <c r="AY21">
        <f>('CCS Costs'!AP77+'CCS Costs'!AP85)*'Factors applied'!$E$417</f>
        <v>0</v>
      </c>
      <c r="AZ21">
        <f>('CCS Costs'!AP77+'CCS Costs'!AP85)*'Factors applied'!$E$418</f>
        <v>0</v>
      </c>
      <c r="BA21">
        <f>('CCS Costs'!AQ77+'CCS Costs'!AQ85)</f>
        <v>0</v>
      </c>
    </row>
    <row r="22" spans="1:53" x14ac:dyDescent="0.25">
      <c r="A22" t="s">
        <v>73</v>
      </c>
      <c r="B22">
        <f>('CCS Costs'!B78+'CCS Costs'!B86)*'Factors applied'!$E$563</f>
        <v>0</v>
      </c>
      <c r="C22">
        <f>('CCS Costs'!B78+'CCS Costs'!B86)*'Factors applied'!$E$564</f>
        <v>0</v>
      </c>
      <c r="D22">
        <f>('CCS Costs'!B78+'CCS Costs'!B86)*'Factors applied'!$E$565</f>
        <v>0</v>
      </c>
      <c r="E22">
        <f>('CCS Costs'!C78+'CCS Costs'!C86)</f>
        <v>0</v>
      </c>
      <c r="F22">
        <f>('CCS Costs'!D78+'CCS Costs'!D86)</f>
        <v>0</v>
      </c>
      <c r="G22">
        <f>('CCS Costs'!E78+'CCS Costs'!E86)*'Factors applied'!$E$566</f>
        <v>0</v>
      </c>
      <c r="H22">
        <f>('CCS Costs'!E78+'CCS Costs'!E86)*'Factors applied'!$E$567</f>
        <v>0</v>
      </c>
      <c r="I22">
        <f>('CCS Costs'!F78+'CCS Costs'!F86)</f>
        <v>0</v>
      </c>
      <c r="J22">
        <f>('CCS Costs'!G78+'CCS Costs'!G86)</f>
        <v>0</v>
      </c>
      <c r="K22">
        <f>('CCS Costs'!H78+'CCS Costs'!H86)</f>
        <v>0</v>
      </c>
      <c r="L22">
        <f>('CCS Costs'!I78+'CCS Costs'!I86)</f>
        <v>0</v>
      </c>
      <c r="M22">
        <f>('CCS Costs'!J78+'CCS Costs'!J86)</f>
        <v>0</v>
      </c>
      <c r="N22">
        <f>('CCS Costs'!K78+'CCS Costs'!K86)</f>
        <v>0</v>
      </c>
      <c r="O22">
        <f>('CCS Costs'!L78+'CCS Costs'!L86)</f>
        <v>0</v>
      </c>
      <c r="P22">
        <f>('CCS Costs'!M78+'CCS Costs'!M86)</f>
        <v>0</v>
      </c>
      <c r="Q22">
        <f>('CCS Costs'!N78+'CCS Costs'!N86)</f>
        <v>0</v>
      </c>
      <c r="R22">
        <f>('CCS Costs'!O78+'CCS Costs'!O86)</f>
        <v>0</v>
      </c>
      <c r="S22">
        <f>('CCS Costs'!P78+'CCS Costs'!P86)</f>
        <v>0</v>
      </c>
      <c r="T22">
        <f>('CCS Costs'!Q78+'CCS Costs'!Q86)</f>
        <v>0</v>
      </c>
      <c r="U22">
        <f>('CCS Costs'!R78+'CCS Costs'!R86)</f>
        <v>0</v>
      </c>
      <c r="V22">
        <f>('CCS Costs'!S78+'CCS Costs'!S86)</f>
        <v>0</v>
      </c>
      <c r="W22">
        <f>('CCS Costs'!T78+'CCS Costs'!T86)</f>
        <v>0</v>
      </c>
      <c r="X22">
        <f>('CCS Costs'!U78+'CCS Costs'!U86)</f>
        <v>0</v>
      </c>
      <c r="Y22">
        <f>('CCS Costs'!V78+'CCS Costs'!V86)</f>
        <v>0.15637225268043886</v>
      </c>
      <c r="Z22">
        <f>('CCS Costs'!W78+'CCS Costs'!W86)</f>
        <v>0</v>
      </c>
      <c r="AA22">
        <f>('CCS Costs'!X78+'CCS Costs'!X86)*'Factors applied'!$E$568</f>
        <v>0</v>
      </c>
      <c r="AB22">
        <f>('CCS Costs'!X78+'CCS Costs'!X86)*'Factors applied'!$E$569</f>
        <v>0</v>
      </c>
      <c r="AC22">
        <f>('CCS Costs'!Y78+'CCS Costs'!Y86)</f>
        <v>0</v>
      </c>
      <c r="AD22">
        <f>('CCS Costs'!Z78+'CCS Costs'!Z86)</f>
        <v>0.74926518104688244</v>
      </c>
      <c r="AE22">
        <f>('CCS Costs'!AA78+'CCS Costs'!AA86)</f>
        <v>0</v>
      </c>
      <c r="AF22">
        <f>('CCS Costs'!AB78+'CCS Costs'!AB86)</f>
        <v>0</v>
      </c>
      <c r="AG22">
        <f>('CCS Costs'!AC78+'CCS Costs'!AC86)</f>
        <v>0</v>
      </c>
      <c r="AH22">
        <f>('CCS Costs'!AD78+'CCS Costs'!AD86)</f>
        <v>0</v>
      </c>
      <c r="AI22">
        <f>('CCS Costs'!AE78+'CCS Costs'!AE86)*'Factors applied'!$E$570</f>
        <v>0</v>
      </c>
      <c r="AJ22">
        <f>('CCS Costs'!AE78+'CCS Costs'!AE86)*'Factors applied'!$E$571</f>
        <v>0</v>
      </c>
      <c r="AK22">
        <f>('CCS Costs'!AE78+'CCS Costs'!AE86)*'Factors applied'!$E$572</f>
        <v>0</v>
      </c>
      <c r="AL22">
        <f>('CCS Costs'!AE78+'CCS Costs'!AE86)*'Factors applied'!$E$573</f>
        <v>0</v>
      </c>
      <c r="AM22">
        <f>('CCS Costs'!AE78+'CCS Costs'!AE86)*'Factors applied'!$E$574</f>
        <v>0</v>
      </c>
      <c r="AN22">
        <f>('CCS Costs'!AF78+'CCS Costs'!AF86)</f>
        <v>0</v>
      </c>
      <c r="AO22">
        <f>('CCS Costs'!AG78+'CCS Costs'!AG86)</f>
        <v>0</v>
      </c>
      <c r="AP22">
        <f>('CCS Costs'!AH78+'CCS Costs'!AH86)</f>
        <v>0</v>
      </c>
      <c r="AQ22">
        <f>('CCS Costs'!AI78+'CCS Costs'!AI86)</f>
        <v>0</v>
      </c>
      <c r="AR22">
        <f>('CCS Costs'!AJ78+'CCS Costs'!AJ86)</f>
        <v>0</v>
      </c>
      <c r="AS22">
        <f>('CCS Costs'!AK78+'CCS Costs'!AK86)</f>
        <v>0</v>
      </c>
      <c r="AT22">
        <f>('CCS Costs'!AL78+'CCS Costs'!AL86)*'Factors applied'!$E$575</f>
        <v>9.4362566272678611E-2</v>
      </c>
      <c r="AU22">
        <f>('CCS Costs'!AL78+'CCS Costs'!AL86)*'Factors applied'!$E$576</f>
        <v>0</v>
      </c>
      <c r="AV22">
        <f>('CCS Costs'!AM78+'CCS Costs'!AM86)</f>
        <v>0</v>
      </c>
      <c r="AW22">
        <f>('CCS Costs'!AN78+'CCS Costs'!AN86)</f>
        <v>0</v>
      </c>
      <c r="AX22">
        <f>('CCS Costs'!AO78+'CCS Costs'!AO86)</f>
        <v>0</v>
      </c>
      <c r="AY22">
        <f>('CCS Costs'!AP78+'CCS Costs'!AP86)*'Factors applied'!$E$577</f>
        <v>0</v>
      </c>
      <c r="AZ22">
        <f>('CCS Costs'!AP78+'CCS Costs'!AP86)*'Factors applied'!$E$578</f>
        <v>0</v>
      </c>
      <c r="BA22">
        <f>('CCS Costs'!AQ78+'CCS Costs'!AQ86)</f>
        <v>0</v>
      </c>
    </row>
    <row r="23" spans="1:53" x14ac:dyDescent="0.25">
      <c r="A23" t="s">
        <v>74</v>
      </c>
      <c r="B23">
        <f>((SUMIF('Cost Breakdowns'!$D$160:$D$160,"ISIC 01T03",'Cost Breakdowns'!$B$160:$B$160)))*'Factors applied'!$E$707</f>
        <v>0</v>
      </c>
      <c r="C23">
        <f>((SUMIF('Cost Breakdowns'!$D$160:$D$160,"ISIC 01T03",'Cost Breakdowns'!$B$160:$B$160)))*'Factors applied'!$E$708</f>
        <v>0</v>
      </c>
      <c r="D23">
        <f>((SUMIF('Cost Breakdowns'!$D$160:$D$160,"ISIC 01T03",'Cost Breakdowns'!$B$160:$B$160)))*'Factors applied'!$E$709</f>
        <v>0</v>
      </c>
      <c r="E23">
        <f>((SUMIF('Cost Breakdowns'!$D$160:$D$160,"ISIC 05",'Cost Breakdowns'!$B$160:$B$160)))</f>
        <v>0</v>
      </c>
      <c r="F23">
        <f>((SUMIF('Cost Breakdowns'!$D$160:$D$160,"ISIC 06",'Cost Breakdowns'!$B$160:$B$160)))</f>
        <v>0</v>
      </c>
      <c r="G23">
        <f>((SUMIF('Cost Breakdowns'!$D$160:$D$160,"ISIC 07T08",'Cost Breakdowns'!$B$160:$B$160)))*'Factors applied'!$E$710</f>
        <v>0</v>
      </c>
      <c r="H23">
        <f>((SUMIF('Cost Breakdowns'!$D$160:$D$160,"ISIC 07T08",'Cost Breakdowns'!$B$160:$B$160)))*'Factors applied'!$E$711</f>
        <v>0</v>
      </c>
      <c r="I23">
        <f>((SUMIF('Cost Breakdowns'!$D$160:$D$160,"ISIC 09",'Cost Breakdowns'!$B$160:$B$160)))</f>
        <v>0</v>
      </c>
      <c r="J23">
        <f>((SUMIF('Cost Breakdowns'!$D$160:$D$160,"ISIC 10T12",'Cost Breakdowns'!$B$160:$B$160)))</f>
        <v>0</v>
      </c>
      <c r="K23">
        <f>((SUMIF('Cost Breakdowns'!$D$160:$D$160,"ISIC 13T15",'Cost Breakdowns'!$B$160:$B$160)))</f>
        <v>0</v>
      </c>
      <c r="L23">
        <f>((SUMIF('Cost Breakdowns'!$D$160:$D$160,"ISIC 16",'Cost Breakdowns'!$B$160:$B$160)))</f>
        <v>0</v>
      </c>
      <c r="M23">
        <f>((SUMIF('Cost Breakdowns'!$D$160:$D$160,"ISIC 17T18",'Cost Breakdowns'!$B$160:$B$160)))</f>
        <v>0</v>
      </c>
      <c r="N23">
        <f>((SUMIF('Cost Breakdowns'!$D$160:$D$160,"ISIC 19",'Cost Breakdowns'!$B$160:$B$160)))</f>
        <v>0</v>
      </c>
      <c r="O23">
        <f>((SUMIF('Cost Breakdowns'!$D$160:$D$160,"ISIC 20",'Cost Breakdowns'!$B$160:$B$160)))</f>
        <v>0</v>
      </c>
      <c r="P23">
        <f>((SUMIF('Cost Breakdowns'!$D$160:$D$160,"ISIC 21",'Cost Breakdowns'!$B$160:$B$160)))</f>
        <v>0</v>
      </c>
      <c r="Q23">
        <f>((SUMIF('Cost Breakdowns'!$D$160:$D$160,"ISIC 22",'Cost Breakdowns'!$B$160:$B$160)))</f>
        <v>0</v>
      </c>
      <c r="R23">
        <f>((SUMIF('Cost Breakdowns'!$D$160:$D$160,"ISIC 231",'Cost Breakdowns'!$B$160:$B$160)))</f>
        <v>0</v>
      </c>
      <c r="S23">
        <f>((SUMIF('Cost Breakdowns'!$D$160:$D$160,"ISIC 239",'Cost Breakdowns'!$B$160:$B$160)))</f>
        <v>0</v>
      </c>
      <c r="T23">
        <f>((SUMIF('Cost Breakdowns'!$D$160:$D$160,"ISIC 241",'Cost Breakdowns'!$B$160:$B$160)))</f>
        <v>0</v>
      </c>
      <c r="U23">
        <f>((SUMIF('Cost Breakdowns'!$D$160:$D$160,"ISIC 242",'Cost Breakdowns'!$B$160:$B$160)))</f>
        <v>0</v>
      </c>
      <c r="V23">
        <f>((SUMIF('Cost Breakdowns'!$D$160:$D$160,"ISIC 25",'Cost Breakdowns'!$B$160:$B$160)))</f>
        <v>0</v>
      </c>
      <c r="W23">
        <f>((SUMIF('Cost Breakdowns'!$D$160:$D$160,"ISIC 26",'Cost Breakdowns'!$B$160:$B$160)))</f>
        <v>0</v>
      </c>
      <c r="X23">
        <f>((SUMIF('Cost Breakdowns'!$D$160:$D$160,"ISIC 27",'Cost Breakdowns'!$B$160:$B$160)))</f>
        <v>0</v>
      </c>
      <c r="Y23">
        <f>((SUMIF('Cost Breakdowns'!$D$160:$D$160,"ISIC 28",'Cost Breakdowns'!$B$160:$B$160)))</f>
        <v>0</v>
      </c>
      <c r="Z23">
        <f>((SUMIF('Cost Breakdowns'!$D$160:$D$160,"ISIC 29",'Cost Breakdowns'!$B$160:$B$160)))</f>
        <v>0</v>
      </c>
      <c r="AA23">
        <f>((SUMIF('Cost Breakdowns'!$D$160:$D$160,"ISIC 30",'Cost Breakdowns'!$B$160:$B$160)))*'Factors applied'!$E$712</f>
        <v>0</v>
      </c>
      <c r="AB23">
        <f>((SUMIF('Cost Breakdowns'!$D$160:$D$160,"ISIC 30",'Cost Breakdowns'!$B$160:$B$160)))*'Factors applied'!$E$713</f>
        <v>0</v>
      </c>
      <c r="AC23">
        <f>((SUMIF('Cost Breakdowns'!$D$160:$D$160,"ISIC 31T33",'Cost Breakdowns'!$B$160:$B$160)))</f>
        <v>0</v>
      </c>
      <c r="AD23">
        <f>((SUMIF('Cost Breakdowns'!$D$160:$D$160,"ISIC 351",'Cost Breakdowns'!$B$160:$B$160)))</f>
        <v>1</v>
      </c>
      <c r="AE23">
        <f>((SUMIF('Cost Breakdowns'!$D$160:$D$160,"ISIC 352T353",'Cost Breakdowns'!$B$160:$B$160)))</f>
        <v>0</v>
      </c>
      <c r="AF23">
        <f>((SUMIF('Cost Breakdowns'!$D$160:$D$160,"ISIC 36T39",'Cost Breakdowns'!$B$160:$B$160)))</f>
        <v>0</v>
      </c>
      <c r="AG23">
        <f>((SUMIF('Cost Breakdowns'!$D$160:$D$160,"ISIC 41T43",'Cost Breakdowns'!$B$160:$B$160)))</f>
        <v>0</v>
      </c>
      <c r="AH23">
        <f>((SUMIF('Cost Breakdowns'!$D$160:$D$160,"ISIC 45T47",'Cost Breakdowns'!$B$160:$B$160)))</f>
        <v>0</v>
      </c>
      <c r="AI23">
        <f>((SUMIF('Cost Breakdowns'!$D$160:$D$160,"ISIC 49T53",'Cost Breakdowns'!$B$160:$B$160)))*'Factors applied'!$E$714</f>
        <v>0</v>
      </c>
      <c r="AJ23">
        <f>((SUMIF('Cost Breakdowns'!$D$160:$D$160,"ISIC 49T53",'Cost Breakdowns'!$B$160:$B$160)))*'Factors applied'!$E$715</f>
        <v>0</v>
      </c>
      <c r="AK23">
        <f>((SUMIF('Cost Breakdowns'!$D$160:$D$160,"ISIC 49T53",'Cost Breakdowns'!$B$160:$B$160)))*'Factors applied'!$E$716</f>
        <v>0</v>
      </c>
      <c r="AL23">
        <f>((SUMIF('Cost Breakdowns'!$D$160:$D$160,"ISIC 49T53",'Cost Breakdowns'!$B$160:$B$160)))*'Factors applied'!$E$717</f>
        <v>0</v>
      </c>
      <c r="AM23">
        <f>((SUMIF('Cost Breakdowns'!$D$160:$D$160,"ISIC 49T53",'Cost Breakdowns'!$B$160:$B$160)))*'Factors applied'!$E$718</f>
        <v>0</v>
      </c>
      <c r="AN23">
        <f>((SUMIF('Cost Breakdowns'!$D$160:$D$160,"ISIC 55T56",'Cost Breakdowns'!$B$160:$B$160)))</f>
        <v>0</v>
      </c>
      <c r="AO23">
        <f>((SUMIF('Cost Breakdowns'!$D$160:$D$160,"ISIC 58T60",'Cost Breakdowns'!$B$160:$B$160)))</f>
        <v>0</v>
      </c>
      <c r="AP23">
        <f>((SUMIF('Cost Breakdowns'!$D$160:$D$160,"ISIC 61",'Cost Breakdowns'!$B$160:$B$160)))</f>
        <v>0</v>
      </c>
      <c r="AQ23">
        <f>((SUMIF('Cost Breakdowns'!$D$160:$D$160,"ISIC 62T63",'Cost Breakdowns'!$B$160:$B$160)))</f>
        <v>0</v>
      </c>
      <c r="AR23">
        <f>((SUMIF('Cost Breakdowns'!$D$160:$D$160,"ISIC 64T66",'Cost Breakdowns'!$B$160:$B$160)))</f>
        <v>0</v>
      </c>
      <c r="AS23">
        <f>((SUMIF('Cost Breakdowns'!$D$160:$D$160,"ISIC 68",'Cost Breakdowns'!$B$160:$B$160)))</f>
        <v>0</v>
      </c>
      <c r="AT23">
        <f>((SUMIF('Cost Breakdowns'!$D$160:$D$160,"ISIC 69T82",'Cost Breakdowns'!$B$160:$B$160)))*'Factors applied'!$E$719</f>
        <v>0</v>
      </c>
      <c r="AU23">
        <f>((SUMIF('Cost Breakdowns'!$D$160:$D$160,"ISIC 69T82",'Cost Breakdowns'!$B$160:$B$160)))*'Factors applied'!$E$720</f>
        <v>0</v>
      </c>
      <c r="AV23">
        <f>((SUMIF('Cost Breakdowns'!$D$160:$D$160,"ISIC 84",'Cost Breakdowns'!$B$160:$B$160)))</f>
        <v>0</v>
      </c>
      <c r="AW23">
        <f>((SUMIF('Cost Breakdowns'!$D$160:$D$160,"ISIC 85",'Cost Breakdowns'!$B$160:$B$160)))</f>
        <v>0</v>
      </c>
      <c r="AX23">
        <f>((SUMIF('Cost Breakdowns'!$D$160:$D$160,"ISIC 86T88",'Cost Breakdowns'!$B$160:$B$160)))</f>
        <v>0</v>
      </c>
      <c r="AY23">
        <f>((SUMIF('Cost Breakdowns'!$D$160:$D$160,"ISIC 90T96",'Cost Breakdowns'!$B$160:$B$160)))*'Factors applied'!$E$721</f>
        <v>0</v>
      </c>
      <c r="AZ23">
        <f>((SUMIF('Cost Breakdowns'!$D$160:$D$160,"ISIC 90T96",'Cost Breakdowns'!$B$160:$B$160)))*'Factors applied'!$E$722</f>
        <v>0</v>
      </c>
      <c r="BA23">
        <f>((SUMIF('Cost Breakdowns'!$D$160:$D$160,"ISIC 97T98",'Cost Breakdowns'!$B$160:$B$160)))</f>
        <v>0</v>
      </c>
    </row>
    <row r="24" spans="1:53" x14ac:dyDescent="0.25">
      <c r="A24" t="s">
        <v>75</v>
      </c>
      <c r="B24">
        <f>(((SUMIF('Cost Breakdowns'!$D$135:$D$137,"ISIC 01T03",'Cost Breakdowns'!$B$135:$B$137))))*'Factors applied'!$E$531</f>
        <v>0</v>
      </c>
      <c r="C24">
        <f>(((SUMIF('Cost Breakdowns'!$D$135:$D$137,"ISIC 01T03",'Cost Breakdowns'!$B$135:$B$137))))*'Factors applied'!$E$532</f>
        <v>0</v>
      </c>
      <c r="D24">
        <f>(((SUMIF('Cost Breakdowns'!$D$135:$D$137,"ISIC 01T03",'Cost Breakdowns'!$B$135:$B$137))))*'Factors applied'!$E$533</f>
        <v>0</v>
      </c>
      <c r="E24">
        <f>(((SUMIF('Cost Breakdowns'!$D$135:$D$137,"ISIC 05",'Cost Breakdowns'!$B$135:$B$137))))</f>
        <v>0</v>
      </c>
      <c r="F24">
        <f>(((SUMIF('Cost Breakdowns'!$D$135:$D$137,"ISIC 06",'Cost Breakdowns'!$B$135:$B$137))))</f>
        <v>0</v>
      </c>
      <c r="G24">
        <f>(((SUMIF('Cost Breakdowns'!$D$135:$D$137,"ISIC 07T08",'Cost Breakdowns'!$B$135:$B$137))))*'Factors applied'!$E$534</f>
        <v>0</v>
      </c>
      <c r="H24">
        <f>(((SUMIF('Cost Breakdowns'!$D$135:$D$137,"ISIC 07T08",'Cost Breakdowns'!$B$135:$B$137))))*'Factors applied'!$E$535</f>
        <v>0</v>
      </c>
      <c r="I24">
        <f>(((SUMIF('Cost Breakdowns'!$D$135:$D$137,"ISIC 09",'Cost Breakdowns'!$B$135:$B$137))))</f>
        <v>0</v>
      </c>
      <c r="J24">
        <f>(((SUMIF('Cost Breakdowns'!$D$135:$D$137,"ISIC 10T12",'Cost Breakdowns'!$B$135:$B$137))))</f>
        <v>0</v>
      </c>
      <c r="K24">
        <f>(((SUMIF('Cost Breakdowns'!$D$135:$D$137,"ISIC 13T15",'Cost Breakdowns'!$B$135:$B$137))))</f>
        <v>0</v>
      </c>
      <c r="L24">
        <f>(((SUMIF('Cost Breakdowns'!$D$135:$D$137,"ISIC 16",'Cost Breakdowns'!$B$135:$B$137))))</f>
        <v>0</v>
      </c>
      <c r="M24">
        <f>(((SUMIF('Cost Breakdowns'!$D$135:$D$137,"ISIC 17T18",'Cost Breakdowns'!$B$135:$B$137))))</f>
        <v>0</v>
      </c>
      <c r="N24">
        <f>(((SUMIF('Cost Breakdowns'!$D$135:$D$137,"ISIC 19",'Cost Breakdowns'!$B$135:$B$137))))</f>
        <v>0</v>
      </c>
      <c r="O24">
        <f>(((SUMIF('Cost Breakdowns'!$D$135:$D$137,"ISIC 20",'Cost Breakdowns'!$B$135:$B$137))))</f>
        <v>0</v>
      </c>
      <c r="P24">
        <f>(((SUMIF('Cost Breakdowns'!$D$135:$D$137,"ISIC 21",'Cost Breakdowns'!$B$135:$B$137))))</f>
        <v>0</v>
      </c>
      <c r="Q24">
        <f>(((SUMIF('Cost Breakdowns'!$D$135:$D$137,"ISIC 22",'Cost Breakdowns'!$B$135:$B$137))))</f>
        <v>0</v>
      </c>
      <c r="R24">
        <f>(((SUMIF('Cost Breakdowns'!$D$135:$D$137,"ISIC 231",'Cost Breakdowns'!$B$135:$B$137))))</f>
        <v>0</v>
      </c>
      <c r="S24">
        <f>(((SUMIF('Cost Breakdowns'!$D$135:$D$137,"ISIC 239",'Cost Breakdowns'!$B$135:$B$137))))</f>
        <v>0</v>
      </c>
      <c r="T24">
        <f>(((SUMIF('Cost Breakdowns'!$D$135:$D$137,"ISIC 241",'Cost Breakdowns'!$B$135:$B$137))))</f>
        <v>0</v>
      </c>
      <c r="U24">
        <f>(((SUMIF('Cost Breakdowns'!$D$135:$D$137,"ISIC 242",'Cost Breakdowns'!$B$135:$B$137))))</f>
        <v>0</v>
      </c>
      <c r="V24">
        <f>(((SUMIF('Cost Breakdowns'!$D$135:$D$137,"ISIC 25",'Cost Breakdowns'!$B$135:$B$137))))</f>
        <v>0</v>
      </c>
      <c r="W24">
        <f>(((SUMIF('Cost Breakdowns'!$D$135:$D$137,"ISIC 26",'Cost Breakdowns'!$B$135:$B$137))))</f>
        <v>0</v>
      </c>
      <c r="X24">
        <f>(((SUMIF('Cost Breakdowns'!$D$135:$D$137,"ISIC 27",'Cost Breakdowns'!$B$135:$B$137))))</f>
        <v>0</v>
      </c>
      <c r="Y24">
        <f>(((SUMIF('Cost Breakdowns'!$D$135:$D$137,"ISIC 28",'Cost Breakdowns'!$B$135:$B$137))))</f>
        <v>6.0604166666666653E-2</v>
      </c>
      <c r="Z24">
        <f>(((SUMIF('Cost Breakdowns'!$D$135:$D$137,"ISIC 29",'Cost Breakdowns'!$B$135:$B$137))))</f>
        <v>0</v>
      </c>
      <c r="AA24">
        <f>(((SUMIF('Cost Breakdowns'!$D$135:$D$137,"ISIC 30",'Cost Breakdowns'!$B$135:$B$137))))*'Factors applied'!$E$536</f>
        <v>0</v>
      </c>
      <c r="AB24">
        <f>(((SUMIF('Cost Breakdowns'!$D$135:$D$137,"ISIC 30",'Cost Breakdowns'!$B$135:$B$137))))*'Factors applied'!$E$537</f>
        <v>0</v>
      </c>
      <c r="AC24">
        <f>(((SUMIF('Cost Breakdowns'!$D$135:$D$137,"ISIC 31T33",'Cost Breakdowns'!$B$135:$B$137))))</f>
        <v>0</v>
      </c>
      <c r="AD24">
        <f>(((SUMIF('Cost Breakdowns'!$D$135:$D$137,"ISIC 351",'Cost Breakdowns'!$B$135:$B$137))))</f>
        <v>0.41820000000000018</v>
      </c>
      <c r="AE24">
        <f>(((SUMIF('Cost Breakdowns'!$D$135:$D$137,"ISIC 352T353",'Cost Breakdowns'!$B$135:$B$137))))</f>
        <v>0</v>
      </c>
      <c r="AF24">
        <f>(((SUMIF('Cost Breakdowns'!$D$135:$D$137,"ISIC 36T39",'Cost Breakdowns'!$B$135:$B$137))))</f>
        <v>0</v>
      </c>
      <c r="AG24">
        <f>(((SUMIF('Cost Breakdowns'!$D$135:$D$137,"ISIC 41T43",'Cost Breakdowns'!$B$135:$B$137))))</f>
        <v>0</v>
      </c>
      <c r="AH24">
        <f>(((SUMIF('Cost Breakdowns'!$D$135:$D$137,"ISIC 45T47",'Cost Breakdowns'!$B$135:$B$137))))</f>
        <v>0</v>
      </c>
      <c r="AI24">
        <f>(((SUMIF('Cost Breakdowns'!$D$135:$D$137,"ISIC 49T53",'Cost Breakdowns'!$B$135:$B$137))))*'Factors applied'!$E$538</f>
        <v>0</v>
      </c>
      <c r="AJ24">
        <f>(((SUMIF('Cost Breakdowns'!$D$135:$D$137,"ISIC 49T53",'Cost Breakdowns'!$B$135:$B$137))))*'Factors applied'!$E$539</f>
        <v>0</v>
      </c>
      <c r="AK24">
        <f>(((SUMIF('Cost Breakdowns'!$D$135:$D$137,"ISIC 49T53",'Cost Breakdowns'!$B$135:$B$137))))*'Factors applied'!$E$540</f>
        <v>0</v>
      </c>
      <c r="AL24">
        <f>(((SUMIF('Cost Breakdowns'!$D$135:$D$137,"ISIC 49T53",'Cost Breakdowns'!$B$135:$B$137))))*'Factors applied'!$E$541</f>
        <v>0</v>
      </c>
      <c r="AM24">
        <f>(((SUMIF('Cost Breakdowns'!$D$135:$D$137,"ISIC 49T53",'Cost Breakdowns'!$B$135:$B$137))))*'Factors applied'!$E$542</f>
        <v>0</v>
      </c>
      <c r="AN24">
        <f>(((SUMIF('Cost Breakdowns'!$D$135:$D$137,"ISIC 55T56",'Cost Breakdowns'!$B$135:$B$137))))</f>
        <v>0</v>
      </c>
      <c r="AO24">
        <f>(((SUMIF('Cost Breakdowns'!$D$135:$D$137,"ISIC 58T60",'Cost Breakdowns'!$B$135:$B$137))))</f>
        <v>0</v>
      </c>
      <c r="AP24">
        <f>(((SUMIF('Cost Breakdowns'!$D$135:$D$137,"ISIC 61",'Cost Breakdowns'!$B$135:$B$137))))</f>
        <v>0</v>
      </c>
      <c r="AQ24">
        <f>(((SUMIF('Cost Breakdowns'!$D$135:$D$137,"ISIC 62T63",'Cost Breakdowns'!$B$135:$B$137))))</f>
        <v>0</v>
      </c>
      <c r="AR24">
        <f>(((SUMIF('Cost Breakdowns'!$D$135:$D$137,"ISIC 64T66",'Cost Breakdowns'!$B$135:$B$137))))</f>
        <v>0</v>
      </c>
      <c r="AS24">
        <f>(((SUMIF('Cost Breakdowns'!$D$135:$D$137,"ISIC 68",'Cost Breakdowns'!$B$135:$B$137))))</f>
        <v>0</v>
      </c>
      <c r="AT24">
        <f>(((SUMIF('Cost Breakdowns'!$D$135:$D$137,"ISIC 69T82",'Cost Breakdowns'!$B$135:$B$137))))*'Factors applied'!$E$543</f>
        <v>0.52119583333333308</v>
      </c>
      <c r="AU24">
        <f>(((SUMIF('Cost Breakdowns'!$D$135:$D$137,"ISIC 69T82",'Cost Breakdowns'!$B$135:$B$137))))*'Factors applied'!$E$544</f>
        <v>0</v>
      </c>
      <c r="AV24">
        <f>(((SUMIF('Cost Breakdowns'!$D$135:$D$137,"ISIC 84",'Cost Breakdowns'!$B$135:$B$137))))</f>
        <v>0</v>
      </c>
      <c r="AW24">
        <f>(((SUMIF('Cost Breakdowns'!$D$135:$D$137,"ISIC 85",'Cost Breakdowns'!$B$135:$B$137))))</f>
        <v>0</v>
      </c>
      <c r="AX24">
        <f>(((SUMIF('Cost Breakdowns'!$D$135:$D$137,"ISIC 86T88",'Cost Breakdowns'!$B$135:$B$137))))</f>
        <v>0</v>
      </c>
      <c r="AY24">
        <f>(((SUMIF('Cost Breakdowns'!$D$135:$D$137,"ISIC 90T96",'Cost Breakdowns'!$B$135:$B$137))))*'Factors applied'!$E$545</f>
        <v>0</v>
      </c>
      <c r="AZ24">
        <f>(((SUMIF('Cost Breakdowns'!$D$135:$D$137,"ISIC 90T96",'Cost Breakdowns'!$B$135:$B$137))))*'Factors applied'!$E$546</f>
        <v>0</v>
      </c>
      <c r="BA24">
        <f>(((SUMIF('Cost Breakdowns'!$D$135:$D$137,"ISIC 97T98",'Cost Breakdowns'!$B$135:$B$137))))</f>
        <v>0</v>
      </c>
    </row>
    <row r="25" spans="1:53" x14ac:dyDescent="0.25">
      <c r="A25" t="s">
        <v>76</v>
      </c>
      <c r="B25">
        <f>(((SUMIF('Cost Breakdowns'!$D$135:$D$137,"ISIC 01T03",'Cost Breakdowns'!$B$135:$B$137))))*'Factors applied'!$E$515</f>
        <v>0</v>
      </c>
      <c r="C25">
        <f>(((SUMIF('Cost Breakdowns'!$D$135:$D$137,"ISIC 01T03",'Cost Breakdowns'!$B$135:$B$137))))*'Factors applied'!$E$516</f>
        <v>0</v>
      </c>
      <c r="D25">
        <f>(((SUMIF('Cost Breakdowns'!$D$135:$D$137,"ISIC 01T03",'Cost Breakdowns'!$B$135:$B$137))))*'Factors applied'!$E$517</f>
        <v>0</v>
      </c>
      <c r="E25">
        <f>(((SUMIF('Cost Breakdowns'!$D$135:$D$137,"ISIC 05",'Cost Breakdowns'!$B$135:$B$137))))</f>
        <v>0</v>
      </c>
      <c r="F25">
        <f>(((SUMIF('Cost Breakdowns'!$D$135:$D$137,"ISIC 06",'Cost Breakdowns'!$B$135:$B$137))))</f>
        <v>0</v>
      </c>
      <c r="G25">
        <f>(((SUMIF('Cost Breakdowns'!$D$135:$D$137,"ISIC 07T08",'Cost Breakdowns'!$B$135:$B$137))))*'Factors applied'!$E$518</f>
        <v>0</v>
      </c>
      <c r="H25">
        <f>(((SUMIF('Cost Breakdowns'!$D$135:$D$137,"ISIC 07T08",'Cost Breakdowns'!$B$135:$B$137))))*'Factors applied'!$E$519</f>
        <v>0</v>
      </c>
      <c r="I25">
        <f>(((SUMIF('Cost Breakdowns'!$D$135:$D$137,"ISIC 09",'Cost Breakdowns'!$B$135:$B$137))))</f>
        <v>0</v>
      </c>
      <c r="J25">
        <f>(((SUMIF('Cost Breakdowns'!$D$135:$D$137,"ISIC 10T12",'Cost Breakdowns'!$B$135:$B$137))))</f>
        <v>0</v>
      </c>
      <c r="K25">
        <f>(((SUMIF('Cost Breakdowns'!$D$135:$D$137,"ISIC 13T15",'Cost Breakdowns'!$B$135:$B$137))))</f>
        <v>0</v>
      </c>
      <c r="L25">
        <f>(((SUMIF('Cost Breakdowns'!$D$135:$D$137,"ISIC 16",'Cost Breakdowns'!$B$135:$B$137))))</f>
        <v>0</v>
      </c>
      <c r="M25">
        <f>(((SUMIF('Cost Breakdowns'!$D$135:$D$137,"ISIC 17T18",'Cost Breakdowns'!$B$135:$B$137))))</f>
        <v>0</v>
      </c>
      <c r="N25">
        <f>(((SUMIF('Cost Breakdowns'!$D$135:$D$137,"ISIC 19",'Cost Breakdowns'!$B$135:$B$137))))</f>
        <v>0</v>
      </c>
      <c r="O25">
        <f>(((SUMIF('Cost Breakdowns'!$D$135:$D$137,"ISIC 20",'Cost Breakdowns'!$B$135:$B$137))))</f>
        <v>0</v>
      </c>
      <c r="P25">
        <f>(((SUMIF('Cost Breakdowns'!$D$135:$D$137,"ISIC 21",'Cost Breakdowns'!$B$135:$B$137))))</f>
        <v>0</v>
      </c>
      <c r="Q25">
        <f>(((SUMIF('Cost Breakdowns'!$D$135:$D$137,"ISIC 22",'Cost Breakdowns'!$B$135:$B$137))))</f>
        <v>0</v>
      </c>
      <c r="R25">
        <f>(((SUMIF('Cost Breakdowns'!$D$135:$D$137,"ISIC 231",'Cost Breakdowns'!$B$135:$B$137))))</f>
        <v>0</v>
      </c>
      <c r="S25">
        <f>(((SUMIF('Cost Breakdowns'!$D$135:$D$137,"ISIC 239",'Cost Breakdowns'!$B$135:$B$137))))</f>
        <v>0</v>
      </c>
      <c r="T25">
        <f>(((SUMIF('Cost Breakdowns'!$D$135:$D$137,"ISIC 241",'Cost Breakdowns'!$B$135:$B$137))))</f>
        <v>0</v>
      </c>
      <c r="U25">
        <f>(((SUMIF('Cost Breakdowns'!$D$135:$D$137,"ISIC 242",'Cost Breakdowns'!$B$135:$B$137))))</f>
        <v>0</v>
      </c>
      <c r="V25">
        <f>(((SUMIF('Cost Breakdowns'!$D$135:$D$137,"ISIC 25",'Cost Breakdowns'!$B$135:$B$137))))</f>
        <v>0</v>
      </c>
      <c r="W25">
        <f>(((SUMIF('Cost Breakdowns'!$D$135:$D$137,"ISIC 26",'Cost Breakdowns'!$B$135:$B$137))))</f>
        <v>0</v>
      </c>
      <c r="X25">
        <f>(((SUMIF('Cost Breakdowns'!$D$135:$D$137,"ISIC 27",'Cost Breakdowns'!$B$135:$B$137))))</f>
        <v>0</v>
      </c>
      <c r="Y25">
        <f>(((SUMIF('Cost Breakdowns'!$D$135:$D$137,"ISIC 28",'Cost Breakdowns'!$B$135:$B$137))))</f>
        <v>6.0604166666666653E-2</v>
      </c>
      <c r="Z25">
        <f>(((SUMIF('Cost Breakdowns'!$D$135:$D$137,"ISIC 29",'Cost Breakdowns'!$B$135:$B$137))))</f>
        <v>0</v>
      </c>
      <c r="AA25">
        <f>(((SUMIF('Cost Breakdowns'!$D$135:$D$137,"ISIC 30",'Cost Breakdowns'!$B$135:$B$137))))*'Factors applied'!$E$520</f>
        <v>0</v>
      </c>
      <c r="AB25">
        <f>(((SUMIF('Cost Breakdowns'!$D$135:$D$137,"ISIC 30",'Cost Breakdowns'!$B$135:$B$137))))*'Factors applied'!$E$521</f>
        <v>0</v>
      </c>
      <c r="AC25">
        <f>(((SUMIF('Cost Breakdowns'!$D$135:$D$137,"ISIC 31T33",'Cost Breakdowns'!$B$135:$B$137))))</f>
        <v>0</v>
      </c>
      <c r="AD25">
        <f>(((SUMIF('Cost Breakdowns'!$D$135:$D$137,"ISIC 351",'Cost Breakdowns'!$B$135:$B$137))))</f>
        <v>0.41820000000000018</v>
      </c>
      <c r="AE25">
        <f>(((SUMIF('Cost Breakdowns'!$D$135:$D$137,"ISIC 352T353",'Cost Breakdowns'!$B$135:$B$137))))</f>
        <v>0</v>
      </c>
      <c r="AF25">
        <f>(((SUMIF('Cost Breakdowns'!$D$135:$D$137,"ISIC 36T39",'Cost Breakdowns'!$B$135:$B$137))))</f>
        <v>0</v>
      </c>
      <c r="AG25">
        <f>(((SUMIF('Cost Breakdowns'!$D$135:$D$137,"ISIC 41T43",'Cost Breakdowns'!$B$135:$B$137))))</f>
        <v>0</v>
      </c>
      <c r="AH25">
        <f>(((SUMIF('Cost Breakdowns'!$D$135:$D$137,"ISIC 45T47",'Cost Breakdowns'!$B$135:$B$137))))</f>
        <v>0</v>
      </c>
      <c r="AI25">
        <f>(((SUMIF('Cost Breakdowns'!$D$135:$D$137,"ISIC 49T53",'Cost Breakdowns'!$B$135:$B$137))))*'Factors applied'!$E$522</f>
        <v>0</v>
      </c>
      <c r="AJ25">
        <f>(((SUMIF('Cost Breakdowns'!$D$135:$D$137,"ISIC 49T53",'Cost Breakdowns'!$B$135:$B$137))))*'Factors applied'!$E$523</f>
        <v>0</v>
      </c>
      <c r="AK25">
        <f>(((SUMIF('Cost Breakdowns'!$D$135:$D$137,"ISIC 49T53",'Cost Breakdowns'!$B$135:$B$137))))*'Factors applied'!$E$524</f>
        <v>0</v>
      </c>
      <c r="AL25">
        <f>(((SUMIF('Cost Breakdowns'!$D$135:$D$137,"ISIC 49T53",'Cost Breakdowns'!$B$135:$B$137))))*'Factors applied'!$E$525</f>
        <v>0</v>
      </c>
      <c r="AM25">
        <f>(((SUMIF('Cost Breakdowns'!$D$135:$D$137,"ISIC 49T53",'Cost Breakdowns'!$B$135:$B$137))))*'Factors applied'!$E$526</f>
        <v>0</v>
      </c>
      <c r="AN25">
        <f>(((SUMIF('Cost Breakdowns'!$D$135:$D$137,"ISIC 55T56",'Cost Breakdowns'!$B$135:$B$137))))</f>
        <v>0</v>
      </c>
      <c r="AO25">
        <f>(((SUMIF('Cost Breakdowns'!$D$135:$D$137,"ISIC 58T60",'Cost Breakdowns'!$B$135:$B$137))))</f>
        <v>0</v>
      </c>
      <c r="AP25">
        <f>(((SUMIF('Cost Breakdowns'!$D$135:$D$137,"ISIC 61",'Cost Breakdowns'!$B$135:$B$137))))</f>
        <v>0</v>
      </c>
      <c r="AQ25">
        <f>(((SUMIF('Cost Breakdowns'!$D$135:$D$137,"ISIC 62T63",'Cost Breakdowns'!$B$135:$B$137))))</f>
        <v>0</v>
      </c>
      <c r="AR25">
        <f>(((SUMIF('Cost Breakdowns'!$D$135:$D$137,"ISIC 64T66",'Cost Breakdowns'!$B$135:$B$137))))</f>
        <v>0</v>
      </c>
      <c r="AS25">
        <f>(((SUMIF('Cost Breakdowns'!$D$135:$D$137,"ISIC 68",'Cost Breakdowns'!$B$135:$B$137))))</f>
        <v>0</v>
      </c>
      <c r="AT25">
        <f>(((SUMIF('Cost Breakdowns'!$D$135:$D$137,"ISIC 69T82",'Cost Breakdowns'!$B$135:$B$137))))*'Factors applied'!$E$527</f>
        <v>0.52119583333333308</v>
      </c>
      <c r="AU25">
        <f>(((SUMIF('Cost Breakdowns'!$D$135:$D$137,"ISIC 69T82",'Cost Breakdowns'!$B$135:$B$137))))*'Factors applied'!$E$528</f>
        <v>0</v>
      </c>
      <c r="AV25">
        <f>(((SUMIF('Cost Breakdowns'!$D$135:$D$137,"ISIC 84",'Cost Breakdowns'!$B$135:$B$137))))</f>
        <v>0</v>
      </c>
      <c r="AW25">
        <f>(((SUMIF('Cost Breakdowns'!$D$135:$D$137,"ISIC 85",'Cost Breakdowns'!$B$135:$B$137))))</f>
        <v>0</v>
      </c>
      <c r="AX25">
        <f>(((SUMIF('Cost Breakdowns'!$D$135:$D$137,"ISIC 86T88",'Cost Breakdowns'!$B$135:$B$137))))</f>
        <v>0</v>
      </c>
      <c r="AY25">
        <f>(((SUMIF('Cost Breakdowns'!$D$135:$D$137,"ISIC 90T96",'Cost Breakdowns'!$B$135:$B$137))))*'Factors applied'!$E$529</f>
        <v>0</v>
      </c>
      <c r="AZ25">
        <f>(((SUMIF('Cost Breakdowns'!$D$135:$D$137,"ISIC 90T96",'Cost Breakdowns'!$B$135:$B$137))))*'Factors applied'!$E$530</f>
        <v>0</v>
      </c>
      <c r="BA25">
        <f>(((SUMIF('Cost Breakdowns'!$D$135:$D$137,"ISIC 97T98",'Cost Breakdowns'!$B$135:$B$137))))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3864"/>
  </sheetPr>
  <dimension ref="A1:BA25"/>
  <sheetViews>
    <sheetView tabSelected="1" workbookViewId="0">
      <selection activeCell="B25" sqref="B25:AQ25"/>
    </sheetView>
  </sheetViews>
  <sheetFormatPr defaultRowHeight="15" x14ac:dyDescent="0.25"/>
  <cols>
    <col min="1" max="1" width="27.42578125" customWidth="1"/>
    <col min="2" max="2" width="10.5703125" bestFit="1" customWidth="1"/>
    <col min="3" max="3" width="9.7109375" bestFit="1" customWidth="1"/>
    <col min="4" max="4" width="9.7109375" customWidth="1"/>
    <col min="5" max="5" width="9.7109375" bestFit="1" customWidth="1"/>
    <col min="6" max="6" width="6.7109375" bestFit="1" customWidth="1"/>
    <col min="7" max="8" width="9.7109375" bestFit="1" customWidth="1"/>
    <col min="9" max="9" width="6.7109375" bestFit="1" customWidth="1"/>
    <col min="10" max="10" width="9.7109375" bestFit="1" customWidth="1"/>
    <col min="11" max="11" width="6.7109375" bestFit="1" customWidth="1"/>
    <col min="12" max="12" width="9.7109375" bestFit="1" customWidth="1"/>
    <col min="13" max="24" width="8.28515625" customWidth="1"/>
    <col min="25" max="26" width="9.7109375" bestFit="1" customWidth="1"/>
    <col min="27" max="28" width="9.7109375" customWidth="1"/>
    <col min="29" max="33" width="9.7109375" bestFit="1" customWidth="1"/>
    <col min="34" max="34" width="6.7109375" bestFit="1" customWidth="1"/>
    <col min="35" max="36" width="9.7109375" bestFit="1" customWidth="1"/>
    <col min="37" max="37" width="6.7109375" bestFit="1" customWidth="1"/>
    <col min="38" max="38" width="9.7109375" bestFit="1" customWidth="1"/>
    <col min="39" max="40" width="6.7109375" bestFit="1" customWidth="1"/>
    <col min="41" max="43" width="9.7109375" bestFit="1" customWidth="1"/>
  </cols>
  <sheetData>
    <row r="1" spans="1:53" x14ac:dyDescent="0.25">
      <c r="A1" s="124" t="s">
        <v>0</v>
      </c>
      <c r="B1" s="123" t="s">
        <v>1</v>
      </c>
      <c r="C1" s="123" t="s">
        <v>2</v>
      </c>
      <c r="D1" s="123" t="s">
        <v>3</v>
      </c>
      <c r="E1" s="123" t="s">
        <v>4</v>
      </c>
      <c r="F1" s="123" t="s">
        <v>5</v>
      </c>
      <c r="G1" s="123" t="s">
        <v>6</v>
      </c>
      <c r="H1" s="123" t="s">
        <v>7</v>
      </c>
      <c r="I1" s="123" t="s">
        <v>8</v>
      </c>
      <c r="J1" s="123" t="s">
        <v>9</v>
      </c>
      <c r="K1" s="123" t="s">
        <v>10</v>
      </c>
      <c r="L1" s="123" t="s">
        <v>11</v>
      </c>
      <c r="M1" s="123" t="s">
        <v>12</v>
      </c>
      <c r="N1" s="123" t="s">
        <v>13</v>
      </c>
      <c r="O1" s="123" t="s">
        <v>14</v>
      </c>
      <c r="P1" s="123" t="s">
        <v>15</v>
      </c>
      <c r="Q1" s="123" t="s">
        <v>16</v>
      </c>
      <c r="R1" s="123" t="s">
        <v>17</v>
      </c>
      <c r="S1" s="123" t="s">
        <v>18</v>
      </c>
      <c r="T1" s="123" t="s">
        <v>19</v>
      </c>
      <c r="U1" s="123" t="s">
        <v>20</v>
      </c>
      <c r="V1" s="123" t="s">
        <v>21</v>
      </c>
      <c r="W1" s="123" t="s">
        <v>22</v>
      </c>
      <c r="X1" s="123" t="s">
        <v>23</v>
      </c>
      <c r="Y1" s="123" t="s">
        <v>24</v>
      </c>
      <c r="Z1" s="123" t="s">
        <v>25</v>
      </c>
      <c r="AA1" s="123" t="s">
        <v>26</v>
      </c>
      <c r="AB1" s="123" t="s">
        <v>27</v>
      </c>
      <c r="AC1" s="123" t="s">
        <v>28</v>
      </c>
      <c r="AD1" s="123" t="s">
        <v>29</v>
      </c>
      <c r="AE1" s="123" t="s">
        <v>30</v>
      </c>
      <c r="AF1" s="123" t="s">
        <v>31</v>
      </c>
      <c r="AG1" s="123" t="s">
        <v>32</v>
      </c>
      <c r="AH1" s="123" t="s">
        <v>33</v>
      </c>
      <c r="AI1" s="123" t="s">
        <v>34</v>
      </c>
      <c r="AJ1" s="123" t="s">
        <v>35</v>
      </c>
      <c r="AK1" s="123" t="s">
        <v>36</v>
      </c>
      <c r="AL1" s="123" t="s">
        <v>37</v>
      </c>
      <c r="AM1" s="123" t="s">
        <v>38</v>
      </c>
      <c r="AN1" s="123" t="s">
        <v>39</v>
      </c>
      <c r="AO1" s="123" t="s">
        <v>40</v>
      </c>
      <c r="AP1" s="123" t="s">
        <v>41</v>
      </c>
      <c r="AQ1" s="123" t="s">
        <v>42</v>
      </c>
      <c r="AR1" s="123" t="s">
        <v>43</v>
      </c>
      <c r="AS1" s="123" t="s">
        <v>44</v>
      </c>
      <c r="AT1" s="123" t="s">
        <v>45</v>
      </c>
      <c r="AU1" s="123" t="s">
        <v>46</v>
      </c>
      <c r="AV1" s="123" t="s">
        <v>47</v>
      </c>
      <c r="AW1" s="123" t="s">
        <v>48</v>
      </c>
      <c r="AX1" s="123" t="s">
        <v>49</v>
      </c>
      <c r="AY1" s="123" t="s">
        <v>50</v>
      </c>
      <c r="AZ1" s="123" t="s">
        <v>51</v>
      </c>
      <c r="BA1" s="123" t="s">
        <v>52</v>
      </c>
    </row>
    <row r="2" spans="1:53" x14ac:dyDescent="0.25">
      <c r="A2" t="s">
        <v>53</v>
      </c>
      <c r="B2">
        <f>(SUMIF('Cost Breakdowns'!$D$105:$D$107,"ISIC 01T03",'Cost Breakdowns'!$B$105:$B$107))*'Factors applied'!$E$835</f>
        <v>0</v>
      </c>
      <c r="C2">
        <f>(SUMIF('Cost Breakdowns'!$D$105:$D$107,"ISIC 01T03",'Cost Breakdowns'!$B$105:$B$107))*'Factors applied'!$E$836</f>
        <v>0</v>
      </c>
      <c r="D2">
        <f>(SUMIF('Cost Breakdowns'!$D$105:$D$107,"ISIC 01T03",'Cost Breakdowns'!$B$105:$B$107))*'Factors applied'!$E$837</f>
        <v>0</v>
      </c>
      <c r="E2">
        <f>(SUMIF('Cost Breakdowns'!$D$105:$D$107,"ISIC 05",'Cost Breakdowns'!$B$105:$B$107))</f>
        <v>0</v>
      </c>
      <c r="F2">
        <f>(SUMIF('Cost Breakdowns'!$D$105:$D$107,"ISIC 06",'Cost Breakdowns'!$B$105:$B$107))</f>
        <v>0</v>
      </c>
      <c r="G2">
        <f>(SUMIF('Cost Breakdowns'!$D$105:$D$107,"ISIC 07T08",'Cost Breakdowns'!$B$105:$B$107))*'Factors applied'!$E$838</f>
        <v>0</v>
      </c>
      <c r="H2">
        <f>(SUMIF('Cost Breakdowns'!$D$105:$D$107,"ISIC 07T08",'Cost Breakdowns'!$B$105:$B$107))*'Factors applied'!$E$839</f>
        <v>0</v>
      </c>
      <c r="I2">
        <f>(SUMIF('Cost Breakdowns'!$D$105:$D$107,"ISIC 09",'Cost Breakdowns'!$B$105:$B$107))</f>
        <v>0</v>
      </c>
      <c r="J2">
        <f>(SUMIF('Cost Breakdowns'!$D$105:$D$107,"ISIC 10T12",'Cost Breakdowns'!$B$105:$B$107))</f>
        <v>0</v>
      </c>
      <c r="K2">
        <f>(SUMIF('Cost Breakdowns'!$D$105:$D$107,"ISIC 13T15",'Cost Breakdowns'!$B$105:$B$107))</f>
        <v>0</v>
      </c>
      <c r="L2">
        <f>(SUMIF('Cost Breakdowns'!$D$105:$D$107,"ISIC 16",'Cost Breakdowns'!$B$105:$B$107))</f>
        <v>0</v>
      </c>
      <c r="M2">
        <f>(SUMIF('Cost Breakdowns'!$D$105:$D$107,"ISIC 17T18",'Cost Breakdowns'!$B$105:$B$107))</f>
        <v>0</v>
      </c>
      <c r="N2">
        <f>(SUMIF('Cost Breakdowns'!$D$105:$D$107,"ISIC 19",'Cost Breakdowns'!$B$105:$B$107))</f>
        <v>0</v>
      </c>
      <c r="O2">
        <f>(SUMIF('Cost Breakdowns'!$D$105:$D$107,"ISIC 20",'Cost Breakdowns'!$B$105:$B$107))</f>
        <v>0.16393442622950821</v>
      </c>
      <c r="P2">
        <f>(SUMIF('Cost Breakdowns'!$D$105:$D$107,"ISIC 21",'Cost Breakdowns'!$B$105:$B$107))</f>
        <v>0</v>
      </c>
      <c r="Q2">
        <f>(SUMIF('Cost Breakdowns'!$D$105:$D$107,"ISIC 22",'Cost Breakdowns'!$B$105:$B$107))</f>
        <v>0</v>
      </c>
      <c r="R2">
        <f>(SUMIF('Cost Breakdowns'!$D$105:$D$107,"ISIC 231",'Cost Breakdowns'!$B$105:$B$107))</f>
        <v>0</v>
      </c>
      <c r="S2">
        <f>(SUMIF('Cost Breakdowns'!$D$105:$D$107,"ISIC 239",'Cost Breakdowns'!$B$105:$B$107))</f>
        <v>0</v>
      </c>
      <c r="T2">
        <f>(SUMIF('Cost Breakdowns'!$D$105:$D$107,"ISIC 241",'Cost Breakdowns'!$B$105:$B$107))</f>
        <v>0</v>
      </c>
      <c r="U2">
        <f>(SUMIF('Cost Breakdowns'!$D$105:$D$107,"ISIC 242",'Cost Breakdowns'!$B$105:$B$107))</f>
        <v>0</v>
      </c>
      <c r="V2">
        <f>(SUMIF('Cost Breakdowns'!$D$105:$D$107,"ISIC 25",'Cost Breakdowns'!$B$105:$B$107))</f>
        <v>0</v>
      </c>
      <c r="W2">
        <f>(SUMIF('Cost Breakdowns'!$D$105:$D$107,"ISIC 26",'Cost Breakdowns'!$B$105:$B$107))</f>
        <v>0</v>
      </c>
      <c r="X2">
        <f>(SUMIF('Cost Breakdowns'!$D$105:$D$107,"ISIC 27",'Cost Breakdowns'!$B$105:$B$107))</f>
        <v>0</v>
      </c>
      <c r="Y2">
        <f>(SUMIF('Cost Breakdowns'!$D$105:$D$107,"ISIC 28",'Cost Breakdowns'!$B$105:$B$107))</f>
        <v>0</v>
      </c>
      <c r="Z2">
        <f>(SUMIF('Cost Breakdowns'!$D$105:$D$107,"ISIC 29",'Cost Breakdowns'!$B$105:$B$107))</f>
        <v>0</v>
      </c>
      <c r="AA2">
        <f>(SUMIF('Cost Breakdowns'!$D$105:$D$107,"ISIC 30",'Cost Breakdowns'!$B$105:$B$107))*'Factors applied'!$E$840</f>
        <v>0</v>
      </c>
      <c r="AB2">
        <f>(SUMIF('Cost Breakdowns'!$D$105:$D$107,"ISIC 30",'Cost Breakdowns'!$B$105:$B$107))*'Factors applied'!$E$841</f>
        <v>0</v>
      </c>
      <c r="AC2">
        <f>(SUMIF('Cost Breakdowns'!$D$105:$D$107,"ISIC 31T33",'Cost Breakdowns'!$B$105:$B$107))</f>
        <v>0</v>
      </c>
      <c r="AD2">
        <f>(SUMIF('Cost Breakdowns'!$D$105:$D$107,"ISIC 351",'Cost Breakdowns'!$B$105:$B$107))</f>
        <v>0</v>
      </c>
      <c r="AE2">
        <f>(SUMIF('Cost Breakdowns'!$D$105:$D$107,"ISIC 352T353",'Cost Breakdowns'!$B$105:$B$107))</f>
        <v>0</v>
      </c>
      <c r="AF2">
        <f>(SUMIF('Cost Breakdowns'!$D$105:$D$107,"ISIC 36T39",'Cost Breakdowns'!$B$105:$B$107))</f>
        <v>0.76502732240437155</v>
      </c>
      <c r="AG2">
        <f>(SUMIF('Cost Breakdowns'!$D$105:$D$107,"ISIC 41T43",'Cost Breakdowns'!$B$105:$B$107))</f>
        <v>0</v>
      </c>
      <c r="AH2">
        <f>(SUMIF('Cost Breakdowns'!$D$105:$D$107,"ISIC 45T47",'Cost Breakdowns'!$B$105:$B$107))</f>
        <v>0</v>
      </c>
      <c r="AI2">
        <f>(SUMIF('Cost Breakdowns'!$D$105:$D$107,"ISIC 49T53",'Cost Breakdowns'!$B$105:$B$107))*'Factors applied'!$E$842</f>
        <v>0</v>
      </c>
      <c r="AJ2">
        <f>(SUMIF('Cost Breakdowns'!$D$105:$D$107,"ISIC 49T53",'Cost Breakdowns'!$B$105:$B$107))*'Factors applied'!$E$843</f>
        <v>0</v>
      </c>
      <c r="AK2">
        <f>(SUMIF('Cost Breakdowns'!$D$105:$D$107,"ISIC 49T53",'Cost Breakdowns'!$B$105:$B$107))*'Factors applied'!$E$844</f>
        <v>0</v>
      </c>
      <c r="AL2">
        <f>(SUMIF('Cost Breakdowns'!$D$105:$D$107,"ISIC 49T53",'Cost Breakdowns'!$B$105:$B$107))*'Factors applied'!$E$845</f>
        <v>0</v>
      </c>
      <c r="AM2">
        <f>(SUMIF('Cost Breakdowns'!$D$105:$D$107,"ISIC 49T53",'Cost Breakdowns'!$B$105:$B$107))*'Factors applied'!$E$846</f>
        <v>0</v>
      </c>
      <c r="AN2">
        <f>(SUMIF('Cost Breakdowns'!$D$105:$D$107,"ISIC 55T56",'Cost Breakdowns'!$B$105:$B$107))</f>
        <v>0</v>
      </c>
      <c r="AO2">
        <f>(SUMIF('Cost Breakdowns'!$D$105:$D$107,"ISIC 58T60",'Cost Breakdowns'!$B$105:$B$107))</f>
        <v>0</v>
      </c>
      <c r="AP2">
        <f>(SUMIF('Cost Breakdowns'!$D$105:$D$107,"ISIC 61",'Cost Breakdowns'!$B$105:$B$107))</f>
        <v>0</v>
      </c>
      <c r="AQ2">
        <f>(SUMIF('Cost Breakdowns'!$D$105:$D$107,"ISIC 62T63",'Cost Breakdowns'!$B$105:$B$107))</f>
        <v>0</v>
      </c>
      <c r="AR2">
        <f>(SUMIF('Cost Breakdowns'!$D$105:$D$107,"ISIC 64T66",'Cost Breakdowns'!$B$105:$B$107))</f>
        <v>0</v>
      </c>
      <c r="AS2">
        <f>(SUMIF('Cost Breakdowns'!$D$105:$D$107,"ISIC 68",'Cost Breakdowns'!$B$105:$B$107))</f>
        <v>0</v>
      </c>
      <c r="AT2">
        <f>(SUMIF('Cost Breakdowns'!$D$105:$D$107,"ISIC 69T82",'Cost Breakdowns'!$B$105:$B$107))*'Factors applied'!$E$847</f>
        <v>7.1038251366120214E-2</v>
      </c>
      <c r="AU2">
        <f>(SUMIF('Cost Breakdowns'!$D$105:$D$107,"ISIC 69T82",'Cost Breakdowns'!$B$105:$B$107))*'Factors applied'!$E$848</f>
        <v>0</v>
      </c>
      <c r="AV2">
        <f>(SUMIF('Cost Breakdowns'!$D$105:$D$107,"ISIC 84",'Cost Breakdowns'!$B$105:$B$107))</f>
        <v>0</v>
      </c>
      <c r="AW2">
        <f>(SUMIF('Cost Breakdowns'!$D$105:$D$107,"ISIC 85",'Cost Breakdowns'!$B$105:$B$107))</f>
        <v>0</v>
      </c>
      <c r="AX2">
        <f>(SUMIF('Cost Breakdowns'!$D$105:$D$107,"ISIC 86T88",'Cost Breakdowns'!$B$105:$B$107))</f>
        <v>0</v>
      </c>
      <c r="AY2">
        <f>(SUMIF('Cost Breakdowns'!$D$105:$D$107,"ISIC 90T96",'Cost Breakdowns'!$B$105:$B$107))*'Factors applied'!$E$849</f>
        <v>0</v>
      </c>
      <c r="AZ2">
        <f>(SUMIF('Cost Breakdowns'!$D$105:$D$107,"ISIC 90T96",'Cost Breakdowns'!$B$105:$B$107))*'Factors applied'!$E$850</f>
        <v>0</v>
      </c>
      <c r="BA2">
        <f>(SUMIF('Cost Breakdowns'!$D$105:$D$107,"ISIC 97T98",'Cost Breakdowns'!$B$105:$B$107))</f>
        <v>0</v>
      </c>
    </row>
    <row r="3" spans="1:53" x14ac:dyDescent="0.25">
      <c r="A3" t="s">
        <v>54</v>
      </c>
      <c r="B3">
        <f>(SUMIF('Cost Breakdowns'!$D$140:$D$142,"ISIC 01T03",'Cost Breakdowns'!$B$140:$B$142))*'Factors applied'!$E$1027</f>
        <v>0</v>
      </c>
      <c r="C3">
        <f>(SUMIF('Cost Breakdowns'!$D$140:$D$142,"ISIC 01T03",'Cost Breakdowns'!$B$140:$B$142))*'Factors applied'!$E$1028</f>
        <v>0</v>
      </c>
      <c r="D3">
        <f>(SUMIF('Cost Breakdowns'!$D$140:$D$142,"ISIC 01T03",'Cost Breakdowns'!$B$140:$B$142))*'Factors applied'!$E$1029</f>
        <v>0</v>
      </c>
      <c r="E3">
        <f>(SUMIF('Cost Breakdowns'!$D$140:$D$142,"ISIC 05",'Cost Breakdowns'!$B$140:$B$142))</f>
        <v>0</v>
      </c>
      <c r="F3">
        <f>(SUMIF('Cost Breakdowns'!$D$140:$D$142,"ISIC 06",'Cost Breakdowns'!$B$140:$B$142))</f>
        <v>0</v>
      </c>
      <c r="G3">
        <f>(SUMIF('Cost Breakdowns'!$D$140:$D$142,"ISIC 07T08",'Cost Breakdowns'!$B$140:$B$142))*'Factors applied'!$E$1030</f>
        <v>0</v>
      </c>
      <c r="H3">
        <f>(SUMIF('Cost Breakdowns'!$D$140:$D$142,"ISIC 07T08",'Cost Breakdowns'!$B$140:$B$142))*'Factors applied'!$E$1031</f>
        <v>0</v>
      </c>
      <c r="I3">
        <f>(SUMIF('Cost Breakdowns'!$D$140:$D$142,"ISIC 09",'Cost Breakdowns'!$B$140:$B$142))</f>
        <v>0</v>
      </c>
      <c r="J3">
        <f>(SUMIF('Cost Breakdowns'!$D$140:$D$142,"ISIC 10T12",'Cost Breakdowns'!$B$140:$B$142))</f>
        <v>0</v>
      </c>
      <c r="K3">
        <f>(SUMIF('Cost Breakdowns'!$D$140:$D$142,"ISIC 13T15",'Cost Breakdowns'!$B$140:$B$142))</f>
        <v>0</v>
      </c>
      <c r="L3">
        <f>(SUMIF('Cost Breakdowns'!$D$140:$D$142,"ISIC 16",'Cost Breakdowns'!$B$140:$B$142))</f>
        <v>0</v>
      </c>
      <c r="M3">
        <f>(SUMIF('Cost Breakdowns'!$D$140:$D$142,"ISIC 17T18",'Cost Breakdowns'!$B$140:$B$142))</f>
        <v>0</v>
      </c>
      <c r="N3">
        <f>(SUMIF('Cost Breakdowns'!$D$140:$D$142,"ISIC 19",'Cost Breakdowns'!$B$140:$B$142))</f>
        <v>0</v>
      </c>
      <c r="O3">
        <f>(SUMIF('Cost Breakdowns'!$D$140:$D$142,"ISIC 20",'Cost Breakdowns'!$B$140:$B$142))</f>
        <v>0.10344827586206901</v>
      </c>
      <c r="P3">
        <f>(SUMIF('Cost Breakdowns'!$D$140:$D$142,"ISIC 21",'Cost Breakdowns'!$B$140:$B$142))</f>
        <v>0</v>
      </c>
      <c r="Q3">
        <f>(SUMIF('Cost Breakdowns'!$D$140:$D$142,"ISIC 22",'Cost Breakdowns'!$B$140:$B$142))</f>
        <v>0</v>
      </c>
      <c r="R3">
        <f>(SUMIF('Cost Breakdowns'!$D$140:$D$142,"ISIC 231",'Cost Breakdowns'!$B$140:$B$142))</f>
        <v>0</v>
      </c>
      <c r="S3">
        <f>(SUMIF('Cost Breakdowns'!$D$140:$D$142,"ISIC 239",'Cost Breakdowns'!$B$140:$B$142))</f>
        <v>0</v>
      </c>
      <c r="T3">
        <f>(SUMIF('Cost Breakdowns'!$D$140:$D$142,"ISIC 241",'Cost Breakdowns'!$B$140:$B$142))</f>
        <v>0</v>
      </c>
      <c r="U3">
        <f>(SUMIF('Cost Breakdowns'!$D$140:$D$142,"ISIC 242",'Cost Breakdowns'!$B$140:$B$142))</f>
        <v>0</v>
      </c>
      <c r="V3">
        <f>(SUMIF('Cost Breakdowns'!$D$140:$D$142,"ISIC 25",'Cost Breakdowns'!$B$140:$B$142))</f>
        <v>0</v>
      </c>
      <c r="W3">
        <f>(SUMIF('Cost Breakdowns'!$D$140:$D$142,"ISIC 26",'Cost Breakdowns'!$B$140:$B$142))</f>
        <v>0</v>
      </c>
      <c r="X3">
        <f>(SUMIF('Cost Breakdowns'!$D$140:$D$142,"ISIC 27",'Cost Breakdowns'!$B$140:$B$142))</f>
        <v>0</v>
      </c>
      <c r="Y3">
        <f>(SUMIF('Cost Breakdowns'!$D$140:$D$142,"ISIC 28",'Cost Breakdowns'!$B$140:$B$142))</f>
        <v>0</v>
      </c>
      <c r="Z3">
        <f>(SUMIF('Cost Breakdowns'!$D$140:$D$142,"ISIC 29",'Cost Breakdowns'!$B$140:$B$142))</f>
        <v>0</v>
      </c>
      <c r="AA3">
        <f>(SUMIF('Cost Breakdowns'!$D$140:$D$142,"ISIC 30",'Cost Breakdowns'!$B$140:$B$142))*'Factors applied'!$E$1032</f>
        <v>0</v>
      </c>
      <c r="AB3">
        <f>(SUMIF('Cost Breakdowns'!$D$140:$D$142,"ISIC 30",'Cost Breakdowns'!$B$140:$B$142))*'Factors applied'!$E$1033</f>
        <v>0</v>
      </c>
      <c r="AC3">
        <f>(SUMIF('Cost Breakdowns'!$D$140:$D$142,"ISIC 31T33",'Cost Breakdowns'!$B$140:$B$142))</f>
        <v>0.84482758620689657</v>
      </c>
      <c r="AD3">
        <f>(SUMIF('Cost Breakdowns'!$D$140:$D$142,"ISIC 351",'Cost Breakdowns'!$B$140:$B$142))</f>
        <v>0</v>
      </c>
      <c r="AE3">
        <f>(SUMIF('Cost Breakdowns'!$D$140:$D$142,"ISIC 352T353",'Cost Breakdowns'!$B$140:$B$142))</f>
        <v>0</v>
      </c>
      <c r="AF3">
        <f>(SUMIF('Cost Breakdowns'!$D$140:$D$142,"ISIC 36T39",'Cost Breakdowns'!$B$140:$B$142))</f>
        <v>5.1724137931034482E-2</v>
      </c>
      <c r="AG3">
        <f>(SUMIF('Cost Breakdowns'!$D$140:$D$142,"ISIC 41T43",'Cost Breakdowns'!$B$140:$B$142))</f>
        <v>0</v>
      </c>
      <c r="AH3">
        <f>(SUMIF('Cost Breakdowns'!$D$140:$D$142,"ISIC 45T47",'Cost Breakdowns'!$B$140:$B$142))</f>
        <v>0</v>
      </c>
      <c r="AI3">
        <f>(SUMIF('Cost Breakdowns'!$D$140:$D$142,"ISIC 49T53",'Cost Breakdowns'!$B$140:$B$142))*'Factors applied'!$E$1034</f>
        <v>0</v>
      </c>
      <c r="AJ3">
        <f>(SUMIF('Cost Breakdowns'!$D$140:$D$142,"ISIC 49T53",'Cost Breakdowns'!$B$140:$B$142))*'Factors applied'!$E$1035</f>
        <v>0</v>
      </c>
      <c r="AK3">
        <f>(SUMIF('Cost Breakdowns'!$D$140:$D$142,"ISIC 49T53",'Cost Breakdowns'!$B$140:$B$142))*'Factors applied'!$E$1036</f>
        <v>0</v>
      </c>
      <c r="AL3">
        <f>(SUMIF('Cost Breakdowns'!$D$140:$D$142,"ISIC 49T53",'Cost Breakdowns'!$B$140:$B$142))*'Factors applied'!$E$1037</f>
        <v>0</v>
      </c>
      <c r="AM3">
        <f>(SUMIF('Cost Breakdowns'!$D$140:$D$142,"ISIC 49T53",'Cost Breakdowns'!$B$140:$B$142))*'Factors applied'!$E$1038</f>
        <v>0</v>
      </c>
      <c r="AN3">
        <f>(SUMIF('Cost Breakdowns'!$D$140:$D$142,"ISIC 55T56",'Cost Breakdowns'!$B$140:$B$142))</f>
        <v>0</v>
      </c>
      <c r="AO3">
        <f>(SUMIF('Cost Breakdowns'!$D$140:$D$142,"ISIC 58T60",'Cost Breakdowns'!$B$140:$B$142))</f>
        <v>0</v>
      </c>
      <c r="AP3">
        <f>(SUMIF('Cost Breakdowns'!$D$140:$D$142,"ISIC 61",'Cost Breakdowns'!$B$140:$B$142))</f>
        <v>0</v>
      </c>
      <c r="AQ3">
        <f>(SUMIF('Cost Breakdowns'!$D$140:$D$142,"ISIC 62T63",'Cost Breakdowns'!$B$140:$B$142))</f>
        <v>0</v>
      </c>
      <c r="AR3">
        <f>(SUMIF('Cost Breakdowns'!$D$140:$D$142,"ISIC 64T66",'Cost Breakdowns'!$B$140:$B$142))</f>
        <v>0</v>
      </c>
      <c r="AS3">
        <f>(SUMIF('Cost Breakdowns'!$D$140:$D$142,"ISIC 68",'Cost Breakdowns'!$B$140:$B$142))</f>
        <v>0</v>
      </c>
      <c r="AT3">
        <f>(SUMIF('Cost Breakdowns'!$D$140:$D$142,"ISIC 69T82",'Cost Breakdowns'!$B$140:$B$142))*'Factors applied'!$E$1039</f>
        <v>0</v>
      </c>
      <c r="AU3">
        <f>(SUMIF('Cost Breakdowns'!$D$140:$D$142,"ISIC 69T82",'Cost Breakdowns'!$B$140:$B$142))*'Factors applied'!$E$1040</f>
        <v>0</v>
      </c>
      <c r="AV3">
        <f>(SUMIF('Cost Breakdowns'!$D$140:$D$142,"ISIC 84",'Cost Breakdowns'!$B$140:$B$142))</f>
        <v>0</v>
      </c>
      <c r="AW3">
        <f>(SUMIF('Cost Breakdowns'!$D$140:$D$142,"ISIC 85",'Cost Breakdowns'!$B$140:$B$142))</f>
        <v>0</v>
      </c>
      <c r="AX3">
        <f>(SUMIF('Cost Breakdowns'!$D$140:$D$142,"ISIC 86T88",'Cost Breakdowns'!$B$140:$B$142))</f>
        <v>0</v>
      </c>
      <c r="AY3">
        <f>(SUMIF('Cost Breakdowns'!$D$140:$D$142,"ISIC 90T96",'Cost Breakdowns'!$B$140:$B$142))*'Factors applied'!$E$1041</f>
        <v>0</v>
      </c>
      <c r="AZ3">
        <f>(SUMIF('Cost Breakdowns'!$D$140:$D$142,"ISIC 90T96",'Cost Breakdowns'!$B$140:$B$142))*'Factors applied'!$E$1042</f>
        <v>0</v>
      </c>
      <c r="BA3">
        <f>(SUMIF('Cost Breakdowns'!$D$140:$D$142,"ISIC 97T98",'Cost Breakdowns'!$B$140:$B$142))</f>
        <v>0</v>
      </c>
    </row>
    <row r="4" spans="1:53" x14ac:dyDescent="0.25">
      <c r="A4" t="s">
        <v>55</v>
      </c>
      <c r="B4">
        <f>((SUMIF('Cost Breakdowns'!$D$140:$D$142,"ISIC 01T03",'Cost Breakdowns'!$B$140:$B$142)))*'Factors applied'!$E$979</f>
        <v>0</v>
      </c>
      <c r="C4">
        <f>((SUMIF('Cost Breakdowns'!$D$140:$D$142,"ISIC 01T03",'Cost Breakdowns'!$B$140:$B$142)))*'Factors applied'!$E$980</f>
        <v>0</v>
      </c>
      <c r="D4">
        <f>((SUMIF('Cost Breakdowns'!$D$140:$D$142,"ISIC 01T03",'Cost Breakdowns'!$B$140:$B$142)))*'Factors applied'!$E$981</f>
        <v>0</v>
      </c>
      <c r="E4">
        <f>((SUMIF('Cost Breakdowns'!$D$140:$D$142,"ISIC 05",'Cost Breakdowns'!$B$140:$B$142)))</f>
        <v>0</v>
      </c>
      <c r="F4">
        <f>((SUMIF('Cost Breakdowns'!$D$140:$D$142,"ISIC 06",'Cost Breakdowns'!$B$140:$B$142)))</f>
        <v>0</v>
      </c>
      <c r="G4">
        <f>((SUMIF('Cost Breakdowns'!$D$140:$D$142,"ISIC 07T08",'Cost Breakdowns'!$B$140:$B$142)))*'Factors applied'!$E$982</f>
        <v>0</v>
      </c>
      <c r="H4">
        <f>((SUMIF('Cost Breakdowns'!$D$140:$D$142,"ISIC 07T08",'Cost Breakdowns'!$B$140:$B$142)))*'Factors applied'!$E$983</f>
        <v>0</v>
      </c>
      <c r="I4">
        <f>((SUMIF('Cost Breakdowns'!$D$140:$D$142,"ISIC 09",'Cost Breakdowns'!$B$140:$B$142)))</f>
        <v>0</v>
      </c>
      <c r="J4">
        <f>((SUMIF('Cost Breakdowns'!$D$140:$D$142,"ISIC 10T12",'Cost Breakdowns'!$B$140:$B$142)))</f>
        <v>0</v>
      </c>
      <c r="K4">
        <f>((SUMIF('Cost Breakdowns'!$D$140:$D$142,"ISIC 13T15",'Cost Breakdowns'!$B$140:$B$142)))</f>
        <v>0</v>
      </c>
      <c r="L4">
        <f>((SUMIF('Cost Breakdowns'!$D$140:$D$142,"ISIC 16",'Cost Breakdowns'!$B$140:$B$142)))</f>
        <v>0</v>
      </c>
      <c r="M4">
        <f>((SUMIF('Cost Breakdowns'!$D$140:$D$142,"ISIC 17T18",'Cost Breakdowns'!$B$140:$B$142)))</f>
        <v>0</v>
      </c>
      <c r="N4">
        <f>((SUMIF('Cost Breakdowns'!$D$140:$D$142,"ISIC 19",'Cost Breakdowns'!$B$140:$B$142)))</f>
        <v>0</v>
      </c>
      <c r="O4">
        <f>((SUMIF('Cost Breakdowns'!$D$140:$D$142,"ISIC 20",'Cost Breakdowns'!$B$140:$B$142)))</f>
        <v>0.10344827586206901</v>
      </c>
      <c r="P4">
        <f>((SUMIF('Cost Breakdowns'!$D$140:$D$142,"ISIC 21",'Cost Breakdowns'!$B$140:$B$142)))</f>
        <v>0</v>
      </c>
      <c r="Q4">
        <f>((SUMIF('Cost Breakdowns'!$D$140:$D$142,"ISIC 22",'Cost Breakdowns'!$B$140:$B$142)))</f>
        <v>0</v>
      </c>
      <c r="R4">
        <f>((SUMIF('Cost Breakdowns'!$D$140:$D$142,"ISIC 231",'Cost Breakdowns'!$B$140:$B$142)))</f>
        <v>0</v>
      </c>
      <c r="S4">
        <f>((SUMIF('Cost Breakdowns'!$D$140:$D$142,"ISIC 239",'Cost Breakdowns'!$B$140:$B$142)))</f>
        <v>0</v>
      </c>
      <c r="T4">
        <f>((SUMIF('Cost Breakdowns'!$D$140:$D$142,"ISIC 241",'Cost Breakdowns'!$B$140:$B$142)))</f>
        <v>0</v>
      </c>
      <c r="U4">
        <f>((SUMIF('Cost Breakdowns'!$D$140:$D$142,"ISIC 242",'Cost Breakdowns'!$B$140:$B$142)))</f>
        <v>0</v>
      </c>
      <c r="V4">
        <f>((SUMIF('Cost Breakdowns'!$D$140:$D$142,"ISIC 25",'Cost Breakdowns'!$B$140:$B$142)))</f>
        <v>0</v>
      </c>
      <c r="W4">
        <f>((SUMIF('Cost Breakdowns'!$D$140:$D$142,"ISIC 26",'Cost Breakdowns'!$B$140:$B$142)))</f>
        <v>0</v>
      </c>
      <c r="X4">
        <f>((SUMIF('Cost Breakdowns'!$D$140:$D$142,"ISIC 27",'Cost Breakdowns'!$B$140:$B$142)))</f>
        <v>0</v>
      </c>
      <c r="Y4">
        <f>((SUMIF('Cost Breakdowns'!$D$140:$D$142,"ISIC 28",'Cost Breakdowns'!$B$140:$B$142)))</f>
        <v>0</v>
      </c>
      <c r="Z4">
        <f>((SUMIF('Cost Breakdowns'!$D$140:$D$142,"ISIC 29",'Cost Breakdowns'!$B$140:$B$142)))</f>
        <v>0</v>
      </c>
      <c r="AA4">
        <f>((SUMIF('Cost Breakdowns'!$D$140:$D$142,"ISIC 30",'Cost Breakdowns'!$B$140:$B$142)))*'Factors applied'!$E$984</f>
        <v>0</v>
      </c>
      <c r="AB4">
        <f>((SUMIF('Cost Breakdowns'!$D$140:$D$142,"ISIC 30",'Cost Breakdowns'!$B$140:$B$142)))*'Factors applied'!$E$985</f>
        <v>0</v>
      </c>
      <c r="AC4">
        <f>((SUMIF('Cost Breakdowns'!$D$140:$D$142,"ISIC 31T33",'Cost Breakdowns'!$B$140:$B$142)))</f>
        <v>0.84482758620689657</v>
      </c>
      <c r="AD4">
        <f>((SUMIF('Cost Breakdowns'!$D$140:$D$142,"ISIC 351",'Cost Breakdowns'!$B$140:$B$142)))</f>
        <v>0</v>
      </c>
      <c r="AE4">
        <f>((SUMIF('Cost Breakdowns'!$D$140:$D$142,"ISIC 352T353",'Cost Breakdowns'!$B$140:$B$142)))</f>
        <v>0</v>
      </c>
      <c r="AF4">
        <f>((SUMIF('Cost Breakdowns'!$D$140:$D$142,"ISIC 36T39",'Cost Breakdowns'!$B$140:$B$142)))</f>
        <v>5.1724137931034482E-2</v>
      </c>
      <c r="AG4">
        <f>((SUMIF('Cost Breakdowns'!$D$140:$D$142,"ISIC 41T43",'Cost Breakdowns'!$B$140:$B$142)))</f>
        <v>0</v>
      </c>
      <c r="AH4">
        <f>((SUMIF('Cost Breakdowns'!$D$140:$D$142,"ISIC 45T47",'Cost Breakdowns'!$B$140:$B$142)))</f>
        <v>0</v>
      </c>
      <c r="AI4">
        <f>((SUMIF('Cost Breakdowns'!$D$140:$D$142,"ISIC 49T53",'Cost Breakdowns'!$B$140:$B$142)))*'Factors applied'!$E$986</f>
        <v>0</v>
      </c>
      <c r="AJ4">
        <f>((SUMIF('Cost Breakdowns'!$D$140:$D$142,"ISIC 49T53",'Cost Breakdowns'!$B$140:$B$142)))*'Factors applied'!$E$987</f>
        <v>0</v>
      </c>
      <c r="AK4">
        <f>((SUMIF('Cost Breakdowns'!$D$140:$D$142,"ISIC 49T53",'Cost Breakdowns'!$B$140:$B$142)))*'Factors applied'!$E$988</f>
        <v>0</v>
      </c>
      <c r="AL4">
        <f>((SUMIF('Cost Breakdowns'!$D$140:$D$142,"ISIC 49T53",'Cost Breakdowns'!$B$140:$B$142)))*'Factors applied'!$E$989</f>
        <v>0</v>
      </c>
      <c r="AM4">
        <f>((SUMIF('Cost Breakdowns'!$D$140:$D$142,"ISIC 49T53",'Cost Breakdowns'!$B$140:$B$142)))*'Factors applied'!$E$990</f>
        <v>0</v>
      </c>
      <c r="AN4">
        <f>((SUMIF('Cost Breakdowns'!$D$140:$D$142,"ISIC 55T56",'Cost Breakdowns'!$B$140:$B$142)))</f>
        <v>0</v>
      </c>
      <c r="AO4">
        <f>((SUMIF('Cost Breakdowns'!$D$140:$D$142,"ISIC 58T60",'Cost Breakdowns'!$B$140:$B$142)))</f>
        <v>0</v>
      </c>
      <c r="AP4">
        <f>((SUMIF('Cost Breakdowns'!$D$140:$D$142,"ISIC 61",'Cost Breakdowns'!$B$140:$B$142)))</f>
        <v>0</v>
      </c>
      <c r="AQ4">
        <f>((SUMIF('Cost Breakdowns'!$D$140:$D$142,"ISIC 62T63",'Cost Breakdowns'!$B$140:$B$142)))</f>
        <v>0</v>
      </c>
      <c r="AR4">
        <f>((SUMIF('Cost Breakdowns'!$D$140:$D$142,"ISIC 64T66",'Cost Breakdowns'!$B$140:$B$142)))</f>
        <v>0</v>
      </c>
      <c r="AS4">
        <f>((SUMIF('Cost Breakdowns'!$D$140:$D$142,"ISIC 68",'Cost Breakdowns'!$B$140:$B$142)))</f>
        <v>0</v>
      </c>
      <c r="AT4">
        <f>((SUMIF('Cost Breakdowns'!$D$140:$D$142,"ISIC 69T82",'Cost Breakdowns'!$B$140:$B$142)))*'Factors applied'!$E$991</f>
        <v>0</v>
      </c>
      <c r="AU4">
        <f>((SUMIF('Cost Breakdowns'!$D$140:$D$142,"ISIC 69T82",'Cost Breakdowns'!$B$140:$B$142)))*'Factors applied'!$E$992</f>
        <v>0</v>
      </c>
      <c r="AV4">
        <f>((SUMIF('Cost Breakdowns'!$D$140:$D$142,"ISIC 84",'Cost Breakdowns'!$B$140:$B$142)))</f>
        <v>0</v>
      </c>
      <c r="AW4">
        <f>((SUMIF('Cost Breakdowns'!$D$140:$D$142,"ISIC 85",'Cost Breakdowns'!$B$140:$B$142)))</f>
        <v>0</v>
      </c>
      <c r="AX4">
        <f>((SUMIF('Cost Breakdowns'!$D$140:$D$142,"ISIC 86T88",'Cost Breakdowns'!$B$140:$B$142)))</f>
        <v>0</v>
      </c>
      <c r="AY4">
        <f>((SUMIF('Cost Breakdowns'!$D$140:$D$142,"ISIC 90T96",'Cost Breakdowns'!$B$140:$B$142)))*'Factors applied'!$E$993</f>
        <v>0</v>
      </c>
      <c r="AZ4">
        <f>((SUMIF('Cost Breakdowns'!$D$140:$D$142,"ISIC 90T96",'Cost Breakdowns'!$B$140:$B$142)))*'Factors applied'!$E$994</f>
        <v>0</v>
      </c>
      <c r="BA4">
        <f>((SUMIF('Cost Breakdowns'!$D$140:$D$142,"ISIC 97T98",'Cost Breakdowns'!$B$140:$B$142)))</f>
        <v>0</v>
      </c>
    </row>
    <row r="5" spans="1:53" x14ac:dyDescent="0.25">
      <c r="A5" t="s">
        <v>56</v>
      </c>
      <c r="B5">
        <f>(SUMIF('Cost Breakdowns'!$D$162:$D$162,"ISIC 01T03",'Cost Breakdowns'!$B$162:$B$162))*'Factors applied'!$E$1043</f>
        <v>0</v>
      </c>
      <c r="C5">
        <f>(SUMIF('Cost Breakdowns'!$D$162:$D$162,"ISIC 01T03",'Cost Breakdowns'!$B$162:$B$162))*'Factors applied'!$E$1044</f>
        <v>0</v>
      </c>
      <c r="D5">
        <f>(SUMIF('Cost Breakdowns'!$D$162:$D$162,"ISIC 01T03",'Cost Breakdowns'!$B$162:$B$162))*'Factors applied'!$E$1045</f>
        <v>0</v>
      </c>
      <c r="E5">
        <f>(SUMIF('Cost Breakdowns'!$D$162:$D$162,"ISIC 05",'Cost Breakdowns'!$B$162:$B$162))</f>
        <v>0</v>
      </c>
      <c r="F5">
        <f>(SUMIF('Cost Breakdowns'!$D$162:$D$162,"ISIC 06",'Cost Breakdowns'!$B$162:$B$162))</f>
        <v>0</v>
      </c>
      <c r="G5">
        <f>(SUMIF('Cost Breakdowns'!$D$162:$D$162,"ISIC 07T08",'Cost Breakdowns'!$B$162:$B$162))*'Factors applied'!$E$1046</f>
        <v>0</v>
      </c>
      <c r="H5">
        <f>(SUMIF('Cost Breakdowns'!$D$162:$D$162,"ISIC 07T08",'Cost Breakdowns'!$B$162:$B$162))*'Factors applied'!$E$1047</f>
        <v>0</v>
      </c>
      <c r="I5">
        <f>(SUMIF('Cost Breakdowns'!$D$162:$D$162,"ISIC 09",'Cost Breakdowns'!$B$162:$B$162))</f>
        <v>0</v>
      </c>
      <c r="J5">
        <f>(SUMIF('Cost Breakdowns'!$D$162:$D$162,"ISIC 10T12",'Cost Breakdowns'!$B$162:$B$162))</f>
        <v>0</v>
      </c>
      <c r="K5">
        <f>(SUMIF('Cost Breakdowns'!$D$162:$D$162,"ISIC 13T15",'Cost Breakdowns'!$B$162:$B$162))</f>
        <v>0</v>
      </c>
      <c r="L5">
        <f>(SUMIF('Cost Breakdowns'!$D$162:$D$162,"ISIC 16",'Cost Breakdowns'!$B$162:$B$162))</f>
        <v>0</v>
      </c>
      <c r="M5">
        <f>(SUMIF('Cost Breakdowns'!$D$162:$D$162,"ISIC 17T18",'Cost Breakdowns'!$B$162:$B$162))</f>
        <v>0</v>
      </c>
      <c r="N5">
        <f>(SUMIF('Cost Breakdowns'!$D$162:$D$162,"ISIC 19",'Cost Breakdowns'!$B$162:$B$162))</f>
        <v>0</v>
      </c>
      <c r="O5">
        <f>(SUMIF('Cost Breakdowns'!$D$162:$D$162,"ISIC 20",'Cost Breakdowns'!$B$162:$B$162))</f>
        <v>0</v>
      </c>
      <c r="P5">
        <f>(SUMIF('Cost Breakdowns'!$D$162:$D$162,"ISIC 21",'Cost Breakdowns'!$B$162:$B$162))</f>
        <v>0</v>
      </c>
      <c r="Q5">
        <f>(SUMIF('Cost Breakdowns'!$D$162:$D$162,"ISIC 22",'Cost Breakdowns'!$B$162:$B$162))</f>
        <v>0</v>
      </c>
      <c r="R5">
        <f>(SUMIF('Cost Breakdowns'!$D$162:$D$162,"ISIC 231",'Cost Breakdowns'!$B$162:$B$162))</f>
        <v>0</v>
      </c>
      <c r="S5">
        <f>(SUMIF('Cost Breakdowns'!$D$162:$D$162,"ISIC 239",'Cost Breakdowns'!$B$162:$B$162))</f>
        <v>0</v>
      </c>
      <c r="T5">
        <f>(SUMIF('Cost Breakdowns'!$D$162:$D$162,"ISIC 241",'Cost Breakdowns'!$B$162:$B$162))</f>
        <v>0</v>
      </c>
      <c r="U5">
        <f>(SUMIF('Cost Breakdowns'!$D$162:$D$162,"ISIC 242",'Cost Breakdowns'!$B$162:$B$162))</f>
        <v>0</v>
      </c>
      <c r="V5">
        <f>(SUMIF('Cost Breakdowns'!$D$162:$D$162,"ISIC 25",'Cost Breakdowns'!$B$162:$B$162))</f>
        <v>0</v>
      </c>
      <c r="W5">
        <f>(SUMIF('Cost Breakdowns'!$D$162:$D$162,"ISIC 26",'Cost Breakdowns'!$B$162:$B$162))</f>
        <v>0</v>
      </c>
      <c r="X5">
        <f>(SUMIF('Cost Breakdowns'!$D$162:$D$162,"ISIC 27",'Cost Breakdowns'!$B$162:$B$162))</f>
        <v>0</v>
      </c>
      <c r="Y5">
        <f>(SUMIF('Cost Breakdowns'!$D$162:$D$162,"ISIC 28",'Cost Breakdowns'!$B$162:$B$162))</f>
        <v>0</v>
      </c>
      <c r="Z5">
        <f>(SUMIF('Cost Breakdowns'!$D$162:$D$162,"ISIC 29",'Cost Breakdowns'!$B$162:$B$162))</f>
        <v>0</v>
      </c>
      <c r="AA5">
        <f>(SUMIF('Cost Breakdowns'!$D$162:$D$162,"ISIC 30",'Cost Breakdowns'!$B$162:$B$162))*'Factors applied'!$E$1048</f>
        <v>0</v>
      </c>
      <c r="AB5">
        <f>(SUMIF('Cost Breakdowns'!$D$162:$D$162,"ISIC 30",'Cost Breakdowns'!$B$162:$B$162))*'Factors applied'!$E$1049</f>
        <v>0</v>
      </c>
      <c r="AC5">
        <f>(SUMIF('Cost Breakdowns'!$D$162:$D$162,"ISIC 31T33",'Cost Breakdowns'!$B$162:$B$162))</f>
        <v>0</v>
      </c>
      <c r="AD5">
        <f>(SUMIF('Cost Breakdowns'!$D$162:$D$162,"ISIC 351",'Cost Breakdowns'!$B$162:$B$162))</f>
        <v>0</v>
      </c>
      <c r="AE5">
        <f>(SUMIF('Cost Breakdowns'!$D$162:$D$162,"ISIC 352T353",'Cost Breakdowns'!$B$162:$B$162))</f>
        <v>0</v>
      </c>
      <c r="AF5">
        <f>(SUMIF('Cost Breakdowns'!$D$162:$D$162,"ISIC 36T39",'Cost Breakdowns'!$B$162:$B$162))</f>
        <v>1</v>
      </c>
      <c r="AG5">
        <f>(SUMIF('Cost Breakdowns'!$D$162:$D$162,"ISIC 41T43",'Cost Breakdowns'!$B$162:$B$162))</f>
        <v>0</v>
      </c>
      <c r="AH5">
        <f>(SUMIF('Cost Breakdowns'!$D$162:$D$162,"ISIC 45T47",'Cost Breakdowns'!$B$162:$B$162))</f>
        <v>0</v>
      </c>
      <c r="AI5">
        <f>(SUMIF('Cost Breakdowns'!$D$162:$D$162,"ISIC 49T53",'Cost Breakdowns'!$B$162:$B$162))*'Factors applied'!$E$1050</f>
        <v>0</v>
      </c>
      <c r="AJ5">
        <f>(SUMIF('Cost Breakdowns'!$D$162:$D$162,"ISIC 49T53",'Cost Breakdowns'!$B$162:$B$162))*'Factors applied'!$E$1051</f>
        <v>0</v>
      </c>
      <c r="AK5">
        <f>(SUMIF('Cost Breakdowns'!$D$162:$D$162,"ISIC 49T53",'Cost Breakdowns'!$B$162:$B$162))*'Factors applied'!$E$1052</f>
        <v>0</v>
      </c>
      <c r="AL5">
        <f>(SUMIF('Cost Breakdowns'!$D$162:$D$162,"ISIC 49T53",'Cost Breakdowns'!$B$162:$B$162))*'Factors applied'!$E$1053</f>
        <v>0</v>
      </c>
      <c r="AM5">
        <f>(SUMIF('Cost Breakdowns'!$D$162:$D$162,"ISIC 49T53",'Cost Breakdowns'!$B$162:$B$162))*'Factors applied'!$E$1054</f>
        <v>0</v>
      </c>
      <c r="AN5">
        <f>(SUMIF('Cost Breakdowns'!$D$162:$D$162,"ISIC 55T56",'Cost Breakdowns'!$B$162:$B$162))</f>
        <v>0</v>
      </c>
      <c r="AO5">
        <f>(SUMIF('Cost Breakdowns'!$D$162:$D$162,"ISIC 58T60",'Cost Breakdowns'!$B$162:$B$162))</f>
        <v>0</v>
      </c>
      <c r="AP5">
        <f>(SUMIF('Cost Breakdowns'!$D$162:$D$162,"ISIC 61",'Cost Breakdowns'!$B$162:$B$162))</f>
        <v>0</v>
      </c>
      <c r="AQ5">
        <f>(SUMIF('Cost Breakdowns'!$D$162:$D$162,"ISIC 62T63",'Cost Breakdowns'!$B$162:$B$162))</f>
        <v>0</v>
      </c>
      <c r="AR5">
        <f>(SUMIF('Cost Breakdowns'!$D$162:$D$162,"ISIC 64T66",'Cost Breakdowns'!$B$162:$B$162))</f>
        <v>0</v>
      </c>
      <c r="AS5">
        <f>(SUMIF('Cost Breakdowns'!$D$162:$D$162,"ISIC 68",'Cost Breakdowns'!$B$162:$B$162))</f>
        <v>0</v>
      </c>
      <c r="AT5">
        <f>(SUMIF('Cost Breakdowns'!$D$162:$D$162,"ISIC 69T82",'Cost Breakdowns'!$B$162:$B$162))*'Factors applied'!$E$1055</f>
        <v>0</v>
      </c>
      <c r="AU5">
        <f>(SUMIF('Cost Breakdowns'!$D$162:$D$162,"ISIC 69T82",'Cost Breakdowns'!$B$162:$B$162))*'Factors applied'!$E$1056</f>
        <v>0</v>
      </c>
      <c r="AV5">
        <f>(SUMIF('Cost Breakdowns'!$D$162:$D$162,"ISIC 84",'Cost Breakdowns'!$B$162:$B$162))</f>
        <v>0</v>
      </c>
      <c r="AW5">
        <f>(SUMIF('Cost Breakdowns'!$D$162:$D$162,"ISIC 85",'Cost Breakdowns'!$B$162:$B$162))</f>
        <v>0</v>
      </c>
      <c r="AX5">
        <f>(SUMIF('Cost Breakdowns'!$D$162:$D$162,"ISIC 86T88",'Cost Breakdowns'!$B$162:$B$162))</f>
        <v>0</v>
      </c>
      <c r="AY5">
        <f>(SUMIF('Cost Breakdowns'!$D$162:$D$162,"ISIC 90T96",'Cost Breakdowns'!$B$162:$B$162))*'Factors applied'!$E$1057</f>
        <v>0</v>
      </c>
      <c r="AZ5">
        <f>(SUMIF('Cost Breakdowns'!$D$162:$D$162,"ISIC 90T96",'Cost Breakdowns'!$B$162:$B$162))*'Factors applied'!$E$1058</f>
        <v>0</v>
      </c>
      <c r="BA5">
        <f>(SUMIF('Cost Breakdowns'!$D$162:$D$162,"ISIC 97T98",'Cost Breakdowns'!$B$162:$B$162))</f>
        <v>0</v>
      </c>
    </row>
    <row r="6" spans="1:53" x14ac:dyDescent="0.25">
      <c r="A6" t="s">
        <v>57</v>
      </c>
      <c r="B6">
        <f>(SUMIF('Cost Breakdowns'!$D$217:$D$217,"ISIC 01T03",'Cost Breakdowns'!$B$217:$B$217))*'Factors applied'!$E$883</f>
        <v>0</v>
      </c>
      <c r="C6">
        <f>(SUMIF('Cost Breakdowns'!$D$217:$D$217,"ISIC 01T03",'Cost Breakdowns'!$B$217:$B$217))*'Factors applied'!$E$884</f>
        <v>0</v>
      </c>
      <c r="D6">
        <f>(SUMIF('Cost Breakdowns'!$D$217:$D$217,"ISIC 01T03",'Cost Breakdowns'!$B$217:$B$217))*'Factors applied'!$E$885</f>
        <v>0</v>
      </c>
      <c r="E6">
        <f>(SUMIF('Cost Breakdowns'!$D$217:$D$217,"ISIC 05",'Cost Breakdowns'!$B$217:$B$217))</f>
        <v>0</v>
      </c>
      <c r="F6">
        <f>(SUMIF('Cost Breakdowns'!$D$217:$D$217,"ISIC 06",'Cost Breakdowns'!$B$217:$B$217))</f>
        <v>0</v>
      </c>
      <c r="G6">
        <f>(SUMIF('Cost Breakdowns'!$D$217:$D$217,"ISIC 07T08",'Cost Breakdowns'!$B$217:$B$217))*'Factors applied'!$E$886</f>
        <v>0</v>
      </c>
      <c r="H6">
        <f>(SUMIF('Cost Breakdowns'!$D$217:$D$217,"ISIC 07T08",'Cost Breakdowns'!$B$217:$B$217))*'Factors applied'!$E$887</f>
        <v>0</v>
      </c>
      <c r="I6">
        <f>(SUMIF('Cost Breakdowns'!$D$217:$D$217,"ISIC 09",'Cost Breakdowns'!$B$217:$B$217))</f>
        <v>0</v>
      </c>
      <c r="J6">
        <f>(SUMIF('Cost Breakdowns'!$D$217:$D$217,"ISIC 10T12",'Cost Breakdowns'!$B$217:$B$217))</f>
        <v>0</v>
      </c>
      <c r="K6">
        <f>(SUMIF('Cost Breakdowns'!$D$217:$D$217,"ISIC 13T15",'Cost Breakdowns'!$B$217:$B$217))</f>
        <v>0</v>
      </c>
      <c r="L6">
        <f>(SUMIF('Cost Breakdowns'!$D$217:$D$217,"ISIC 16",'Cost Breakdowns'!$B$217:$B$217))</f>
        <v>0</v>
      </c>
      <c r="M6">
        <f>(SUMIF('Cost Breakdowns'!$D$217:$D$217,"ISIC 17T18",'Cost Breakdowns'!$B$217:$B$217))</f>
        <v>0</v>
      </c>
      <c r="N6">
        <f>(SUMIF('Cost Breakdowns'!$D$217:$D$217,"ISIC 19",'Cost Breakdowns'!$B$217:$B$217))</f>
        <v>0</v>
      </c>
      <c r="O6">
        <f>(SUMIF('Cost Breakdowns'!$D$217:$D$217,"ISIC 20",'Cost Breakdowns'!$B$217:$B$217))</f>
        <v>0</v>
      </c>
      <c r="P6">
        <f>(SUMIF('Cost Breakdowns'!$D$217:$D$217,"ISIC 21",'Cost Breakdowns'!$B$217:$B$217))</f>
        <v>0</v>
      </c>
      <c r="Q6">
        <f>(SUMIF('Cost Breakdowns'!$D$217:$D$217,"ISIC 22",'Cost Breakdowns'!$B$217:$B$217))</f>
        <v>0</v>
      </c>
      <c r="R6">
        <f>(SUMIF('Cost Breakdowns'!$D$217:$D$217,"ISIC 231",'Cost Breakdowns'!$B$217:$B$217))</f>
        <v>0</v>
      </c>
      <c r="S6">
        <f>(SUMIF('Cost Breakdowns'!$D$217:$D$217,"ISIC 239",'Cost Breakdowns'!$B$217:$B$217))</f>
        <v>0</v>
      </c>
      <c r="T6">
        <f>(SUMIF('Cost Breakdowns'!$D$217:$D$217,"ISIC 241",'Cost Breakdowns'!$B$217:$B$217))</f>
        <v>0</v>
      </c>
      <c r="U6">
        <f>(SUMIF('Cost Breakdowns'!$D$217:$D$217,"ISIC 242",'Cost Breakdowns'!$B$217:$B$217))</f>
        <v>0</v>
      </c>
      <c r="V6">
        <f>(SUMIF('Cost Breakdowns'!$D$217:$D$217,"ISIC 25",'Cost Breakdowns'!$B$217:$B$217))</f>
        <v>0</v>
      </c>
      <c r="W6">
        <f>(SUMIF('Cost Breakdowns'!$D$217:$D$217,"ISIC 26",'Cost Breakdowns'!$B$217:$B$217))</f>
        <v>0</v>
      </c>
      <c r="X6">
        <f>(SUMIF('Cost Breakdowns'!$D$217:$D$217,"ISIC 27",'Cost Breakdowns'!$B$217:$B$217))</f>
        <v>0</v>
      </c>
      <c r="Y6">
        <f>(SUMIF('Cost Breakdowns'!$D$217:$D$217,"ISIC 28",'Cost Breakdowns'!$B$217:$B$217))</f>
        <v>0</v>
      </c>
      <c r="Z6">
        <f>(SUMIF('Cost Breakdowns'!$D$217:$D$217,"ISIC 29",'Cost Breakdowns'!$B$217:$B$217))</f>
        <v>0</v>
      </c>
      <c r="AA6">
        <f>(SUMIF('Cost Breakdowns'!$D$217:$D$217,"ISIC 30",'Cost Breakdowns'!$B$217:$B$217))*'Factors applied'!$E$888</f>
        <v>0</v>
      </c>
      <c r="AB6">
        <f>(SUMIF('Cost Breakdowns'!$D$217:$D$217,"ISIC 30",'Cost Breakdowns'!$B$217:$B$217))*'Factors applied'!$E$889</f>
        <v>0</v>
      </c>
      <c r="AC6">
        <f>(SUMIF('Cost Breakdowns'!$D$217:$D$217,"ISIC 31T33",'Cost Breakdowns'!$B$217:$B$217))</f>
        <v>0</v>
      </c>
      <c r="AD6">
        <f>(SUMIF('Cost Breakdowns'!$D$217:$D$217,"ISIC 351",'Cost Breakdowns'!$B$217:$B$217))</f>
        <v>0</v>
      </c>
      <c r="AE6">
        <f>(SUMIF('Cost Breakdowns'!$D$217:$D$217,"ISIC 352T353",'Cost Breakdowns'!$B$217:$B$217))</f>
        <v>0</v>
      </c>
      <c r="AF6">
        <f>(SUMIF('Cost Breakdowns'!$D$217:$D$217,"ISIC 36T39",'Cost Breakdowns'!$B$217:$B$217))</f>
        <v>1</v>
      </c>
      <c r="AG6">
        <f>(SUMIF('Cost Breakdowns'!$D$217:$D$217,"ISIC 41T43",'Cost Breakdowns'!$B$217:$B$217))</f>
        <v>0</v>
      </c>
      <c r="AH6">
        <f>(SUMIF('Cost Breakdowns'!$D$217:$D$217,"ISIC 45T47",'Cost Breakdowns'!$B$217:$B$217))</f>
        <v>0</v>
      </c>
      <c r="AI6">
        <f>(SUMIF('Cost Breakdowns'!$D$217:$D$217,"ISIC 49T53",'Cost Breakdowns'!$B$217:$B$217))*'Factors applied'!$E$890</f>
        <v>0</v>
      </c>
      <c r="AJ6">
        <f>(SUMIF('Cost Breakdowns'!$D$217:$D$217,"ISIC 49T53",'Cost Breakdowns'!$B$217:$B$217))*'Factors applied'!$E$891</f>
        <v>0</v>
      </c>
      <c r="AK6">
        <f>(SUMIF('Cost Breakdowns'!$D$217:$D$217,"ISIC 49T53",'Cost Breakdowns'!$B$217:$B$217))*'Factors applied'!$E$892</f>
        <v>0</v>
      </c>
      <c r="AL6">
        <f>(SUMIF('Cost Breakdowns'!$D$217:$D$217,"ISIC 49T53",'Cost Breakdowns'!$B$217:$B$217))*'Factors applied'!$E$893</f>
        <v>0</v>
      </c>
      <c r="AM6">
        <f>(SUMIF('Cost Breakdowns'!$D$217:$D$217,"ISIC 49T53",'Cost Breakdowns'!$B$217:$B$217))*'Factors applied'!$E$894</f>
        <v>0</v>
      </c>
      <c r="AN6">
        <f>(SUMIF('Cost Breakdowns'!$D$217:$D$217,"ISIC 55T56",'Cost Breakdowns'!$B$217:$B$217))</f>
        <v>0</v>
      </c>
      <c r="AO6">
        <f>(SUMIF('Cost Breakdowns'!$D$217:$D$217,"ISIC 58T60",'Cost Breakdowns'!$B$217:$B$217))</f>
        <v>0</v>
      </c>
      <c r="AP6">
        <f>(SUMIF('Cost Breakdowns'!$D$217:$D$217,"ISIC 61",'Cost Breakdowns'!$B$217:$B$217))</f>
        <v>0</v>
      </c>
      <c r="AQ6">
        <f>(SUMIF('Cost Breakdowns'!$D$217:$D$217,"ISIC 62T63",'Cost Breakdowns'!$B$217:$B$217))</f>
        <v>0</v>
      </c>
      <c r="AR6">
        <f>(SUMIF('Cost Breakdowns'!$D$217:$D$217,"ISIC 64T66",'Cost Breakdowns'!$B$217:$B$217))</f>
        <v>0</v>
      </c>
      <c r="AS6">
        <f>(SUMIF('Cost Breakdowns'!$D$217:$D$217,"ISIC 68",'Cost Breakdowns'!$B$217:$B$217))</f>
        <v>0</v>
      </c>
      <c r="AT6">
        <f>(SUMIF('Cost Breakdowns'!$D$217:$D$217,"ISIC 69T82",'Cost Breakdowns'!$B$217:$B$217))*'Factors applied'!$E$895</f>
        <v>0</v>
      </c>
      <c r="AU6">
        <f>(SUMIF('Cost Breakdowns'!$D$217:$D$217,"ISIC 69T82",'Cost Breakdowns'!$B$217:$B$217))*'Factors applied'!$E$896</f>
        <v>0</v>
      </c>
      <c r="AV6">
        <f>(SUMIF('Cost Breakdowns'!$D$217:$D$217,"ISIC 84",'Cost Breakdowns'!$B$217:$B$217))</f>
        <v>0</v>
      </c>
      <c r="AW6">
        <f>(SUMIF('Cost Breakdowns'!$D$217:$D$217,"ISIC 85",'Cost Breakdowns'!$B$217:$B$217))</f>
        <v>0</v>
      </c>
      <c r="AX6">
        <f>(SUMIF('Cost Breakdowns'!$D$217:$D$217,"ISIC 86T88",'Cost Breakdowns'!$B$217:$B$217))</f>
        <v>0</v>
      </c>
      <c r="AY6">
        <f>(SUMIF('Cost Breakdowns'!$D$217:$D$217,"ISIC 90T96",'Cost Breakdowns'!$B$217:$B$217))*'Factors applied'!$E$897</f>
        <v>0</v>
      </c>
      <c r="AZ6">
        <f>(SUMIF('Cost Breakdowns'!$D$217:$D$217,"ISIC 90T96",'Cost Breakdowns'!$B$217:$B$217))*'Factors applied'!$E$898</f>
        <v>0</v>
      </c>
      <c r="BA6">
        <f>(SUMIF('Cost Breakdowns'!$D$217:$D$217,"ISIC 97T98",'Cost Breakdowns'!$B$217:$B$217))</f>
        <v>0</v>
      </c>
    </row>
    <row r="7" spans="1:53" x14ac:dyDescent="0.25">
      <c r="A7" t="s">
        <v>58</v>
      </c>
      <c r="B7">
        <f>0*'Factors applied'!$E$1139</f>
        <v>0</v>
      </c>
      <c r="C7">
        <f>0*'Factors applied'!$E$1140</f>
        <v>0</v>
      </c>
      <c r="D7">
        <f>0*'Factors applied'!$E$1141</f>
        <v>0</v>
      </c>
      <c r="E7">
        <v>0</v>
      </c>
      <c r="F7">
        <v>0</v>
      </c>
      <c r="G7">
        <f>0*'Factors applied'!$E$1142</f>
        <v>0</v>
      </c>
      <c r="H7">
        <f>0*'Factors applied'!$E$1143</f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f>0*'Factors applied'!$E$1144</f>
        <v>0</v>
      </c>
      <c r="AB7">
        <f>0*'Factors applied'!$E$1145</f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f>0*'Factors applied'!$E$1146</f>
        <v>0</v>
      </c>
      <c r="AJ7">
        <f>0*'Factors applied'!$E$1147</f>
        <v>0</v>
      </c>
      <c r="AK7">
        <f>0*'Factors applied'!$E$1148</f>
        <v>0</v>
      </c>
      <c r="AL7">
        <f>0*'Factors applied'!$E$1149</f>
        <v>0</v>
      </c>
      <c r="AM7">
        <f>0*'Factors applied'!$E$1150</f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>0*'Factors applied'!$E$1151</f>
        <v>0</v>
      </c>
      <c r="AU7">
        <f>0*'Factors applied'!$E$1152</f>
        <v>0</v>
      </c>
      <c r="AV7">
        <v>0</v>
      </c>
      <c r="AW7">
        <v>0</v>
      </c>
      <c r="AX7">
        <v>0</v>
      </c>
      <c r="AY7">
        <f>0*'Factors applied'!$E$1153</f>
        <v>0</v>
      </c>
      <c r="AZ7">
        <f>0*'Factors applied'!$E$1154</f>
        <v>0</v>
      </c>
      <c r="BA7">
        <v>0</v>
      </c>
    </row>
    <row r="8" spans="1:53" x14ac:dyDescent="0.25">
      <c r="A8" t="s">
        <v>59</v>
      </c>
      <c r="B8">
        <f>0*'Factors applied'!$E$1107</f>
        <v>0</v>
      </c>
      <c r="C8">
        <f>0*'Factors applied'!$E$1108</f>
        <v>0</v>
      </c>
      <c r="D8">
        <f>0*'Factors applied'!$E$1109</f>
        <v>0</v>
      </c>
      <c r="E8">
        <v>0</v>
      </c>
      <c r="F8">
        <v>0</v>
      </c>
      <c r="G8">
        <f>0*'Factors applied'!$E$1110</f>
        <v>0</v>
      </c>
      <c r="H8">
        <f>0*'Factors applied'!$E$1111</f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f>0*'Factors applied'!$E$1112</f>
        <v>0</v>
      </c>
      <c r="AB8">
        <f>0*'Factors applied'!$E$1113</f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f>0*'Factors applied'!$E$1114</f>
        <v>0</v>
      </c>
      <c r="AJ8">
        <f>0*'Factors applied'!$E$1115</f>
        <v>0</v>
      </c>
      <c r="AK8">
        <f>0*'Factors applied'!$E$1116</f>
        <v>0</v>
      </c>
      <c r="AL8">
        <f>0*'Factors applied'!$E$1117</f>
        <v>0</v>
      </c>
      <c r="AM8">
        <f>0*'Factors applied'!$E$1118</f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>0*'Factors applied'!$E$1119</f>
        <v>0</v>
      </c>
      <c r="AU8">
        <f>0*'Factors applied'!$E$1120</f>
        <v>0</v>
      </c>
      <c r="AV8">
        <v>0</v>
      </c>
      <c r="AW8">
        <v>0</v>
      </c>
      <c r="AX8">
        <v>0</v>
      </c>
      <c r="AY8">
        <f>0*'Factors applied'!$E$1121</f>
        <v>0</v>
      </c>
      <c r="AZ8">
        <f>0*'Factors applied'!$E$1122</f>
        <v>0</v>
      </c>
      <c r="BA8">
        <v>0</v>
      </c>
    </row>
    <row r="9" spans="1:53" x14ac:dyDescent="0.25">
      <c r="A9" t="s">
        <v>60</v>
      </c>
      <c r="B9">
        <f>0*'Factors applied'!$E$1123</f>
        <v>0</v>
      </c>
      <c r="C9">
        <f>0*'Factors applied'!$E$1124</f>
        <v>0</v>
      </c>
      <c r="D9">
        <f>0*'Factors applied'!$E$1125</f>
        <v>0</v>
      </c>
      <c r="E9">
        <v>0</v>
      </c>
      <c r="F9">
        <v>0</v>
      </c>
      <c r="G9">
        <f>0*'Factors applied'!$E$1126</f>
        <v>0</v>
      </c>
      <c r="H9">
        <f>0*'Factors applied'!$E$1127</f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f>0*'Factors applied'!$E$1128</f>
        <v>0</v>
      </c>
      <c r="AB9">
        <f>0*'Factors applied'!$E$1129</f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f>0*'Factors applied'!$E$1130</f>
        <v>0</v>
      </c>
      <c r="AJ9">
        <f>0*'Factors applied'!$E$1131</f>
        <v>0</v>
      </c>
      <c r="AK9">
        <f>0*'Factors applied'!$E$1132</f>
        <v>0</v>
      </c>
      <c r="AL9">
        <f>0*'Factors applied'!$E$1133</f>
        <v>0</v>
      </c>
      <c r="AM9">
        <f>0*'Factors applied'!$E$1134</f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>0*'Factors applied'!$E$1135</f>
        <v>0</v>
      </c>
      <c r="AU9">
        <f>0*'Factors applied'!$E$1136</f>
        <v>0</v>
      </c>
      <c r="AV9">
        <v>0</v>
      </c>
      <c r="AW9">
        <v>0</v>
      </c>
      <c r="AX9">
        <v>0</v>
      </c>
      <c r="AY9">
        <f>0*'Factors applied'!$E$1137</f>
        <v>0</v>
      </c>
      <c r="AZ9">
        <f>0*'Factors applied'!$E$1138</f>
        <v>0</v>
      </c>
      <c r="BA9">
        <v>0</v>
      </c>
    </row>
    <row r="10" spans="1:53" x14ac:dyDescent="0.25">
      <c r="A10" t="s">
        <v>61</v>
      </c>
      <c r="B10">
        <f>(SUMIF('Cost Breakdowns'!$D$231:$D$233,"ISIC 01T03",'Cost Breakdowns'!$B$231:$B$233))*'Factors applied'!$E$771</f>
        <v>0</v>
      </c>
      <c r="C10">
        <f>(SUMIF('Cost Breakdowns'!$D$231:$D$233,"ISIC 01T03",'Cost Breakdowns'!$B$231:$B$233))*'Factors applied'!$E$772</f>
        <v>0</v>
      </c>
      <c r="D10">
        <f>(SUMIF('Cost Breakdowns'!$D$231:$D$233,"ISIC 01T03",'Cost Breakdowns'!$B$231:$B$233))*'Factors applied'!$E$773</f>
        <v>0</v>
      </c>
      <c r="E10">
        <f>(SUMIF('Cost Breakdowns'!$D$231:$D$233,"ISIC 05",'Cost Breakdowns'!$B$231:$B$233))</f>
        <v>0</v>
      </c>
      <c r="F10">
        <f>(SUMIF('Cost Breakdowns'!$D$231:$D$233,"ISIC 06",'Cost Breakdowns'!$B$231:$B$233))</f>
        <v>0</v>
      </c>
      <c r="G10">
        <f>(SUMIF('Cost Breakdowns'!$D$231:$D$233,"ISIC 07T08",'Cost Breakdowns'!$B$231:$B$233))*'Factors applied'!$E$774</f>
        <v>0</v>
      </c>
      <c r="H10">
        <f>(SUMIF('Cost Breakdowns'!$D$231:$D$233,"ISIC 07T08",'Cost Breakdowns'!$B$231:$B$233))*'Factors applied'!$E$775</f>
        <v>0</v>
      </c>
      <c r="I10">
        <f>(SUMIF('Cost Breakdowns'!$D$231:$D$233,"ISIC 09",'Cost Breakdowns'!$B$231:$B$233))</f>
        <v>0</v>
      </c>
      <c r="J10">
        <f>(SUMIF('Cost Breakdowns'!$D$231:$D$233,"ISIC 10T12",'Cost Breakdowns'!$B$231:$B$233))</f>
        <v>0</v>
      </c>
      <c r="K10">
        <f>(SUMIF('Cost Breakdowns'!$D$231:$D$233,"ISIC 13T15",'Cost Breakdowns'!$B$231:$B$233))</f>
        <v>0</v>
      </c>
      <c r="L10">
        <f>(SUMIF('Cost Breakdowns'!$D$231:$D$233,"ISIC 16",'Cost Breakdowns'!$B$231:$B$233))</f>
        <v>0</v>
      </c>
      <c r="M10">
        <f>(SUMIF('Cost Breakdowns'!$D$231:$D$233,"ISIC 17T18",'Cost Breakdowns'!$B$231:$B$233))</f>
        <v>0</v>
      </c>
      <c r="N10">
        <f>(SUMIF('Cost Breakdowns'!$D$231:$D$233,"ISIC 19",'Cost Breakdowns'!$B$231:$B$233))</f>
        <v>0</v>
      </c>
      <c r="O10">
        <f>(SUMIF('Cost Breakdowns'!$D$231:$D$233,"ISIC 20",'Cost Breakdowns'!$B$231:$B$233))</f>
        <v>0.73616786946062651</v>
      </c>
      <c r="P10">
        <f>(SUMIF('Cost Breakdowns'!$D$231:$D$233,"ISIC 21",'Cost Breakdowns'!$B$231:$B$233))</f>
        <v>0</v>
      </c>
      <c r="Q10">
        <f>(SUMIF('Cost Breakdowns'!$D$231:$D$233,"ISIC 22",'Cost Breakdowns'!$B$231:$B$233))</f>
        <v>0</v>
      </c>
      <c r="R10">
        <f>(SUMIF('Cost Breakdowns'!$D$231:$D$233,"ISIC 231",'Cost Breakdowns'!$B$231:$B$233))</f>
        <v>0</v>
      </c>
      <c r="S10">
        <f>(SUMIF('Cost Breakdowns'!$D$231:$D$233,"ISIC 239",'Cost Breakdowns'!$B$231:$B$233))</f>
        <v>0</v>
      </c>
      <c r="T10">
        <f>(SUMIF('Cost Breakdowns'!$D$231:$D$233,"ISIC 241",'Cost Breakdowns'!$B$231:$B$233))</f>
        <v>0</v>
      </c>
      <c r="U10">
        <f>(SUMIF('Cost Breakdowns'!$D$231:$D$233,"ISIC 242",'Cost Breakdowns'!$B$231:$B$233))</f>
        <v>0</v>
      </c>
      <c r="V10">
        <f>(SUMIF('Cost Breakdowns'!$D$231:$D$233,"ISIC 25",'Cost Breakdowns'!$B$231:$B$233))</f>
        <v>0</v>
      </c>
      <c r="W10">
        <f>(SUMIF('Cost Breakdowns'!$D$231:$D$233,"ISIC 26",'Cost Breakdowns'!$B$231:$B$233))</f>
        <v>0</v>
      </c>
      <c r="X10">
        <f>(SUMIF('Cost Breakdowns'!$D$231:$D$233,"ISIC 27",'Cost Breakdowns'!$B$231:$B$233))</f>
        <v>0</v>
      </c>
      <c r="Y10">
        <f>(SUMIF('Cost Breakdowns'!$D$231:$D$233,"ISIC 28",'Cost Breakdowns'!$B$231:$B$233))</f>
        <v>0</v>
      </c>
      <c r="Z10">
        <f>(SUMIF('Cost Breakdowns'!$D$231:$D$233,"ISIC 29",'Cost Breakdowns'!$B$231:$B$233))</f>
        <v>0</v>
      </c>
      <c r="AA10">
        <f>(SUMIF('Cost Breakdowns'!$D$231:$D$233,"ISIC 30",'Cost Breakdowns'!$B$231:$B$233))*'Factors applied'!$E$776</f>
        <v>0</v>
      </c>
      <c r="AB10">
        <f>(SUMIF('Cost Breakdowns'!$D$231:$D$233,"ISIC 30",'Cost Breakdowns'!$B$231:$B$233))*'Factors applied'!$E$777</f>
        <v>0</v>
      </c>
      <c r="AC10">
        <f>(SUMIF('Cost Breakdowns'!$D$231:$D$233,"ISIC 31T33",'Cost Breakdowns'!$B$231:$B$233))</f>
        <v>0</v>
      </c>
      <c r="AD10">
        <f>(SUMIF('Cost Breakdowns'!$D$231:$D$233,"ISIC 351",'Cost Breakdowns'!$B$231:$B$233))</f>
        <v>0</v>
      </c>
      <c r="AE10">
        <f>(SUMIF('Cost Breakdowns'!$D$231:$D$233,"ISIC 352T353",'Cost Breakdowns'!$B$231:$B$233))</f>
        <v>0</v>
      </c>
      <c r="AF10">
        <f>(SUMIF('Cost Breakdowns'!$D$231:$D$233,"ISIC 36T39",'Cost Breakdowns'!$B$231:$B$233))</f>
        <v>0.26383213053937338</v>
      </c>
      <c r="AG10">
        <f>(SUMIF('Cost Breakdowns'!$D$231:$D$233,"ISIC 41T43",'Cost Breakdowns'!$B$231:$B$233))</f>
        <v>0</v>
      </c>
      <c r="AH10">
        <f>(SUMIF('Cost Breakdowns'!$D$231:$D$233,"ISIC 45T47",'Cost Breakdowns'!$B$231:$B$233))</f>
        <v>0</v>
      </c>
      <c r="AI10">
        <f>(SUMIF('Cost Breakdowns'!$D$231:$D$233,"ISIC 49T53",'Cost Breakdowns'!$B$231:$B$233))*'Factors applied'!$E$778</f>
        <v>0</v>
      </c>
      <c r="AJ10">
        <f>(SUMIF('Cost Breakdowns'!$D$231:$D$233,"ISIC 49T53",'Cost Breakdowns'!$B$231:$B$233))*'Factors applied'!$E$779</f>
        <v>0</v>
      </c>
      <c r="AK10">
        <f>(SUMIF('Cost Breakdowns'!$D$231:$D$233,"ISIC 49T53",'Cost Breakdowns'!$B$231:$B$233))*'Factors applied'!$E$780</f>
        <v>0</v>
      </c>
      <c r="AL10">
        <f>(SUMIF('Cost Breakdowns'!$D$231:$D$233,"ISIC 49T53",'Cost Breakdowns'!$B$231:$B$233))*'Factors applied'!$E$781</f>
        <v>0</v>
      </c>
      <c r="AM10">
        <f>(SUMIF('Cost Breakdowns'!$D$231:$D$233,"ISIC 49T53",'Cost Breakdowns'!$B$231:$B$233))*'Factors applied'!$E$782</f>
        <v>0</v>
      </c>
      <c r="AN10">
        <f>(SUMIF('Cost Breakdowns'!$D$231:$D$233,"ISIC 55T56",'Cost Breakdowns'!$B$231:$B$233))</f>
        <v>0</v>
      </c>
      <c r="AO10">
        <f>(SUMIF('Cost Breakdowns'!$D$231:$D$233,"ISIC 58T60",'Cost Breakdowns'!$B$231:$B$233))</f>
        <v>0</v>
      </c>
      <c r="AP10">
        <f>(SUMIF('Cost Breakdowns'!$D$231:$D$233,"ISIC 61",'Cost Breakdowns'!$B$231:$B$233))</f>
        <v>0</v>
      </c>
      <c r="AQ10">
        <f>(SUMIF('Cost Breakdowns'!$D$231:$D$233,"ISIC 62T63",'Cost Breakdowns'!$B$231:$B$233))</f>
        <v>0</v>
      </c>
      <c r="AR10">
        <f>(SUMIF('Cost Breakdowns'!$D$231:$D$233,"ISIC 64T66",'Cost Breakdowns'!$B$231:$B$233))</f>
        <v>0</v>
      </c>
      <c r="AS10">
        <f>(SUMIF('Cost Breakdowns'!$D$231:$D$233,"ISIC 68",'Cost Breakdowns'!$B$231:$B$233))</f>
        <v>0</v>
      </c>
      <c r="AT10">
        <f>(SUMIF('Cost Breakdowns'!$D$231:$D$233,"ISIC 69T82",'Cost Breakdowns'!$B$231:$B$233))*'Factors applied'!$E$783</f>
        <v>0</v>
      </c>
      <c r="AU10">
        <f>(SUMIF('Cost Breakdowns'!$D$231:$D$233,"ISIC 69T82",'Cost Breakdowns'!$B$231:$B$233))*'Factors applied'!$E$784</f>
        <v>0</v>
      </c>
      <c r="AV10">
        <f>(SUMIF('Cost Breakdowns'!$D$231:$D$233,"ISIC 84",'Cost Breakdowns'!$B$231:$B$233))</f>
        <v>0</v>
      </c>
      <c r="AW10">
        <f>(SUMIF('Cost Breakdowns'!$D$231:$D$233,"ISIC 85",'Cost Breakdowns'!$B$231:$B$233))</f>
        <v>0</v>
      </c>
      <c r="AX10">
        <f>(SUMIF('Cost Breakdowns'!$D$231:$D$233,"ISIC 86T88",'Cost Breakdowns'!$B$231:$B$233))</f>
        <v>0</v>
      </c>
      <c r="AY10">
        <f>(SUMIF('Cost Breakdowns'!$D$231:$D$233,"ISIC 90T96",'Cost Breakdowns'!$B$231:$B$233))*'Factors applied'!$E$785</f>
        <v>0</v>
      </c>
      <c r="AZ10">
        <f>(SUMIF('Cost Breakdowns'!$D$231:$D$233,"ISIC 90T96",'Cost Breakdowns'!$B$231:$B$233))*'Factors applied'!$E$786</f>
        <v>0</v>
      </c>
      <c r="BA10">
        <f>(SUMIF('Cost Breakdowns'!$D$231:$D$233,"ISIC 97T98",'Cost Breakdowns'!$B$231:$B$233))</f>
        <v>0</v>
      </c>
    </row>
    <row r="11" spans="1:53" x14ac:dyDescent="0.25">
      <c r="A11" t="s">
        <v>62</v>
      </c>
      <c r="B11">
        <f>(SUMIF('Cost Breakdowns'!$D$313:$D$313,"ISIC 01T03",'Cost Breakdowns'!$B$313:$B$313))*'Factors applied'!$E$819</f>
        <v>0</v>
      </c>
      <c r="C11">
        <f>(SUMIF('Cost Breakdowns'!$D$313:$D$313,"ISIC 01T03",'Cost Breakdowns'!$B$313:$B$313))*'Factors applied'!$E$820</f>
        <v>0</v>
      </c>
      <c r="D11">
        <f>(SUMIF('Cost Breakdowns'!$D$313:$D$313,"ISIC 01T03",'Cost Breakdowns'!$B$313:$B$313))*'Factors applied'!$E$821</f>
        <v>0</v>
      </c>
      <c r="E11">
        <f>(SUMIF('Cost Breakdowns'!$D$313:$D$313,"ISIC 05",'Cost Breakdowns'!$B$313:$B$313))</f>
        <v>0</v>
      </c>
      <c r="F11">
        <f>(SUMIF('Cost Breakdowns'!$D$313:$D$313,"ISIC 06",'Cost Breakdowns'!$B$313:$B$313))</f>
        <v>0</v>
      </c>
      <c r="G11">
        <f>(SUMIF('Cost Breakdowns'!$D$313:$D$313,"ISIC 07T08",'Cost Breakdowns'!$B$313:$B$313))*'Factors applied'!$E$822</f>
        <v>0</v>
      </c>
      <c r="H11">
        <f>(SUMIF('Cost Breakdowns'!$D$313:$D$313,"ISIC 07T08",'Cost Breakdowns'!$B$313:$B$313))*'Factors applied'!$E$823</f>
        <v>0</v>
      </c>
      <c r="I11">
        <f>(SUMIF('Cost Breakdowns'!$D$313:$D$313,"ISIC 09",'Cost Breakdowns'!$B$313:$B$313))</f>
        <v>0</v>
      </c>
      <c r="J11">
        <f>(SUMIF('Cost Breakdowns'!$D$313:$D$313,"ISIC 10T12",'Cost Breakdowns'!$B$313:$B$313))</f>
        <v>0</v>
      </c>
      <c r="K11">
        <f>(SUMIF('Cost Breakdowns'!$D$313:$D$313,"ISIC 13T15",'Cost Breakdowns'!$B$313:$B$313))</f>
        <v>0</v>
      </c>
      <c r="L11">
        <f>(SUMIF('Cost Breakdowns'!$D$313:$D$313,"ISIC 16",'Cost Breakdowns'!$B$313:$B$313))</f>
        <v>0</v>
      </c>
      <c r="M11">
        <f>(SUMIF('Cost Breakdowns'!$D$313:$D$313,"ISIC 17T18",'Cost Breakdowns'!$B$313:$B$313))</f>
        <v>0</v>
      </c>
      <c r="N11">
        <f>(SUMIF('Cost Breakdowns'!$D$313:$D$313,"ISIC 19",'Cost Breakdowns'!$B$313:$B$313))</f>
        <v>0</v>
      </c>
      <c r="O11">
        <f>(SUMIF('Cost Breakdowns'!$D$313:$D$313,"ISIC 20",'Cost Breakdowns'!$B$313:$B$313))</f>
        <v>0</v>
      </c>
      <c r="P11">
        <f>(SUMIF('Cost Breakdowns'!$D$313:$D$313,"ISIC 21",'Cost Breakdowns'!$B$313:$B$313))</f>
        <v>0</v>
      </c>
      <c r="Q11">
        <f>(SUMIF('Cost Breakdowns'!$D$313:$D$313,"ISIC 22",'Cost Breakdowns'!$B$313:$B$313))</f>
        <v>0</v>
      </c>
      <c r="R11">
        <f>(SUMIF('Cost Breakdowns'!$D$313:$D$313,"ISIC 231",'Cost Breakdowns'!$B$313:$B$313))</f>
        <v>0</v>
      </c>
      <c r="S11">
        <f>(SUMIF('Cost Breakdowns'!$D$313:$D$313,"ISIC 239",'Cost Breakdowns'!$B$313:$B$313))</f>
        <v>0</v>
      </c>
      <c r="T11">
        <f>(SUMIF('Cost Breakdowns'!$D$313:$D$313,"ISIC 241",'Cost Breakdowns'!$B$313:$B$313))</f>
        <v>0</v>
      </c>
      <c r="U11">
        <f>(SUMIF('Cost Breakdowns'!$D$313:$D$313,"ISIC 242",'Cost Breakdowns'!$B$313:$B$313))</f>
        <v>0</v>
      </c>
      <c r="V11">
        <f>(SUMIF('Cost Breakdowns'!$D$313:$D$313,"ISIC 25",'Cost Breakdowns'!$B$313:$B$313))</f>
        <v>0</v>
      </c>
      <c r="W11">
        <f>(SUMIF('Cost Breakdowns'!$D$313:$D$313,"ISIC 26",'Cost Breakdowns'!$B$313:$B$313))</f>
        <v>0</v>
      </c>
      <c r="X11">
        <f>(SUMIF('Cost Breakdowns'!$D$313:$D$313,"ISIC 27",'Cost Breakdowns'!$B$313:$B$313))</f>
        <v>0</v>
      </c>
      <c r="Y11">
        <f>(SUMIF('Cost Breakdowns'!$D$313:$D$313,"ISIC 28",'Cost Breakdowns'!$B$313:$B$313))</f>
        <v>0</v>
      </c>
      <c r="Z11">
        <f>(SUMIF('Cost Breakdowns'!$D$313:$D$313,"ISIC 29",'Cost Breakdowns'!$B$313:$B$313))</f>
        <v>0</v>
      </c>
      <c r="AA11">
        <f>(SUMIF('Cost Breakdowns'!$D$313:$D$313,"ISIC 30",'Cost Breakdowns'!$B$313:$B$313))*'Factors applied'!$E$824</f>
        <v>0</v>
      </c>
      <c r="AB11">
        <f>(SUMIF('Cost Breakdowns'!$D$313:$D$313,"ISIC 30",'Cost Breakdowns'!$B$313:$B$313))*'Factors applied'!$E$825</f>
        <v>0</v>
      </c>
      <c r="AC11">
        <f>(SUMIF('Cost Breakdowns'!$D$313:$D$313,"ISIC 31T33",'Cost Breakdowns'!$B$313:$B$313))</f>
        <v>0</v>
      </c>
      <c r="AD11">
        <f>(SUMIF('Cost Breakdowns'!$D$313:$D$313,"ISIC 351",'Cost Breakdowns'!$B$313:$B$313))</f>
        <v>0</v>
      </c>
      <c r="AE11">
        <f>(SUMIF('Cost Breakdowns'!$D$313:$D$313,"ISIC 352T353",'Cost Breakdowns'!$B$313:$B$313))</f>
        <v>0</v>
      </c>
      <c r="AF11">
        <f>(SUMIF('Cost Breakdowns'!$D$313:$D$313,"ISIC 36T39",'Cost Breakdowns'!$B$313:$B$313))</f>
        <v>1</v>
      </c>
      <c r="AG11">
        <f>(SUMIF('Cost Breakdowns'!$D$313:$D$313,"ISIC 41T43",'Cost Breakdowns'!$B$313:$B$313))</f>
        <v>0</v>
      </c>
      <c r="AH11">
        <f>(SUMIF('Cost Breakdowns'!$D$313:$D$313,"ISIC 45T47",'Cost Breakdowns'!$B$313:$B$313))</f>
        <v>0</v>
      </c>
      <c r="AI11">
        <f>(SUMIF('Cost Breakdowns'!$D$313:$D$313,"ISIC 49T53",'Cost Breakdowns'!$B$313:$B$313))*'Factors applied'!$E$826</f>
        <v>0</v>
      </c>
      <c r="AJ11">
        <f>(SUMIF('Cost Breakdowns'!$D$313:$D$313,"ISIC 49T53",'Cost Breakdowns'!$B$313:$B$313))*'Factors applied'!$E$827</f>
        <v>0</v>
      </c>
      <c r="AK11">
        <f>(SUMIF('Cost Breakdowns'!$D$313:$D$313,"ISIC 49T53",'Cost Breakdowns'!$B$313:$B$313))*'Factors applied'!$E$828</f>
        <v>0</v>
      </c>
      <c r="AL11">
        <f>(SUMIF('Cost Breakdowns'!$D$313:$D$313,"ISIC 49T53",'Cost Breakdowns'!$B$313:$B$313))*'Factors applied'!$E$829</f>
        <v>0</v>
      </c>
      <c r="AM11">
        <f>(SUMIF('Cost Breakdowns'!$D$313:$D$313,"ISIC 49T53",'Cost Breakdowns'!$B$313:$B$313))*'Factors applied'!$E$830</f>
        <v>0</v>
      </c>
      <c r="AN11">
        <f>(SUMIF('Cost Breakdowns'!$D$313:$D$313,"ISIC 55T56",'Cost Breakdowns'!$B$313:$B$313))</f>
        <v>0</v>
      </c>
      <c r="AO11">
        <f>(SUMIF('Cost Breakdowns'!$D$313:$D$313,"ISIC 58T60",'Cost Breakdowns'!$B$313:$B$313))</f>
        <v>0</v>
      </c>
      <c r="AP11">
        <f>(SUMIF('Cost Breakdowns'!$D$313:$D$313,"ISIC 61",'Cost Breakdowns'!$B$313:$B$313))</f>
        <v>0</v>
      </c>
      <c r="AQ11">
        <f>(SUMIF('Cost Breakdowns'!$D$313:$D$313,"ISIC 62T63",'Cost Breakdowns'!$B$313:$B$313))</f>
        <v>0</v>
      </c>
      <c r="AR11">
        <f>(SUMIF('Cost Breakdowns'!$D$313:$D$313,"ISIC 64T66",'Cost Breakdowns'!$B$313:$B$313))</f>
        <v>0</v>
      </c>
      <c r="AS11">
        <f>(SUMIF('Cost Breakdowns'!$D$313:$D$313,"ISIC 68",'Cost Breakdowns'!$B$313:$B$313))</f>
        <v>0</v>
      </c>
      <c r="AT11">
        <f>(SUMIF('Cost Breakdowns'!$D$313:$D$313,"ISIC 69T82",'Cost Breakdowns'!$B$313:$B$313))*'Factors applied'!$E$831</f>
        <v>0</v>
      </c>
      <c r="AU11">
        <f>(SUMIF('Cost Breakdowns'!$D$313:$D$313,"ISIC 69T82",'Cost Breakdowns'!$B$313:$B$313))*'Factors applied'!$E$832</f>
        <v>0</v>
      </c>
      <c r="AV11">
        <f>(SUMIF('Cost Breakdowns'!$D$313:$D$313,"ISIC 84",'Cost Breakdowns'!$B$313:$B$313))</f>
        <v>0</v>
      </c>
      <c r="AW11">
        <f>(SUMIF('Cost Breakdowns'!$D$313:$D$313,"ISIC 85",'Cost Breakdowns'!$B$313:$B$313))</f>
        <v>0</v>
      </c>
      <c r="AX11">
        <f>(SUMIF('Cost Breakdowns'!$D$313:$D$313,"ISIC 86T88",'Cost Breakdowns'!$B$313:$B$313))</f>
        <v>0</v>
      </c>
      <c r="AY11">
        <f>(SUMIF('Cost Breakdowns'!$D$313:$D$313,"ISIC 90T96",'Cost Breakdowns'!$B$313:$B$313))*'Factors applied'!$E$833</f>
        <v>0</v>
      </c>
      <c r="AZ11">
        <f>(SUMIF('Cost Breakdowns'!$D$313:$D$313,"ISIC 90T96",'Cost Breakdowns'!$B$313:$B$313))*'Factors applied'!$E$834</f>
        <v>0</v>
      </c>
      <c r="BA11">
        <f>(SUMIF('Cost Breakdowns'!$D$313:$D$313,"ISIC 97T98",'Cost Breakdowns'!$B$313:$B$313))</f>
        <v>0</v>
      </c>
    </row>
    <row r="12" spans="1:53" x14ac:dyDescent="0.25">
      <c r="A12" t="s">
        <v>63</v>
      </c>
      <c r="B12">
        <f>((SUMIF('Cost Breakdowns'!$D$140:$D$142,"ISIC 01T03",'Cost Breakdowns'!$B$140:$B$142)))*'Factors applied'!$E$1075</f>
        <v>0</v>
      </c>
      <c r="C12">
        <f>((SUMIF('Cost Breakdowns'!$D$140:$D$142,"ISIC 01T03",'Cost Breakdowns'!$B$140:$B$142)))*'Factors applied'!$E$1076</f>
        <v>0</v>
      </c>
      <c r="D12">
        <f>((SUMIF('Cost Breakdowns'!$D$140:$D$142,"ISIC 01T03",'Cost Breakdowns'!$B$140:$B$142)))*'Factors applied'!$E$1077</f>
        <v>0</v>
      </c>
      <c r="E12">
        <f>((SUMIF('Cost Breakdowns'!$D$140:$D$142,"ISIC 05",'Cost Breakdowns'!$B$140:$B$142)))</f>
        <v>0</v>
      </c>
      <c r="F12">
        <f>((SUMIF('Cost Breakdowns'!$D$140:$D$142,"ISIC 06",'Cost Breakdowns'!$B$140:$B$142)))</f>
        <v>0</v>
      </c>
      <c r="G12">
        <f>((SUMIF('Cost Breakdowns'!$D$140:$D$142,"ISIC 07T08",'Cost Breakdowns'!$B$140:$B$142)))*'Factors applied'!$E$1078</f>
        <v>0</v>
      </c>
      <c r="H12">
        <f>((SUMIF('Cost Breakdowns'!$D$140:$D$142,"ISIC 07T08",'Cost Breakdowns'!$B$140:$B$142)))*'Factors applied'!$E$1079</f>
        <v>0</v>
      </c>
      <c r="I12">
        <f>((SUMIF('Cost Breakdowns'!$D$140:$D$142,"ISIC 09",'Cost Breakdowns'!$B$140:$B$142)))</f>
        <v>0</v>
      </c>
      <c r="J12">
        <f>((SUMIF('Cost Breakdowns'!$D$140:$D$142,"ISIC 10T12",'Cost Breakdowns'!$B$140:$B$142)))</f>
        <v>0</v>
      </c>
      <c r="K12">
        <f>((SUMIF('Cost Breakdowns'!$D$140:$D$142,"ISIC 13T15",'Cost Breakdowns'!$B$140:$B$142)))</f>
        <v>0</v>
      </c>
      <c r="L12">
        <f>((SUMIF('Cost Breakdowns'!$D$140:$D$142,"ISIC 16",'Cost Breakdowns'!$B$140:$B$142)))</f>
        <v>0</v>
      </c>
      <c r="M12">
        <f>((SUMIF('Cost Breakdowns'!$D$140:$D$142,"ISIC 17T18",'Cost Breakdowns'!$B$140:$B$142)))</f>
        <v>0</v>
      </c>
      <c r="N12">
        <f>((SUMIF('Cost Breakdowns'!$D$140:$D$142,"ISIC 19",'Cost Breakdowns'!$B$140:$B$142)))</f>
        <v>0</v>
      </c>
      <c r="O12">
        <f>((SUMIF('Cost Breakdowns'!$D$140:$D$142,"ISIC 20",'Cost Breakdowns'!$B$140:$B$142)))</f>
        <v>0.10344827586206901</v>
      </c>
      <c r="P12">
        <f>((SUMIF('Cost Breakdowns'!$D$140:$D$142,"ISIC 21",'Cost Breakdowns'!$B$140:$B$142)))</f>
        <v>0</v>
      </c>
      <c r="Q12">
        <f>((SUMIF('Cost Breakdowns'!$D$140:$D$142,"ISIC 22",'Cost Breakdowns'!$B$140:$B$142)))</f>
        <v>0</v>
      </c>
      <c r="R12">
        <f>((SUMIF('Cost Breakdowns'!$D$140:$D$142,"ISIC 231",'Cost Breakdowns'!$B$140:$B$142)))</f>
        <v>0</v>
      </c>
      <c r="S12">
        <f>((SUMIF('Cost Breakdowns'!$D$140:$D$142,"ISIC 239",'Cost Breakdowns'!$B$140:$B$142)))</f>
        <v>0</v>
      </c>
      <c r="T12">
        <f>((SUMIF('Cost Breakdowns'!$D$140:$D$142,"ISIC 241",'Cost Breakdowns'!$B$140:$B$142)))</f>
        <v>0</v>
      </c>
      <c r="U12">
        <f>((SUMIF('Cost Breakdowns'!$D$140:$D$142,"ISIC 242",'Cost Breakdowns'!$B$140:$B$142)))</f>
        <v>0</v>
      </c>
      <c r="V12">
        <f>((SUMIF('Cost Breakdowns'!$D$140:$D$142,"ISIC 25",'Cost Breakdowns'!$B$140:$B$142)))</f>
        <v>0</v>
      </c>
      <c r="W12">
        <f>((SUMIF('Cost Breakdowns'!$D$140:$D$142,"ISIC 26",'Cost Breakdowns'!$B$140:$B$142)))</f>
        <v>0</v>
      </c>
      <c r="X12">
        <f>((SUMIF('Cost Breakdowns'!$D$140:$D$142,"ISIC 27",'Cost Breakdowns'!$B$140:$B$142)))</f>
        <v>0</v>
      </c>
      <c r="Y12">
        <f>((SUMIF('Cost Breakdowns'!$D$140:$D$142,"ISIC 28",'Cost Breakdowns'!$B$140:$B$142)))</f>
        <v>0</v>
      </c>
      <c r="Z12">
        <f>((SUMIF('Cost Breakdowns'!$D$140:$D$142,"ISIC 29",'Cost Breakdowns'!$B$140:$B$142)))</f>
        <v>0</v>
      </c>
      <c r="AA12">
        <f>((SUMIF('Cost Breakdowns'!$D$140:$D$142,"ISIC 30",'Cost Breakdowns'!$B$140:$B$142)))*'Factors applied'!$E$1080</f>
        <v>0</v>
      </c>
      <c r="AB12">
        <f>((SUMIF('Cost Breakdowns'!$D$140:$D$142,"ISIC 30",'Cost Breakdowns'!$B$140:$B$142)))*'Factors applied'!$E$1081</f>
        <v>0</v>
      </c>
      <c r="AC12">
        <f>((SUMIF('Cost Breakdowns'!$D$140:$D$142,"ISIC 31T33",'Cost Breakdowns'!$B$140:$B$142)))</f>
        <v>0.84482758620689657</v>
      </c>
      <c r="AD12">
        <f>((SUMIF('Cost Breakdowns'!$D$140:$D$142,"ISIC 351",'Cost Breakdowns'!$B$140:$B$142)))</f>
        <v>0</v>
      </c>
      <c r="AE12">
        <f>((SUMIF('Cost Breakdowns'!$D$140:$D$142,"ISIC 352T353",'Cost Breakdowns'!$B$140:$B$142)))</f>
        <v>0</v>
      </c>
      <c r="AF12">
        <f>((SUMIF('Cost Breakdowns'!$D$140:$D$142,"ISIC 36T39",'Cost Breakdowns'!$B$140:$B$142)))</f>
        <v>5.1724137931034482E-2</v>
      </c>
      <c r="AG12">
        <f>((SUMIF('Cost Breakdowns'!$D$140:$D$142,"ISIC 41T43",'Cost Breakdowns'!$B$140:$B$142)))</f>
        <v>0</v>
      </c>
      <c r="AH12">
        <f>((SUMIF('Cost Breakdowns'!$D$140:$D$142,"ISIC 45T47",'Cost Breakdowns'!$B$140:$B$142)))</f>
        <v>0</v>
      </c>
      <c r="AI12">
        <f>((SUMIF('Cost Breakdowns'!$D$140:$D$142,"ISIC 49T53",'Cost Breakdowns'!$B$140:$B$142)))*'Factors applied'!$E$1082</f>
        <v>0</v>
      </c>
      <c r="AJ12">
        <f>((SUMIF('Cost Breakdowns'!$D$140:$D$142,"ISIC 49T53",'Cost Breakdowns'!$B$140:$B$142)))*'Factors applied'!$E$1083</f>
        <v>0</v>
      </c>
      <c r="AK12">
        <f>((SUMIF('Cost Breakdowns'!$D$140:$D$142,"ISIC 49T53",'Cost Breakdowns'!$B$140:$B$142)))*'Factors applied'!$E$1084</f>
        <v>0</v>
      </c>
      <c r="AL12">
        <f>((SUMIF('Cost Breakdowns'!$D$140:$D$142,"ISIC 49T53",'Cost Breakdowns'!$B$140:$B$142)))*'Factors applied'!$E$1085</f>
        <v>0</v>
      </c>
      <c r="AM12">
        <f>((SUMIF('Cost Breakdowns'!$D$140:$D$142,"ISIC 49T53",'Cost Breakdowns'!$B$140:$B$142)))*'Factors applied'!$E$1086</f>
        <v>0</v>
      </c>
      <c r="AN12">
        <f>((SUMIF('Cost Breakdowns'!$D$140:$D$142,"ISIC 55T56",'Cost Breakdowns'!$B$140:$B$142)))</f>
        <v>0</v>
      </c>
      <c r="AO12">
        <f>((SUMIF('Cost Breakdowns'!$D$140:$D$142,"ISIC 58T60",'Cost Breakdowns'!$B$140:$B$142)))</f>
        <v>0</v>
      </c>
      <c r="AP12">
        <f>((SUMIF('Cost Breakdowns'!$D$140:$D$142,"ISIC 61",'Cost Breakdowns'!$B$140:$B$142)))</f>
        <v>0</v>
      </c>
      <c r="AQ12">
        <f>((SUMIF('Cost Breakdowns'!$D$140:$D$142,"ISIC 62T63",'Cost Breakdowns'!$B$140:$B$142)))</f>
        <v>0</v>
      </c>
      <c r="AR12">
        <f>((SUMIF('Cost Breakdowns'!$D$140:$D$142,"ISIC 64T66",'Cost Breakdowns'!$B$140:$B$142)))</f>
        <v>0</v>
      </c>
      <c r="AS12">
        <f>((SUMIF('Cost Breakdowns'!$D$140:$D$142,"ISIC 68",'Cost Breakdowns'!$B$140:$B$142)))</f>
        <v>0</v>
      </c>
      <c r="AT12">
        <f>((SUMIF('Cost Breakdowns'!$D$140:$D$142,"ISIC 69T82",'Cost Breakdowns'!$B$140:$B$142)))*'Factors applied'!$E$1087</f>
        <v>0</v>
      </c>
      <c r="AU12">
        <f>((SUMIF('Cost Breakdowns'!$D$140:$D$142,"ISIC 69T82",'Cost Breakdowns'!$B$140:$B$142)))*'Factors applied'!$E$1088</f>
        <v>0</v>
      </c>
      <c r="AV12">
        <f>((SUMIF('Cost Breakdowns'!$D$140:$D$142,"ISIC 84",'Cost Breakdowns'!$B$140:$B$142)))</f>
        <v>0</v>
      </c>
      <c r="AW12">
        <f>((SUMIF('Cost Breakdowns'!$D$140:$D$142,"ISIC 85",'Cost Breakdowns'!$B$140:$B$142)))</f>
        <v>0</v>
      </c>
      <c r="AX12">
        <f>((SUMIF('Cost Breakdowns'!$D$140:$D$142,"ISIC 86T88",'Cost Breakdowns'!$B$140:$B$142)))</f>
        <v>0</v>
      </c>
      <c r="AY12">
        <f>((SUMIF('Cost Breakdowns'!$D$140:$D$142,"ISIC 90T96",'Cost Breakdowns'!$B$140:$B$142)))*'Factors applied'!$E$1089</f>
        <v>0</v>
      </c>
      <c r="AZ12">
        <f>((SUMIF('Cost Breakdowns'!$D$140:$D$142,"ISIC 90T96",'Cost Breakdowns'!$B$140:$B$142)))*'Factors applied'!$E$1090</f>
        <v>0</v>
      </c>
      <c r="BA12">
        <f>((SUMIF('Cost Breakdowns'!$D$140:$D$142,"ISIC 97T98",'Cost Breakdowns'!$B$140:$B$142)))</f>
        <v>0</v>
      </c>
    </row>
    <row r="13" spans="1:53" x14ac:dyDescent="0.25">
      <c r="A13" t="s">
        <v>64</v>
      </c>
      <c r="B13">
        <f>((SUMIF('Cost Breakdowns'!$D$140:$D$142,"ISIC 01T03",'Cost Breakdowns'!$B$140:$B$142)))*'Factors applied'!$E$1011</f>
        <v>0</v>
      </c>
      <c r="C13">
        <f>((SUMIF('Cost Breakdowns'!$D$140:$D$142,"ISIC 01T03",'Cost Breakdowns'!$B$140:$B$142)))*'Factors applied'!$E$1012</f>
        <v>0</v>
      </c>
      <c r="D13">
        <f>((SUMIF('Cost Breakdowns'!$D$140:$D$142,"ISIC 01T03",'Cost Breakdowns'!$B$140:$B$142)))*'Factors applied'!$E$1013</f>
        <v>0</v>
      </c>
      <c r="E13">
        <f>((SUMIF('Cost Breakdowns'!$D$140:$D$142,"ISIC 05",'Cost Breakdowns'!$B$140:$B$142)))</f>
        <v>0</v>
      </c>
      <c r="F13">
        <f>((SUMIF('Cost Breakdowns'!$D$140:$D$142,"ISIC 06",'Cost Breakdowns'!$B$140:$B$142)))</f>
        <v>0</v>
      </c>
      <c r="G13">
        <f>((SUMIF('Cost Breakdowns'!$D$140:$D$142,"ISIC 07T08",'Cost Breakdowns'!$B$140:$B$142)))*'Factors applied'!$E$1014</f>
        <v>0</v>
      </c>
      <c r="H13">
        <f>((SUMIF('Cost Breakdowns'!$D$140:$D$142,"ISIC 07T08",'Cost Breakdowns'!$B$140:$B$142)))*'Factors applied'!$E$1015</f>
        <v>0</v>
      </c>
      <c r="I13">
        <f>((SUMIF('Cost Breakdowns'!$D$140:$D$142,"ISIC 09",'Cost Breakdowns'!$B$140:$B$142)))</f>
        <v>0</v>
      </c>
      <c r="J13">
        <f>((SUMIF('Cost Breakdowns'!$D$140:$D$142,"ISIC 10T12",'Cost Breakdowns'!$B$140:$B$142)))</f>
        <v>0</v>
      </c>
      <c r="K13">
        <f>((SUMIF('Cost Breakdowns'!$D$140:$D$142,"ISIC 13T15",'Cost Breakdowns'!$B$140:$B$142)))</f>
        <v>0</v>
      </c>
      <c r="L13">
        <f>((SUMIF('Cost Breakdowns'!$D$140:$D$142,"ISIC 16",'Cost Breakdowns'!$B$140:$B$142)))</f>
        <v>0</v>
      </c>
      <c r="M13">
        <f>((SUMIF('Cost Breakdowns'!$D$140:$D$142,"ISIC 17T18",'Cost Breakdowns'!$B$140:$B$142)))</f>
        <v>0</v>
      </c>
      <c r="N13">
        <f>((SUMIF('Cost Breakdowns'!$D$140:$D$142,"ISIC 19",'Cost Breakdowns'!$B$140:$B$142)))</f>
        <v>0</v>
      </c>
      <c r="O13">
        <f>((SUMIF('Cost Breakdowns'!$D$140:$D$142,"ISIC 20",'Cost Breakdowns'!$B$140:$B$142)))</f>
        <v>0.10344827586206901</v>
      </c>
      <c r="P13">
        <f>((SUMIF('Cost Breakdowns'!$D$140:$D$142,"ISIC 21",'Cost Breakdowns'!$B$140:$B$142)))</f>
        <v>0</v>
      </c>
      <c r="Q13">
        <f>((SUMIF('Cost Breakdowns'!$D$140:$D$142,"ISIC 22",'Cost Breakdowns'!$B$140:$B$142)))</f>
        <v>0</v>
      </c>
      <c r="R13">
        <f>((SUMIF('Cost Breakdowns'!$D$140:$D$142,"ISIC 231",'Cost Breakdowns'!$B$140:$B$142)))</f>
        <v>0</v>
      </c>
      <c r="S13">
        <f>((SUMIF('Cost Breakdowns'!$D$140:$D$142,"ISIC 239",'Cost Breakdowns'!$B$140:$B$142)))</f>
        <v>0</v>
      </c>
      <c r="T13">
        <f>((SUMIF('Cost Breakdowns'!$D$140:$D$142,"ISIC 241",'Cost Breakdowns'!$B$140:$B$142)))</f>
        <v>0</v>
      </c>
      <c r="U13">
        <f>((SUMIF('Cost Breakdowns'!$D$140:$D$142,"ISIC 242",'Cost Breakdowns'!$B$140:$B$142)))</f>
        <v>0</v>
      </c>
      <c r="V13">
        <f>((SUMIF('Cost Breakdowns'!$D$140:$D$142,"ISIC 25",'Cost Breakdowns'!$B$140:$B$142)))</f>
        <v>0</v>
      </c>
      <c r="W13">
        <f>((SUMIF('Cost Breakdowns'!$D$140:$D$142,"ISIC 26",'Cost Breakdowns'!$B$140:$B$142)))</f>
        <v>0</v>
      </c>
      <c r="X13">
        <f>((SUMIF('Cost Breakdowns'!$D$140:$D$142,"ISIC 27",'Cost Breakdowns'!$B$140:$B$142)))</f>
        <v>0</v>
      </c>
      <c r="Y13">
        <f>((SUMIF('Cost Breakdowns'!$D$140:$D$142,"ISIC 28",'Cost Breakdowns'!$B$140:$B$142)))</f>
        <v>0</v>
      </c>
      <c r="Z13">
        <f>((SUMIF('Cost Breakdowns'!$D$140:$D$142,"ISIC 29",'Cost Breakdowns'!$B$140:$B$142)))</f>
        <v>0</v>
      </c>
      <c r="AA13">
        <f>((SUMIF('Cost Breakdowns'!$D$140:$D$142,"ISIC 30",'Cost Breakdowns'!$B$140:$B$142)))*'Factors applied'!$E$1016</f>
        <v>0</v>
      </c>
      <c r="AB13">
        <f>((SUMIF('Cost Breakdowns'!$D$140:$D$142,"ISIC 30",'Cost Breakdowns'!$B$140:$B$142)))*'Factors applied'!$E$1017</f>
        <v>0</v>
      </c>
      <c r="AC13">
        <f>((SUMIF('Cost Breakdowns'!$D$140:$D$142,"ISIC 31T33",'Cost Breakdowns'!$B$140:$B$142)))</f>
        <v>0.84482758620689657</v>
      </c>
      <c r="AD13">
        <f>((SUMIF('Cost Breakdowns'!$D$140:$D$142,"ISIC 351",'Cost Breakdowns'!$B$140:$B$142)))</f>
        <v>0</v>
      </c>
      <c r="AE13">
        <f>((SUMIF('Cost Breakdowns'!$D$140:$D$142,"ISIC 352T353",'Cost Breakdowns'!$B$140:$B$142)))</f>
        <v>0</v>
      </c>
      <c r="AF13">
        <f>((SUMIF('Cost Breakdowns'!$D$140:$D$142,"ISIC 36T39",'Cost Breakdowns'!$B$140:$B$142)))</f>
        <v>5.1724137931034482E-2</v>
      </c>
      <c r="AG13">
        <f>((SUMIF('Cost Breakdowns'!$D$140:$D$142,"ISIC 41T43",'Cost Breakdowns'!$B$140:$B$142)))</f>
        <v>0</v>
      </c>
      <c r="AH13">
        <f>((SUMIF('Cost Breakdowns'!$D$140:$D$142,"ISIC 45T47",'Cost Breakdowns'!$B$140:$B$142)))</f>
        <v>0</v>
      </c>
      <c r="AI13">
        <f>((SUMIF('Cost Breakdowns'!$D$140:$D$142,"ISIC 49T53",'Cost Breakdowns'!$B$140:$B$142)))*'Factors applied'!$E$1018</f>
        <v>0</v>
      </c>
      <c r="AJ13">
        <f>((SUMIF('Cost Breakdowns'!$D$140:$D$142,"ISIC 49T53",'Cost Breakdowns'!$B$140:$B$142)))*'Factors applied'!$E$1019</f>
        <v>0</v>
      </c>
      <c r="AK13">
        <f>((SUMIF('Cost Breakdowns'!$D$140:$D$142,"ISIC 49T53",'Cost Breakdowns'!$B$140:$B$142)))*'Factors applied'!$E$1020</f>
        <v>0</v>
      </c>
      <c r="AL13">
        <f>((SUMIF('Cost Breakdowns'!$D$140:$D$142,"ISIC 49T53",'Cost Breakdowns'!$B$140:$B$142)))*'Factors applied'!$E$1021</f>
        <v>0</v>
      </c>
      <c r="AM13">
        <f>((SUMIF('Cost Breakdowns'!$D$140:$D$142,"ISIC 49T53",'Cost Breakdowns'!$B$140:$B$142)))*'Factors applied'!$E$1022</f>
        <v>0</v>
      </c>
      <c r="AN13">
        <f>((SUMIF('Cost Breakdowns'!$D$140:$D$142,"ISIC 55T56",'Cost Breakdowns'!$B$140:$B$142)))</f>
        <v>0</v>
      </c>
      <c r="AO13">
        <f>((SUMIF('Cost Breakdowns'!$D$140:$D$142,"ISIC 58T60",'Cost Breakdowns'!$B$140:$B$142)))</f>
        <v>0</v>
      </c>
      <c r="AP13">
        <f>((SUMIF('Cost Breakdowns'!$D$140:$D$142,"ISIC 61",'Cost Breakdowns'!$B$140:$B$142)))</f>
        <v>0</v>
      </c>
      <c r="AQ13">
        <f>((SUMIF('Cost Breakdowns'!$D$140:$D$142,"ISIC 62T63",'Cost Breakdowns'!$B$140:$B$142)))</f>
        <v>0</v>
      </c>
      <c r="AR13">
        <f>((SUMIF('Cost Breakdowns'!$D$140:$D$142,"ISIC 64T66",'Cost Breakdowns'!$B$140:$B$142)))</f>
        <v>0</v>
      </c>
      <c r="AS13">
        <f>((SUMIF('Cost Breakdowns'!$D$140:$D$142,"ISIC 68",'Cost Breakdowns'!$B$140:$B$142)))</f>
        <v>0</v>
      </c>
      <c r="AT13">
        <f>((SUMIF('Cost Breakdowns'!$D$140:$D$142,"ISIC 69T82",'Cost Breakdowns'!$B$140:$B$142)))*'Factors applied'!$E$1023</f>
        <v>0</v>
      </c>
      <c r="AU13">
        <f>((SUMIF('Cost Breakdowns'!$D$140:$D$142,"ISIC 69T82",'Cost Breakdowns'!$B$140:$B$142)))*'Factors applied'!$E$1024</f>
        <v>0</v>
      </c>
      <c r="AV13">
        <f>((SUMIF('Cost Breakdowns'!$D$140:$D$142,"ISIC 84",'Cost Breakdowns'!$B$140:$B$142)))</f>
        <v>0</v>
      </c>
      <c r="AW13">
        <f>((SUMIF('Cost Breakdowns'!$D$140:$D$142,"ISIC 85",'Cost Breakdowns'!$B$140:$B$142)))</f>
        <v>0</v>
      </c>
      <c r="AX13">
        <f>((SUMIF('Cost Breakdowns'!$D$140:$D$142,"ISIC 86T88",'Cost Breakdowns'!$B$140:$B$142)))</f>
        <v>0</v>
      </c>
      <c r="AY13">
        <f>((SUMIF('Cost Breakdowns'!$D$140:$D$142,"ISIC 90T96",'Cost Breakdowns'!$B$140:$B$142)))*'Factors applied'!$E$1025</f>
        <v>0</v>
      </c>
      <c r="AZ13">
        <f>((SUMIF('Cost Breakdowns'!$D$140:$D$142,"ISIC 90T96",'Cost Breakdowns'!$B$140:$B$142)))*'Factors applied'!$E$1026</f>
        <v>0</v>
      </c>
      <c r="BA13">
        <f>((SUMIF('Cost Breakdowns'!$D$140:$D$142,"ISIC 97T98",'Cost Breakdowns'!$B$140:$B$142)))</f>
        <v>0</v>
      </c>
    </row>
    <row r="14" spans="1:53" x14ac:dyDescent="0.25">
      <c r="A14" t="s">
        <v>65</v>
      </c>
      <c r="B14">
        <f>(SUMIF('Cost Breakdowns'!$D$105:$D$107,"ISIC 01T03",'Cost Breakdowns'!$B$105:$B$107))*'Factors applied'!$E$931</f>
        <v>0</v>
      </c>
      <c r="C14">
        <f>(SUMIF('Cost Breakdowns'!$D$105:$D$107,"ISIC 01T03",'Cost Breakdowns'!$B$105:$B$107))*'Factors applied'!$E$932</f>
        <v>0</v>
      </c>
      <c r="D14">
        <f>(SUMIF('Cost Breakdowns'!$D$105:$D$107,"ISIC 01T03",'Cost Breakdowns'!$B$105:$B$107))*'Factors applied'!$E$933</f>
        <v>0</v>
      </c>
      <c r="E14">
        <f>(SUMIF('Cost Breakdowns'!$D$105:$D$107,"ISIC 05",'Cost Breakdowns'!$B$105:$B$107))</f>
        <v>0</v>
      </c>
      <c r="F14">
        <f>(SUMIF('Cost Breakdowns'!$D$105:$D$107,"ISIC 06",'Cost Breakdowns'!$B$105:$B$107))</f>
        <v>0</v>
      </c>
      <c r="G14">
        <f>(SUMIF('Cost Breakdowns'!$D$105:$D$107,"ISIC 07T08",'Cost Breakdowns'!$B$105:$B$107))*'Factors applied'!$E$934</f>
        <v>0</v>
      </c>
      <c r="H14">
        <f>(SUMIF('Cost Breakdowns'!$D$105:$D$107,"ISIC 07T08",'Cost Breakdowns'!$B$105:$B$107))*'Factors applied'!$E$935</f>
        <v>0</v>
      </c>
      <c r="I14">
        <f>(SUMIF('Cost Breakdowns'!$D$105:$D$107,"ISIC 09",'Cost Breakdowns'!$B$105:$B$107))</f>
        <v>0</v>
      </c>
      <c r="J14">
        <f>(SUMIF('Cost Breakdowns'!$D$105:$D$107,"ISIC 10T12",'Cost Breakdowns'!$B$105:$B$107))</f>
        <v>0</v>
      </c>
      <c r="K14">
        <f>(SUMIF('Cost Breakdowns'!$D$105:$D$107,"ISIC 13T15",'Cost Breakdowns'!$B$105:$B$107))</f>
        <v>0</v>
      </c>
      <c r="L14">
        <f>(SUMIF('Cost Breakdowns'!$D$105:$D$107,"ISIC 16",'Cost Breakdowns'!$B$105:$B$107))</f>
        <v>0</v>
      </c>
      <c r="M14">
        <f>(SUMIF('Cost Breakdowns'!$D$105:$D$107,"ISIC 17T18",'Cost Breakdowns'!$B$105:$B$107))</f>
        <v>0</v>
      </c>
      <c r="N14">
        <f>(SUMIF('Cost Breakdowns'!$D$105:$D$107,"ISIC 19",'Cost Breakdowns'!$B$105:$B$107))</f>
        <v>0</v>
      </c>
      <c r="O14">
        <f>(SUMIF('Cost Breakdowns'!$D$105:$D$107,"ISIC 20",'Cost Breakdowns'!$B$105:$B$107))</f>
        <v>0.16393442622950821</v>
      </c>
      <c r="P14">
        <f>(SUMIF('Cost Breakdowns'!$D$105:$D$107,"ISIC 21",'Cost Breakdowns'!$B$105:$B$107))</f>
        <v>0</v>
      </c>
      <c r="Q14">
        <f>(SUMIF('Cost Breakdowns'!$D$105:$D$107,"ISIC 22",'Cost Breakdowns'!$B$105:$B$107))</f>
        <v>0</v>
      </c>
      <c r="R14">
        <f>(SUMIF('Cost Breakdowns'!$D$105:$D$107,"ISIC 231",'Cost Breakdowns'!$B$105:$B$107))</f>
        <v>0</v>
      </c>
      <c r="S14">
        <f>(SUMIF('Cost Breakdowns'!$D$105:$D$107,"ISIC 239",'Cost Breakdowns'!$B$105:$B$107))</f>
        <v>0</v>
      </c>
      <c r="T14">
        <f>(SUMIF('Cost Breakdowns'!$D$105:$D$107,"ISIC 241",'Cost Breakdowns'!$B$105:$B$107))</f>
        <v>0</v>
      </c>
      <c r="U14">
        <f>(SUMIF('Cost Breakdowns'!$D$105:$D$107,"ISIC 242",'Cost Breakdowns'!$B$105:$B$107))</f>
        <v>0</v>
      </c>
      <c r="V14">
        <f>(SUMIF('Cost Breakdowns'!$D$105:$D$107,"ISIC 25",'Cost Breakdowns'!$B$105:$B$107))</f>
        <v>0</v>
      </c>
      <c r="W14">
        <f>(SUMIF('Cost Breakdowns'!$D$105:$D$107,"ISIC 26",'Cost Breakdowns'!$B$105:$B$107))</f>
        <v>0</v>
      </c>
      <c r="X14">
        <f>(SUMIF('Cost Breakdowns'!$D$105:$D$107,"ISIC 27",'Cost Breakdowns'!$B$105:$B$107))</f>
        <v>0</v>
      </c>
      <c r="Y14">
        <f>(SUMIF('Cost Breakdowns'!$D$105:$D$107,"ISIC 28",'Cost Breakdowns'!$B$105:$B$107))</f>
        <v>0</v>
      </c>
      <c r="Z14">
        <f>(SUMIF('Cost Breakdowns'!$D$105:$D$107,"ISIC 29",'Cost Breakdowns'!$B$105:$B$107))</f>
        <v>0</v>
      </c>
      <c r="AA14">
        <f>(SUMIF('Cost Breakdowns'!$D$105:$D$107,"ISIC 30",'Cost Breakdowns'!$B$105:$B$107))*'Factors applied'!$E$936</f>
        <v>0</v>
      </c>
      <c r="AB14">
        <f>(SUMIF('Cost Breakdowns'!$D$105:$D$107,"ISIC 30",'Cost Breakdowns'!$B$105:$B$107))*'Factors applied'!$E$937</f>
        <v>0</v>
      </c>
      <c r="AC14">
        <f>(SUMIF('Cost Breakdowns'!$D$105:$D$107,"ISIC 31T33",'Cost Breakdowns'!$B$105:$B$107))</f>
        <v>0</v>
      </c>
      <c r="AD14">
        <f>(SUMIF('Cost Breakdowns'!$D$105:$D$107,"ISIC 351",'Cost Breakdowns'!$B$105:$B$107))</f>
        <v>0</v>
      </c>
      <c r="AE14">
        <f>(SUMIF('Cost Breakdowns'!$D$105:$D$107,"ISIC 352T353",'Cost Breakdowns'!$B$105:$B$107))</f>
        <v>0</v>
      </c>
      <c r="AF14">
        <f>(SUMIF('Cost Breakdowns'!$D$105:$D$107,"ISIC 36T39",'Cost Breakdowns'!$B$105:$B$107))</f>
        <v>0.76502732240437155</v>
      </c>
      <c r="AG14">
        <f>(SUMIF('Cost Breakdowns'!$D$105:$D$107,"ISIC 41T43",'Cost Breakdowns'!$B$105:$B$107))</f>
        <v>0</v>
      </c>
      <c r="AH14">
        <f>(SUMIF('Cost Breakdowns'!$D$105:$D$107,"ISIC 45T47",'Cost Breakdowns'!$B$105:$B$107))</f>
        <v>0</v>
      </c>
      <c r="AI14">
        <f>(SUMIF('Cost Breakdowns'!$D$105:$D$107,"ISIC 49T53",'Cost Breakdowns'!$B$105:$B$107))*'Factors applied'!$E$938</f>
        <v>0</v>
      </c>
      <c r="AJ14">
        <f>(SUMIF('Cost Breakdowns'!$D$105:$D$107,"ISIC 49T53",'Cost Breakdowns'!$B$105:$B$107))*'Factors applied'!$E$939</f>
        <v>0</v>
      </c>
      <c r="AK14">
        <f>(SUMIF('Cost Breakdowns'!$D$105:$D$107,"ISIC 49T53",'Cost Breakdowns'!$B$105:$B$107))*'Factors applied'!$E$940</f>
        <v>0</v>
      </c>
      <c r="AL14">
        <f>(SUMIF('Cost Breakdowns'!$D$105:$D$107,"ISIC 49T53",'Cost Breakdowns'!$B$105:$B$107))*'Factors applied'!$E$941</f>
        <v>0</v>
      </c>
      <c r="AM14">
        <f>(SUMIF('Cost Breakdowns'!$D$105:$D$107,"ISIC 49T53",'Cost Breakdowns'!$B$105:$B$107))*'Factors applied'!$E$942</f>
        <v>0</v>
      </c>
      <c r="AN14">
        <f>(SUMIF('Cost Breakdowns'!$D$105:$D$107,"ISIC 55T56",'Cost Breakdowns'!$B$105:$B$107))</f>
        <v>0</v>
      </c>
      <c r="AO14">
        <f>(SUMIF('Cost Breakdowns'!$D$105:$D$107,"ISIC 58T60",'Cost Breakdowns'!$B$105:$B$107))</f>
        <v>0</v>
      </c>
      <c r="AP14">
        <f>(SUMIF('Cost Breakdowns'!$D$105:$D$107,"ISIC 61",'Cost Breakdowns'!$B$105:$B$107))</f>
        <v>0</v>
      </c>
      <c r="AQ14">
        <f>(SUMIF('Cost Breakdowns'!$D$105:$D$107,"ISIC 62T63",'Cost Breakdowns'!$B$105:$B$107))</f>
        <v>0</v>
      </c>
      <c r="AR14">
        <f>(SUMIF('Cost Breakdowns'!$D$105:$D$107,"ISIC 64T66",'Cost Breakdowns'!$B$105:$B$107))</f>
        <v>0</v>
      </c>
      <c r="AS14">
        <f>(SUMIF('Cost Breakdowns'!$D$105:$D$107,"ISIC 68",'Cost Breakdowns'!$B$105:$B$107))</f>
        <v>0</v>
      </c>
      <c r="AT14">
        <f>(SUMIF('Cost Breakdowns'!$D$105:$D$107,"ISIC 69T82",'Cost Breakdowns'!$B$105:$B$107))*'Factors applied'!$E$943</f>
        <v>7.1038251366120214E-2</v>
      </c>
      <c r="AU14">
        <f>(SUMIF('Cost Breakdowns'!$D$105:$D$107,"ISIC 69T82",'Cost Breakdowns'!$B$105:$B$107))*'Factors applied'!$E$944</f>
        <v>0</v>
      </c>
      <c r="AV14">
        <f>(SUMIF('Cost Breakdowns'!$D$105:$D$107,"ISIC 84",'Cost Breakdowns'!$B$105:$B$107))</f>
        <v>0</v>
      </c>
      <c r="AW14">
        <f>(SUMIF('Cost Breakdowns'!$D$105:$D$107,"ISIC 85",'Cost Breakdowns'!$B$105:$B$107))</f>
        <v>0</v>
      </c>
      <c r="AX14">
        <f>(SUMIF('Cost Breakdowns'!$D$105:$D$107,"ISIC 86T88",'Cost Breakdowns'!$B$105:$B$107))</f>
        <v>0</v>
      </c>
      <c r="AY14">
        <f>(SUMIF('Cost Breakdowns'!$D$105:$D$107,"ISIC 90T96",'Cost Breakdowns'!$B$105:$B$107))*'Factors applied'!$E$945</f>
        <v>0</v>
      </c>
      <c r="AZ14">
        <f>(SUMIF('Cost Breakdowns'!$D$105:$D$107,"ISIC 90T96",'Cost Breakdowns'!$B$105:$B$107))*'Factors applied'!$E$946</f>
        <v>0</v>
      </c>
      <c r="BA14">
        <f>(SUMIF('Cost Breakdowns'!$D$105:$D$107,"ISIC 97T98",'Cost Breakdowns'!$B$105:$B$107))</f>
        <v>0</v>
      </c>
    </row>
    <row r="15" spans="1:53" x14ac:dyDescent="0.25">
      <c r="A15" t="s">
        <v>66</v>
      </c>
      <c r="B15">
        <f>0*'Factors applied'!$E$1059</f>
        <v>0</v>
      </c>
      <c r="C15">
        <f>0*'Factors applied'!$E$1060</f>
        <v>0</v>
      </c>
      <c r="D15">
        <f>0*'Factors applied'!$E$1061</f>
        <v>0</v>
      </c>
      <c r="E15">
        <v>0</v>
      </c>
      <c r="F15">
        <v>0</v>
      </c>
      <c r="G15">
        <f>0*'Factors applied'!$E$1062</f>
        <v>0</v>
      </c>
      <c r="H15">
        <f>0*'Factors applied'!$E$1063</f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f>0*'Factors applied'!$E$1064</f>
        <v>0</v>
      </c>
      <c r="AB15">
        <f>0*'Factors applied'!$E$1065</f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f>0*'Factors applied'!$E$1066</f>
        <v>0</v>
      </c>
      <c r="AJ15">
        <f>0*'Factors applied'!$E$1067</f>
        <v>0</v>
      </c>
      <c r="AK15">
        <f>0*'Factors applied'!$E$1068</f>
        <v>0</v>
      </c>
      <c r="AL15">
        <f>0*'Factors applied'!$E$1069</f>
        <v>0</v>
      </c>
      <c r="AM15">
        <f>0*'Factors applied'!$E$1070</f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>0*'Factors applied'!$E$1071</f>
        <v>0</v>
      </c>
      <c r="AU15">
        <f>0*'Factors applied'!$E$1072</f>
        <v>0</v>
      </c>
      <c r="AV15">
        <v>0</v>
      </c>
      <c r="AW15">
        <v>0</v>
      </c>
      <c r="AX15">
        <v>0</v>
      </c>
      <c r="AY15">
        <f>0*'Factors applied'!$E$1073</f>
        <v>0</v>
      </c>
      <c r="AZ15">
        <f>0*'Factors applied'!$E$1074</f>
        <v>0</v>
      </c>
      <c r="BA15">
        <v>0</v>
      </c>
    </row>
    <row r="16" spans="1:53" x14ac:dyDescent="0.25">
      <c r="A16" t="s">
        <v>67</v>
      </c>
      <c r="B16">
        <f>((SUMIF('Cost Breakdowns'!$D$140:$D$142,"ISIC 01T03",'Cost Breakdowns'!$B$140:$B$142)))*'Factors applied'!$E$803</f>
        <v>0</v>
      </c>
      <c r="C16">
        <f>((SUMIF('Cost Breakdowns'!$D$140:$D$142,"ISIC 01T03",'Cost Breakdowns'!$B$140:$B$142)))*'Factors applied'!$E$804</f>
        <v>0</v>
      </c>
      <c r="D16">
        <f>((SUMIF('Cost Breakdowns'!$D$140:$D$142,"ISIC 01T03",'Cost Breakdowns'!$B$140:$B$142)))*'Factors applied'!$E$805</f>
        <v>0</v>
      </c>
      <c r="E16">
        <f>((SUMIF('Cost Breakdowns'!$D$140:$D$142,"ISIC 05",'Cost Breakdowns'!$B$140:$B$142)))</f>
        <v>0</v>
      </c>
      <c r="F16">
        <f>((SUMIF('Cost Breakdowns'!$D$140:$D$142,"ISIC 06",'Cost Breakdowns'!$B$140:$B$142)))</f>
        <v>0</v>
      </c>
      <c r="G16">
        <f>((SUMIF('Cost Breakdowns'!$D$140:$D$142,"ISIC 07T08",'Cost Breakdowns'!$B$140:$B$142)))*'Factors applied'!$E$806</f>
        <v>0</v>
      </c>
      <c r="H16">
        <f>((SUMIF('Cost Breakdowns'!$D$140:$D$142,"ISIC 07T08",'Cost Breakdowns'!$B$140:$B$142)))*'Factors applied'!$E$807</f>
        <v>0</v>
      </c>
      <c r="I16">
        <f>((SUMIF('Cost Breakdowns'!$D$140:$D$142,"ISIC 09",'Cost Breakdowns'!$B$140:$B$142)))</f>
        <v>0</v>
      </c>
      <c r="J16">
        <f>((SUMIF('Cost Breakdowns'!$D$140:$D$142,"ISIC 10T12",'Cost Breakdowns'!$B$140:$B$142)))</f>
        <v>0</v>
      </c>
      <c r="K16">
        <f>((SUMIF('Cost Breakdowns'!$D$140:$D$142,"ISIC 13T15",'Cost Breakdowns'!$B$140:$B$142)))</f>
        <v>0</v>
      </c>
      <c r="L16">
        <f>((SUMIF('Cost Breakdowns'!$D$140:$D$142,"ISIC 16",'Cost Breakdowns'!$B$140:$B$142)))</f>
        <v>0</v>
      </c>
      <c r="M16">
        <f>((SUMIF('Cost Breakdowns'!$D$140:$D$142,"ISIC 17T18",'Cost Breakdowns'!$B$140:$B$142)))</f>
        <v>0</v>
      </c>
      <c r="N16">
        <f>((SUMIF('Cost Breakdowns'!$D$140:$D$142,"ISIC 19",'Cost Breakdowns'!$B$140:$B$142)))</f>
        <v>0</v>
      </c>
      <c r="O16">
        <f>((SUMIF('Cost Breakdowns'!$D$140:$D$142,"ISIC 20",'Cost Breakdowns'!$B$140:$B$142)))</f>
        <v>0.10344827586206901</v>
      </c>
      <c r="P16">
        <f>((SUMIF('Cost Breakdowns'!$D$140:$D$142,"ISIC 21",'Cost Breakdowns'!$B$140:$B$142)))</f>
        <v>0</v>
      </c>
      <c r="Q16">
        <f>((SUMIF('Cost Breakdowns'!$D$140:$D$142,"ISIC 22",'Cost Breakdowns'!$B$140:$B$142)))</f>
        <v>0</v>
      </c>
      <c r="R16">
        <f>((SUMIF('Cost Breakdowns'!$D$140:$D$142,"ISIC 231",'Cost Breakdowns'!$B$140:$B$142)))</f>
        <v>0</v>
      </c>
      <c r="S16">
        <f>((SUMIF('Cost Breakdowns'!$D$140:$D$142,"ISIC 239",'Cost Breakdowns'!$B$140:$B$142)))</f>
        <v>0</v>
      </c>
      <c r="T16">
        <f>((SUMIF('Cost Breakdowns'!$D$140:$D$142,"ISIC 241",'Cost Breakdowns'!$B$140:$B$142)))</f>
        <v>0</v>
      </c>
      <c r="U16">
        <f>((SUMIF('Cost Breakdowns'!$D$140:$D$142,"ISIC 242",'Cost Breakdowns'!$B$140:$B$142)))</f>
        <v>0</v>
      </c>
      <c r="V16">
        <f>((SUMIF('Cost Breakdowns'!$D$140:$D$142,"ISIC 25",'Cost Breakdowns'!$B$140:$B$142)))</f>
        <v>0</v>
      </c>
      <c r="W16">
        <f>((SUMIF('Cost Breakdowns'!$D$140:$D$142,"ISIC 26",'Cost Breakdowns'!$B$140:$B$142)))</f>
        <v>0</v>
      </c>
      <c r="X16">
        <f>((SUMIF('Cost Breakdowns'!$D$140:$D$142,"ISIC 27",'Cost Breakdowns'!$B$140:$B$142)))</f>
        <v>0</v>
      </c>
      <c r="Y16">
        <f>((SUMIF('Cost Breakdowns'!$D$140:$D$142,"ISIC 28",'Cost Breakdowns'!$B$140:$B$142)))</f>
        <v>0</v>
      </c>
      <c r="Z16">
        <f>((SUMIF('Cost Breakdowns'!$D$140:$D$142,"ISIC 29",'Cost Breakdowns'!$B$140:$B$142)))</f>
        <v>0</v>
      </c>
      <c r="AA16">
        <f>((SUMIF('Cost Breakdowns'!$D$140:$D$142,"ISIC 30",'Cost Breakdowns'!$B$140:$B$142)))*'Factors applied'!$E$808</f>
        <v>0</v>
      </c>
      <c r="AB16">
        <f>((SUMIF('Cost Breakdowns'!$D$140:$D$142,"ISIC 30",'Cost Breakdowns'!$B$140:$B$142)))*'Factors applied'!$E$809</f>
        <v>0</v>
      </c>
      <c r="AC16">
        <f>((SUMIF('Cost Breakdowns'!$D$140:$D$142,"ISIC 31T33",'Cost Breakdowns'!$B$140:$B$142)))</f>
        <v>0.84482758620689657</v>
      </c>
      <c r="AD16">
        <f>((SUMIF('Cost Breakdowns'!$D$140:$D$142,"ISIC 351",'Cost Breakdowns'!$B$140:$B$142)))</f>
        <v>0</v>
      </c>
      <c r="AE16">
        <f>((SUMIF('Cost Breakdowns'!$D$140:$D$142,"ISIC 352T353",'Cost Breakdowns'!$B$140:$B$142)))</f>
        <v>0</v>
      </c>
      <c r="AF16">
        <f>((SUMIF('Cost Breakdowns'!$D$140:$D$142,"ISIC 36T39",'Cost Breakdowns'!$B$140:$B$142)))</f>
        <v>5.1724137931034482E-2</v>
      </c>
      <c r="AG16">
        <f>((SUMIF('Cost Breakdowns'!$D$140:$D$142,"ISIC 41T43",'Cost Breakdowns'!$B$140:$B$142)))</f>
        <v>0</v>
      </c>
      <c r="AH16">
        <f>((SUMIF('Cost Breakdowns'!$D$140:$D$142,"ISIC 45T47",'Cost Breakdowns'!$B$140:$B$142)))</f>
        <v>0</v>
      </c>
      <c r="AI16">
        <f>((SUMIF('Cost Breakdowns'!$D$140:$D$142,"ISIC 49T53",'Cost Breakdowns'!$B$140:$B$142)))*'Factors applied'!$E$810</f>
        <v>0</v>
      </c>
      <c r="AJ16">
        <f>((SUMIF('Cost Breakdowns'!$D$140:$D$142,"ISIC 49T53",'Cost Breakdowns'!$B$140:$B$142)))*'Factors applied'!$E$811</f>
        <v>0</v>
      </c>
      <c r="AK16">
        <f>((SUMIF('Cost Breakdowns'!$D$140:$D$142,"ISIC 49T53",'Cost Breakdowns'!$B$140:$B$142)))*'Factors applied'!$E$812</f>
        <v>0</v>
      </c>
      <c r="AL16">
        <f>((SUMIF('Cost Breakdowns'!$D$140:$D$142,"ISIC 49T53",'Cost Breakdowns'!$B$140:$B$142)))*'Factors applied'!$E$813</f>
        <v>0</v>
      </c>
      <c r="AM16">
        <f>((SUMIF('Cost Breakdowns'!$D$140:$D$142,"ISIC 49T53",'Cost Breakdowns'!$B$140:$B$142)))*'Factors applied'!$E$814</f>
        <v>0</v>
      </c>
      <c r="AN16">
        <f>((SUMIF('Cost Breakdowns'!$D$140:$D$142,"ISIC 55T56",'Cost Breakdowns'!$B$140:$B$142)))</f>
        <v>0</v>
      </c>
      <c r="AO16">
        <f>((SUMIF('Cost Breakdowns'!$D$140:$D$142,"ISIC 58T60",'Cost Breakdowns'!$B$140:$B$142)))</f>
        <v>0</v>
      </c>
      <c r="AP16">
        <f>((SUMIF('Cost Breakdowns'!$D$140:$D$142,"ISIC 61",'Cost Breakdowns'!$B$140:$B$142)))</f>
        <v>0</v>
      </c>
      <c r="AQ16">
        <f>((SUMIF('Cost Breakdowns'!$D$140:$D$142,"ISIC 62T63",'Cost Breakdowns'!$B$140:$B$142)))</f>
        <v>0</v>
      </c>
      <c r="AR16">
        <f>((SUMIF('Cost Breakdowns'!$D$140:$D$142,"ISIC 64T66",'Cost Breakdowns'!$B$140:$B$142)))</f>
        <v>0</v>
      </c>
      <c r="AS16">
        <f>((SUMIF('Cost Breakdowns'!$D$140:$D$142,"ISIC 68",'Cost Breakdowns'!$B$140:$B$142)))</f>
        <v>0</v>
      </c>
      <c r="AT16">
        <f>((SUMIF('Cost Breakdowns'!$D$140:$D$142,"ISIC 69T82",'Cost Breakdowns'!$B$140:$B$142)))*'Factors applied'!$E$815</f>
        <v>0</v>
      </c>
      <c r="AU16">
        <f>((SUMIF('Cost Breakdowns'!$D$140:$D$142,"ISIC 69T82",'Cost Breakdowns'!$B$140:$B$142)))*'Factors applied'!$E$816</f>
        <v>0</v>
      </c>
      <c r="AV16">
        <f>((SUMIF('Cost Breakdowns'!$D$140:$D$142,"ISIC 84",'Cost Breakdowns'!$B$140:$B$142)))</f>
        <v>0</v>
      </c>
      <c r="AW16">
        <f>((SUMIF('Cost Breakdowns'!$D$140:$D$142,"ISIC 85",'Cost Breakdowns'!$B$140:$B$142)))</f>
        <v>0</v>
      </c>
      <c r="AX16">
        <f>((SUMIF('Cost Breakdowns'!$D$140:$D$142,"ISIC 86T88",'Cost Breakdowns'!$B$140:$B$142)))</f>
        <v>0</v>
      </c>
      <c r="AY16">
        <f>((SUMIF('Cost Breakdowns'!$D$140:$D$142,"ISIC 90T96",'Cost Breakdowns'!$B$140:$B$142)))*'Factors applied'!$E$817</f>
        <v>0</v>
      </c>
      <c r="AZ16">
        <f>((SUMIF('Cost Breakdowns'!$D$140:$D$142,"ISIC 90T96",'Cost Breakdowns'!$B$140:$B$142)))*'Factors applied'!$E$818</f>
        <v>0</v>
      </c>
      <c r="BA16">
        <f>((SUMIF('Cost Breakdowns'!$D$140:$D$142,"ISIC 97T98",'Cost Breakdowns'!$B$140:$B$142)))</f>
        <v>0</v>
      </c>
    </row>
    <row r="17" spans="1:53" x14ac:dyDescent="0.25">
      <c r="A17" t="s">
        <v>68</v>
      </c>
      <c r="B17">
        <f>((SUMIF('Cost Breakdowns'!$D$140:$D$142,"ISIC 01T03",'Cost Breakdowns'!$B$140:$B$142)))*'Factors applied'!$E$867</f>
        <v>0</v>
      </c>
      <c r="C17">
        <f>((SUMIF('Cost Breakdowns'!$D$140:$D$142,"ISIC 01T03",'Cost Breakdowns'!$B$140:$B$142)))*'Factors applied'!$E$868</f>
        <v>0</v>
      </c>
      <c r="D17">
        <f>((SUMIF('Cost Breakdowns'!$D$140:$D$142,"ISIC 01T03",'Cost Breakdowns'!$B$140:$B$142)))*'Factors applied'!$E$869</f>
        <v>0</v>
      </c>
      <c r="E17">
        <f>((SUMIF('Cost Breakdowns'!$D$140:$D$142,"ISIC 05",'Cost Breakdowns'!$B$140:$B$142)))</f>
        <v>0</v>
      </c>
      <c r="F17">
        <f>((SUMIF('Cost Breakdowns'!$D$140:$D$142,"ISIC 06",'Cost Breakdowns'!$B$140:$B$142)))</f>
        <v>0</v>
      </c>
      <c r="G17">
        <f>((SUMIF('Cost Breakdowns'!$D$140:$D$142,"ISIC 07T08",'Cost Breakdowns'!$B$140:$B$142)))*'Factors applied'!$E$870</f>
        <v>0</v>
      </c>
      <c r="H17">
        <f>((SUMIF('Cost Breakdowns'!$D$140:$D$142,"ISIC 07T08",'Cost Breakdowns'!$B$140:$B$142)))*'Factors applied'!$E$871</f>
        <v>0</v>
      </c>
      <c r="I17">
        <f>((SUMIF('Cost Breakdowns'!$D$140:$D$142,"ISIC 09",'Cost Breakdowns'!$B$140:$B$142)))</f>
        <v>0</v>
      </c>
      <c r="J17">
        <f>((SUMIF('Cost Breakdowns'!$D$140:$D$142,"ISIC 10T12",'Cost Breakdowns'!$B$140:$B$142)))</f>
        <v>0</v>
      </c>
      <c r="K17">
        <f>((SUMIF('Cost Breakdowns'!$D$140:$D$142,"ISIC 13T15",'Cost Breakdowns'!$B$140:$B$142)))</f>
        <v>0</v>
      </c>
      <c r="L17">
        <f>((SUMIF('Cost Breakdowns'!$D$140:$D$142,"ISIC 16",'Cost Breakdowns'!$B$140:$B$142)))</f>
        <v>0</v>
      </c>
      <c r="M17">
        <f>((SUMIF('Cost Breakdowns'!$D$140:$D$142,"ISIC 17T18",'Cost Breakdowns'!$B$140:$B$142)))</f>
        <v>0</v>
      </c>
      <c r="N17">
        <f>((SUMIF('Cost Breakdowns'!$D$140:$D$142,"ISIC 19",'Cost Breakdowns'!$B$140:$B$142)))</f>
        <v>0</v>
      </c>
      <c r="O17">
        <f>((SUMIF('Cost Breakdowns'!$D$140:$D$142,"ISIC 20",'Cost Breakdowns'!$B$140:$B$142)))</f>
        <v>0.10344827586206901</v>
      </c>
      <c r="P17">
        <f>((SUMIF('Cost Breakdowns'!$D$140:$D$142,"ISIC 21",'Cost Breakdowns'!$B$140:$B$142)))</f>
        <v>0</v>
      </c>
      <c r="Q17">
        <f>((SUMIF('Cost Breakdowns'!$D$140:$D$142,"ISIC 22",'Cost Breakdowns'!$B$140:$B$142)))</f>
        <v>0</v>
      </c>
      <c r="R17">
        <f>((SUMIF('Cost Breakdowns'!$D$140:$D$142,"ISIC 231",'Cost Breakdowns'!$B$140:$B$142)))</f>
        <v>0</v>
      </c>
      <c r="S17">
        <f>((SUMIF('Cost Breakdowns'!$D$140:$D$142,"ISIC 239",'Cost Breakdowns'!$B$140:$B$142)))</f>
        <v>0</v>
      </c>
      <c r="T17">
        <f>((SUMIF('Cost Breakdowns'!$D$140:$D$142,"ISIC 241",'Cost Breakdowns'!$B$140:$B$142)))</f>
        <v>0</v>
      </c>
      <c r="U17">
        <f>((SUMIF('Cost Breakdowns'!$D$140:$D$142,"ISIC 242",'Cost Breakdowns'!$B$140:$B$142)))</f>
        <v>0</v>
      </c>
      <c r="V17">
        <f>((SUMIF('Cost Breakdowns'!$D$140:$D$142,"ISIC 25",'Cost Breakdowns'!$B$140:$B$142)))</f>
        <v>0</v>
      </c>
      <c r="W17">
        <f>((SUMIF('Cost Breakdowns'!$D$140:$D$142,"ISIC 26",'Cost Breakdowns'!$B$140:$B$142)))</f>
        <v>0</v>
      </c>
      <c r="X17">
        <f>((SUMIF('Cost Breakdowns'!$D$140:$D$142,"ISIC 27",'Cost Breakdowns'!$B$140:$B$142)))</f>
        <v>0</v>
      </c>
      <c r="Y17">
        <f>((SUMIF('Cost Breakdowns'!$D$140:$D$142,"ISIC 28",'Cost Breakdowns'!$B$140:$B$142)))</f>
        <v>0</v>
      </c>
      <c r="Z17">
        <f>((SUMIF('Cost Breakdowns'!$D$140:$D$142,"ISIC 29",'Cost Breakdowns'!$B$140:$B$142)))</f>
        <v>0</v>
      </c>
      <c r="AA17">
        <f>((SUMIF('Cost Breakdowns'!$D$140:$D$142,"ISIC 30",'Cost Breakdowns'!$B$140:$B$142)))*'Factors applied'!$E$872</f>
        <v>0</v>
      </c>
      <c r="AB17">
        <f>((SUMIF('Cost Breakdowns'!$D$140:$D$142,"ISIC 30",'Cost Breakdowns'!$B$140:$B$142)))*'Factors applied'!$E$873</f>
        <v>0</v>
      </c>
      <c r="AC17">
        <f>((SUMIF('Cost Breakdowns'!$D$140:$D$142,"ISIC 31T33",'Cost Breakdowns'!$B$140:$B$142)))</f>
        <v>0.84482758620689657</v>
      </c>
      <c r="AD17">
        <f>((SUMIF('Cost Breakdowns'!$D$140:$D$142,"ISIC 351",'Cost Breakdowns'!$B$140:$B$142)))</f>
        <v>0</v>
      </c>
      <c r="AE17">
        <f>((SUMIF('Cost Breakdowns'!$D$140:$D$142,"ISIC 352T353",'Cost Breakdowns'!$B$140:$B$142)))</f>
        <v>0</v>
      </c>
      <c r="AF17">
        <f>((SUMIF('Cost Breakdowns'!$D$140:$D$142,"ISIC 36T39",'Cost Breakdowns'!$B$140:$B$142)))</f>
        <v>5.1724137931034482E-2</v>
      </c>
      <c r="AG17">
        <f>((SUMIF('Cost Breakdowns'!$D$140:$D$142,"ISIC 41T43",'Cost Breakdowns'!$B$140:$B$142)))</f>
        <v>0</v>
      </c>
      <c r="AH17">
        <f>((SUMIF('Cost Breakdowns'!$D$140:$D$142,"ISIC 45T47",'Cost Breakdowns'!$B$140:$B$142)))</f>
        <v>0</v>
      </c>
      <c r="AI17">
        <f>((SUMIF('Cost Breakdowns'!$D$140:$D$142,"ISIC 49T53",'Cost Breakdowns'!$B$140:$B$142)))*'Factors applied'!$E$874</f>
        <v>0</v>
      </c>
      <c r="AJ17">
        <f>((SUMIF('Cost Breakdowns'!$D$140:$D$142,"ISIC 49T53",'Cost Breakdowns'!$B$140:$B$142)))*'Factors applied'!$E$875</f>
        <v>0</v>
      </c>
      <c r="AK17">
        <f>((SUMIF('Cost Breakdowns'!$D$140:$D$142,"ISIC 49T53",'Cost Breakdowns'!$B$140:$B$142)))*'Factors applied'!$E$876</f>
        <v>0</v>
      </c>
      <c r="AL17">
        <f>((SUMIF('Cost Breakdowns'!$D$140:$D$142,"ISIC 49T53",'Cost Breakdowns'!$B$140:$B$142)))*'Factors applied'!$E$877</f>
        <v>0</v>
      </c>
      <c r="AM17">
        <f>((SUMIF('Cost Breakdowns'!$D$140:$D$142,"ISIC 49T53",'Cost Breakdowns'!$B$140:$B$142)))*'Factors applied'!$E$878</f>
        <v>0</v>
      </c>
      <c r="AN17">
        <f>((SUMIF('Cost Breakdowns'!$D$140:$D$142,"ISIC 55T56",'Cost Breakdowns'!$B$140:$B$142)))</f>
        <v>0</v>
      </c>
      <c r="AO17">
        <f>((SUMIF('Cost Breakdowns'!$D$140:$D$142,"ISIC 58T60",'Cost Breakdowns'!$B$140:$B$142)))</f>
        <v>0</v>
      </c>
      <c r="AP17">
        <f>((SUMIF('Cost Breakdowns'!$D$140:$D$142,"ISIC 61",'Cost Breakdowns'!$B$140:$B$142)))</f>
        <v>0</v>
      </c>
      <c r="AQ17">
        <f>((SUMIF('Cost Breakdowns'!$D$140:$D$142,"ISIC 62T63",'Cost Breakdowns'!$B$140:$B$142)))</f>
        <v>0</v>
      </c>
      <c r="AR17">
        <f>((SUMIF('Cost Breakdowns'!$D$140:$D$142,"ISIC 64T66",'Cost Breakdowns'!$B$140:$B$142)))</f>
        <v>0</v>
      </c>
      <c r="AS17">
        <f>((SUMIF('Cost Breakdowns'!$D$140:$D$142,"ISIC 68",'Cost Breakdowns'!$B$140:$B$142)))</f>
        <v>0</v>
      </c>
      <c r="AT17">
        <f>((SUMIF('Cost Breakdowns'!$D$140:$D$142,"ISIC 69T82",'Cost Breakdowns'!$B$140:$B$142)))*'Factors applied'!$E$879</f>
        <v>0</v>
      </c>
      <c r="AU17">
        <f>((SUMIF('Cost Breakdowns'!$D$140:$D$142,"ISIC 69T82",'Cost Breakdowns'!$B$140:$B$142)))*'Factors applied'!$E$880</f>
        <v>0</v>
      </c>
      <c r="AV17">
        <f>((SUMIF('Cost Breakdowns'!$D$140:$D$142,"ISIC 84",'Cost Breakdowns'!$B$140:$B$142)))</f>
        <v>0</v>
      </c>
      <c r="AW17">
        <f>((SUMIF('Cost Breakdowns'!$D$140:$D$142,"ISIC 85",'Cost Breakdowns'!$B$140:$B$142)))</f>
        <v>0</v>
      </c>
      <c r="AX17">
        <f>((SUMIF('Cost Breakdowns'!$D$140:$D$142,"ISIC 86T88",'Cost Breakdowns'!$B$140:$B$142)))</f>
        <v>0</v>
      </c>
      <c r="AY17">
        <f>((SUMIF('Cost Breakdowns'!$D$140:$D$142,"ISIC 90T96",'Cost Breakdowns'!$B$140:$B$142)))*'Factors applied'!$E$881</f>
        <v>0</v>
      </c>
      <c r="AZ17">
        <f>((SUMIF('Cost Breakdowns'!$D$140:$D$142,"ISIC 90T96",'Cost Breakdowns'!$B$140:$B$142)))*'Factors applied'!$E$882</f>
        <v>0</v>
      </c>
      <c r="BA17">
        <f>((SUMIF('Cost Breakdowns'!$D$140:$D$142,"ISIC 97T98",'Cost Breakdowns'!$B$140:$B$142)))</f>
        <v>0</v>
      </c>
    </row>
    <row r="18" spans="1:53" x14ac:dyDescent="0.25">
      <c r="A18" t="s">
        <v>69</v>
      </c>
      <c r="B18">
        <f>((SUMIF('Cost Breakdowns'!$D$231:$D$233,"ISIC 01T03",'Cost Breakdowns'!$B$231:$B$233)))*'Factors applied'!$E$963</f>
        <v>0</v>
      </c>
      <c r="C18">
        <f>((SUMIF('Cost Breakdowns'!$D$231:$D$233,"ISIC 01T03",'Cost Breakdowns'!$B$231:$B$233)))*'Factors applied'!$E$964</f>
        <v>0</v>
      </c>
      <c r="D18">
        <f>((SUMIF('Cost Breakdowns'!$D$231:$D$233,"ISIC 01T03",'Cost Breakdowns'!$B$231:$B$233)))*'Factors applied'!$E$965</f>
        <v>0</v>
      </c>
      <c r="E18">
        <f>((SUMIF('Cost Breakdowns'!$D$231:$D$233,"ISIC 05",'Cost Breakdowns'!$B$231:$B$233)))</f>
        <v>0</v>
      </c>
      <c r="F18">
        <f>((SUMIF('Cost Breakdowns'!$D$231:$D$233,"ISIC 06",'Cost Breakdowns'!$B$231:$B$233)))</f>
        <v>0</v>
      </c>
      <c r="G18">
        <f>((SUMIF('Cost Breakdowns'!$D$231:$D$233,"ISIC 07T08",'Cost Breakdowns'!$B$231:$B$233)))*'Factors applied'!$E$966</f>
        <v>0</v>
      </c>
      <c r="H18">
        <f>((SUMIF('Cost Breakdowns'!$D$231:$D$233,"ISIC 07T08",'Cost Breakdowns'!$B$231:$B$233)))*'Factors applied'!$E$967</f>
        <v>0</v>
      </c>
      <c r="I18">
        <f>((SUMIF('Cost Breakdowns'!$D$231:$D$233,"ISIC 09",'Cost Breakdowns'!$B$231:$B$233)))</f>
        <v>0</v>
      </c>
      <c r="J18">
        <f>((SUMIF('Cost Breakdowns'!$D$231:$D$233,"ISIC 10T12",'Cost Breakdowns'!$B$231:$B$233)))</f>
        <v>0</v>
      </c>
      <c r="K18">
        <f>((SUMIF('Cost Breakdowns'!$D$231:$D$233,"ISIC 13T15",'Cost Breakdowns'!$B$231:$B$233)))</f>
        <v>0</v>
      </c>
      <c r="L18">
        <f>((SUMIF('Cost Breakdowns'!$D$231:$D$233,"ISIC 16",'Cost Breakdowns'!$B$231:$B$233)))</f>
        <v>0</v>
      </c>
      <c r="M18">
        <f>((SUMIF('Cost Breakdowns'!$D$231:$D$233,"ISIC 17T18",'Cost Breakdowns'!$B$231:$B$233)))</f>
        <v>0</v>
      </c>
      <c r="N18">
        <f>((SUMIF('Cost Breakdowns'!$D$231:$D$233,"ISIC 19",'Cost Breakdowns'!$B$231:$B$233)))</f>
        <v>0</v>
      </c>
      <c r="O18">
        <f>((SUMIF('Cost Breakdowns'!$D$231:$D$233,"ISIC 20",'Cost Breakdowns'!$B$231:$B$233)))</f>
        <v>0.73616786946062651</v>
      </c>
      <c r="P18">
        <f>((SUMIF('Cost Breakdowns'!$D$231:$D$233,"ISIC 21",'Cost Breakdowns'!$B$231:$B$233)))</f>
        <v>0</v>
      </c>
      <c r="Q18">
        <f>((SUMIF('Cost Breakdowns'!$D$231:$D$233,"ISIC 22",'Cost Breakdowns'!$B$231:$B$233)))</f>
        <v>0</v>
      </c>
      <c r="R18">
        <f>((SUMIF('Cost Breakdowns'!$D$231:$D$233,"ISIC 231",'Cost Breakdowns'!$B$231:$B$233)))</f>
        <v>0</v>
      </c>
      <c r="S18">
        <f>((SUMIF('Cost Breakdowns'!$D$231:$D$233,"ISIC 239",'Cost Breakdowns'!$B$231:$B$233)))</f>
        <v>0</v>
      </c>
      <c r="T18">
        <f>((SUMIF('Cost Breakdowns'!$D$231:$D$233,"ISIC 241",'Cost Breakdowns'!$B$231:$B$233)))</f>
        <v>0</v>
      </c>
      <c r="U18">
        <f>((SUMIF('Cost Breakdowns'!$D$231:$D$233,"ISIC 242",'Cost Breakdowns'!$B$231:$B$233)))</f>
        <v>0</v>
      </c>
      <c r="V18">
        <f>((SUMIF('Cost Breakdowns'!$D$231:$D$233,"ISIC 25",'Cost Breakdowns'!$B$231:$B$233)))</f>
        <v>0</v>
      </c>
      <c r="W18">
        <f>((SUMIF('Cost Breakdowns'!$D$231:$D$233,"ISIC 26",'Cost Breakdowns'!$B$231:$B$233)))</f>
        <v>0</v>
      </c>
      <c r="X18">
        <f>((SUMIF('Cost Breakdowns'!$D$231:$D$233,"ISIC 27",'Cost Breakdowns'!$B$231:$B$233)))</f>
        <v>0</v>
      </c>
      <c r="Y18">
        <f>((SUMIF('Cost Breakdowns'!$D$231:$D$233,"ISIC 28",'Cost Breakdowns'!$B$231:$B$233)))</f>
        <v>0</v>
      </c>
      <c r="Z18">
        <f>((SUMIF('Cost Breakdowns'!$D$231:$D$233,"ISIC 29",'Cost Breakdowns'!$B$231:$B$233)))</f>
        <v>0</v>
      </c>
      <c r="AA18">
        <f>((SUMIF('Cost Breakdowns'!$D$231:$D$233,"ISIC 30",'Cost Breakdowns'!$B$231:$B$233)))*'Factors applied'!$E$968</f>
        <v>0</v>
      </c>
      <c r="AB18">
        <f>((SUMIF('Cost Breakdowns'!$D$231:$D$233,"ISIC 30",'Cost Breakdowns'!$B$231:$B$233)))*'Factors applied'!$E$969</f>
        <v>0</v>
      </c>
      <c r="AC18">
        <f>((SUMIF('Cost Breakdowns'!$D$231:$D$233,"ISIC 31T33",'Cost Breakdowns'!$B$231:$B$233)))</f>
        <v>0</v>
      </c>
      <c r="AD18">
        <f>((SUMIF('Cost Breakdowns'!$D$231:$D$233,"ISIC 351",'Cost Breakdowns'!$B$231:$B$233)))</f>
        <v>0</v>
      </c>
      <c r="AE18">
        <f>((SUMIF('Cost Breakdowns'!$D$231:$D$233,"ISIC 352T353",'Cost Breakdowns'!$B$231:$B$233)))</f>
        <v>0</v>
      </c>
      <c r="AF18">
        <f>((SUMIF('Cost Breakdowns'!$D$231:$D$233,"ISIC 36T39",'Cost Breakdowns'!$B$231:$B$233)))</f>
        <v>0.26383213053937338</v>
      </c>
      <c r="AG18">
        <f>((SUMIF('Cost Breakdowns'!$D$231:$D$233,"ISIC 41T43",'Cost Breakdowns'!$B$231:$B$233)))</f>
        <v>0</v>
      </c>
      <c r="AH18">
        <f>((SUMIF('Cost Breakdowns'!$D$231:$D$233,"ISIC 45T47",'Cost Breakdowns'!$B$231:$B$233)))</f>
        <v>0</v>
      </c>
      <c r="AI18">
        <f>((SUMIF('Cost Breakdowns'!$D$231:$D$233,"ISIC 49T53",'Cost Breakdowns'!$B$231:$B$233)))*'Factors applied'!$E$970</f>
        <v>0</v>
      </c>
      <c r="AJ18">
        <f>((SUMIF('Cost Breakdowns'!$D$231:$D$233,"ISIC 49T53",'Cost Breakdowns'!$B$231:$B$233)))*'Factors applied'!$E$971</f>
        <v>0</v>
      </c>
      <c r="AK18">
        <f>((SUMIF('Cost Breakdowns'!$D$231:$D$233,"ISIC 49T53",'Cost Breakdowns'!$B$231:$B$233)))*'Factors applied'!$E$972</f>
        <v>0</v>
      </c>
      <c r="AL18">
        <f>((SUMIF('Cost Breakdowns'!$D$231:$D$233,"ISIC 49T53",'Cost Breakdowns'!$B$231:$B$233)))*'Factors applied'!$E$973</f>
        <v>0</v>
      </c>
      <c r="AM18">
        <f>((SUMIF('Cost Breakdowns'!$D$231:$D$233,"ISIC 49T53",'Cost Breakdowns'!$B$231:$B$233)))*'Factors applied'!$E$974</f>
        <v>0</v>
      </c>
      <c r="AN18">
        <f>((SUMIF('Cost Breakdowns'!$D$231:$D$233,"ISIC 55T56",'Cost Breakdowns'!$B$231:$B$233)))</f>
        <v>0</v>
      </c>
      <c r="AO18">
        <f>((SUMIF('Cost Breakdowns'!$D$231:$D$233,"ISIC 58T60",'Cost Breakdowns'!$B$231:$B$233)))</f>
        <v>0</v>
      </c>
      <c r="AP18">
        <f>((SUMIF('Cost Breakdowns'!$D$231:$D$233,"ISIC 61",'Cost Breakdowns'!$B$231:$B$233)))</f>
        <v>0</v>
      </c>
      <c r="AQ18">
        <f>((SUMIF('Cost Breakdowns'!$D$231:$D$233,"ISIC 62T63",'Cost Breakdowns'!$B$231:$B$233)))</f>
        <v>0</v>
      </c>
      <c r="AR18">
        <f>((SUMIF('Cost Breakdowns'!$D$231:$D$233,"ISIC 64T66",'Cost Breakdowns'!$B$231:$B$233)))</f>
        <v>0</v>
      </c>
      <c r="AS18">
        <f>((SUMIF('Cost Breakdowns'!$D$231:$D$233,"ISIC 68",'Cost Breakdowns'!$B$231:$B$233)))</f>
        <v>0</v>
      </c>
      <c r="AT18">
        <f>((SUMIF('Cost Breakdowns'!$D$231:$D$233,"ISIC 69T82",'Cost Breakdowns'!$B$231:$B$233)))*'Factors applied'!$E$975</f>
        <v>0</v>
      </c>
      <c r="AU18">
        <f>((SUMIF('Cost Breakdowns'!$D$231:$D$233,"ISIC 69T82",'Cost Breakdowns'!$B$231:$B$233)))*'Factors applied'!$E$976</f>
        <v>0</v>
      </c>
      <c r="AV18">
        <f>((SUMIF('Cost Breakdowns'!$D$231:$D$233,"ISIC 84",'Cost Breakdowns'!$B$231:$B$233)))</f>
        <v>0</v>
      </c>
      <c r="AW18">
        <f>((SUMIF('Cost Breakdowns'!$D$231:$D$233,"ISIC 85",'Cost Breakdowns'!$B$231:$B$233)))</f>
        <v>0</v>
      </c>
      <c r="AX18">
        <f>((SUMIF('Cost Breakdowns'!$D$231:$D$233,"ISIC 86T88",'Cost Breakdowns'!$B$231:$B$233)))</f>
        <v>0</v>
      </c>
      <c r="AY18">
        <f>((SUMIF('Cost Breakdowns'!$D$231:$D$233,"ISIC 90T96",'Cost Breakdowns'!$B$231:$B$233)))*'Factors applied'!$E$977</f>
        <v>0</v>
      </c>
      <c r="AZ18">
        <f>((SUMIF('Cost Breakdowns'!$D$231:$D$233,"ISIC 90T96",'Cost Breakdowns'!$B$231:$B$233)))*'Factors applied'!$E$978</f>
        <v>0</v>
      </c>
      <c r="BA18">
        <f>((SUMIF('Cost Breakdowns'!$D$231:$D$233,"ISIC 97T98",'Cost Breakdowns'!$B$231:$B$233)))</f>
        <v>0</v>
      </c>
    </row>
    <row r="19" spans="1:53" x14ac:dyDescent="0.25">
      <c r="A19" t="s">
        <v>70</v>
      </c>
      <c r="B19">
        <f>('CCS Costs'!B90+'CCS Costs'!B98)*'Factors applied'!$E$851</f>
        <v>0</v>
      </c>
      <c r="C19">
        <f>('CCS Costs'!B90+'CCS Costs'!B98)*'Factors applied'!$E$852</f>
        <v>0</v>
      </c>
      <c r="D19">
        <f>('CCS Costs'!B90+'CCS Costs'!B98)*'Factors applied'!$E$853</f>
        <v>0</v>
      </c>
      <c r="E19">
        <f>('CCS Costs'!C90+'CCS Costs'!C98)</f>
        <v>0</v>
      </c>
      <c r="F19">
        <f>('CCS Costs'!D90+'CCS Costs'!D98)</f>
        <v>0</v>
      </c>
      <c r="G19">
        <f>('CCS Costs'!E90+'CCS Costs'!E98)*'Factors applied'!$E$854</f>
        <v>0</v>
      </c>
      <c r="H19">
        <f>('CCS Costs'!E90+'CCS Costs'!E98)*'Factors applied'!$E$855</f>
        <v>0</v>
      </c>
      <c r="I19">
        <f>('CCS Costs'!F90+'CCS Costs'!F98)</f>
        <v>0</v>
      </c>
      <c r="J19">
        <f>('CCS Costs'!G90+'CCS Costs'!G98)</f>
        <v>0</v>
      </c>
      <c r="K19">
        <f>('CCS Costs'!H90+'CCS Costs'!H98)</f>
        <v>0</v>
      </c>
      <c r="L19">
        <f>('CCS Costs'!I90+'CCS Costs'!I98)</f>
        <v>0</v>
      </c>
      <c r="M19">
        <f>('CCS Costs'!J90+'CCS Costs'!J98)</f>
        <v>0</v>
      </c>
      <c r="N19">
        <f>('CCS Costs'!K90+'CCS Costs'!K98)</f>
        <v>0</v>
      </c>
      <c r="O19">
        <f>('CCS Costs'!L90+'CCS Costs'!L98)</f>
        <v>0.53002559773432822</v>
      </c>
      <c r="P19">
        <f>('CCS Costs'!M90+'CCS Costs'!M98)</f>
        <v>0</v>
      </c>
      <c r="Q19">
        <f>('CCS Costs'!N90+'CCS Costs'!N98)</f>
        <v>0</v>
      </c>
      <c r="R19">
        <f>('CCS Costs'!O90+'CCS Costs'!O98)</f>
        <v>0</v>
      </c>
      <c r="S19">
        <f>('CCS Costs'!P90+'CCS Costs'!P98)</f>
        <v>0</v>
      </c>
      <c r="T19">
        <f>('CCS Costs'!Q90+'CCS Costs'!Q98)</f>
        <v>0</v>
      </c>
      <c r="U19">
        <f>('CCS Costs'!R90+'CCS Costs'!R98)</f>
        <v>0</v>
      </c>
      <c r="V19">
        <f>('CCS Costs'!S90+'CCS Costs'!S98)</f>
        <v>0</v>
      </c>
      <c r="W19">
        <f>('CCS Costs'!T90+'CCS Costs'!T98)</f>
        <v>0</v>
      </c>
      <c r="X19">
        <f>('CCS Costs'!U90+'CCS Costs'!U98)</f>
        <v>0</v>
      </c>
      <c r="Y19">
        <f>('CCS Costs'!V90+'CCS Costs'!V98)</f>
        <v>0</v>
      </c>
      <c r="Z19">
        <f>('CCS Costs'!W90+'CCS Costs'!W98)</f>
        <v>0</v>
      </c>
      <c r="AA19">
        <f>('CCS Costs'!X90+'CCS Costs'!X98)*'Factors applied'!$E$856</f>
        <v>0</v>
      </c>
      <c r="AB19">
        <f>('CCS Costs'!X90+'CCS Costs'!X98)*'Factors applied'!$E$857</f>
        <v>0</v>
      </c>
      <c r="AC19">
        <f>('CCS Costs'!Y90+'CCS Costs'!Y98)</f>
        <v>0</v>
      </c>
      <c r="AD19">
        <f>('CCS Costs'!Z90+'CCS Costs'!Z98)</f>
        <v>0</v>
      </c>
      <c r="AE19">
        <f>('CCS Costs'!AA90+'CCS Costs'!AA98)</f>
        <v>0</v>
      </c>
      <c r="AF19">
        <f>('CCS Costs'!AB90+'CCS Costs'!AB98)</f>
        <v>0.43004193671368657</v>
      </c>
      <c r="AG19">
        <f>('CCS Costs'!AC90+'CCS Costs'!AC98)</f>
        <v>0</v>
      </c>
      <c r="AH19">
        <f>('CCS Costs'!AD90+'CCS Costs'!AD98)</f>
        <v>0</v>
      </c>
      <c r="AI19">
        <f>('CCS Costs'!AE90+'CCS Costs'!AE98)*'Factors applied'!$E$858</f>
        <v>0</v>
      </c>
      <c r="AJ19">
        <f>('CCS Costs'!AE90+'CCS Costs'!AE98)*'Factors applied'!$E$859</f>
        <v>0</v>
      </c>
      <c r="AK19">
        <f>('CCS Costs'!AE90+'CCS Costs'!AE98)*'Factors applied'!$E$860</f>
        <v>0</v>
      </c>
      <c r="AL19">
        <f>('CCS Costs'!AE90+'CCS Costs'!AE98)*'Factors applied'!$E$861</f>
        <v>0</v>
      </c>
      <c r="AM19">
        <f>('CCS Costs'!AE90+'CCS Costs'!AE98)*'Factors applied'!$E$862</f>
        <v>0</v>
      </c>
      <c r="AN19">
        <f>('CCS Costs'!AF90+'CCS Costs'!AF98)</f>
        <v>0</v>
      </c>
      <c r="AO19">
        <f>('CCS Costs'!AG90+'CCS Costs'!AG98)</f>
        <v>0</v>
      </c>
      <c r="AP19">
        <f>('CCS Costs'!AH90+'CCS Costs'!AH98)</f>
        <v>0</v>
      </c>
      <c r="AQ19">
        <f>('CCS Costs'!AI90+'CCS Costs'!AI98)</f>
        <v>0</v>
      </c>
      <c r="AR19">
        <f>('CCS Costs'!AJ90+'CCS Costs'!AJ98)</f>
        <v>0</v>
      </c>
      <c r="AS19">
        <f>('CCS Costs'!AK90+'CCS Costs'!AK98)</f>
        <v>0</v>
      </c>
      <c r="AT19">
        <f>('CCS Costs'!AL90+'CCS Costs'!AL98)*'Factors applied'!$E$863</f>
        <v>3.993246555198518E-2</v>
      </c>
      <c r="AU19">
        <f>('CCS Costs'!AL90+'CCS Costs'!AL98)*'Factors applied'!$E$864</f>
        <v>0</v>
      </c>
      <c r="AV19">
        <f>('CCS Costs'!AM90+'CCS Costs'!AM98)</f>
        <v>0</v>
      </c>
      <c r="AW19">
        <f>('CCS Costs'!AN90+'CCS Costs'!AN98)</f>
        <v>0</v>
      </c>
      <c r="AX19">
        <f>('CCS Costs'!AO90+'CCS Costs'!AO98)</f>
        <v>0</v>
      </c>
      <c r="AY19">
        <f>('CCS Costs'!AP90+'CCS Costs'!AP98)*'Factors applied'!$E$865</f>
        <v>0</v>
      </c>
      <c r="AZ19">
        <f>('CCS Costs'!AP90+'CCS Costs'!AP98)*'Factors applied'!$E$866</f>
        <v>0</v>
      </c>
      <c r="BA19">
        <f>('CCS Costs'!AQ90+'CCS Costs'!AQ98)</f>
        <v>0</v>
      </c>
    </row>
    <row r="20" spans="1:53" x14ac:dyDescent="0.25">
      <c r="A20" t="s">
        <v>71</v>
      </c>
      <c r="B20">
        <f>('CCS Costs'!B91+'CCS Costs'!B99)*'Factors applied'!$E$995</f>
        <v>0</v>
      </c>
      <c r="C20">
        <f>('CCS Costs'!B91+'CCS Costs'!B99)*'Factors applied'!$E$996</f>
        <v>0</v>
      </c>
      <c r="D20">
        <f>('CCS Costs'!B91+'CCS Costs'!B99)*'Factors applied'!$E$997</f>
        <v>0</v>
      </c>
      <c r="E20">
        <f>('CCS Costs'!C91+'CCS Costs'!C99)</f>
        <v>0</v>
      </c>
      <c r="F20">
        <f>('CCS Costs'!D91+'CCS Costs'!D99)</f>
        <v>0</v>
      </c>
      <c r="G20">
        <f>('CCS Costs'!E91+'CCS Costs'!E99)*'Factors applied'!$E$998</f>
        <v>0</v>
      </c>
      <c r="H20">
        <f>('CCS Costs'!E91+'CCS Costs'!E99)*'Factors applied'!$E$999</f>
        <v>0</v>
      </c>
      <c r="I20">
        <f>('CCS Costs'!F91+'CCS Costs'!F99)</f>
        <v>0</v>
      </c>
      <c r="J20">
        <f>('CCS Costs'!G91+'CCS Costs'!G99)</f>
        <v>0</v>
      </c>
      <c r="K20">
        <f>('CCS Costs'!H91+'CCS Costs'!H99)</f>
        <v>0</v>
      </c>
      <c r="L20">
        <f>('CCS Costs'!I91+'CCS Costs'!I99)</f>
        <v>0</v>
      </c>
      <c r="M20">
        <f>('CCS Costs'!J91+'CCS Costs'!J99)</f>
        <v>0</v>
      </c>
      <c r="N20">
        <f>('CCS Costs'!K91+'CCS Costs'!K99)</f>
        <v>0</v>
      </c>
      <c r="O20">
        <f>('CCS Costs'!L91+'CCS Costs'!L99)</f>
        <v>0.60775862068965514</v>
      </c>
      <c r="P20">
        <f>('CCS Costs'!M91+'CCS Costs'!M99)</f>
        <v>0</v>
      </c>
      <c r="Q20">
        <f>('CCS Costs'!N91+'CCS Costs'!N99)</f>
        <v>0</v>
      </c>
      <c r="R20">
        <f>('CCS Costs'!O91+'CCS Costs'!O99)</f>
        <v>0</v>
      </c>
      <c r="S20">
        <f>('CCS Costs'!P91+'CCS Costs'!P99)</f>
        <v>0</v>
      </c>
      <c r="T20">
        <f>('CCS Costs'!Q91+'CCS Costs'!Q99)</f>
        <v>0</v>
      </c>
      <c r="U20">
        <f>('CCS Costs'!R91+'CCS Costs'!R99)</f>
        <v>0</v>
      </c>
      <c r="V20">
        <f>('CCS Costs'!S91+'CCS Costs'!S99)</f>
        <v>0</v>
      </c>
      <c r="W20">
        <f>('CCS Costs'!T91+'CCS Costs'!T99)</f>
        <v>0</v>
      </c>
      <c r="X20">
        <f>('CCS Costs'!U91+'CCS Costs'!U99)</f>
        <v>0</v>
      </c>
      <c r="Y20">
        <f>('CCS Costs'!V91+'CCS Costs'!V99)</f>
        <v>0</v>
      </c>
      <c r="Z20">
        <f>('CCS Costs'!W91+'CCS Costs'!W99)</f>
        <v>0</v>
      </c>
      <c r="AA20">
        <f>('CCS Costs'!X91+'CCS Costs'!X99)*'Factors applied'!$E$1000</f>
        <v>0</v>
      </c>
      <c r="AB20">
        <f>('CCS Costs'!X91+'CCS Costs'!X99)*'Factors applied'!$E$1001</f>
        <v>0</v>
      </c>
      <c r="AC20">
        <f>('CCS Costs'!Y91+'CCS Costs'!Y99)</f>
        <v>0.36961206896551718</v>
      </c>
      <c r="AD20">
        <f>('CCS Costs'!Z91+'CCS Costs'!Z99)</f>
        <v>0</v>
      </c>
      <c r="AE20">
        <f>('CCS Costs'!AA91+'CCS Costs'!AA99)</f>
        <v>0</v>
      </c>
      <c r="AF20">
        <f>('CCS Costs'!AB91+'CCS Costs'!AB99)</f>
        <v>2.2629310344827579E-2</v>
      </c>
      <c r="AG20">
        <f>('CCS Costs'!AC91+'CCS Costs'!AC99)</f>
        <v>0</v>
      </c>
      <c r="AH20">
        <f>('CCS Costs'!AD91+'CCS Costs'!AD99)</f>
        <v>0</v>
      </c>
      <c r="AI20">
        <f>('CCS Costs'!AE91+'CCS Costs'!AE99)*'Factors applied'!$E$1002</f>
        <v>0</v>
      </c>
      <c r="AJ20">
        <f>('CCS Costs'!AE91+'CCS Costs'!AE99)*'Factors applied'!$E$1003</f>
        <v>0</v>
      </c>
      <c r="AK20">
        <f>('CCS Costs'!AE91+'CCS Costs'!AE99)*'Factors applied'!$E$1004</f>
        <v>0</v>
      </c>
      <c r="AL20">
        <f>('CCS Costs'!AE91+'CCS Costs'!AE99)*'Factors applied'!$E$1005</f>
        <v>0</v>
      </c>
      <c r="AM20">
        <f>('CCS Costs'!AE91+'CCS Costs'!AE99)*'Factors applied'!$E$1006</f>
        <v>0</v>
      </c>
      <c r="AN20">
        <f>('CCS Costs'!AF91+'CCS Costs'!AF99)</f>
        <v>0</v>
      </c>
      <c r="AO20">
        <f>('CCS Costs'!AG91+'CCS Costs'!AG99)</f>
        <v>0</v>
      </c>
      <c r="AP20">
        <f>('CCS Costs'!AH91+'CCS Costs'!AH99)</f>
        <v>0</v>
      </c>
      <c r="AQ20">
        <f>('CCS Costs'!AI91+'CCS Costs'!AI99)</f>
        <v>0</v>
      </c>
      <c r="AR20">
        <f>('CCS Costs'!AJ91+'CCS Costs'!AJ99)</f>
        <v>0</v>
      </c>
      <c r="AS20">
        <f>('CCS Costs'!AK91+'CCS Costs'!AK99)</f>
        <v>0</v>
      </c>
      <c r="AT20">
        <f>('CCS Costs'!AL91+'CCS Costs'!AL99)*'Factors applied'!$E$1007</f>
        <v>0</v>
      </c>
      <c r="AU20">
        <f>('CCS Costs'!AL91+'CCS Costs'!AL99)*'Factors applied'!$E$1008</f>
        <v>0</v>
      </c>
      <c r="AV20">
        <f>('CCS Costs'!AM91+'CCS Costs'!AM99)</f>
        <v>0</v>
      </c>
      <c r="AW20">
        <f>('CCS Costs'!AN91+'CCS Costs'!AN99)</f>
        <v>0</v>
      </c>
      <c r="AX20">
        <f>('CCS Costs'!AO91+'CCS Costs'!AO99)</f>
        <v>0</v>
      </c>
      <c r="AY20">
        <f>('CCS Costs'!AP91+'CCS Costs'!AP99)*'Factors applied'!$E$1009</f>
        <v>0</v>
      </c>
      <c r="AZ20">
        <f>('CCS Costs'!AP91+'CCS Costs'!AP99)*'Factors applied'!$E$1010</f>
        <v>0</v>
      </c>
      <c r="BA20">
        <f>('CCS Costs'!AQ91+'CCS Costs'!AQ99)</f>
        <v>0</v>
      </c>
    </row>
    <row r="21" spans="1:53" x14ac:dyDescent="0.25">
      <c r="A21" t="s">
        <v>72</v>
      </c>
      <c r="B21">
        <f>('CCS Costs'!B92+'CCS Costs'!B100)*'Factors applied'!$E$787</f>
        <v>0</v>
      </c>
      <c r="C21">
        <f>('CCS Costs'!B92+'CCS Costs'!B100)*'Factors applied'!$E$788</f>
        <v>0</v>
      </c>
      <c r="D21">
        <f>('CCS Costs'!B92+'CCS Costs'!B100)*'Factors applied'!$E$789</f>
        <v>0</v>
      </c>
      <c r="E21">
        <f>('CCS Costs'!C92+'CCS Costs'!C100)</f>
        <v>0</v>
      </c>
      <c r="F21">
        <f>('CCS Costs'!D92+'CCS Costs'!D100)</f>
        <v>0</v>
      </c>
      <c r="G21">
        <f>('CCS Costs'!E92+'CCS Costs'!E100)*'Factors applied'!$E$790</f>
        <v>0</v>
      </c>
      <c r="H21">
        <f>('CCS Costs'!E92+'CCS Costs'!E100)*'Factors applied'!$E$791</f>
        <v>0</v>
      </c>
      <c r="I21">
        <f>('CCS Costs'!F92+'CCS Costs'!F100)</f>
        <v>0</v>
      </c>
      <c r="J21">
        <f>('CCS Costs'!G92+'CCS Costs'!G100)</f>
        <v>0</v>
      </c>
      <c r="K21">
        <f>('CCS Costs'!H92+'CCS Costs'!H100)</f>
        <v>0</v>
      </c>
      <c r="L21">
        <f>('CCS Costs'!I92+'CCS Costs'!I100)</f>
        <v>0</v>
      </c>
      <c r="M21">
        <f>('CCS Costs'!J92+'CCS Costs'!J100)</f>
        <v>0</v>
      </c>
      <c r="N21">
        <f>('CCS Costs'!K92+'CCS Costs'!K100)</f>
        <v>0</v>
      </c>
      <c r="O21">
        <f>('CCS Costs'!L92+'CCS Costs'!L100)</f>
        <v>0.9355390112436881</v>
      </c>
      <c r="P21">
        <f>('CCS Costs'!M92+'CCS Costs'!M100)</f>
        <v>0</v>
      </c>
      <c r="Q21">
        <f>('CCS Costs'!N92+'CCS Costs'!N100)</f>
        <v>0</v>
      </c>
      <c r="R21">
        <f>('CCS Costs'!O92+'CCS Costs'!O100)</f>
        <v>0</v>
      </c>
      <c r="S21">
        <f>('CCS Costs'!P92+'CCS Costs'!P100)</f>
        <v>0</v>
      </c>
      <c r="T21">
        <f>('CCS Costs'!Q92+'CCS Costs'!Q100)</f>
        <v>0</v>
      </c>
      <c r="U21">
        <f>('CCS Costs'!R92+'CCS Costs'!R100)</f>
        <v>0</v>
      </c>
      <c r="V21">
        <f>('CCS Costs'!S92+'CCS Costs'!S100)</f>
        <v>0</v>
      </c>
      <c r="W21">
        <f>('CCS Costs'!T92+'CCS Costs'!T100)</f>
        <v>0</v>
      </c>
      <c r="X21">
        <f>('CCS Costs'!U92+'CCS Costs'!U100)</f>
        <v>0</v>
      </c>
      <c r="Y21">
        <f>('CCS Costs'!V92+'CCS Costs'!V100)</f>
        <v>0</v>
      </c>
      <c r="Z21">
        <f>('CCS Costs'!W92+'CCS Costs'!W100)</f>
        <v>0</v>
      </c>
      <c r="AA21">
        <f>('CCS Costs'!X92+'CCS Costs'!X100)*'Factors applied'!$E$792</f>
        <v>0</v>
      </c>
      <c r="AB21">
        <f>('CCS Costs'!X92+'CCS Costs'!X100)*'Factors applied'!$E$793</f>
        <v>0</v>
      </c>
      <c r="AC21">
        <f>('CCS Costs'!Y92+'CCS Costs'!Y100)</f>
        <v>0</v>
      </c>
      <c r="AD21">
        <f>('CCS Costs'!Z92+'CCS Costs'!Z100)</f>
        <v>0</v>
      </c>
      <c r="AE21">
        <f>('CCS Costs'!AA92+'CCS Costs'!AA100)</f>
        <v>0</v>
      </c>
      <c r="AF21">
        <f>('CCS Costs'!AB92+'CCS Costs'!AB100)</f>
        <v>6.4460988756311802E-2</v>
      </c>
      <c r="AG21">
        <f>('CCS Costs'!AC92+'CCS Costs'!AC100)</f>
        <v>0</v>
      </c>
      <c r="AH21">
        <f>('CCS Costs'!AD92+'CCS Costs'!AD100)</f>
        <v>0</v>
      </c>
      <c r="AI21">
        <f>('CCS Costs'!AE92+'CCS Costs'!AE100)*'Factors applied'!$E$794</f>
        <v>0</v>
      </c>
      <c r="AJ21">
        <f>('CCS Costs'!AE92+'CCS Costs'!AE100)*'Factors applied'!$E$795</f>
        <v>0</v>
      </c>
      <c r="AK21">
        <f>('CCS Costs'!AE92+'CCS Costs'!AE100)*'Factors applied'!$E$796</f>
        <v>0</v>
      </c>
      <c r="AL21">
        <f>('CCS Costs'!AE92+'CCS Costs'!AE100)*'Factors applied'!$E$797</f>
        <v>0</v>
      </c>
      <c r="AM21">
        <f>('CCS Costs'!AE92+'CCS Costs'!AE100)*'Factors applied'!$E$798</f>
        <v>0</v>
      </c>
      <c r="AN21">
        <f>('CCS Costs'!AF92+'CCS Costs'!AF100)</f>
        <v>0</v>
      </c>
      <c r="AO21">
        <f>('CCS Costs'!AG92+'CCS Costs'!AG100)</f>
        <v>0</v>
      </c>
      <c r="AP21">
        <f>('CCS Costs'!AH92+'CCS Costs'!AH100)</f>
        <v>0</v>
      </c>
      <c r="AQ21">
        <f>('CCS Costs'!AI92+'CCS Costs'!AI100)</f>
        <v>0</v>
      </c>
      <c r="AR21">
        <f>('CCS Costs'!AJ92+'CCS Costs'!AJ100)</f>
        <v>0</v>
      </c>
      <c r="AS21">
        <f>('CCS Costs'!AK92+'CCS Costs'!AK100)</f>
        <v>0</v>
      </c>
      <c r="AT21">
        <f>('CCS Costs'!AL92+'CCS Costs'!AL100)*'Factors applied'!$E$799</f>
        <v>0</v>
      </c>
      <c r="AU21">
        <f>('CCS Costs'!AL92+'CCS Costs'!AL100)*'Factors applied'!$E$800</f>
        <v>0</v>
      </c>
      <c r="AV21">
        <f>('CCS Costs'!AM92+'CCS Costs'!AM100)</f>
        <v>0</v>
      </c>
      <c r="AW21">
        <f>('CCS Costs'!AN92+'CCS Costs'!AN100)</f>
        <v>0</v>
      </c>
      <c r="AX21">
        <f>('CCS Costs'!AO92+'CCS Costs'!AO100)</f>
        <v>0</v>
      </c>
      <c r="AY21">
        <f>('CCS Costs'!AP92+'CCS Costs'!AP100)*'Factors applied'!$E$801</f>
        <v>0</v>
      </c>
      <c r="AZ21">
        <f>('CCS Costs'!AP92+'CCS Costs'!AP100)*'Factors applied'!$E$802</f>
        <v>0</v>
      </c>
      <c r="BA21">
        <f>('CCS Costs'!AQ92+'CCS Costs'!AQ100)</f>
        <v>0</v>
      </c>
    </row>
    <row r="22" spans="1:53" x14ac:dyDescent="0.25">
      <c r="A22" t="s">
        <v>73</v>
      </c>
      <c r="B22">
        <f>('CCS Costs'!B93+'CCS Costs'!B101)*'Factors applied'!$E$947</f>
        <v>0</v>
      </c>
      <c r="C22">
        <f>('CCS Costs'!B93+'CCS Costs'!B101)*'Factors applied'!$E$948</f>
        <v>0</v>
      </c>
      <c r="D22">
        <f>('CCS Costs'!B93+'CCS Costs'!B101)*'Factors applied'!$E$949</f>
        <v>0</v>
      </c>
      <c r="E22">
        <f>('CCS Costs'!C93+'CCS Costs'!C101)</f>
        <v>0</v>
      </c>
      <c r="F22">
        <f>('CCS Costs'!D93+'CCS Costs'!D101)</f>
        <v>0</v>
      </c>
      <c r="G22">
        <f>('CCS Costs'!E93+'CCS Costs'!E101)*'Factors applied'!$E$950</f>
        <v>0</v>
      </c>
      <c r="H22">
        <f>('CCS Costs'!E93+'CCS Costs'!E101)*'Factors applied'!$E$951</f>
        <v>0</v>
      </c>
      <c r="I22">
        <f>('CCS Costs'!F93+'CCS Costs'!F101)</f>
        <v>0</v>
      </c>
      <c r="J22">
        <f>('CCS Costs'!G93+'CCS Costs'!G101)</f>
        <v>0</v>
      </c>
      <c r="K22">
        <f>('CCS Costs'!H93+'CCS Costs'!H101)</f>
        <v>0</v>
      </c>
      <c r="L22">
        <f>('CCS Costs'!I93+'CCS Costs'!I101)</f>
        <v>0</v>
      </c>
      <c r="M22">
        <f>('CCS Costs'!J93+'CCS Costs'!J101)</f>
        <v>0</v>
      </c>
      <c r="N22">
        <f>('CCS Costs'!K93+'CCS Costs'!K101)</f>
        <v>0</v>
      </c>
      <c r="O22">
        <f>('CCS Costs'!L93+'CCS Costs'!L101)</f>
        <v>0.53002559773432822</v>
      </c>
      <c r="P22">
        <f>('CCS Costs'!M93+'CCS Costs'!M101)</f>
        <v>0</v>
      </c>
      <c r="Q22">
        <f>('CCS Costs'!N93+'CCS Costs'!N101)</f>
        <v>0</v>
      </c>
      <c r="R22">
        <f>('CCS Costs'!O93+'CCS Costs'!O101)</f>
        <v>0</v>
      </c>
      <c r="S22">
        <f>('CCS Costs'!P93+'CCS Costs'!P101)</f>
        <v>0</v>
      </c>
      <c r="T22">
        <f>('CCS Costs'!Q93+'CCS Costs'!Q101)</f>
        <v>0</v>
      </c>
      <c r="U22">
        <f>('CCS Costs'!R93+'CCS Costs'!R101)</f>
        <v>0</v>
      </c>
      <c r="V22">
        <f>('CCS Costs'!S93+'CCS Costs'!S101)</f>
        <v>0</v>
      </c>
      <c r="W22">
        <f>('CCS Costs'!T93+'CCS Costs'!T101)</f>
        <v>0</v>
      </c>
      <c r="X22">
        <f>('CCS Costs'!U93+'CCS Costs'!U101)</f>
        <v>0</v>
      </c>
      <c r="Y22">
        <f>('CCS Costs'!V93+'CCS Costs'!V101)</f>
        <v>0</v>
      </c>
      <c r="Z22">
        <f>('CCS Costs'!W93+'CCS Costs'!W101)</f>
        <v>0</v>
      </c>
      <c r="AA22">
        <f>('CCS Costs'!X93+'CCS Costs'!X101)*'Factors applied'!$E$952</f>
        <v>0</v>
      </c>
      <c r="AB22">
        <f>('CCS Costs'!X93+'CCS Costs'!X101)*'Factors applied'!$E$953</f>
        <v>0</v>
      </c>
      <c r="AC22">
        <f>('CCS Costs'!Y93+'CCS Costs'!Y101)</f>
        <v>0</v>
      </c>
      <c r="AD22">
        <f>('CCS Costs'!Z93+'CCS Costs'!Z101)</f>
        <v>0</v>
      </c>
      <c r="AE22">
        <f>('CCS Costs'!AA93+'CCS Costs'!AA101)</f>
        <v>0</v>
      </c>
      <c r="AF22">
        <f>('CCS Costs'!AB93+'CCS Costs'!AB101)</f>
        <v>0.43004193671368657</v>
      </c>
      <c r="AG22">
        <f>('CCS Costs'!AC93+'CCS Costs'!AC101)</f>
        <v>0</v>
      </c>
      <c r="AH22">
        <f>('CCS Costs'!AD93+'CCS Costs'!AD101)</f>
        <v>0</v>
      </c>
      <c r="AI22">
        <f>('CCS Costs'!AE93+'CCS Costs'!AE101)*'Factors applied'!$E$954</f>
        <v>0</v>
      </c>
      <c r="AJ22">
        <f>('CCS Costs'!AE93+'CCS Costs'!AE101)*'Factors applied'!$E$955</f>
        <v>0</v>
      </c>
      <c r="AK22">
        <f>('CCS Costs'!AE93+'CCS Costs'!AE101)*'Factors applied'!$E$956</f>
        <v>0</v>
      </c>
      <c r="AL22">
        <f>('CCS Costs'!AE93+'CCS Costs'!AE101)*'Factors applied'!$E$957</f>
        <v>0</v>
      </c>
      <c r="AM22">
        <f>('CCS Costs'!AE93+'CCS Costs'!AE101)*'Factors applied'!$E$958</f>
        <v>0</v>
      </c>
      <c r="AN22">
        <f>('CCS Costs'!AF93+'CCS Costs'!AF101)</f>
        <v>0</v>
      </c>
      <c r="AO22">
        <f>('CCS Costs'!AG93+'CCS Costs'!AG101)</f>
        <v>0</v>
      </c>
      <c r="AP22">
        <f>('CCS Costs'!AH93+'CCS Costs'!AH101)</f>
        <v>0</v>
      </c>
      <c r="AQ22">
        <f>('CCS Costs'!AI93+'CCS Costs'!AI101)</f>
        <v>0</v>
      </c>
      <c r="AR22">
        <f>('CCS Costs'!AJ93+'CCS Costs'!AJ101)</f>
        <v>0</v>
      </c>
      <c r="AS22">
        <f>('CCS Costs'!AK93+'CCS Costs'!AK101)</f>
        <v>0</v>
      </c>
      <c r="AT22">
        <f>('CCS Costs'!AL93+'CCS Costs'!AL101)*'Factors applied'!$E$959</f>
        <v>3.993246555198518E-2</v>
      </c>
      <c r="AU22">
        <f>('CCS Costs'!AL93+'CCS Costs'!AL101)*'Factors applied'!$E$960</f>
        <v>0</v>
      </c>
      <c r="AV22">
        <f>('CCS Costs'!AM93+'CCS Costs'!AM101)</f>
        <v>0</v>
      </c>
      <c r="AW22">
        <f>('CCS Costs'!AN93+'CCS Costs'!AN101)</f>
        <v>0</v>
      </c>
      <c r="AX22">
        <f>('CCS Costs'!AO93+'CCS Costs'!AO101)</f>
        <v>0</v>
      </c>
      <c r="AY22">
        <f>('CCS Costs'!AP93+'CCS Costs'!AP101)*'Factors applied'!$E$961</f>
        <v>0</v>
      </c>
      <c r="AZ22">
        <f>('CCS Costs'!AP93+'CCS Costs'!AP101)*'Factors applied'!$E$962</f>
        <v>0</v>
      </c>
      <c r="BA22">
        <f>('CCS Costs'!AQ93+'CCS Costs'!AQ101)</f>
        <v>0</v>
      </c>
    </row>
    <row r="23" spans="1:53" x14ac:dyDescent="0.25">
      <c r="A23" t="s">
        <v>74</v>
      </c>
      <c r="B23">
        <f>((SUMIF('Cost Breakdowns'!$D$162:$D$162,"ISIC 01T03",'Cost Breakdowns'!$B$162:$B$162)))*'Factors applied'!$E$1091</f>
        <v>0</v>
      </c>
      <c r="C23">
        <f>((SUMIF('Cost Breakdowns'!$D$162:$D$162,"ISIC 01T03",'Cost Breakdowns'!$B$162:$B$162)))*'Factors applied'!$E$1092</f>
        <v>0</v>
      </c>
      <c r="D23">
        <f>((SUMIF('Cost Breakdowns'!$D$162:$D$162,"ISIC 01T03",'Cost Breakdowns'!$B$162:$B$162)))*'Factors applied'!$E$1093</f>
        <v>0</v>
      </c>
      <c r="E23">
        <f>((SUMIF('Cost Breakdowns'!$D$162:$D$162,"ISIC 05",'Cost Breakdowns'!$B$162:$B$162)))</f>
        <v>0</v>
      </c>
      <c r="F23">
        <f>((SUMIF('Cost Breakdowns'!$D$162:$D$162,"ISIC 06",'Cost Breakdowns'!$B$162:$B$162)))</f>
        <v>0</v>
      </c>
      <c r="G23">
        <f>((SUMIF('Cost Breakdowns'!$D$162:$D$162,"ISIC 07T08",'Cost Breakdowns'!$B$162:$B$162)))*'Factors applied'!$E$1094</f>
        <v>0</v>
      </c>
      <c r="H23">
        <f>((SUMIF('Cost Breakdowns'!$D$162:$D$162,"ISIC 07T08",'Cost Breakdowns'!$B$162:$B$162)))*'Factors applied'!$E$1095</f>
        <v>0</v>
      </c>
      <c r="I23">
        <f>((SUMIF('Cost Breakdowns'!$D$162:$D$162,"ISIC 09",'Cost Breakdowns'!$B$162:$B$162)))</f>
        <v>0</v>
      </c>
      <c r="J23">
        <f>((SUMIF('Cost Breakdowns'!$D$162:$D$162,"ISIC 10T12",'Cost Breakdowns'!$B$162:$B$162)))</f>
        <v>0</v>
      </c>
      <c r="K23">
        <f>((SUMIF('Cost Breakdowns'!$D$162:$D$162,"ISIC 13T15",'Cost Breakdowns'!$B$162:$B$162)))</f>
        <v>0</v>
      </c>
      <c r="L23">
        <f>((SUMIF('Cost Breakdowns'!$D$162:$D$162,"ISIC 16",'Cost Breakdowns'!$B$162:$B$162)))</f>
        <v>0</v>
      </c>
      <c r="M23">
        <f>((SUMIF('Cost Breakdowns'!$D$162:$D$162,"ISIC 17T18",'Cost Breakdowns'!$B$162:$B$162)))</f>
        <v>0</v>
      </c>
      <c r="N23">
        <f>((SUMIF('Cost Breakdowns'!$D$162:$D$162,"ISIC 19",'Cost Breakdowns'!$B$162:$B$162)))</f>
        <v>0</v>
      </c>
      <c r="O23">
        <f>((SUMIF('Cost Breakdowns'!$D$162:$D$162,"ISIC 20",'Cost Breakdowns'!$B$162:$B$162)))</f>
        <v>0</v>
      </c>
      <c r="P23">
        <f>((SUMIF('Cost Breakdowns'!$D$162:$D$162,"ISIC 21",'Cost Breakdowns'!$B$162:$B$162)))</f>
        <v>0</v>
      </c>
      <c r="Q23">
        <f>((SUMIF('Cost Breakdowns'!$D$162:$D$162,"ISIC 22",'Cost Breakdowns'!$B$162:$B$162)))</f>
        <v>0</v>
      </c>
      <c r="R23">
        <f>((SUMIF('Cost Breakdowns'!$D$162:$D$162,"ISIC 231",'Cost Breakdowns'!$B$162:$B$162)))</f>
        <v>0</v>
      </c>
      <c r="S23">
        <f>((SUMIF('Cost Breakdowns'!$D$162:$D$162,"ISIC 239",'Cost Breakdowns'!$B$162:$B$162)))</f>
        <v>0</v>
      </c>
      <c r="T23">
        <f>((SUMIF('Cost Breakdowns'!$D$162:$D$162,"ISIC 241",'Cost Breakdowns'!$B$162:$B$162)))</f>
        <v>0</v>
      </c>
      <c r="U23">
        <f>((SUMIF('Cost Breakdowns'!$D$162:$D$162,"ISIC 242",'Cost Breakdowns'!$B$162:$B$162)))</f>
        <v>0</v>
      </c>
      <c r="V23">
        <f>((SUMIF('Cost Breakdowns'!$D$162:$D$162,"ISIC 25",'Cost Breakdowns'!$B$162:$B$162)))</f>
        <v>0</v>
      </c>
      <c r="W23">
        <f>((SUMIF('Cost Breakdowns'!$D$162:$D$162,"ISIC 26",'Cost Breakdowns'!$B$162:$B$162)))</f>
        <v>0</v>
      </c>
      <c r="X23">
        <f>((SUMIF('Cost Breakdowns'!$D$162:$D$162,"ISIC 27",'Cost Breakdowns'!$B$162:$B$162)))</f>
        <v>0</v>
      </c>
      <c r="Y23">
        <f>((SUMIF('Cost Breakdowns'!$D$162:$D$162,"ISIC 28",'Cost Breakdowns'!$B$162:$B$162)))</f>
        <v>0</v>
      </c>
      <c r="Z23">
        <f>((SUMIF('Cost Breakdowns'!$D$162:$D$162,"ISIC 29",'Cost Breakdowns'!$B$162:$B$162)))</f>
        <v>0</v>
      </c>
      <c r="AA23">
        <f>((SUMIF('Cost Breakdowns'!$D$162:$D$162,"ISIC 30",'Cost Breakdowns'!$B$162:$B$162)))*'Factors applied'!$E$1096</f>
        <v>0</v>
      </c>
      <c r="AB23">
        <f>((SUMIF('Cost Breakdowns'!$D$162:$D$162,"ISIC 30",'Cost Breakdowns'!$B$162:$B$162)))*'Factors applied'!$E$1097</f>
        <v>0</v>
      </c>
      <c r="AC23">
        <f>((SUMIF('Cost Breakdowns'!$D$162:$D$162,"ISIC 31T33",'Cost Breakdowns'!$B$162:$B$162)))</f>
        <v>0</v>
      </c>
      <c r="AD23">
        <f>((SUMIF('Cost Breakdowns'!$D$162:$D$162,"ISIC 351",'Cost Breakdowns'!$B$162:$B$162)))</f>
        <v>0</v>
      </c>
      <c r="AE23">
        <f>((SUMIF('Cost Breakdowns'!$D$162:$D$162,"ISIC 352T353",'Cost Breakdowns'!$B$162:$B$162)))</f>
        <v>0</v>
      </c>
      <c r="AF23">
        <f>((SUMIF('Cost Breakdowns'!$D$162:$D$162,"ISIC 36T39",'Cost Breakdowns'!$B$162:$B$162)))</f>
        <v>1</v>
      </c>
      <c r="AG23">
        <f>((SUMIF('Cost Breakdowns'!$D$162:$D$162,"ISIC 41T43",'Cost Breakdowns'!$B$162:$B$162)))</f>
        <v>0</v>
      </c>
      <c r="AH23">
        <f>((SUMIF('Cost Breakdowns'!$D$162:$D$162,"ISIC 45T47",'Cost Breakdowns'!$B$162:$B$162)))</f>
        <v>0</v>
      </c>
      <c r="AI23">
        <f>((SUMIF('Cost Breakdowns'!$D$162:$D$162,"ISIC 49T53",'Cost Breakdowns'!$B$162:$B$162)))*'Factors applied'!$E$1098</f>
        <v>0</v>
      </c>
      <c r="AJ23">
        <f>((SUMIF('Cost Breakdowns'!$D$162:$D$162,"ISIC 49T53",'Cost Breakdowns'!$B$162:$B$162)))*'Factors applied'!$E$1099</f>
        <v>0</v>
      </c>
      <c r="AK23">
        <f>((SUMIF('Cost Breakdowns'!$D$162:$D$162,"ISIC 49T53",'Cost Breakdowns'!$B$162:$B$162)))*'Factors applied'!$E$1100</f>
        <v>0</v>
      </c>
      <c r="AL23">
        <f>((SUMIF('Cost Breakdowns'!$D$162:$D$162,"ISIC 49T53",'Cost Breakdowns'!$B$162:$B$162)))*'Factors applied'!$E$1101</f>
        <v>0</v>
      </c>
      <c r="AM23">
        <f>((SUMIF('Cost Breakdowns'!$D$162:$D$162,"ISIC 49T53",'Cost Breakdowns'!$B$162:$B$162)))*'Factors applied'!$E$1102</f>
        <v>0</v>
      </c>
      <c r="AN23">
        <f>((SUMIF('Cost Breakdowns'!$D$162:$D$162,"ISIC 55T56",'Cost Breakdowns'!$B$162:$B$162)))</f>
        <v>0</v>
      </c>
      <c r="AO23">
        <f>((SUMIF('Cost Breakdowns'!$D$162:$D$162,"ISIC 58T60",'Cost Breakdowns'!$B$162:$B$162)))</f>
        <v>0</v>
      </c>
      <c r="AP23">
        <f>((SUMIF('Cost Breakdowns'!$D$162:$D$162,"ISIC 61",'Cost Breakdowns'!$B$162:$B$162)))</f>
        <v>0</v>
      </c>
      <c r="AQ23">
        <f>((SUMIF('Cost Breakdowns'!$D$162:$D$162,"ISIC 62T63",'Cost Breakdowns'!$B$162:$B$162)))</f>
        <v>0</v>
      </c>
      <c r="AR23">
        <f>((SUMIF('Cost Breakdowns'!$D$162:$D$162,"ISIC 64T66",'Cost Breakdowns'!$B$162:$B$162)))</f>
        <v>0</v>
      </c>
      <c r="AS23">
        <f>((SUMIF('Cost Breakdowns'!$D$162:$D$162,"ISIC 68",'Cost Breakdowns'!$B$162:$B$162)))</f>
        <v>0</v>
      </c>
      <c r="AT23">
        <f>((SUMIF('Cost Breakdowns'!$D$162:$D$162,"ISIC 69T82",'Cost Breakdowns'!$B$162:$B$162)))*'Factors applied'!$E$1103</f>
        <v>0</v>
      </c>
      <c r="AU23">
        <f>((SUMIF('Cost Breakdowns'!$D$162:$D$162,"ISIC 69T82",'Cost Breakdowns'!$B$162:$B$162)))*'Factors applied'!$E$1104</f>
        <v>0</v>
      </c>
      <c r="AV23">
        <f>((SUMIF('Cost Breakdowns'!$D$162:$D$162,"ISIC 84",'Cost Breakdowns'!$B$162:$B$162)))</f>
        <v>0</v>
      </c>
      <c r="AW23">
        <f>((SUMIF('Cost Breakdowns'!$D$162:$D$162,"ISIC 85",'Cost Breakdowns'!$B$162:$B$162)))</f>
        <v>0</v>
      </c>
      <c r="AX23">
        <f>((SUMIF('Cost Breakdowns'!$D$162:$D$162,"ISIC 86T88",'Cost Breakdowns'!$B$162:$B$162)))</f>
        <v>0</v>
      </c>
      <c r="AY23">
        <f>((SUMIF('Cost Breakdowns'!$D$162:$D$162,"ISIC 90T96",'Cost Breakdowns'!$B$162:$B$162)))*'Factors applied'!$E$1105</f>
        <v>0</v>
      </c>
      <c r="AZ23">
        <f>((SUMIF('Cost Breakdowns'!$D$162:$D$162,"ISIC 90T96",'Cost Breakdowns'!$B$162:$B$162)))*'Factors applied'!$E$1106</f>
        <v>0</v>
      </c>
      <c r="BA23">
        <f>((SUMIF('Cost Breakdowns'!$D$162:$D$162,"ISIC 97T98",'Cost Breakdowns'!$B$162:$B$162)))</f>
        <v>0</v>
      </c>
    </row>
    <row r="24" spans="1:53" x14ac:dyDescent="0.25">
      <c r="A24" t="s">
        <v>75</v>
      </c>
      <c r="B24">
        <f>(((SUMIF('Cost Breakdowns'!$D$140:$D$142,"ISIC 01T03",'Cost Breakdowns'!$B$140:$B$142))))*'Factors applied'!$E$915</f>
        <v>0</v>
      </c>
      <c r="C24">
        <f>(((SUMIF('Cost Breakdowns'!$D$140:$D$142,"ISIC 01T03",'Cost Breakdowns'!$B$140:$B$142))))*'Factors applied'!$E$916</f>
        <v>0</v>
      </c>
      <c r="D24">
        <f>(((SUMIF('Cost Breakdowns'!$D$140:$D$142,"ISIC 01T03",'Cost Breakdowns'!$B$140:$B$142))))*'Factors applied'!$E$917</f>
        <v>0</v>
      </c>
      <c r="E24">
        <f>(((SUMIF('Cost Breakdowns'!$D$140:$D$142,"ISIC 05",'Cost Breakdowns'!$B$140:$B$142))))</f>
        <v>0</v>
      </c>
      <c r="F24">
        <f>(((SUMIF('Cost Breakdowns'!$D$140:$D$142,"ISIC 06",'Cost Breakdowns'!$B$140:$B$142))))</f>
        <v>0</v>
      </c>
      <c r="G24">
        <f>(((SUMIF('Cost Breakdowns'!$D$140:$D$142,"ISIC 07T08",'Cost Breakdowns'!$B$140:$B$142))))*'Factors applied'!$E$918</f>
        <v>0</v>
      </c>
      <c r="H24">
        <f>(((SUMIF('Cost Breakdowns'!$D$140:$D$142,"ISIC 07T08",'Cost Breakdowns'!$B$140:$B$142))))*'Factors applied'!$E$919</f>
        <v>0</v>
      </c>
      <c r="I24">
        <f>(((SUMIF('Cost Breakdowns'!$D$140:$D$142,"ISIC 09",'Cost Breakdowns'!$B$140:$B$142))))</f>
        <v>0</v>
      </c>
      <c r="J24">
        <f>(((SUMIF('Cost Breakdowns'!$D$140:$D$142,"ISIC 10T12",'Cost Breakdowns'!$B$140:$B$142))))</f>
        <v>0</v>
      </c>
      <c r="K24">
        <f>(((SUMIF('Cost Breakdowns'!$D$140:$D$142,"ISIC 13T15",'Cost Breakdowns'!$B$140:$B$142))))</f>
        <v>0</v>
      </c>
      <c r="L24">
        <f>(((SUMIF('Cost Breakdowns'!$D$140:$D$142,"ISIC 16",'Cost Breakdowns'!$B$140:$B$142))))</f>
        <v>0</v>
      </c>
      <c r="M24">
        <f>(((SUMIF('Cost Breakdowns'!$D$140:$D$142,"ISIC 17T18",'Cost Breakdowns'!$B$140:$B$142))))</f>
        <v>0</v>
      </c>
      <c r="N24">
        <f>(((SUMIF('Cost Breakdowns'!$D$140:$D$142,"ISIC 19",'Cost Breakdowns'!$B$140:$B$142))))</f>
        <v>0</v>
      </c>
      <c r="O24">
        <f>(((SUMIF('Cost Breakdowns'!$D$140:$D$142,"ISIC 20",'Cost Breakdowns'!$B$140:$B$142))))</f>
        <v>0.10344827586206901</v>
      </c>
      <c r="P24">
        <f>(((SUMIF('Cost Breakdowns'!$D$140:$D$142,"ISIC 21",'Cost Breakdowns'!$B$140:$B$142))))</f>
        <v>0</v>
      </c>
      <c r="Q24">
        <f>(((SUMIF('Cost Breakdowns'!$D$140:$D$142,"ISIC 22",'Cost Breakdowns'!$B$140:$B$142))))</f>
        <v>0</v>
      </c>
      <c r="R24">
        <f>(((SUMIF('Cost Breakdowns'!$D$140:$D$142,"ISIC 231",'Cost Breakdowns'!$B$140:$B$142))))</f>
        <v>0</v>
      </c>
      <c r="S24">
        <f>(((SUMIF('Cost Breakdowns'!$D$140:$D$142,"ISIC 239",'Cost Breakdowns'!$B$140:$B$142))))</f>
        <v>0</v>
      </c>
      <c r="T24">
        <f>(((SUMIF('Cost Breakdowns'!$D$140:$D$142,"ISIC 241",'Cost Breakdowns'!$B$140:$B$142))))</f>
        <v>0</v>
      </c>
      <c r="U24">
        <f>(((SUMIF('Cost Breakdowns'!$D$140:$D$142,"ISIC 242",'Cost Breakdowns'!$B$140:$B$142))))</f>
        <v>0</v>
      </c>
      <c r="V24">
        <f>(((SUMIF('Cost Breakdowns'!$D$140:$D$142,"ISIC 25",'Cost Breakdowns'!$B$140:$B$142))))</f>
        <v>0</v>
      </c>
      <c r="W24">
        <f>(((SUMIF('Cost Breakdowns'!$D$140:$D$142,"ISIC 26",'Cost Breakdowns'!$B$140:$B$142))))</f>
        <v>0</v>
      </c>
      <c r="X24">
        <f>(((SUMIF('Cost Breakdowns'!$D$140:$D$142,"ISIC 27",'Cost Breakdowns'!$B$140:$B$142))))</f>
        <v>0</v>
      </c>
      <c r="Y24">
        <f>(((SUMIF('Cost Breakdowns'!$D$140:$D$142,"ISIC 28",'Cost Breakdowns'!$B$140:$B$142))))</f>
        <v>0</v>
      </c>
      <c r="Z24">
        <f>(((SUMIF('Cost Breakdowns'!$D$140:$D$142,"ISIC 29",'Cost Breakdowns'!$B$140:$B$142))))</f>
        <v>0</v>
      </c>
      <c r="AA24">
        <f>(((SUMIF('Cost Breakdowns'!$D$140:$D$142,"ISIC 30",'Cost Breakdowns'!$B$140:$B$142))))*'Factors applied'!$E$920</f>
        <v>0</v>
      </c>
      <c r="AB24">
        <f>(((SUMIF('Cost Breakdowns'!$D$140:$D$142,"ISIC 30",'Cost Breakdowns'!$B$140:$B$142))))*'Factors applied'!$E$921</f>
        <v>0</v>
      </c>
      <c r="AC24">
        <f>(((SUMIF('Cost Breakdowns'!$D$140:$D$142,"ISIC 31T33",'Cost Breakdowns'!$B$140:$B$142))))</f>
        <v>0.84482758620689657</v>
      </c>
      <c r="AD24">
        <f>(((SUMIF('Cost Breakdowns'!$D$140:$D$142,"ISIC 351",'Cost Breakdowns'!$B$140:$B$142))))</f>
        <v>0</v>
      </c>
      <c r="AE24">
        <f>(((SUMIF('Cost Breakdowns'!$D$140:$D$142,"ISIC 352T353",'Cost Breakdowns'!$B$140:$B$142))))</f>
        <v>0</v>
      </c>
      <c r="AF24">
        <f>(((SUMIF('Cost Breakdowns'!$D$140:$D$142,"ISIC 36T39",'Cost Breakdowns'!$B$140:$B$142))))</f>
        <v>5.1724137931034482E-2</v>
      </c>
      <c r="AG24">
        <f>(((SUMIF('Cost Breakdowns'!$D$140:$D$142,"ISIC 41T43",'Cost Breakdowns'!$B$140:$B$142))))</f>
        <v>0</v>
      </c>
      <c r="AH24">
        <f>(((SUMIF('Cost Breakdowns'!$D$140:$D$142,"ISIC 45T47",'Cost Breakdowns'!$B$140:$B$142))))</f>
        <v>0</v>
      </c>
      <c r="AI24">
        <f>(((SUMIF('Cost Breakdowns'!$D$140:$D$142,"ISIC 49T53",'Cost Breakdowns'!$B$140:$B$142))))*'Factors applied'!$E$922</f>
        <v>0</v>
      </c>
      <c r="AJ24">
        <f>(((SUMIF('Cost Breakdowns'!$D$140:$D$142,"ISIC 49T53",'Cost Breakdowns'!$B$140:$B$142))))*'Factors applied'!$E$923</f>
        <v>0</v>
      </c>
      <c r="AK24">
        <f>(((SUMIF('Cost Breakdowns'!$D$140:$D$142,"ISIC 49T53",'Cost Breakdowns'!$B$140:$B$142))))*'Factors applied'!$E$924</f>
        <v>0</v>
      </c>
      <c r="AL24">
        <f>(((SUMIF('Cost Breakdowns'!$D$140:$D$142,"ISIC 49T53",'Cost Breakdowns'!$B$140:$B$142))))*'Factors applied'!$E$925</f>
        <v>0</v>
      </c>
      <c r="AM24">
        <f>(((SUMIF('Cost Breakdowns'!$D$140:$D$142,"ISIC 49T53",'Cost Breakdowns'!$B$140:$B$142))))*'Factors applied'!$E$926</f>
        <v>0</v>
      </c>
      <c r="AN24">
        <f>(((SUMIF('Cost Breakdowns'!$D$140:$D$142,"ISIC 55T56",'Cost Breakdowns'!$B$140:$B$142))))</f>
        <v>0</v>
      </c>
      <c r="AO24">
        <f>(((SUMIF('Cost Breakdowns'!$D$140:$D$142,"ISIC 58T60",'Cost Breakdowns'!$B$140:$B$142))))</f>
        <v>0</v>
      </c>
      <c r="AP24">
        <f>(((SUMIF('Cost Breakdowns'!$D$140:$D$142,"ISIC 61",'Cost Breakdowns'!$B$140:$B$142))))</f>
        <v>0</v>
      </c>
      <c r="AQ24">
        <f>(((SUMIF('Cost Breakdowns'!$D$140:$D$142,"ISIC 62T63",'Cost Breakdowns'!$B$140:$B$142))))</f>
        <v>0</v>
      </c>
      <c r="AR24">
        <f>(((SUMIF('Cost Breakdowns'!$D$140:$D$142,"ISIC 64T66",'Cost Breakdowns'!$B$140:$B$142))))</f>
        <v>0</v>
      </c>
      <c r="AS24">
        <f>(((SUMIF('Cost Breakdowns'!$D$140:$D$142,"ISIC 68",'Cost Breakdowns'!$B$140:$B$142))))</f>
        <v>0</v>
      </c>
      <c r="AT24">
        <f>(((SUMIF('Cost Breakdowns'!$D$140:$D$142,"ISIC 69T82",'Cost Breakdowns'!$B$140:$B$142))))*'Factors applied'!$E$927</f>
        <v>0</v>
      </c>
      <c r="AU24">
        <f>(((SUMIF('Cost Breakdowns'!$D$140:$D$142,"ISIC 69T82",'Cost Breakdowns'!$B$140:$B$142))))*'Factors applied'!$E$928</f>
        <v>0</v>
      </c>
      <c r="AV24">
        <f>(((SUMIF('Cost Breakdowns'!$D$140:$D$142,"ISIC 84",'Cost Breakdowns'!$B$140:$B$142))))</f>
        <v>0</v>
      </c>
      <c r="AW24">
        <f>(((SUMIF('Cost Breakdowns'!$D$140:$D$142,"ISIC 85",'Cost Breakdowns'!$B$140:$B$142))))</f>
        <v>0</v>
      </c>
      <c r="AX24">
        <f>(((SUMIF('Cost Breakdowns'!$D$140:$D$142,"ISIC 86T88",'Cost Breakdowns'!$B$140:$B$142))))</f>
        <v>0</v>
      </c>
      <c r="AY24">
        <f>(((SUMIF('Cost Breakdowns'!$D$140:$D$142,"ISIC 90T96",'Cost Breakdowns'!$B$140:$B$142))))*'Factors applied'!$E$929</f>
        <v>0</v>
      </c>
      <c r="AZ24">
        <f>(((SUMIF('Cost Breakdowns'!$D$140:$D$142,"ISIC 90T96",'Cost Breakdowns'!$B$140:$B$142))))*'Factors applied'!$E$930</f>
        <v>0</v>
      </c>
      <c r="BA24">
        <f>(((SUMIF('Cost Breakdowns'!$D$140:$D$142,"ISIC 97T98",'Cost Breakdowns'!$B$140:$B$142))))</f>
        <v>0</v>
      </c>
    </row>
    <row r="25" spans="1:53" x14ac:dyDescent="0.25">
      <c r="A25" t="s">
        <v>76</v>
      </c>
      <c r="B25">
        <f>(((SUMIF('Cost Breakdowns'!$D$140:$D$142,"ISIC 01T03",'Cost Breakdowns'!$B$140:$B$142))))*'Factors applied'!$E$899</f>
        <v>0</v>
      </c>
      <c r="C25">
        <f>(((SUMIF('Cost Breakdowns'!$D$140:$D$142,"ISIC 01T03",'Cost Breakdowns'!$B$140:$B$142))))*'Factors applied'!$E$900</f>
        <v>0</v>
      </c>
      <c r="D25">
        <f>(((SUMIF('Cost Breakdowns'!$D$140:$D$142,"ISIC 01T03",'Cost Breakdowns'!$B$140:$B$142))))*'Factors applied'!$E$901</f>
        <v>0</v>
      </c>
      <c r="E25">
        <f>(((SUMIF('Cost Breakdowns'!$D$140:$D$142,"ISIC 05",'Cost Breakdowns'!$B$140:$B$142))))</f>
        <v>0</v>
      </c>
      <c r="F25">
        <f>(((SUMIF('Cost Breakdowns'!$D$140:$D$142,"ISIC 06",'Cost Breakdowns'!$B$140:$B$142))))</f>
        <v>0</v>
      </c>
      <c r="G25">
        <f>(((SUMIF('Cost Breakdowns'!$D$140:$D$142,"ISIC 07T08",'Cost Breakdowns'!$B$140:$B$142))))*'Factors applied'!$E$902</f>
        <v>0</v>
      </c>
      <c r="H25">
        <f>(((SUMIF('Cost Breakdowns'!$D$140:$D$142,"ISIC 07T08",'Cost Breakdowns'!$B$140:$B$142))))*'Factors applied'!$E$903</f>
        <v>0</v>
      </c>
      <c r="I25">
        <f>(((SUMIF('Cost Breakdowns'!$D$140:$D$142,"ISIC 09",'Cost Breakdowns'!$B$140:$B$142))))</f>
        <v>0</v>
      </c>
      <c r="J25">
        <f>(((SUMIF('Cost Breakdowns'!$D$140:$D$142,"ISIC 10T12",'Cost Breakdowns'!$B$140:$B$142))))</f>
        <v>0</v>
      </c>
      <c r="K25">
        <f>(((SUMIF('Cost Breakdowns'!$D$140:$D$142,"ISIC 13T15",'Cost Breakdowns'!$B$140:$B$142))))</f>
        <v>0</v>
      </c>
      <c r="L25">
        <f>(((SUMIF('Cost Breakdowns'!$D$140:$D$142,"ISIC 16",'Cost Breakdowns'!$B$140:$B$142))))</f>
        <v>0</v>
      </c>
      <c r="M25">
        <f>(((SUMIF('Cost Breakdowns'!$D$140:$D$142,"ISIC 17T18",'Cost Breakdowns'!$B$140:$B$142))))</f>
        <v>0</v>
      </c>
      <c r="N25">
        <f>(((SUMIF('Cost Breakdowns'!$D$140:$D$142,"ISIC 19",'Cost Breakdowns'!$B$140:$B$142))))</f>
        <v>0</v>
      </c>
      <c r="O25">
        <f>(((SUMIF('Cost Breakdowns'!$D$140:$D$142,"ISIC 20",'Cost Breakdowns'!$B$140:$B$142))))</f>
        <v>0.10344827586206901</v>
      </c>
      <c r="P25">
        <f>(((SUMIF('Cost Breakdowns'!$D$140:$D$142,"ISIC 21",'Cost Breakdowns'!$B$140:$B$142))))</f>
        <v>0</v>
      </c>
      <c r="Q25">
        <f>(((SUMIF('Cost Breakdowns'!$D$140:$D$142,"ISIC 22",'Cost Breakdowns'!$B$140:$B$142))))</f>
        <v>0</v>
      </c>
      <c r="R25">
        <f>(((SUMIF('Cost Breakdowns'!$D$140:$D$142,"ISIC 231",'Cost Breakdowns'!$B$140:$B$142))))</f>
        <v>0</v>
      </c>
      <c r="S25">
        <f>(((SUMIF('Cost Breakdowns'!$D$140:$D$142,"ISIC 239",'Cost Breakdowns'!$B$140:$B$142))))</f>
        <v>0</v>
      </c>
      <c r="T25">
        <f>(((SUMIF('Cost Breakdowns'!$D$140:$D$142,"ISIC 241",'Cost Breakdowns'!$B$140:$B$142))))</f>
        <v>0</v>
      </c>
      <c r="U25">
        <f>(((SUMIF('Cost Breakdowns'!$D$140:$D$142,"ISIC 242",'Cost Breakdowns'!$B$140:$B$142))))</f>
        <v>0</v>
      </c>
      <c r="V25">
        <f>(((SUMIF('Cost Breakdowns'!$D$140:$D$142,"ISIC 25",'Cost Breakdowns'!$B$140:$B$142))))</f>
        <v>0</v>
      </c>
      <c r="W25">
        <f>(((SUMIF('Cost Breakdowns'!$D$140:$D$142,"ISIC 26",'Cost Breakdowns'!$B$140:$B$142))))</f>
        <v>0</v>
      </c>
      <c r="X25">
        <f>(((SUMIF('Cost Breakdowns'!$D$140:$D$142,"ISIC 27",'Cost Breakdowns'!$B$140:$B$142))))</f>
        <v>0</v>
      </c>
      <c r="Y25">
        <f>(((SUMIF('Cost Breakdowns'!$D$140:$D$142,"ISIC 28",'Cost Breakdowns'!$B$140:$B$142))))</f>
        <v>0</v>
      </c>
      <c r="Z25">
        <f>(((SUMIF('Cost Breakdowns'!$D$140:$D$142,"ISIC 29",'Cost Breakdowns'!$B$140:$B$142))))</f>
        <v>0</v>
      </c>
      <c r="AA25">
        <f>(((SUMIF('Cost Breakdowns'!$D$140:$D$142,"ISIC 30",'Cost Breakdowns'!$B$140:$B$142))))*'Factors applied'!$E$904</f>
        <v>0</v>
      </c>
      <c r="AB25">
        <f>(((SUMIF('Cost Breakdowns'!$D$140:$D$142,"ISIC 30",'Cost Breakdowns'!$B$140:$B$142))))*'Factors applied'!$E$905</f>
        <v>0</v>
      </c>
      <c r="AC25">
        <f>(((SUMIF('Cost Breakdowns'!$D$140:$D$142,"ISIC 31T33",'Cost Breakdowns'!$B$140:$B$142))))</f>
        <v>0.84482758620689657</v>
      </c>
      <c r="AD25">
        <f>(((SUMIF('Cost Breakdowns'!$D$140:$D$142,"ISIC 351",'Cost Breakdowns'!$B$140:$B$142))))</f>
        <v>0</v>
      </c>
      <c r="AE25">
        <f>(((SUMIF('Cost Breakdowns'!$D$140:$D$142,"ISIC 352T353",'Cost Breakdowns'!$B$140:$B$142))))</f>
        <v>0</v>
      </c>
      <c r="AF25">
        <f>(((SUMIF('Cost Breakdowns'!$D$140:$D$142,"ISIC 36T39",'Cost Breakdowns'!$B$140:$B$142))))</f>
        <v>5.1724137931034482E-2</v>
      </c>
      <c r="AG25">
        <f>(((SUMIF('Cost Breakdowns'!$D$140:$D$142,"ISIC 41T43",'Cost Breakdowns'!$B$140:$B$142))))</f>
        <v>0</v>
      </c>
      <c r="AH25">
        <f>(((SUMIF('Cost Breakdowns'!$D$140:$D$142,"ISIC 45T47",'Cost Breakdowns'!$B$140:$B$142))))</f>
        <v>0</v>
      </c>
      <c r="AI25">
        <f>(((SUMIF('Cost Breakdowns'!$D$140:$D$142,"ISIC 49T53",'Cost Breakdowns'!$B$140:$B$142))))*'Factors applied'!$E$906</f>
        <v>0</v>
      </c>
      <c r="AJ25">
        <f>(((SUMIF('Cost Breakdowns'!$D$140:$D$142,"ISIC 49T53",'Cost Breakdowns'!$B$140:$B$142))))*'Factors applied'!$E$907</f>
        <v>0</v>
      </c>
      <c r="AK25">
        <f>(((SUMIF('Cost Breakdowns'!$D$140:$D$142,"ISIC 49T53",'Cost Breakdowns'!$B$140:$B$142))))*'Factors applied'!$E$908</f>
        <v>0</v>
      </c>
      <c r="AL25">
        <f>(((SUMIF('Cost Breakdowns'!$D$140:$D$142,"ISIC 49T53",'Cost Breakdowns'!$B$140:$B$142))))*'Factors applied'!$E$909</f>
        <v>0</v>
      </c>
      <c r="AM25">
        <f>(((SUMIF('Cost Breakdowns'!$D$140:$D$142,"ISIC 49T53",'Cost Breakdowns'!$B$140:$B$142))))*'Factors applied'!$E$910</f>
        <v>0</v>
      </c>
      <c r="AN25">
        <f>(((SUMIF('Cost Breakdowns'!$D$140:$D$142,"ISIC 55T56",'Cost Breakdowns'!$B$140:$B$142))))</f>
        <v>0</v>
      </c>
      <c r="AO25">
        <f>(((SUMIF('Cost Breakdowns'!$D$140:$D$142,"ISIC 58T60",'Cost Breakdowns'!$B$140:$B$142))))</f>
        <v>0</v>
      </c>
      <c r="AP25">
        <f>(((SUMIF('Cost Breakdowns'!$D$140:$D$142,"ISIC 61",'Cost Breakdowns'!$B$140:$B$142))))</f>
        <v>0</v>
      </c>
      <c r="AQ25">
        <f>(((SUMIF('Cost Breakdowns'!$D$140:$D$142,"ISIC 62T63",'Cost Breakdowns'!$B$140:$B$142))))</f>
        <v>0</v>
      </c>
      <c r="AR25">
        <f>(((SUMIF('Cost Breakdowns'!$D$140:$D$142,"ISIC 64T66",'Cost Breakdowns'!$B$140:$B$142))))</f>
        <v>0</v>
      </c>
      <c r="AS25">
        <f>(((SUMIF('Cost Breakdowns'!$D$140:$D$142,"ISIC 68",'Cost Breakdowns'!$B$140:$B$142))))</f>
        <v>0</v>
      </c>
      <c r="AT25">
        <f>(((SUMIF('Cost Breakdowns'!$D$140:$D$142,"ISIC 69T82",'Cost Breakdowns'!$B$140:$B$142))))*'Factors applied'!$E$911</f>
        <v>0</v>
      </c>
      <c r="AU25">
        <f>(((SUMIF('Cost Breakdowns'!$D$140:$D$142,"ISIC 69T82",'Cost Breakdowns'!$B$140:$B$142))))*'Factors applied'!$E$912</f>
        <v>0</v>
      </c>
      <c r="AV25">
        <f>(((SUMIF('Cost Breakdowns'!$D$140:$D$142,"ISIC 84",'Cost Breakdowns'!$B$140:$B$142))))</f>
        <v>0</v>
      </c>
      <c r="AW25">
        <f>(((SUMIF('Cost Breakdowns'!$D$140:$D$142,"ISIC 85",'Cost Breakdowns'!$B$140:$B$142))))</f>
        <v>0</v>
      </c>
      <c r="AX25">
        <f>(((SUMIF('Cost Breakdowns'!$D$140:$D$142,"ISIC 86T88",'Cost Breakdowns'!$B$140:$B$142))))</f>
        <v>0</v>
      </c>
      <c r="AY25">
        <f>(((SUMIF('Cost Breakdowns'!$D$140:$D$142,"ISIC 90T96",'Cost Breakdowns'!$B$140:$B$142))))*'Factors applied'!$E$913</f>
        <v>0</v>
      </c>
      <c r="AZ25">
        <f>(((SUMIF('Cost Breakdowns'!$D$140:$D$142,"ISIC 90T96",'Cost Breakdowns'!$B$140:$B$142))))*'Factors applied'!$E$914</f>
        <v>0</v>
      </c>
      <c r="BA25">
        <f>(((SUMIF('Cost Breakdowns'!$D$140:$D$142,"ISIC 97T98",'Cost Breakdowns'!$B$140:$B$142))))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Factors applied</vt:lpstr>
      <vt:lpstr>OECD Mapping</vt:lpstr>
      <vt:lpstr>Cost Breakdowns</vt:lpstr>
      <vt:lpstr>graphs_nrel</vt:lpstr>
      <vt:lpstr>CCS Costs</vt:lpstr>
      <vt:lpstr>Checks</vt:lpstr>
      <vt:lpstr>SoESCaOMCbIC-capital</vt:lpstr>
      <vt:lpstr>SoESCaOMCbIC-fixedOM</vt:lpstr>
      <vt:lpstr>SoESCaOMCbIC-variableOM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2020-06-18T16:32:51Z</dcterms:created>
  <dcterms:modified xsi:type="dcterms:W3CDTF">2026-07-21T19:20:40Z</dcterms:modified>
</cp:coreProperties>
</file>