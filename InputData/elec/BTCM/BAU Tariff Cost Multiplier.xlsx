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ross-sec-tot\BTCM\"/>
    </mc:Choice>
  </mc:AlternateContent>
  <xr:revisionPtr revIDLastSave="0" documentId="8_{21135DC6-BBB6-417E-BB7A-41E1AD6D1C36}" xr6:coauthVersionLast="47" xr6:coauthVersionMax="47" xr10:uidLastSave="{00000000-0000-0000-0000-000000000000}"/>
  <bookViews>
    <workbookView xWindow="1080" yWindow="1080" windowWidth="26580" windowHeight="15135" xr2:uid="{7F34A268-E185-4A3F-B547-3DF74664E200}"/>
  </bookViews>
  <sheets>
    <sheet name="About" sheetId="51" r:id="rId1"/>
    <sheet name="Calc-Solar-PV" sheetId="64" r:id="rId2"/>
    <sheet name="Calc-Solar-Thermal" sheetId="65" r:id="rId3"/>
    <sheet name="Calc-Wind-Onshore" sheetId="66" r:id="rId4"/>
    <sheet name="Calc-Wind-Offshore" sheetId="67" r:id="rId5"/>
    <sheet name="Calc-Battery" sheetId="68" r:id="rId6"/>
    <sheet name="Calc-T-and-D" sheetId="69" r:id="rId7"/>
    <sheet name="Calc-Vehicle-NonBattery" sheetId="70" r:id="rId8"/>
    <sheet name="BTCM-EC" sheetId="52" r:id="rId9"/>
    <sheet name="BTCM-GB" sheetId="53" r:id="rId10"/>
    <sheet name="BTCM-EVB-LDVs-psgr" sheetId="54" r:id="rId11"/>
    <sheet name="BTCM-EVB-LDVs-frgt" sheetId="55" r:id="rId12"/>
    <sheet name="BTCM-EVB-HDVs-psgr" sheetId="56" r:id="rId13"/>
    <sheet name="BTCM-EVB-HDVs-frgt" sheetId="57" r:id="rId14"/>
    <sheet name="BTCM-VNB-LDVs-psgr" sheetId="58" r:id="rId15"/>
    <sheet name="BTCM-VNB-LDVs-frgt" sheetId="59" r:id="rId16"/>
    <sheet name="BTCM-VNB-HDVs-psgr" sheetId="60" r:id="rId17"/>
    <sheet name="BTCM-VNB-HDVs-frgt" sheetId="61" r:id="rId18"/>
    <sheet name="BTCM-T" sheetId="62" r:id="rId19"/>
    <sheet name="BTCM-D" sheetId="63" r:id="rId20"/>
  </sheets>
  <definedNames>
    <definedName name="cpi_2016_to_2012">#REF!</definedName>
    <definedName name="cpi_2019_to_2012">#REF!</definedName>
    <definedName name="cpi_2020_to_2012">#REF!</definedName>
    <definedName name="cpi_2022_to_2012">#REF!</definedName>
    <definedName name="cpi_2025_to_201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3" l="1" a="1"/>
  <c r="B2" i="63" s="1"/>
  <c r="C2" i="63" a="1"/>
  <c r="C2" i="63" s="1"/>
  <c r="D2" i="63" a="1"/>
  <c r="D2" i="63" s="1"/>
  <c r="E2" i="63" a="1"/>
  <c r="E2" i="63" s="1"/>
  <c r="F2" i="63" a="1"/>
  <c r="F2" i="63" s="1"/>
  <c r="G2" i="63" a="1"/>
  <c r="G2" i="63" s="1"/>
  <c r="H2" i="63" a="1"/>
  <c r="H2" i="63"/>
  <c r="I2" i="63" a="1"/>
  <c r="I2" i="63"/>
  <c r="J2" i="63" a="1"/>
  <c r="J2" i="63"/>
  <c r="K2" i="63" a="1"/>
  <c r="K2" i="63"/>
  <c r="L2" i="63" a="1"/>
  <c r="L2" i="63"/>
  <c r="M2" i="63" a="1"/>
  <c r="M2" i="63" s="1"/>
  <c r="N2" i="63" a="1"/>
  <c r="N2" i="63" s="1"/>
  <c r="O2" i="63" a="1"/>
  <c r="O2" i="63" s="1"/>
  <c r="P2" i="63" a="1"/>
  <c r="P2" i="63" s="1"/>
  <c r="Q2" i="63" a="1"/>
  <c r="Q2" i="63" s="1"/>
  <c r="R2" i="63" a="1"/>
  <c r="R2" i="63"/>
  <c r="S2" i="63" a="1"/>
  <c r="S2" i="63"/>
  <c r="T2" i="63" a="1"/>
  <c r="T2" i="63"/>
  <c r="U2" i="63" a="1"/>
  <c r="U2" i="63"/>
  <c r="V2" i="63" a="1"/>
  <c r="V2" i="63"/>
  <c r="W2" i="63" a="1"/>
  <c r="W2" i="63"/>
  <c r="X2" i="63" a="1"/>
  <c r="X2" i="63" s="1"/>
  <c r="Y2" i="63" a="1"/>
  <c r="Y2" i="63" s="1"/>
  <c r="Z2" i="63" a="1"/>
  <c r="Z2" i="63" s="1"/>
  <c r="AA2" i="63" a="1"/>
  <c r="AA2" i="63" s="1"/>
  <c r="B2" i="62" a="1"/>
  <c r="B2" i="62" s="1"/>
  <c r="C2" i="62" a="1"/>
  <c r="C2" i="62"/>
  <c r="D2" i="62" a="1"/>
  <c r="D2" i="62"/>
  <c r="E2" i="62" a="1"/>
  <c r="E2" i="62" s="1"/>
  <c r="F2" i="62" a="1"/>
  <c r="F2" i="62" s="1"/>
  <c r="G2" i="62" a="1"/>
  <c r="G2" i="62"/>
  <c r="H2" i="62" a="1"/>
  <c r="H2" i="62"/>
  <c r="I2" i="62" a="1"/>
  <c r="I2" i="62"/>
  <c r="J2" i="62" a="1"/>
  <c r="J2" i="62"/>
  <c r="K2" i="62" a="1"/>
  <c r="K2" i="62"/>
  <c r="L2" i="62" a="1"/>
  <c r="L2" i="62"/>
  <c r="M2" i="62" a="1"/>
  <c r="M2" i="62" s="1"/>
  <c r="N2" i="62" a="1"/>
  <c r="N2" i="62"/>
  <c r="O2" i="62" a="1"/>
  <c r="O2" i="62"/>
  <c r="P2" i="62" a="1"/>
  <c r="P2" i="62" s="1"/>
  <c r="Q2" i="62" a="1"/>
  <c r="Q2" i="62"/>
  <c r="R2" i="62" a="1"/>
  <c r="R2" i="62"/>
  <c r="S2" i="62" a="1"/>
  <c r="S2" i="62"/>
  <c r="T2" i="62" a="1"/>
  <c r="T2" i="62"/>
  <c r="U2" i="62" a="1"/>
  <c r="U2" i="62"/>
  <c r="V2" i="62" a="1"/>
  <c r="V2" i="62"/>
  <c r="W2" i="62" a="1"/>
  <c r="W2" i="62"/>
  <c r="X2" i="62" a="1"/>
  <c r="X2" i="62" s="1"/>
  <c r="Y2" i="62" a="1"/>
  <c r="Y2" i="62"/>
  <c r="Z2" i="62" a="1"/>
  <c r="Z2" i="62"/>
  <c r="AA2" i="62" a="1"/>
  <c r="AA2" i="62" s="1"/>
  <c r="B2" i="53" a="1"/>
  <c r="B2" i="53"/>
  <c r="C2" i="53" a="1"/>
  <c r="C2" i="53" s="1"/>
  <c r="D2" i="53" a="1"/>
  <c r="D2" i="53" s="1"/>
  <c r="E2" i="53" a="1"/>
  <c r="E2" i="53" s="1"/>
  <c r="F2" i="53" a="1"/>
  <c r="F2" i="53"/>
  <c r="G2" i="53" a="1"/>
  <c r="G2" i="53" s="1"/>
  <c r="H2" i="53" a="1"/>
  <c r="H2" i="53" s="1"/>
  <c r="I2" i="53" a="1"/>
  <c r="I2" i="53"/>
  <c r="J2" i="53" a="1"/>
  <c r="J2" i="53" s="1"/>
  <c r="K2" i="53" a="1"/>
  <c r="K2" i="53"/>
  <c r="L2" i="53" a="1"/>
  <c r="L2" i="53"/>
  <c r="M2" i="53" a="1"/>
  <c r="M2" i="53"/>
  <c r="N2" i="53" a="1"/>
  <c r="N2" i="53" s="1"/>
  <c r="O2" i="53" a="1"/>
  <c r="O2" i="53" s="1"/>
  <c r="P2" i="53" a="1"/>
  <c r="P2" i="53" s="1"/>
  <c r="Q2" i="53" a="1"/>
  <c r="Q2" i="53"/>
  <c r="R2" i="53" a="1"/>
  <c r="R2" i="53" s="1"/>
  <c r="S2" i="53" a="1"/>
  <c r="S2" i="53" s="1"/>
  <c r="T2" i="53" a="1"/>
  <c r="T2" i="53"/>
  <c r="U2" i="53" a="1"/>
  <c r="U2" i="53" s="1"/>
  <c r="V2" i="53" a="1"/>
  <c r="V2" i="53"/>
  <c r="W2" i="53" a="1"/>
  <c r="W2" i="53"/>
  <c r="X2" i="53" a="1"/>
  <c r="X2" i="53"/>
  <c r="Y2" i="53" a="1"/>
  <c r="Y2" i="53" s="1"/>
  <c r="Z2" i="53" a="1"/>
  <c r="Z2" i="53" s="1"/>
  <c r="AA2" i="53" a="1"/>
  <c r="AA2" i="53" s="1"/>
  <c r="B8" i="61" a="1"/>
  <c r="B8" i="61" s="1"/>
  <c r="C8" i="61" a="1"/>
  <c r="C8" i="61" s="1"/>
  <c r="D8" i="61" a="1"/>
  <c r="D8" i="61" s="1"/>
  <c r="E8" i="61" a="1"/>
  <c r="E8" i="61" s="1"/>
  <c r="F8" i="61" a="1"/>
  <c r="F8" i="61" s="1"/>
  <c r="G8" i="61" a="1"/>
  <c r="G8" i="61" s="1"/>
  <c r="H8" i="61" a="1"/>
  <c r="H8" i="61"/>
  <c r="I8" i="61" a="1"/>
  <c r="I8" i="61"/>
  <c r="J8" i="61" a="1"/>
  <c r="J8" i="61" s="1"/>
  <c r="K8" i="61" a="1"/>
  <c r="K8" i="61" s="1"/>
  <c r="L8" i="61" a="1"/>
  <c r="L8" i="61"/>
  <c r="M8" i="61" a="1"/>
  <c r="M8" i="61" s="1"/>
  <c r="N8" i="61" a="1"/>
  <c r="N8" i="61" s="1"/>
  <c r="O8" i="61" a="1"/>
  <c r="O8" i="61" s="1"/>
  <c r="P8" i="61" a="1"/>
  <c r="P8" i="61" s="1"/>
  <c r="Q8" i="61" a="1"/>
  <c r="Q8" i="61" s="1"/>
  <c r="R8" i="61" a="1"/>
  <c r="R8" i="61"/>
  <c r="S8" i="61" a="1"/>
  <c r="S8" i="61"/>
  <c r="T8" i="61" a="1"/>
  <c r="T8" i="61"/>
  <c r="U8" i="61" a="1"/>
  <c r="U8" i="61" s="1"/>
  <c r="V8" i="61" a="1"/>
  <c r="V8" i="61" s="1"/>
  <c r="W8" i="61" a="1"/>
  <c r="W8" i="61"/>
  <c r="X8" i="61" a="1"/>
  <c r="X8" i="61" s="1"/>
  <c r="Y8" i="61" a="1"/>
  <c r="Y8" i="61" s="1"/>
  <c r="Z8" i="61" a="1"/>
  <c r="Z8" i="61" s="1"/>
  <c r="AA8" i="61" a="1"/>
  <c r="AA8" i="61" s="1"/>
  <c r="B7" i="61" a="1"/>
  <c r="B7" i="61" s="1"/>
  <c r="C7" i="61" a="1"/>
  <c r="C7" i="61" s="1"/>
  <c r="D7" i="61" a="1"/>
  <c r="D7" i="61" s="1"/>
  <c r="E7" i="61" a="1"/>
  <c r="E7" i="61" s="1"/>
  <c r="F7" i="61" a="1"/>
  <c r="F7" i="61" s="1"/>
  <c r="G7" i="61" a="1"/>
  <c r="G7" i="61" s="1"/>
  <c r="H7" i="61" a="1"/>
  <c r="H7" i="61" s="1"/>
  <c r="I7" i="61" a="1"/>
  <c r="I7" i="61"/>
  <c r="J7" i="61" a="1"/>
  <c r="J7" i="61" s="1"/>
  <c r="K7" i="61" a="1"/>
  <c r="K7" i="61"/>
  <c r="L7" i="61" a="1"/>
  <c r="L7" i="61" s="1"/>
  <c r="M7" i="61" a="1"/>
  <c r="M7" i="61" s="1"/>
  <c r="N7" i="61" a="1"/>
  <c r="N7" i="61" s="1"/>
  <c r="O7" i="61" a="1"/>
  <c r="O7" i="61" s="1"/>
  <c r="P7" i="61" a="1"/>
  <c r="P7" i="61" s="1"/>
  <c r="Q7" i="61" a="1"/>
  <c r="Q7" i="61" s="1"/>
  <c r="R7" i="61" a="1"/>
  <c r="R7" i="61" s="1"/>
  <c r="S7" i="61" a="1"/>
  <c r="S7" i="61" s="1"/>
  <c r="T7" i="61" a="1"/>
  <c r="T7" i="61"/>
  <c r="U7" i="61" a="1"/>
  <c r="U7" i="61" s="1"/>
  <c r="V7" i="61" a="1"/>
  <c r="V7" i="61"/>
  <c r="W7" i="61" a="1"/>
  <c r="W7" i="61" s="1"/>
  <c r="X7" i="61" a="1"/>
  <c r="X7" i="61" s="1"/>
  <c r="Y7" i="61" a="1"/>
  <c r="Y7" i="61" s="1"/>
  <c r="Z7" i="61" a="1"/>
  <c r="Z7" i="61" s="1"/>
  <c r="AA7" i="61" a="1"/>
  <c r="AA7" i="61" s="1"/>
  <c r="B6" i="61" a="1"/>
  <c r="B6" i="61" s="1"/>
  <c r="C6" i="61" a="1"/>
  <c r="C6" i="61" s="1"/>
  <c r="D6" i="61" a="1"/>
  <c r="D6" i="61" s="1"/>
  <c r="E6" i="61" a="1"/>
  <c r="E6" i="61" s="1"/>
  <c r="F6" i="61" a="1"/>
  <c r="F6" i="61" s="1"/>
  <c r="G6" i="61" a="1"/>
  <c r="G6" i="61"/>
  <c r="H6" i="61" a="1"/>
  <c r="H6" i="61"/>
  <c r="I6" i="61" a="1"/>
  <c r="I6" i="61"/>
  <c r="J6" i="61" a="1"/>
  <c r="J6" i="61" s="1"/>
  <c r="K6" i="61" a="1"/>
  <c r="K6" i="61" s="1"/>
  <c r="L6" i="61" a="1"/>
  <c r="L6" i="61"/>
  <c r="M6" i="61" a="1"/>
  <c r="M6" i="61" s="1"/>
  <c r="N6" i="61" a="1"/>
  <c r="N6" i="61" s="1"/>
  <c r="O6" i="61" a="1"/>
  <c r="O6" i="61" s="1"/>
  <c r="P6" i="61" a="1"/>
  <c r="P6" i="61" s="1"/>
  <c r="Q6" i="61" a="1"/>
  <c r="Q6" i="61" s="1"/>
  <c r="R6" i="61" a="1"/>
  <c r="R6" i="61"/>
  <c r="S6" i="61" a="1"/>
  <c r="S6" i="61"/>
  <c r="T6" i="61" a="1"/>
  <c r="T6" i="61"/>
  <c r="U6" i="61" a="1"/>
  <c r="U6" i="61"/>
  <c r="V6" i="61" a="1"/>
  <c r="V6" i="61"/>
  <c r="W6" i="61" a="1"/>
  <c r="W6" i="61"/>
  <c r="X6" i="61" a="1"/>
  <c r="X6" i="61" s="1"/>
  <c r="Y6" i="61" a="1"/>
  <c r="Y6" i="61" s="1"/>
  <c r="Z6" i="61" a="1"/>
  <c r="Z6" i="61" s="1"/>
  <c r="AA6" i="61" a="1"/>
  <c r="AA6" i="61" s="1"/>
  <c r="B5" i="61" a="1"/>
  <c r="B5" i="61" s="1"/>
  <c r="C5" i="61" a="1"/>
  <c r="C5" i="61" s="1"/>
  <c r="D5" i="61" a="1"/>
  <c r="D5" i="61" s="1"/>
  <c r="E5" i="61" a="1"/>
  <c r="E5" i="61" s="1"/>
  <c r="F5" i="61" a="1"/>
  <c r="F5" i="61" s="1"/>
  <c r="G5" i="61" a="1"/>
  <c r="G5" i="61" s="1"/>
  <c r="H5" i="61" a="1"/>
  <c r="H5" i="61"/>
  <c r="I5" i="61" a="1"/>
  <c r="I5" i="61" s="1"/>
  <c r="J5" i="61" a="1"/>
  <c r="J5" i="61"/>
  <c r="K5" i="61" a="1"/>
  <c r="K5" i="61"/>
  <c r="L5" i="61" a="1"/>
  <c r="L5" i="61" s="1"/>
  <c r="M5" i="61" a="1"/>
  <c r="M5" i="61" s="1"/>
  <c r="N5" i="61" a="1"/>
  <c r="N5" i="61" s="1"/>
  <c r="O5" i="61" a="1"/>
  <c r="O5" i="61" s="1"/>
  <c r="P5" i="61" a="1"/>
  <c r="P5" i="61" s="1"/>
  <c r="Q5" i="61" a="1"/>
  <c r="Q5" i="61" s="1"/>
  <c r="R5" i="61" a="1"/>
  <c r="R5" i="61" s="1"/>
  <c r="S5" i="61" a="1"/>
  <c r="S5" i="61"/>
  <c r="T5" i="61" a="1"/>
  <c r="T5" i="61" s="1"/>
  <c r="U5" i="61" a="1"/>
  <c r="U5" i="61"/>
  <c r="V5" i="61" a="1"/>
  <c r="V5" i="61"/>
  <c r="W5" i="61" a="1"/>
  <c r="W5" i="61" s="1"/>
  <c r="X5" i="61" a="1"/>
  <c r="X5" i="61" s="1"/>
  <c r="Y5" i="61" a="1"/>
  <c r="Y5" i="61" s="1"/>
  <c r="Z5" i="61" a="1"/>
  <c r="Z5" i="61" s="1"/>
  <c r="AA5" i="61" a="1"/>
  <c r="AA5" i="61" s="1"/>
  <c r="B4" i="61" a="1"/>
  <c r="B4" i="61"/>
  <c r="C4" i="61" a="1"/>
  <c r="C4" i="61" s="1"/>
  <c r="D4" i="61" a="1"/>
  <c r="D4" i="61" s="1"/>
  <c r="E4" i="61" a="1"/>
  <c r="E4" i="61" s="1"/>
  <c r="F4" i="61" a="1"/>
  <c r="F4" i="61" s="1"/>
  <c r="G4" i="61" a="1"/>
  <c r="G4" i="61" s="1"/>
  <c r="H4" i="61" a="1"/>
  <c r="H4" i="61" s="1"/>
  <c r="I4" i="61" a="1"/>
  <c r="I4" i="61"/>
  <c r="J4" i="61" a="1"/>
  <c r="J4" i="61"/>
  <c r="K4" i="61" a="1"/>
  <c r="K4" i="61"/>
  <c r="L4" i="61" a="1"/>
  <c r="L4" i="61" s="1"/>
  <c r="M4" i="61" a="1"/>
  <c r="M4" i="61"/>
  <c r="N4" i="61" a="1"/>
  <c r="N4" i="61" s="1"/>
  <c r="O4" i="61" a="1"/>
  <c r="O4" i="61" s="1"/>
  <c r="P4" i="61" a="1"/>
  <c r="P4" i="61" s="1"/>
  <c r="Q4" i="61" a="1"/>
  <c r="Q4" i="61" s="1"/>
  <c r="R4" i="61" a="1"/>
  <c r="R4" i="61" s="1"/>
  <c r="S4" i="61" a="1"/>
  <c r="S4" i="61" s="1"/>
  <c r="T4" i="61" a="1"/>
  <c r="T4" i="61"/>
  <c r="U4" i="61" a="1"/>
  <c r="U4" i="61" s="1"/>
  <c r="V4" i="61" a="1"/>
  <c r="V4" i="61"/>
  <c r="W4" i="61" a="1"/>
  <c r="W4" i="61" s="1"/>
  <c r="X4" i="61" a="1"/>
  <c r="X4" i="61"/>
  <c r="Y4" i="61" a="1"/>
  <c r="Y4" i="61" s="1"/>
  <c r="Z4" i="61" a="1"/>
  <c r="Z4" i="61" s="1"/>
  <c r="AA4" i="61" a="1"/>
  <c r="AA4" i="61" s="1"/>
  <c r="B3" i="61" a="1"/>
  <c r="B3" i="61" s="1"/>
  <c r="C3" i="61" a="1"/>
  <c r="C3" i="61" s="1"/>
  <c r="D3" i="61" a="1"/>
  <c r="D3" i="61"/>
  <c r="E3" i="61" a="1"/>
  <c r="E3" i="61" s="1"/>
  <c r="F3" i="61" a="1"/>
  <c r="F3" i="61" s="1"/>
  <c r="G3" i="61" a="1"/>
  <c r="G3" i="61" s="1"/>
  <c r="H3" i="61" a="1"/>
  <c r="H3" i="61" s="1"/>
  <c r="I3" i="61" a="1"/>
  <c r="I3" i="61"/>
  <c r="J3" i="61" a="1"/>
  <c r="J3" i="61"/>
  <c r="K3" i="61" a="1"/>
  <c r="K3" i="61"/>
  <c r="L3" i="61" a="1"/>
  <c r="L3" i="61"/>
  <c r="M3" i="61" a="1"/>
  <c r="M3" i="61" s="1"/>
  <c r="N3" i="61" a="1"/>
  <c r="N3" i="61" s="1"/>
  <c r="O3" i="61" a="1"/>
  <c r="O3" i="61"/>
  <c r="P3" i="61" a="1"/>
  <c r="P3" i="61" s="1"/>
  <c r="Q3" i="61" a="1"/>
  <c r="Q3" i="61" s="1"/>
  <c r="R3" i="61" a="1"/>
  <c r="R3" i="61" s="1"/>
  <c r="S3" i="61" a="1"/>
  <c r="S3" i="61"/>
  <c r="T3" i="61" a="1"/>
  <c r="T3" i="61"/>
  <c r="U3" i="61" a="1"/>
  <c r="U3" i="61"/>
  <c r="V3" i="61" a="1"/>
  <c r="V3" i="61"/>
  <c r="W3" i="61" a="1"/>
  <c r="W3" i="61"/>
  <c r="X3" i="61" a="1"/>
  <c r="X3" i="61" s="1"/>
  <c r="Y3" i="61" a="1"/>
  <c r="Y3" i="61" s="1"/>
  <c r="Z3" i="61" a="1"/>
  <c r="Z3" i="61"/>
  <c r="AA3" i="61" a="1"/>
  <c r="AA3" i="61" s="1"/>
  <c r="B2" i="61" a="1"/>
  <c r="B2" i="61" s="1"/>
  <c r="C2" i="61" a="1"/>
  <c r="C2" i="61" s="1"/>
  <c r="D2" i="61" a="1"/>
  <c r="D2" i="61" s="1"/>
  <c r="E2" i="61" a="1"/>
  <c r="E2" i="61" s="1"/>
  <c r="F2" i="61" a="1"/>
  <c r="F2" i="61" s="1"/>
  <c r="G2" i="61" a="1"/>
  <c r="G2" i="61" s="1"/>
  <c r="H2" i="61" a="1"/>
  <c r="H2" i="61" s="1"/>
  <c r="I2" i="61" a="1"/>
  <c r="I2" i="61"/>
  <c r="J2" i="61" a="1"/>
  <c r="J2" i="61" s="1"/>
  <c r="K2" i="61" a="1"/>
  <c r="K2" i="61"/>
  <c r="L2" i="61" a="1"/>
  <c r="L2" i="61" s="1"/>
  <c r="M2" i="61" a="1"/>
  <c r="M2" i="61" s="1"/>
  <c r="N2" i="61" a="1"/>
  <c r="N2" i="61" s="1"/>
  <c r="O2" i="61" a="1"/>
  <c r="O2" i="61" s="1"/>
  <c r="P2" i="61" a="1"/>
  <c r="P2" i="61" s="1"/>
  <c r="Q2" i="61" a="1"/>
  <c r="Q2" i="61" s="1"/>
  <c r="R2" i="61" a="1"/>
  <c r="R2" i="61"/>
  <c r="S2" i="61" a="1"/>
  <c r="S2" i="61" s="1"/>
  <c r="T2" i="61" a="1"/>
  <c r="T2" i="61"/>
  <c r="U2" i="61" a="1"/>
  <c r="U2" i="61" s="1"/>
  <c r="V2" i="61" a="1"/>
  <c r="V2" i="61"/>
  <c r="W2" i="61" a="1"/>
  <c r="W2" i="61" s="1"/>
  <c r="X2" i="61" a="1"/>
  <c r="X2" i="61" s="1"/>
  <c r="Y2" i="61" a="1"/>
  <c r="Y2" i="61" s="1"/>
  <c r="Z2" i="61" a="1"/>
  <c r="Z2" i="61" s="1"/>
  <c r="AA2" i="61" a="1"/>
  <c r="AA2" i="61" s="1"/>
  <c r="B8" i="60" a="1"/>
  <c r="B8" i="60" s="1"/>
  <c r="C8" i="60" a="1"/>
  <c r="C8" i="60" s="1"/>
  <c r="D8" i="60" a="1"/>
  <c r="D8" i="60" s="1"/>
  <c r="E8" i="60" a="1"/>
  <c r="E8" i="60" s="1"/>
  <c r="F8" i="60" a="1"/>
  <c r="F8" i="60" s="1"/>
  <c r="G8" i="60" a="1"/>
  <c r="G8" i="60" s="1"/>
  <c r="H8" i="60" a="1"/>
  <c r="H8" i="60" s="1"/>
  <c r="I8" i="60" a="1"/>
  <c r="I8" i="60"/>
  <c r="J8" i="60" a="1"/>
  <c r="J8" i="60" s="1"/>
  <c r="K8" i="60" a="1"/>
  <c r="K8" i="60"/>
  <c r="L8" i="60" a="1"/>
  <c r="L8" i="60"/>
  <c r="M8" i="60" a="1"/>
  <c r="M8" i="60" s="1"/>
  <c r="N8" i="60" a="1"/>
  <c r="N8" i="60" s="1"/>
  <c r="O8" i="60" a="1"/>
  <c r="O8" i="60" s="1"/>
  <c r="P8" i="60" a="1"/>
  <c r="P8" i="60" s="1"/>
  <c r="Q8" i="60" a="1"/>
  <c r="Q8" i="60" s="1"/>
  <c r="R8" i="60" a="1"/>
  <c r="R8" i="60" s="1"/>
  <c r="S8" i="60" a="1"/>
  <c r="S8" i="60" s="1"/>
  <c r="T8" i="60" a="1"/>
  <c r="T8" i="60"/>
  <c r="U8" i="60" a="1"/>
  <c r="U8" i="60" s="1"/>
  <c r="V8" i="60" a="1"/>
  <c r="V8" i="60"/>
  <c r="W8" i="60" a="1"/>
  <c r="W8" i="60"/>
  <c r="X8" i="60" a="1"/>
  <c r="X8" i="60" s="1"/>
  <c r="Y8" i="60" a="1"/>
  <c r="Y8" i="60" s="1"/>
  <c r="Z8" i="60" a="1"/>
  <c r="Z8" i="60" s="1"/>
  <c r="AA8" i="60" a="1"/>
  <c r="AA8" i="60" s="1"/>
  <c r="B7" i="60" a="1"/>
  <c r="B7" i="60" s="1"/>
  <c r="C7" i="60" a="1"/>
  <c r="C7" i="60" s="1"/>
  <c r="D7" i="60" a="1"/>
  <c r="D7" i="60" s="1"/>
  <c r="E7" i="60" a="1"/>
  <c r="E7" i="60" s="1"/>
  <c r="F7" i="60" a="1"/>
  <c r="F7" i="60" s="1"/>
  <c r="G7" i="60" a="1"/>
  <c r="G7" i="60" s="1"/>
  <c r="H7" i="60" a="1"/>
  <c r="H7" i="60" s="1"/>
  <c r="I7" i="60" a="1"/>
  <c r="I7" i="60" s="1"/>
  <c r="J7" i="60" a="1"/>
  <c r="J7" i="60"/>
  <c r="K7" i="60" a="1"/>
  <c r="K7" i="60"/>
  <c r="L7" i="60" a="1"/>
  <c r="L7" i="60"/>
  <c r="M7" i="60" a="1"/>
  <c r="M7" i="60" s="1"/>
  <c r="N7" i="60" a="1"/>
  <c r="N7" i="60" s="1"/>
  <c r="O7" i="60" a="1"/>
  <c r="O7" i="60" s="1"/>
  <c r="P7" i="60" a="1"/>
  <c r="P7" i="60" s="1"/>
  <c r="Q7" i="60" a="1"/>
  <c r="Q7" i="60" s="1"/>
  <c r="R7" i="60" a="1"/>
  <c r="R7" i="60" s="1"/>
  <c r="S7" i="60" a="1"/>
  <c r="S7" i="60" s="1"/>
  <c r="T7" i="60" a="1"/>
  <c r="T7" i="60" s="1"/>
  <c r="U7" i="60" a="1"/>
  <c r="U7" i="60"/>
  <c r="V7" i="60" a="1"/>
  <c r="V7" i="60"/>
  <c r="W7" i="60" a="1"/>
  <c r="W7" i="60"/>
  <c r="X7" i="60" a="1"/>
  <c r="X7" i="60" s="1"/>
  <c r="Y7" i="60" a="1"/>
  <c r="Y7" i="60" s="1"/>
  <c r="Z7" i="60" a="1"/>
  <c r="Z7" i="60" s="1"/>
  <c r="AA7" i="60" a="1"/>
  <c r="AA7" i="60" s="1"/>
  <c r="B6" i="60" a="1"/>
  <c r="B6" i="60" s="1"/>
  <c r="C6" i="60" a="1"/>
  <c r="C6" i="60" s="1"/>
  <c r="D6" i="60" a="1"/>
  <c r="D6" i="60"/>
  <c r="E6" i="60" a="1"/>
  <c r="E6" i="60" s="1"/>
  <c r="F6" i="60" a="1"/>
  <c r="F6" i="60" s="1"/>
  <c r="G6" i="60" a="1"/>
  <c r="G6" i="60" s="1"/>
  <c r="H6" i="60" a="1"/>
  <c r="H6" i="60"/>
  <c r="I6" i="60" a="1"/>
  <c r="I6" i="60"/>
  <c r="J6" i="60" a="1"/>
  <c r="J6" i="60"/>
  <c r="K6" i="60" a="1"/>
  <c r="K6" i="60"/>
  <c r="L6" i="60" a="1"/>
  <c r="L6" i="60" s="1"/>
  <c r="M6" i="60" a="1"/>
  <c r="M6" i="60" s="1"/>
  <c r="N6" i="60" a="1"/>
  <c r="N6" i="60" s="1"/>
  <c r="O6" i="60" a="1"/>
  <c r="O6" i="60" s="1"/>
  <c r="P6" i="60" a="1"/>
  <c r="P6" i="60" s="1"/>
  <c r="Q6" i="60" a="1"/>
  <c r="Q6" i="60" s="1"/>
  <c r="R6" i="60" a="1"/>
  <c r="R6" i="60" s="1"/>
  <c r="S6" i="60" a="1"/>
  <c r="S6" i="60"/>
  <c r="T6" i="60" a="1"/>
  <c r="T6" i="60" s="1"/>
  <c r="U6" i="60" a="1"/>
  <c r="U6" i="60"/>
  <c r="V6" i="60" a="1"/>
  <c r="V6" i="60"/>
  <c r="W6" i="60" a="1"/>
  <c r="W6" i="60" s="1"/>
  <c r="X6" i="60" a="1"/>
  <c r="X6" i="60" s="1"/>
  <c r="Y6" i="60" a="1"/>
  <c r="Y6" i="60" s="1"/>
  <c r="Z6" i="60" a="1"/>
  <c r="Z6" i="60" s="1"/>
  <c r="AA6" i="60" a="1"/>
  <c r="AA6" i="60" s="1"/>
  <c r="B5" i="60" a="1"/>
  <c r="B5" i="60" s="1"/>
  <c r="C5" i="60" a="1"/>
  <c r="C5" i="60" s="1"/>
  <c r="D5" i="60" a="1"/>
  <c r="D5" i="60" s="1"/>
  <c r="E5" i="60" a="1"/>
  <c r="E5" i="60" s="1"/>
  <c r="F5" i="60" a="1"/>
  <c r="F5" i="60" s="1"/>
  <c r="G5" i="60" a="1"/>
  <c r="G5" i="60" s="1"/>
  <c r="H5" i="60" a="1"/>
  <c r="H5" i="60"/>
  <c r="I5" i="60" a="1"/>
  <c r="I5" i="60" s="1"/>
  <c r="J5" i="60" a="1"/>
  <c r="J5" i="60" s="1"/>
  <c r="K5" i="60" a="1"/>
  <c r="K5" i="60"/>
  <c r="L5" i="60" a="1"/>
  <c r="L5" i="60"/>
  <c r="M5" i="60" a="1"/>
  <c r="M5" i="60" s="1"/>
  <c r="N5" i="60" a="1"/>
  <c r="N5" i="60" s="1"/>
  <c r="O5" i="60" a="1"/>
  <c r="O5" i="60" s="1"/>
  <c r="P5" i="60" a="1"/>
  <c r="P5" i="60" s="1"/>
  <c r="Q5" i="60" a="1"/>
  <c r="Q5" i="60" s="1"/>
  <c r="R5" i="60" a="1"/>
  <c r="R5" i="60" s="1"/>
  <c r="S5" i="60" a="1"/>
  <c r="S5" i="60" s="1"/>
  <c r="T5" i="60" a="1"/>
  <c r="T5" i="60" s="1"/>
  <c r="U5" i="60" a="1"/>
  <c r="U5" i="60" s="1"/>
  <c r="V5" i="60" a="1"/>
  <c r="V5" i="60"/>
  <c r="W5" i="60" a="1"/>
  <c r="W5" i="60"/>
  <c r="X5" i="60" a="1"/>
  <c r="X5" i="60" s="1"/>
  <c r="Y5" i="60" a="1"/>
  <c r="Y5" i="60" s="1"/>
  <c r="Z5" i="60" a="1"/>
  <c r="Z5" i="60" s="1"/>
  <c r="AA5" i="60" a="1"/>
  <c r="AA5" i="60" s="1"/>
  <c r="B4" i="60" a="1"/>
  <c r="B4" i="60" s="1"/>
  <c r="C4" i="60" a="1"/>
  <c r="C4" i="60" s="1"/>
  <c r="D4" i="60" a="1"/>
  <c r="D4" i="60" s="1"/>
  <c r="E4" i="60" a="1"/>
  <c r="E4" i="60" s="1"/>
  <c r="F4" i="60" a="1"/>
  <c r="F4" i="60" s="1"/>
  <c r="G4" i="60" a="1"/>
  <c r="G4" i="60" s="1"/>
  <c r="H4" i="60" a="1"/>
  <c r="H4" i="60"/>
  <c r="I4" i="60" a="1"/>
  <c r="I4" i="60"/>
  <c r="J4" i="60" a="1"/>
  <c r="J4" i="60" s="1"/>
  <c r="K4" i="60" a="1"/>
  <c r="K4" i="60"/>
  <c r="L4" i="60" a="1"/>
  <c r="L4" i="60"/>
  <c r="M4" i="60" a="1"/>
  <c r="M4" i="60" s="1"/>
  <c r="N4" i="60" a="1"/>
  <c r="N4" i="60" s="1"/>
  <c r="O4" i="60" a="1"/>
  <c r="O4" i="60" s="1"/>
  <c r="P4" i="60" a="1"/>
  <c r="P4" i="60" s="1"/>
  <c r="Q4" i="60" a="1"/>
  <c r="Q4" i="60" s="1"/>
  <c r="R4" i="60" a="1"/>
  <c r="R4" i="60" s="1"/>
  <c r="S4" i="60" a="1"/>
  <c r="S4" i="60"/>
  <c r="T4" i="60" a="1"/>
  <c r="T4" i="60"/>
  <c r="U4" i="60" a="1"/>
  <c r="U4" i="60"/>
  <c r="V4" i="60" a="1"/>
  <c r="V4" i="60"/>
  <c r="W4" i="60" a="1"/>
  <c r="W4" i="60"/>
  <c r="X4" i="60" a="1"/>
  <c r="X4" i="60" s="1"/>
  <c r="Y4" i="60" a="1"/>
  <c r="Y4" i="60" s="1"/>
  <c r="Z4" i="60" a="1"/>
  <c r="Z4" i="60" s="1"/>
  <c r="AA4" i="60" a="1"/>
  <c r="AA4" i="60" s="1"/>
  <c r="B3" i="60" a="1"/>
  <c r="B3" i="60" s="1"/>
  <c r="C3" i="60" a="1"/>
  <c r="C3" i="60" s="1"/>
  <c r="D3" i="60" a="1"/>
  <c r="D3" i="60" s="1"/>
  <c r="E3" i="60" a="1"/>
  <c r="E3" i="60"/>
  <c r="F3" i="60" a="1"/>
  <c r="F3" i="60"/>
  <c r="G3" i="60" a="1"/>
  <c r="G3" i="60" s="1"/>
  <c r="H3" i="60" a="1"/>
  <c r="H3" i="60" s="1"/>
  <c r="I3" i="60" a="1"/>
  <c r="I3" i="60"/>
  <c r="J3" i="60" a="1"/>
  <c r="J3" i="60" s="1"/>
  <c r="K3" i="60" a="1"/>
  <c r="K3" i="60"/>
  <c r="L3" i="60" a="1"/>
  <c r="L3" i="60" s="1"/>
  <c r="M3" i="60" a="1"/>
  <c r="M3" i="60" s="1"/>
  <c r="N3" i="60" a="1"/>
  <c r="N3" i="60" s="1"/>
  <c r="O3" i="60" a="1"/>
  <c r="O3" i="60" s="1"/>
  <c r="P3" i="60" a="1"/>
  <c r="P3" i="60"/>
  <c r="Q3" i="60" a="1"/>
  <c r="Q3" i="60"/>
  <c r="R3" i="60" a="1"/>
  <c r="R3" i="60" s="1"/>
  <c r="S3" i="60" a="1"/>
  <c r="S3" i="60" s="1"/>
  <c r="T3" i="60" a="1"/>
  <c r="T3" i="60"/>
  <c r="U3" i="60" a="1"/>
  <c r="U3" i="60" s="1"/>
  <c r="V3" i="60" a="1"/>
  <c r="V3" i="60"/>
  <c r="W3" i="60" a="1"/>
  <c r="W3" i="60"/>
  <c r="X3" i="60" a="1"/>
  <c r="X3" i="60" s="1"/>
  <c r="Y3" i="60" a="1"/>
  <c r="Y3" i="60" s="1"/>
  <c r="Z3" i="60" a="1"/>
  <c r="Z3" i="60" s="1"/>
  <c r="AA3" i="60" a="1"/>
  <c r="AA3" i="60"/>
  <c r="B2" i="60" a="1"/>
  <c r="B2" i="60" s="1"/>
  <c r="C2" i="60" a="1"/>
  <c r="C2" i="60" s="1"/>
  <c r="D2" i="60" a="1"/>
  <c r="D2" i="60" s="1"/>
  <c r="E2" i="60" a="1"/>
  <c r="E2" i="60" s="1"/>
  <c r="F2" i="60" a="1"/>
  <c r="F2" i="60" s="1"/>
  <c r="G2" i="60" a="1"/>
  <c r="G2" i="60" s="1"/>
  <c r="H2" i="60" a="1"/>
  <c r="H2" i="60"/>
  <c r="I2" i="60" a="1"/>
  <c r="I2" i="60" s="1"/>
  <c r="J2" i="60" a="1"/>
  <c r="J2" i="60" s="1"/>
  <c r="K2" i="60" a="1"/>
  <c r="K2" i="60"/>
  <c r="L2" i="60" a="1"/>
  <c r="L2" i="60" s="1"/>
  <c r="M2" i="60" a="1"/>
  <c r="M2" i="60" s="1"/>
  <c r="N2" i="60" a="1"/>
  <c r="N2" i="60" s="1"/>
  <c r="O2" i="60" a="1"/>
  <c r="O2" i="60" s="1"/>
  <c r="P2" i="60" a="1"/>
  <c r="P2" i="60" s="1"/>
  <c r="Q2" i="60" a="1"/>
  <c r="Q2" i="60" s="1"/>
  <c r="R2" i="60" a="1"/>
  <c r="R2" i="60" s="1"/>
  <c r="S2" i="60" a="1"/>
  <c r="S2" i="60"/>
  <c r="T2" i="60" a="1"/>
  <c r="T2" i="60" s="1"/>
  <c r="U2" i="60" a="1"/>
  <c r="U2" i="60" s="1"/>
  <c r="V2" i="60" a="1"/>
  <c r="V2" i="60"/>
  <c r="W2" i="60" a="1"/>
  <c r="W2" i="60"/>
  <c r="X2" i="60" a="1"/>
  <c r="X2" i="60" s="1"/>
  <c r="Y2" i="60" a="1"/>
  <c r="Y2" i="60" s="1"/>
  <c r="Z2" i="60" a="1"/>
  <c r="Z2" i="60" s="1"/>
  <c r="AA2" i="60" a="1"/>
  <c r="AA2" i="60" s="1"/>
  <c r="B8" i="59" a="1"/>
  <c r="B8" i="59" s="1"/>
  <c r="C8" i="59" a="1"/>
  <c r="C8" i="59" s="1"/>
  <c r="D8" i="59" a="1"/>
  <c r="D8" i="59" s="1"/>
  <c r="E8" i="59" a="1"/>
  <c r="E8" i="59" s="1"/>
  <c r="F8" i="59" a="1"/>
  <c r="F8" i="59"/>
  <c r="G8" i="59" a="1"/>
  <c r="G8" i="59" s="1"/>
  <c r="H8" i="59" a="1"/>
  <c r="H8" i="59" s="1"/>
  <c r="I8" i="59" a="1"/>
  <c r="I8" i="59"/>
  <c r="J8" i="59" a="1"/>
  <c r="J8" i="59" s="1"/>
  <c r="K8" i="59" a="1"/>
  <c r="K8" i="59"/>
  <c r="L8" i="59" a="1"/>
  <c r="L8" i="59" s="1"/>
  <c r="M8" i="59" a="1"/>
  <c r="M8" i="59" s="1"/>
  <c r="N8" i="59" a="1"/>
  <c r="N8" i="59" s="1"/>
  <c r="O8" i="59" a="1"/>
  <c r="O8" i="59" s="1"/>
  <c r="P8" i="59" a="1"/>
  <c r="P8" i="59" s="1"/>
  <c r="Q8" i="59" a="1"/>
  <c r="Q8" i="59"/>
  <c r="R8" i="59" a="1"/>
  <c r="R8" i="59" s="1"/>
  <c r="S8" i="59" a="1"/>
  <c r="S8" i="59" s="1"/>
  <c r="T8" i="59" a="1"/>
  <c r="T8" i="59"/>
  <c r="U8" i="59" a="1"/>
  <c r="U8" i="59" s="1"/>
  <c r="V8" i="59" a="1"/>
  <c r="V8" i="59"/>
  <c r="W8" i="59" a="1"/>
  <c r="W8" i="59" s="1"/>
  <c r="X8" i="59" a="1"/>
  <c r="X8" i="59" s="1"/>
  <c r="Y8" i="59" a="1"/>
  <c r="Y8" i="59" s="1"/>
  <c r="Z8" i="59" a="1"/>
  <c r="Z8" i="59" s="1"/>
  <c r="AA8" i="59" a="1"/>
  <c r="AA8" i="59" s="1"/>
  <c r="B7" i="59" a="1"/>
  <c r="B7" i="59" s="1"/>
  <c r="C7" i="59" a="1"/>
  <c r="C7" i="59" s="1"/>
  <c r="D7" i="59" a="1"/>
  <c r="D7" i="59" s="1"/>
  <c r="E7" i="59" a="1"/>
  <c r="E7" i="59" s="1"/>
  <c r="F7" i="59" a="1"/>
  <c r="F7" i="59" s="1"/>
  <c r="G7" i="59" a="1"/>
  <c r="G7" i="59" s="1"/>
  <c r="H7" i="59" a="1"/>
  <c r="H7" i="59"/>
  <c r="I7" i="59" a="1"/>
  <c r="I7" i="59" s="1"/>
  <c r="J7" i="59" a="1"/>
  <c r="J7" i="59" s="1"/>
  <c r="K7" i="59" a="1"/>
  <c r="K7" i="59"/>
  <c r="L7" i="59" a="1"/>
  <c r="L7" i="59"/>
  <c r="M7" i="59" a="1"/>
  <c r="M7" i="59" s="1"/>
  <c r="N7" i="59" a="1"/>
  <c r="N7" i="59" s="1"/>
  <c r="O7" i="59" a="1"/>
  <c r="O7" i="59" s="1"/>
  <c r="P7" i="59" a="1"/>
  <c r="P7" i="59" s="1"/>
  <c r="Q7" i="59" a="1"/>
  <c r="Q7" i="59" s="1"/>
  <c r="R7" i="59" a="1"/>
  <c r="R7" i="59" s="1"/>
  <c r="S7" i="59" a="1"/>
  <c r="S7" i="59"/>
  <c r="T7" i="59" a="1"/>
  <c r="T7" i="59" s="1"/>
  <c r="U7" i="59" a="1"/>
  <c r="U7" i="59" s="1"/>
  <c r="V7" i="59" a="1"/>
  <c r="V7" i="59"/>
  <c r="W7" i="59" a="1"/>
  <c r="W7" i="59"/>
  <c r="X7" i="59" a="1"/>
  <c r="X7" i="59" s="1"/>
  <c r="Y7" i="59" a="1"/>
  <c r="Y7" i="59" s="1"/>
  <c r="Z7" i="59" a="1"/>
  <c r="Z7" i="59" s="1"/>
  <c r="AA7" i="59" a="1"/>
  <c r="AA7" i="59" s="1"/>
  <c r="B6" i="59" a="1"/>
  <c r="B6" i="59" s="1"/>
  <c r="C6" i="59" a="1"/>
  <c r="C6" i="59" s="1"/>
  <c r="D6" i="59" a="1"/>
  <c r="D6" i="59" s="1"/>
  <c r="E6" i="59" a="1"/>
  <c r="E6" i="59" s="1"/>
  <c r="F6" i="59" a="1"/>
  <c r="F6" i="59" s="1"/>
  <c r="G6" i="59" a="1"/>
  <c r="G6" i="59" s="1"/>
  <c r="H6" i="59" a="1"/>
  <c r="H6" i="59"/>
  <c r="I6" i="59" a="1"/>
  <c r="I6" i="59" s="1"/>
  <c r="J6" i="59" a="1"/>
  <c r="J6" i="59"/>
  <c r="K6" i="59" a="1"/>
  <c r="K6" i="59"/>
  <c r="L6" i="59" a="1"/>
  <c r="L6" i="59"/>
  <c r="M6" i="59" a="1"/>
  <c r="M6" i="59" s="1"/>
  <c r="N6" i="59" a="1"/>
  <c r="N6" i="59" s="1"/>
  <c r="O6" i="59" a="1"/>
  <c r="O6" i="59" s="1"/>
  <c r="P6" i="59" a="1"/>
  <c r="P6" i="59" s="1"/>
  <c r="Q6" i="59" a="1"/>
  <c r="Q6" i="59" s="1"/>
  <c r="R6" i="59" a="1"/>
  <c r="R6" i="59" s="1"/>
  <c r="S6" i="59" a="1"/>
  <c r="S6" i="59"/>
  <c r="T6" i="59" a="1"/>
  <c r="T6" i="59" s="1"/>
  <c r="U6" i="59" a="1"/>
  <c r="U6" i="59" s="1"/>
  <c r="V6" i="59" a="1"/>
  <c r="V6" i="59"/>
  <c r="W6" i="59" a="1"/>
  <c r="W6" i="59"/>
  <c r="X6" i="59" a="1"/>
  <c r="X6" i="59" s="1"/>
  <c r="Y6" i="59" a="1"/>
  <c r="Y6" i="59" s="1"/>
  <c r="Z6" i="59" a="1"/>
  <c r="Z6" i="59" s="1"/>
  <c r="AA6" i="59" a="1"/>
  <c r="AA6" i="59" s="1"/>
  <c r="B5" i="59" a="1"/>
  <c r="B5" i="59" s="1"/>
  <c r="C5" i="59" a="1"/>
  <c r="C5" i="59" s="1"/>
  <c r="D5" i="59" a="1"/>
  <c r="D5" i="59"/>
  <c r="E5" i="59" a="1"/>
  <c r="E5" i="59" s="1"/>
  <c r="F5" i="59" a="1"/>
  <c r="F5" i="59" s="1"/>
  <c r="G5" i="59" a="1"/>
  <c r="G5" i="59" s="1"/>
  <c r="H5" i="59" a="1"/>
  <c r="H5" i="59"/>
  <c r="I5" i="59" a="1"/>
  <c r="I5" i="59"/>
  <c r="J5" i="59" a="1"/>
  <c r="J5" i="59"/>
  <c r="K5" i="59" a="1"/>
  <c r="K5" i="59"/>
  <c r="L5" i="59" a="1"/>
  <c r="L5" i="59"/>
  <c r="M5" i="59" a="1"/>
  <c r="M5" i="59" s="1"/>
  <c r="N5" i="59" a="1"/>
  <c r="N5" i="59" s="1"/>
  <c r="O5" i="59" a="1"/>
  <c r="O5" i="59"/>
  <c r="P5" i="59" a="1"/>
  <c r="P5" i="59" s="1"/>
  <c r="Q5" i="59" a="1"/>
  <c r="Q5" i="59" s="1"/>
  <c r="R5" i="59" a="1"/>
  <c r="R5" i="59" s="1"/>
  <c r="S5" i="59" a="1"/>
  <c r="S5" i="59"/>
  <c r="T5" i="59" a="1"/>
  <c r="T5" i="59"/>
  <c r="U5" i="59" a="1"/>
  <c r="U5" i="59"/>
  <c r="V5" i="59" a="1"/>
  <c r="V5" i="59" s="1"/>
  <c r="W5" i="59" a="1"/>
  <c r="W5" i="59"/>
  <c r="X5" i="59" a="1"/>
  <c r="X5" i="59" s="1"/>
  <c r="Y5" i="59" a="1"/>
  <c r="Y5" i="59" s="1"/>
  <c r="Z5" i="59" a="1"/>
  <c r="Z5" i="59"/>
  <c r="AA5" i="59" a="1"/>
  <c r="AA5" i="59" s="1"/>
  <c r="B4" i="59" a="1"/>
  <c r="B4" i="59" s="1"/>
  <c r="C4" i="59" a="1"/>
  <c r="C4" i="59" s="1"/>
  <c r="D4" i="59" a="1"/>
  <c r="D4" i="59" s="1"/>
  <c r="E4" i="59" a="1"/>
  <c r="E4" i="59" s="1"/>
  <c r="F4" i="59" a="1"/>
  <c r="F4" i="59"/>
  <c r="G4" i="59" a="1"/>
  <c r="G4" i="59" s="1"/>
  <c r="H4" i="59" a="1"/>
  <c r="H4" i="59"/>
  <c r="I4" i="59" a="1"/>
  <c r="I4" i="59" s="1"/>
  <c r="J4" i="59" a="1"/>
  <c r="J4" i="59"/>
  <c r="K4" i="59" a="1"/>
  <c r="K4" i="59"/>
  <c r="L4" i="59" a="1"/>
  <c r="L4" i="59" s="1"/>
  <c r="M4" i="59" a="1"/>
  <c r="M4" i="59" s="1"/>
  <c r="N4" i="59" a="1"/>
  <c r="N4" i="59" s="1"/>
  <c r="O4" i="59" a="1"/>
  <c r="O4" i="59" s="1"/>
  <c r="P4" i="59" a="1"/>
  <c r="P4" i="59" s="1"/>
  <c r="Q4" i="59" a="1"/>
  <c r="Q4" i="59"/>
  <c r="R4" i="59" a="1"/>
  <c r="R4" i="59" s="1"/>
  <c r="S4" i="59" a="1"/>
  <c r="S4" i="59" s="1"/>
  <c r="T4" i="59" a="1"/>
  <c r="T4" i="59" s="1"/>
  <c r="U4" i="59" a="1"/>
  <c r="U4" i="59"/>
  <c r="V4" i="59" a="1"/>
  <c r="V4" i="59" s="1"/>
  <c r="W4" i="59" a="1"/>
  <c r="W4" i="59" s="1"/>
  <c r="X4" i="59" a="1"/>
  <c r="X4" i="59" s="1"/>
  <c r="Y4" i="59" a="1"/>
  <c r="Y4" i="59" s="1"/>
  <c r="Z4" i="59" a="1"/>
  <c r="Z4" i="59" s="1"/>
  <c r="AA4" i="59" a="1"/>
  <c r="AA4" i="59" s="1"/>
  <c r="B3" i="59" a="1"/>
  <c r="B3" i="59" s="1"/>
  <c r="C3" i="59" a="1"/>
  <c r="C3" i="59" s="1"/>
  <c r="D3" i="59" a="1"/>
  <c r="D3" i="59" s="1"/>
  <c r="E3" i="59" a="1"/>
  <c r="E3" i="59" s="1"/>
  <c r="F3" i="59" a="1"/>
  <c r="F3" i="59" s="1"/>
  <c r="G3" i="59" a="1"/>
  <c r="G3" i="59" s="1"/>
  <c r="H3" i="59" a="1"/>
  <c r="H3" i="59" s="1"/>
  <c r="I3" i="59" a="1"/>
  <c r="I3" i="59" s="1"/>
  <c r="J3" i="59" a="1"/>
  <c r="J3" i="59"/>
  <c r="K3" i="59" a="1"/>
  <c r="K3" i="59"/>
  <c r="L3" i="59" a="1"/>
  <c r="L3" i="59" s="1"/>
  <c r="M3" i="59" a="1"/>
  <c r="M3" i="59" s="1"/>
  <c r="N3" i="59" a="1"/>
  <c r="N3" i="59" s="1"/>
  <c r="O3" i="59" a="1"/>
  <c r="O3" i="59" s="1"/>
  <c r="P3" i="59" a="1"/>
  <c r="P3" i="59" s="1"/>
  <c r="Q3" i="59" a="1"/>
  <c r="Q3" i="59" s="1"/>
  <c r="R3" i="59" a="1"/>
  <c r="R3" i="59" s="1"/>
  <c r="S3" i="59" a="1"/>
  <c r="S3" i="59" s="1"/>
  <c r="T3" i="59" a="1"/>
  <c r="T3" i="59" s="1"/>
  <c r="U3" i="59" a="1"/>
  <c r="U3" i="59"/>
  <c r="V3" i="59" a="1"/>
  <c r="V3" i="59"/>
  <c r="W3" i="59" a="1"/>
  <c r="W3" i="59" s="1"/>
  <c r="X3" i="59" a="1"/>
  <c r="X3" i="59" s="1"/>
  <c r="Y3" i="59" a="1"/>
  <c r="Y3" i="59" s="1"/>
  <c r="Z3" i="59" a="1"/>
  <c r="Z3" i="59" s="1"/>
  <c r="AA3" i="59" a="1"/>
  <c r="AA3" i="59" s="1"/>
  <c r="B2" i="59" a="1"/>
  <c r="B2" i="59" s="1"/>
  <c r="C2" i="59" a="1"/>
  <c r="C2" i="59" s="1"/>
  <c r="D2" i="59" a="1"/>
  <c r="D2" i="59" s="1"/>
  <c r="E2" i="59" a="1"/>
  <c r="E2" i="59" s="1"/>
  <c r="F2" i="59" a="1"/>
  <c r="F2" i="59" s="1"/>
  <c r="G2" i="59" a="1"/>
  <c r="G2" i="59" s="1"/>
  <c r="H2" i="59" a="1"/>
  <c r="H2" i="59" s="1"/>
  <c r="I2" i="59" a="1"/>
  <c r="I2" i="59"/>
  <c r="J2" i="59" a="1"/>
  <c r="J2" i="59"/>
  <c r="K2" i="59" a="1"/>
  <c r="K2" i="59"/>
  <c r="L2" i="59" a="1"/>
  <c r="L2" i="59" s="1"/>
  <c r="M2" i="59" a="1"/>
  <c r="M2" i="59" s="1"/>
  <c r="N2" i="59" a="1"/>
  <c r="N2" i="59" s="1"/>
  <c r="O2" i="59" a="1"/>
  <c r="O2" i="59" s="1"/>
  <c r="P2" i="59" a="1"/>
  <c r="P2" i="59" s="1"/>
  <c r="Q2" i="59" a="1"/>
  <c r="Q2" i="59" s="1"/>
  <c r="R2" i="59" a="1"/>
  <c r="R2" i="59" s="1"/>
  <c r="S2" i="59" a="1"/>
  <c r="S2" i="59" s="1"/>
  <c r="T2" i="59" a="1"/>
  <c r="T2" i="59" s="1"/>
  <c r="U2" i="59" a="1"/>
  <c r="U2" i="59"/>
  <c r="V2" i="59" a="1"/>
  <c r="V2" i="59"/>
  <c r="W2" i="59" a="1"/>
  <c r="W2" i="59" s="1"/>
  <c r="X2" i="59" a="1"/>
  <c r="X2" i="59" s="1"/>
  <c r="Y2" i="59" a="1"/>
  <c r="Y2" i="59" s="1"/>
  <c r="Z2" i="59" a="1"/>
  <c r="Z2" i="59" s="1"/>
  <c r="AA2" i="59" a="1"/>
  <c r="AA2" i="59" s="1"/>
  <c r="B8" i="58" a="1"/>
  <c r="B8" i="58" s="1"/>
  <c r="C8" i="58" a="1"/>
  <c r="C8" i="58" s="1"/>
  <c r="D8" i="58" a="1"/>
  <c r="D8" i="58" s="1"/>
  <c r="E8" i="58" a="1"/>
  <c r="E8" i="58" s="1"/>
  <c r="F8" i="58" a="1"/>
  <c r="F8" i="58" s="1"/>
  <c r="G8" i="58" a="1"/>
  <c r="G8" i="58" s="1"/>
  <c r="H8" i="58" a="1"/>
  <c r="H8" i="58" s="1"/>
  <c r="I8" i="58" a="1"/>
  <c r="I8" i="58"/>
  <c r="J8" i="58" a="1"/>
  <c r="J8" i="58"/>
  <c r="K8" i="58" a="1"/>
  <c r="K8" i="58"/>
  <c r="L8" i="58" a="1"/>
  <c r="L8" i="58" s="1"/>
  <c r="M8" i="58" a="1"/>
  <c r="M8" i="58" s="1"/>
  <c r="N8" i="58" a="1"/>
  <c r="N8" i="58" s="1"/>
  <c r="O8" i="58" a="1"/>
  <c r="O8" i="58" s="1"/>
  <c r="P8" i="58" a="1"/>
  <c r="P8" i="58" s="1"/>
  <c r="Q8" i="58" a="1"/>
  <c r="Q8" i="58" s="1"/>
  <c r="R8" i="58" a="1"/>
  <c r="R8" i="58" s="1"/>
  <c r="S8" i="58" a="1"/>
  <c r="S8" i="58" s="1"/>
  <c r="T8" i="58" a="1"/>
  <c r="T8" i="58"/>
  <c r="U8" i="58" a="1"/>
  <c r="U8" i="58"/>
  <c r="V8" i="58" a="1"/>
  <c r="V8" i="58"/>
  <c r="W8" i="58" a="1"/>
  <c r="W8" i="58" s="1"/>
  <c r="X8" i="58" a="1"/>
  <c r="X8" i="58" s="1"/>
  <c r="Y8" i="58" a="1"/>
  <c r="Y8" i="58" s="1"/>
  <c r="Z8" i="58" a="1"/>
  <c r="Z8" i="58" s="1"/>
  <c r="AA8" i="58" a="1"/>
  <c r="AA8" i="58" s="1"/>
  <c r="B7" i="58" a="1"/>
  <c r="B7" i="58" s="1"/>
  <c r="C7" i="58" a="1"/>
  <c r="C7" i="58" s="1"/>
  <c r="D7" i="58" a="1"/>
  <c r="D7" i="58" s="1"/>
  <c r="E7" i="58" a="1"/>
  <c r="E7" i="58" s="1"/>
  <c r="F7" i="58" a="1"/>
  <c r="F7" i="58"/>
  <c r="G7" i="58" a="1"/>
  <c r="G7" i="58"/>
  <c r="H7" i="58" a="1"/>
  <c r="H7" i="58" s="1"/>
  <c r="I7" i="58" a="1"/>
  <c r="I7" i="58"/>
  <c r="J7" i="58" a="1"/>
  <c r="J7" i="58"/>
  <c r="K7" i="58" a="1"/>
  <c r="K7" i="58"/>
  <c r="L7" i="58" a="1"/>
  <c r="L7" i="58" s="1"/>
  <c r="M7" i="58" a="1"/>
  <c r="M7" i="58" s="1"/>
  <c r="N7" i="58" a="1"/>
  <c r="N7" i="58" s="1"/>
  <c r="O7" i="58" a="1"/>
  <c r="O7" i="58" s="1"/>
  <c r="P7" i="58" a="1"/>
  <c r="P7" i="58" s="1"/>
  <c r="Q7" i="58" a="1"/>
  <c r="Q7" i="58" s="1"/>
  <c r="R7" i="58" a="1"/>
  <c r="R7" i="58"/>
  <c r="S7" i="58" a="1"/>
  <c r="S7" i="58" s="1"/>
  <c r="T7" i="58" a="1"/>
  <c r="T7" i="58"/>
  <c r="U7" i="58" a="1"/>
  <c r="U7" i="58"/>
  <c r="V7" i="58" a="1"/>
  <c r="V7" i="58"/>
  <c r="W7" i="58" a="1"/>
  <c r="W7" i="58" s="1"/>
  <c r="X7" i="58" a="1"/>
  <c r="X7" i="58" s="1"/>
  <c r="Y7" i="58" a="1"/>
  <c r="Y7" i="58" s="1"/>
  <c r="Z7" i="58" a="1"/>
  <c r="Z7" i="58" s="1"/>
  <c r="AA7" i="58" a="1"/>
  <c r="AA7" i="58" s="1"/>
  <c r="B6" i="58" a="1"/>
  <c r="B6" i="58" s="1"/>
  <c r="C6" i="58" a="1"/>
  <c r="C6" i="58" s="1"/>
  <c r="D6" i="58" a="1"/>
  <c r="D6" i="58" s="1"/>
  <c r="E6" i="58" a="1"/>
  <c r="E6" i="58" s="1"/>
  <c r="F6" i="58" a="1"/>
  <c r="F6" i="58" s="1"/>
  <c r="G6" i="58" a="1"/>
  <c r="G6" i="58" s="1"/>
  <c r="H6" i="58" a="1"/>
  <c r="H6" i="58" s="1"/>
  <c r="I6" i="58" a="1"/>
  <c r="I6" i="58"/>
  <c r="J6" i="58" a="1"/>
  <c r="J6" i="58" s="1"/>
  <c r="K6" i="58" a="1"/>
  <c r="K6" i="58" s="1"/>
  <c r="L6" i="58" a="1"/>
  <c r="L6" i="58"/>
  <c r="M6" i="58" a="1"/>
  <c r="M6" i="58" s="1"/>
  <c r="N6" i="58" a="1"/>
  <c r="N6" i="58" s="1"/>
  <c r="O6" i="58" a="1"/>
  <c r="O6" i="58" s="1"/>
  <c r="P6" i="58" a="1"/>
  <c r="P6" i="58" s="1"/>
  <c r="Q6" i="58" a="1"/>
  <c r="Q6" i="58" s="1"/>
  <c r="R6" i="58" a="1"/>
  <c r="R6" i="58" s="1"/>
  <c r="S6" i="58" a="1"/>
  <c r="S6" i="58" s="1"/>
  <c r="T6" i="58" a="1"/>
  <c r="T6" i="58"/>
  <c r="U6" i="58" a="1"/>
  <c r="U6" i="58" s="1"/>
  <c r="V6" i="58" a="1"/>
  <c r="V6" i="58"/>
  <c r="W6" i="58" a="1"/>
  <c r="W6" i="58"/>
  <c r="X6" i="58" a="1"/>
  <c r="X6" i="58" s="1"/>
  <c r="Y6" i="58" a="1"/>
  <c r="Y6" i="58" s="1"/>
  <c r="Z6" i="58" a="1"/>
  <c r="Z6" i="58" s="1"/>
  <c r="AA6" i="58" a="1"/>
  <c r="AA6" i="58" s="1"/>
  <c r="B5" i="58" a="1"/>
  <c r="B5" i="58" s="1"/>
  <c r="C5" i="58" a="1"/>
  <c r="C5" i="58"/>
  <c r="D5" i="58" a="1"/>
  <c r="D5" i="58" s="1"/>
  <c r="E5" i="58" a="1"/>
  <c r="E5" i="58" s="1"/>
  <c r="F5" i="58" a="1"/>
  <c r="F5" i="58"/>
  <c r="G5" i="58" a="1"/>
  <c r="G5" i="58" s="1"/>
  <c r="H5" i="58" a="1"/>
  <c r="H5" i="58" s="1"/>
  <c r="I5" i="58" a="1"/>
  <c r="I5" i="58" s="1"/>
  <c r="J5" i="58" a="1"/>
  <c r="J5" i="58"/>
  <c r="K5" i="58" a="1"/>
  <c r="K5" i="58"/>
  <c r="L5" i="58" a="1"/>
  <c r="L5" i="58"/>
  <c r="M5" i="58" a="1"/>
  <c r="M5" i="58" s="1"/>
  <c r="N5" i="58" a="1"/>
  <c r="N5" i="58"/>
  <c r="O5" i="58" a="1"/>
  <c r="O5" i="58" s="1"/>
  <c r="P5" i="58" a="1"/>
  <c r="P5" i="58" s="1"/>
  <c r="Q5" i="58" a="1"/>
  <c r="Q5" i="58"/>
  <c r="R5" i="58" a="1"/>
  <c r="R5" i="58" s="1"/>
  <c r="S5" i="58" a="1"/>
  <c r="S5" i="58" s="1"/>
  <c r="T5" i="58" a="1"/>
  <c r="T5" i="58" s="1"/>
  <c r="U5" i="58" a="1"/>
  <c r="U5" i="58"/>
  <c r="V5" i="58" a="1"/>
  <c r="V5" i="58"/>
  <c r="W5" i="58" a="1"/>
  <c r="W5" i="58" s="1"/>
  <c r="X5" i="58" a="1"/>
  <c r="X5" i="58" s="1"/>
  <c r="Y5" i="58" a="1"/>
  <c r="Y5" i="58"/>
  <c r="Z5" i="58" a="1"/>
  <c r="Z5" i="58" s="1"/>
  <c r="AA5" i="58" a="1"/>
  <c r="AA5" i="58" s="1"/>
  <c r="B4" i="58" a="1"/>
  <c r="B4" i="58" s="1"/>
  <c r="C4" i="58" a="1"/>
  <c r="C4" i="58" s="1"/>
  <c r="D4" i="58" a="1"/>
  <c r="D4" i="58" s="1"/>
  <c r="E4" i="58" a="1"/>
  <c r="E4" i="58" s="1"/>
  <c r="F4" i="58" a="1"/>
  <c r="F4" i="58" s="1"/>
  <c r="G4" i="58" a="1"/>
  <c r="G4" i="58" s="1"/>
  <c r="H4" i="58" a="1"/>
  <c r="H4" i="58" s="1"/>
  <c r="I4" i="58" a="1"/>
  <c r="I4" i="58"/>
  <c r="J4" i="58" a="1"/>
  <c r="J4" i="58"/>
  <c r="K4" i="58" a="1"/>
  <c r="K4" i="58"/>
  <c r="L4" i="58" a="1"/>
  <c r="L4" i="58" s="1"/>
  <c r="M4" i="58" a="1"/>
  <c r="M4" i="58" s="1"/>
  <c r="N4" i="58" a="1"/>
  <c r="N4" i="58" s="1"/>
  <c r="O4" i="58" a="1"/>
  <c r="O4" i="58" s="1"/>
  <c r="P4" i="58" a="1"/>
  <c r="P4" i="58" s="1"/>
  <c r="Q4" i="58" a="1"/>
  <c r="Q4" i="58" s="1"/>
  <c r="R4" i="58" a="1"/>
  <c r="R4" i="58" s="1"/>
  <c r="S4" i="58" a="1"/>
  <c r="S4" i="58" s="1"/>
  <c r="T4" i="58" a="1"/>
  <c r="T4" i="58"/>
  <c r="U4" i="58" a="1"/>
  <c r="U4" i="58"/>
  <c r="V4" i="58" a="1"/>
  <c r="V4" i="58"/>
  <c r="W4" i="58" a="1"/>
  <c r="W4" i="58" s="1"/>
  <c r="X4" i="58" a="1"/>
  <c r="X4" i="58" s="1"/>
  <c r="Y4" i="58" a="1"/>
  <c r="Y4" i="58" s="1"/>
  <c r="Z4" i="58" a="1"/>
  <c r="Z4" i="58" s="1"/>
  <c r="AA4" i="58" a="1"/>
  <c r="AA4" i="58" s="1"/>
  <c r="B3" i="58" a="1"/>
  <c r="B3" i="58" s="1"/>
  <c r="C3" i="58" a="1"/>
  <c r="C3" i="58" s="1"/>
  <c r="D3" i="58" a="1"/>
  <c r="D3" i="58" s="1"/>
  <c r="E3" i="58" a="1"/>
  <c r="E3" i="58" s="1"/>
  <c r="F3" i="58" a="1"/>
  <c r="F3" i="58" s="1"/>
  <c r="G3" i="58" a="1"/>
  <c r="G3" i="58" s="1"/>
  <c r="H3" i="58" a="1"/>
  <c r="H3" i="58" s="1"/>
  <c r="I3" i="58" a="1"/>
  <c r="I3" i="58" s="1"/>
  <c r="J3" i="58" a="1"/>
  <c r="J3" i="58"/>
  <c r="K3" i="58" a="1"/>
  <c r="K3" i="58"/>
  <c r="L3" i="58" a="1"/>
  <c r="L3" i="58"/>
  <c r="M3" i="58" a="1"/>
  <c r="M3" i="58" s="1"/>
  <c r="N3" i="58" a="1"/>
  <c r="N3" i="58" s="1"/>
  <c r="O3" i="58" a="1"/>
  <c r="O3" i="58" s="1"/>
  <c r="P3" i="58" a="1"/>
  <c r="P3" i="58" s="1"/>
  <c r="Q3" i="58" a="1"/>
  <c r="Q3" i="58" s="1"/>
  <c r="R3" i="58" a="1"/>
  <c r="R3" i="58" s="1"/>
  <c r="S3" i="58" a="1"/>
  <c r="S3" i="58" s="1"/>
  <c r="T3" i="58" a="1"/>
  <c r="T3" i="58" s="1"/>
  <c r="U3" i="58" a="1"/>
  <c r="U3" i="58"/>
  <c r="V3" i="58" a="1"/>
  <c r="V3" i="58"/>
  <c r="W3" i="58" a="1"/>
  <c r="W3" i="58"/>
  <c r="X3" i="58" a="1"/>
  <c r="X3" i="58" s="1"/>
  <c r="Y3" i="58" a="1"/>
  <c r="Y3" i="58" s="1"/>
  <c r="Z3" i="58" a="1"/>
  <c r="Z3" i="58" s="1"/>
  <c r="AA3" i="58" a="1"/>
  <c r="AA3" i="58" s="1"/>
  <c r="B2" i="58" a="1"/>
  <c r="B2" i="58" s="1"/>
  <c r="C2" i="58" a="1"/>
  <c r="C2" i="58" s="1"/>
  <c r="D2" i="58" a="1"/>
  <c r="D2" i="58" s="1"/>
  <c r="E2" i="58" a="1"/>
  <c r="E2" i="58" s="1"/>
  <c r="F2" i="58" a="1"/>
  <c r="F2" i="58" s="1"/>
  <c r="G2" i="58" a="1"/>
  <c r="G2" i="58" s="1"/>
  <c r="H2" i="58" a="1"/>
  <c r="H2" i="58" s="1"/>
  <c r="I2" i="58" a="1"/>
  <c r="I2" i="58"/>
  <c r="J2" i="58" a="1"/>
  <c r="J2" i="58" s="1"/>
  <c r="K2" i="58" a="1"/>
  <c r="K2" i="58"/>
  <c r="L2" i="58" a="1"/>
  <c r="L2" i="58" s="1"/>
  <c r="M2" i="58" a="1"/>
  <c r="M2" i="58" s="1"/>
  <c r="N2" i="58" a="1"/>
  <c r="N2" i="58" s="1"/>
  <c r="O2" i="58" a="1"/>
  <c r="O2" i="58" s="1"/>
  <c r="P2" i="58" a="1"/>
  <c r="P2" i="58" s="1"/>
  <c r="Q2" i="58" a="1"/>
  <c r="Q2" i="58" s="1"/>
  <c r="R2" i="58" a="1"/>
  <c r="R2" i="58" s="1"/>
  <c r="S2" i="58" a="1"/>
  <c r="S2" i="58" s="1"/>
  <c r="T2" i="58" a="1"/>
  <c r="T2" i="58"/>
  <c r="U2" i="58" a="1"/>
  <c r="U2" i="58" s="1"/>
  <c r="V2" i="58" a="1"/>
  <c r="V2" i="58"/>
  <c r="W2" i="58" a="1"/>
  <c r="W2" i="58" s="1"/>
  <c r="X2" i="58" a="1"/>
  <c r="X2" i="58" s="1"/>
  <c r="Y2" i="58" a="1"/>
  <c r="Y2" i="58" s="1"/>
  <c r="Z2" i="58" a="1"/>
  <c r="Z2" i="58" s="1"/>
  <c r="AA2" i="58" a="1"/>
  <c r="AA2" i="58" s="1"/>
  <c r="B8" i="57" a="1"/>
  <c r="B8" i="57" s="1"/>
  <c r="C8" i="57" a="1"/>
  <c r="C8" i="57" s="1"/>
  <c r="D8" i="57" a="1"/>
  <c r="D8" i="57" s="1"/>
  <c r="E8" i="57" a="1"/>
  <c r="E8" i="57" s="1"/>
  <c r="F8" i="57" a="1"/>
  <c r="F8" i="57"/>
  <c r="G8" i="57" a="1"/>
  <c r="G8" i="57"/>
  <c r="H8" i="57" a="1"/>
  <c r="H8" i="57"/>
  <c r="I8" i="57" a="1"/>
  <c r="I8" i="57"/>
  <c r="J8" i="57" a="1"/>
  <c r="J8" i="57"/>
  <c r="K8" i="57" a="1"/>
  <c r="K8" i="57" s="1"/>
  <c r="L8" i="57" a="1"/>
  <c r="L8" i="57" s="1"/>
  <c r="M8" i="57" a="1"/>
  <c r="M8" i="57" s="1"/>
  <c r="N8" i="57" a="1"/>
  <c r="N8" i="57" s="1"/>
  <c r="O8" i="57" a="1"/>
  <c r="O8" i="57" s="1"/>
  <c r="P8" i="57" a="1"/>
  <c r="P8" i="57" s="1"/>
  <c r="Q8" i="57" a="1"/>
  <c r="Q8" i="57"/>
  <c r="R8" i="57" a="1"/>
  <c r="R8" i="57"/>
  <c r="S8" i="57" a="1"/>
  <c r="S8" i="57" s="1"/>
  <c r="T8" i="57" a="1"/>
  <c r="T8" i="57"/>
  <c r="U8" i="57" a="1"/>
  <c r="U8" i="57"/>
  <c r="V8" i="57" a="1"/>
  <c r="V8" i="57"/>
  <c r="W8" i="57" a="1"/>
  <c r="W8" i="57" s="1"/>
  <c r="X8" i="57" a="1"/>
  <c r="X8" i="57" s="1"/>
  <c r="Y8" i="57" a="1"/>
  <c r="Y8" i="57" s="1"/>
  <c r="Z8" i="57" a="1"/>
  <c r="Z8" i="57" s="1"/>
  <c r="AA8" i="57" a="1"/>
  <c r="AA8" i="57" s="1"/>
  <c r="B6" i="57" a="1"/>
  <c r="B6" i="57" s="1"/>
  <c r="C6" i="57" a="1"/>
  <c r="C6" i="57"/>
  <c r="D6" i="57" a="1"/>
  <c r="D6" i="57"/>
  <c r="E6" i="57" a="1"/>
  <c r="E6" i="57" s="1"/>
  <c r="F6" i="57" a="1"/>
  <c r="F6" i="57" s="1"/>
  <c r="G6" i="57" a="1"/>
  <c r="G6" i="57" s="1"/>
  <c r="H6" i="57" a="1"/>
  <c r="H6" i="57"/>
  <c r="I6" i="57" a="1"/>
  <c r="I6" i="57"/>
  <c r="J6" i="57" a="1"/>
  <c r="J6" i="57"/>
  <c r="K6" i="57" a="1"/>
  <c r="K6" i="57"/>
  <c r="L6" i="57" a="1"/>
  <c r="L6" i="57"/>
  <c r="M6" i="57" a="1"/>
  <c r="M6" i="57" s="1"/>
  <c r="N6" i="57" a="1"/>
  <c r="N6" i="57"/>
  <c r="O6" i="57" a="1"/>
  <c r="O6" i="57"/>
  <c r="P6" i="57" a="1"/>
  <c r="P6" i="57" s="1"/>
  <c r="Q6" i="57" a="1"/>
  <c r="Q6" i="57" s="1"/>
  <c r="R6" i="57" a="1"/>
  <c r="R6" i="57" s="1"/>
  <c r="S6" i="57" a="1"/>
  <c r="S6" i="57"/>
  <c r="T6" i="57" a="1"/>
  <c r="T6" i="57"/>
  <c r="U6" i="57" a="1"/>
  <c r="U6" i="57"/>
  <c r="V6" i="57" a="1"/>
  <c r="V6" i="57"/>
  <c r="W6" i="57" a="1"/>
  <c r="W6" i="57"/>
  <c r="X6" i="57" a="1"/>
  <c r="X6" i="57" s="1"/>
  <c r="Y6" i="57" a="1"/>
  <c r="Y6" i="57"/>
  <c r="Z6" i="57" a="1"/>
  <c r="Z6" i="57"/>
  <c r="AA6" i="57" a="1"/>
  <c r="AA6" i="57" s="1"/>
  <c r="B2" i="57" a="1"/>
  <c r="B2" i="57" s="1"/>
  <c r="C2" i="57" a="1"/>
  <c r="C2" i="57" s="1"/>
  <c r="D2" i="57" a="1"/>
  <c r="D2" i="57" s="1"/>
  <c r="E2" i="57" a="1"/>
  <c r="E2" i="57" s="1"/>
  <c r="F2" i="57" a="1"/>
  <c r="F2" i="57" s="1"/>
  <c r="G2" i="57" a="1"/>
  <c r="G2" i="57"/>
  <c r="H2" i="57" a="1"/>
  <c r="H2" i="57" s="1"/>
  <c r="I2" i="57" a="1"/>
  <c r="I2" i="57"/>
  <c r="J2" i="57" a="1"/>
  <c r="J2" i="57"/>
  <c r="K2" i="57" a="1"/>
  <c r="K2" i="57"/>
  <c r="L2" i="57" a="1"/>
  <c r="L2" i="57" s="1"/>
  <c r="M2" i="57" a="1"/>
  <c r="M2" i="57" s="1"/>
  <c r="N2" i="57" a="1"/>
  <c r="N2" i="57" s="1"/>
  <c r="O2" i="57" a="1"/>
  <c r="O2" i="57" s="1"/>
  <c r="P2" i="57" a="1"/>
  <c r="P2" i="57" s="1"/>
  <c r="Q2" i="57" a="1"/>
  <c r="Q2" i="57" s="1"/>
  <c r="R2" i="57" a="1"/>
  <c r="R2" i="57" s="1"/>
  <c r="S2" i="57" a="1"/>
  <c r="S2" i="57" s="1"/>
  <c r="T2" i="57" a="1"/>
  <c r="T2" i="57"/>
  <c r="U2" i="57" a="1"/>
  <c r="U2" i="57"/>
  <c r="V2" i="57" a="1"/>
  <c r="V2" i="57"/>
  <c r="W2" i="57" a="1"/>
  <c r="W2" i="57" s="1"/>
  <c r="X2" i="57" a="1"/>
  <c r="X2" i="57" s="1"/>
  <c r="Y2" i="57" a="1"/>
  <c r="Y2" i="57" s="1"/>
  <c r="Z2" i="57" a="1"/>
  <c r="Z2" i="57" s="1"/>
  <c r="AA2" i="57" a="1"/>
  <c r="AA2" i="57" s="1"/>
  <c r="B8" i="56" a="1"/>
  <c r="B8" i="56" s="1"/>
  <c r="C8" i="56" a="1"/>
  <c r="C8" i="56" s="1"/>
  <c r="D8" i="56" a="1"/>
  <c r="D8" i="56" s="1"/>
  <c r="E8" i="56" a="1"/>
  <c r="E8" i="56"/>
  <c r="F8" i="56" a="1"/>
  <c r="F8" i="56" s="1"/>
  <c r="G8" i="56" a="1"/>
  <c r="G8" i="56"/>
  <c r="H8" i="56" a="1"/>
  <c r="H8" i="56"/>
  <c r="I8" i="56" a="1"/>
  <c r="I8" i="56"/>
  <c r="J8" i="56" a="1"/>
  <c r="J8" i="56"/>
  <c r="K8" i="56" a="1"/>
  <c r="K8" i="56"/>
  <c r="L8" i="56" a="1"/>
  <c r="L8" i="56" s="1"/>
  <c r="M8" i="56" a="1"/>
  <c r="M8" i="56" s="1"/>
  <c r="N8" i="56" a="1"/>
  <c r="N8" i="56" s="1"/>
  <c r="O8" i="56" a="1"/>
  <c r="O8" i="56" s="1"/>
  <c r="P8" i="56" a="1"/>
  <c r="P8" i="56" s="1"/>
  <c r="Q8" i="56" a="1"/>
  <c r="Q8" i="56" s="1"/>
  <c r="R8" i="56" a="1"/>
  <c r="R8" i="56"/>
  <c r="S8" i="56" a="1"/>
  <c r="S8" i="56"/>
  <c r="T8" i="56" a="1"/>
  <c r="T8" i="56"/>
  <c r="U8" i="56" a="1"/>
  <c r="U8" i="56"/>
  <c r="V8" i="56" a="1"/>
  <c r="V8" i="56"/>
  <c r="W8" i="56" a="1"/>
  <c r="W8" i="56" s="1"/>
  <c r="X8" i="56" a="1"/>
  <c r="X8" i="56" s="1"/>
  <c r="Y8" i="56" a="1"/>
  <c r="Y8" i="56" s="1"/>
  <c r="Z8" i="56" a="1"/>
  <c r="Z8" i="56" s="1"/>
  <c r="AA8" i="56" a="1"/>
  <c r="AA8" i="56" s="1"/>
  <c r="B6" i="56" a="1"/>
  <c r="B6" i="56"/>
  <c r="C6" i="56" a="1"/>
  <c r="C6" i="56"/>
  <c r="D6" i="56" a="1"/>
  <c r="D6" i="56"/>
  <c r="E6" i="56" a="1"/>
  <c r="E6" i="56"/>
  <c r="F6" i="56" a="1"/>
  <c r="F6" i="56"/>
  <c r="G6" i="56" a="1"/>
  <c r="G6" i="56"/>
  <c r="H6" i="56" a="1"/>
  <c r="H6" i="56"/>
  <c r="I6" i="56" a="1"/>
  <c r="I6" i="56"/>
  <c r="J6" i="56" a="1"/>
  <c r="J6" i="56"/>
  <c r="K6" i="56" a="1"/>
  <c r="K6" i="56"/>
  <c r="L6" i="56" a="1"/>
  <c r="L6" i="56"/>
  <c r="M6" i="56" a="1"/>
  <c r="M6" i="56"/>
  <c r="N6" i="56" a="1"/>
  <c r="N6" i="56"/>
  <c r="O6" i="56" a="1"/>
  <c r="O6" i="56"/>
  <c r="P6" i="56" a="1"/>
  <c r="P6" i="56"/>
  <c r="Q6" i="56" a="1"/>
  <c r="Q6" i="56"/>
  <c r="R6" i="56" a="1"/>
  <c r="R6" i="56"/>
  <c r="S6" i="56" a="1"/>
  <c r="S6" i="56"/>
  <c r="T6" i="56" a="1"/>
  <c r="T6" i="56"/>
  <c r="U6" i="56" a="1"/>
  <c r="U6" i="56"/>
  <c r="V6" i="56" a="1"/>
  <c r="V6" i="56"/>
  <c r="W6" i="56" a="1"/>
  <c r="W6" i="56"/>
  <c r="X6" i="56" a="1"/>
  <c r="X6" i="56"/>
  <c r="Y6" i="56" a="1"/>
  <c r="Y6" i="56" s="1"/>
  <c r="Z6" i="56" a="1"/>
  <c r="Z6" i="56"/>
  <c r="AA6" i="56" a="1"/>
  <c r="AA6" i="56"/>
  <c r="B2" i="56" a="1"/>
  <c r="B2" i="56"/>
  <c r="C2" i="56" a="1"/>
  <c r="C2" i="56" s="1"/>
  <c r="D2" i="56" a="1"/>
  <c r="D2" i="56"/>
  <c r="E2" i="56" a="1"/>
  <c r="E2" i="56"/>
  <c r="F2" i="56" a="1"/>
  <c r="F2" i="56"/>
  <c r="G2" i="56" a="1"/>
  <c r="G2" i="56"/>
  <c r="H2" i="56" a="1"/>
  <c r="H2" i="56"/>
  <c r="I2" i="56" a="1"/>
  <c r="I2" i="56"/>
  <c r="J2" i="56" a="1"/>
  <c r="J2" i="56"/>
  <c r="K2" i="56" a="1"/>
  <c r="K2" i="56"/>
  <c r="L2" i="56" a="1"/>
  <c r="L2" i="56"/>
  <c r="M2" i="56" a="1"/>
  <c r="M2" i="56"/>
  <c r="N2" i="56" a="1"/>
  <c r="N2" i="56" s="1"/>
  <c r="O2" i="56" a="1"/>
  <c r="O2" i="56"/>
  <c r="P2" i="56" a="1"/>
  <c r="P2" i="56" s="1"/>
  <c r="Q2" i="56" a="1"/>
  <c r="Q2" i="56"/>
  <c r="R2" i="56" a="1"/>
  <c r="R2" i="56"/>
  <c r="S2" i="56" a="1"/>
  <c r="S2" i="56"/>
  <c r="T2" i="56" a="1"/>
  <c r="T2" i="56"/>
  <c r="U2" i="56" a="1"/>
  <c r="U2" i="56"/>
  <c r="V2" i="56" a="1"/>
  <c r="V2" i="56"/>
  <c r="W2" i="56" a="1"/>
  <c r="W2" i="56"/>
  <c r="X2" i="56" a="1"/>
  <c r="X2" i="56"/>
  <c r="Y2" i="56" a="1"/>
  <c r="Y2" i="56" s="1"/>
  <c r="Z2" i="56" a="1"/>
  <c r="Z2" i="56"/>
  <c r="AA2" i="56" a="1"/>
  <c r="AA2" i="56" s="1"/>
  <c r="B8" i="55" a="1"/>
  <c r="B8" i="55"/>
  <c r="C8" i="55" a="1"/>
  <c r="C8" i="55"/>
  <c r="D8" i="55" a="1"/>
  <c r="D8" i="55" s="1"/>
  <c r="E8" i="55" a="1"/>
  <c r="E8" i="55"/>
  <c r="F8" i="55" a="1"/>
  <c r="F8" i="55"/>
  <c r="G8" i="55" a="1"/>
  <c r="G8" i="55"/>
  <c r="H8" i="55" a="1"/>
  <c r="H8" i="55"/>
  <c r="I8" i="55" a="1"/>
  <c r="I8" i="55"/>
  <c r="J8" i="55" a="1"/>
  <c r="J8" i="55" s="1"/>
  <c r="K8" i="55" a="1"/>
  <c r="K8" i="55"/>
  <c r="L8" i="55" a="1"/>
  <c r="L8" i="55"/>
  <c r="M8" i="55" a="1"/>
  <c r="M8" i="55"/>
  <c r="N8" i="55" a="1"/>
  <c r="N8" i="55"/>
  <c r="O8" i="55" a="1"/>
  <c r="O8" i="55" s="1"/>
  <c r="P8" i="55" a="1"/>
  <c r="P8" i="55"/>
  <c r="Q8" i="55" a="1"/>
  <c r="Q8" i="55"/>
  <c r="R8" i="55" a="1"/>
  <c r="R8" i="55"/>
  <c r="S8" i="55" a="1"/>
  <c r="S8" i="55"/>
  <c r="T8" i="55" a="1"/>
  <c r="T8" i="55"/>
  <c r="U8" i="55" a="1"/>
  <c r="U8" i="55" s="1"/>
  <c r="V8" i="55" a="1"/>
  <c r="V8" i="55"/>
  <c r="W8" i="55" a="1"/>
  <c r="W8" i="55"/>
  <c r="X8" i="55" a="1"/>
  <c r="X8" i="55"/>
  <c r="Y8" i="55" a="1"/>
  <c r="Y8" i="55"/>
  <c r="Z8" i="55" a="1"/>
  <c r="Z8" i="55" s="1"/>
  <c r="AA8" i="55" a="1"/>
  <c r="AA8" i="55"/>
  <c r="B6" i="55" a="1"/>
  <c r="B6" i="55" s="1"/>
  <c r="C6" i="55" a="1"/>
  <c r="C6" i="55" s="1"/>
  <c r="D6" i="55" a="1"/>
  <c r="D6" i="55" s="1"/>
  <c r="E6" i="55" a="1"/>
  <c r="E6" i="55" s="1"/>
  <c r="F6" i="55" a="1"/>
  <c r="F6" i="55" s="1"/>
  <c r="G6" i="55" a="1"/>
  <c r="G6" i="55" s="1"/>
  <c r="H6" i="55" a="1"/>
  <c r="H6" i="55"/>
  <c r="I6" i="55" a="1"/>
  <c r="I6" i="55"/>
  <c r="J6" i="55" a="1"/>
  <c r="J6" i="55"/>
  <c r="K6" i="55" a="1"/>
  <c r="K6" i="55"/>
  <c r="L6" i="55" a="1"/>
  <c r="L6" i="55" s="1"/>
  <c r="M6" i="55" a="1"/>
  <c r="M6" i="55" s="1"/>
  <c r="N6" i="55" a="1"/>
  <c r="N6" i="55" s="1"/>
  <c r="O6" i="55" a="1"/>
  <c r="O6" i="55" s="1"/>
  <c r="P6" i="55" a="1"/>
  <c r="P6" i="55" s="1"/>
  <c r="Q6" i="55" a="1"/>
  <c r="Q6" i="55" s="1"/>
  <c r="R6" i="55" a="1"/>
  <c r="R6" i="55"/>
  <c r="S6" i="55" a="1"/>
  <c r="S6" i="55"/>
  <c r="T6" i="55" a="1"/>
  <c r="T6" i="55"/>
  <c r="U6" i="55" a="1"/>
  <c r="U6" i="55"/>
  <c r="V6" i="55" a="1"/>
  <c r="V6" i="55"/>
  <c r="W6" i="55" a="1"/>
  <c r="W6" i="55" s="1"/>
  <c r="X6" i="55" a="1"/>
  <c r="X6" i="55" s="1"/>
  <c r="Y6" i="55" a="1"/>
  <c r="Y6" i="55" s="1"/>
  <c r="Z6" i="55" a="1"/>
  <c r="Z6" i="55" s="1"/>
  <c r="AA6" i="55" a="1"/>
  <c r="AA6" i="55" s="1"/>
  <c r="B2" i="55" a="1"/>
  <c r="B2" i="55" s="1"/>
  <c r="C2" i="55" a="1"/>
  <c r="C2" i="55" s="1"/>
  <c r="D2" i="55" a="1"/>
  <c r="D2" i="55" s="1"/>
  <c r="E2" i="55" a="1"/>
  <c r="E2" i="55" s="1"/>
  <c r="F2" i="55" a="1"/>
  <c r="F2" i="55" s="1"/>
  <c r="G2" i="55" a="1"/>
  <c r="G2" i="55" s="1"/>
  <c r="H2" i="55" a="1"/>
  <c r="H2" i="55" s="1"/>
  <c r="I2" i="55" a="1"/>
  <c r="I2" i="55"/>
  <c r="J2" i="55" a="1"/>
  <c r="J2" i="55"/>
  <c r="K2" i="55" a="1"/>
  <c r="K2" i="55"/>
  <c r="L2" i="55" a="1"/>
  <c r="L2" i="55" s="1"/>
  <c r="M2" i="55" a="1"/>
  <c r="M2" i="55" s="1"/>
  <c r="N2" i="55" a="1"/>
  <c r="N2" i="55" s="1"/>
  <c r="O2" i="55" a="1"/>
  <c r="O2" i="55" s="1"/>
  <c r="P2" i="55" a="1"/>
  <c r="P2" i="55" s="1"/>
  <c r="Q2" i="55" a="1"/>
  <c r="Q2" i="55" s="1"/>
  <c r="R2" i="55" a="1"/>
  <c r="R2" i="55" s="1"/>
  <c r="S2" i="55" a="1"/>
  <c r="S2" i="55" s="1"/>
  <c r="T2" i="55" a="1"/>
  <c r="T2" i="55"/>
  <c r="U2" i="55" a="1"/>
  <c r="U2" i="55"/>
  <c r="V2" i="55" a="1"/>
  <c r="V2" i="55"/>
  <c r="W2" i="55" a="1"/>
  <c r="W2" i="55" s="1"/>
  <c r="X2" i="55" a="1"/>
  <c r="X2" i="55" s="1"/>
  <c r="Y2" i="55" a="1"/>
  <c r="Y2" i="55" s="1"/>
  <c r="Z2" i="55" a="1"/>
  <c r="Z2" i="55" s="1"/>
  <c r="AA2" i="55" a="1"/>
  <c r="AA2" i="55" s="1"/>
  <c r="B8" i="54" a="1"/>
  <c r="B8" i="54" s="1"/>
  <c r="C8" i="54" a="1"/>
  <c r="C8" i="54"/>
  <c r="D8" i="54" a="1"/>
  <c r="D8" i="54" s="1"/>
  <c r="E8" i="54" a="1"/>
  <c r="E8" i="54"/>
  <c r="F8" i="54" a="1"/>
  <c r="F8" i="54"/>
  <c r="G8" i="54" a="1"/>
  <c r="G8" i="54"/>
  <c r="H8" i="54" a="1"/>
  <c r="H8" i="54"/>
  <c r="I8" i="54" a="1"/>
  <c r="I8" i="54"/>
  <c r="J8" i="54" a="1"/>
  <c r="J8" i="54"/>
  <c r="K8" i="54" a="1"/>
  <c r="K8" i="54"/>
  <c r="L8" i="54" a="1"/>
  <c r="L8" i="54"/>
  <c r="M8" i="54" a="1"/>
  <c r="M8" i="54" s="1"/>
  <c r="N8" i="54" a="1"/>
  <c r="N8" i="54"/>
  <c r="O8" i="54" a="1"/>
  <c r="O8" i="54" s="1"/>
  <c r="P8" i="54" a="1"/>
  <c r="P8" i="54"/>
  <c r="Q8" i="54" a="1"/>
  <c r="Q8" i="54"/>
  <c r="R8" i="54" a="1"/>
  <c r="R8" i="54"/>
  <c r="S8" i="54" a="1"/>
  <c r="S8" i="54"/>
  <c r="T8" i="54" a="1"/>
  <c r="T8" i="54"/>
  <c r="U8" i="54" a="1"/>
  <c r="U8" i="54"/>
  <c r="V8" i="54" a="1"/>
  <c r="V8" i="54"/>
  <c r="W8" i="54" a="1"/>
  <c r="W8" i="54"/>
  <c r="X8" i="54" a="1"/>
  <c r="X8" i="54" s="1"/>
  <c r="Y8" i="54" a="1"/>
  <c r="Y8" i="54"/>
  <c r="Z8" i="54" a="1"/>
  <c r="Z8" i="54" s="1"/>
  <c r="AA8" i="54" a="1"/>
  <c r="AA8" i="54"/>
  <c r="B6" i="54" a="1"/>
  <c r="B6" i="54" s="1"/>
  <c r="C6" i="54" a="1"/>
  <c r="C6" i="54" s="1"/>
  <c r="D6" i="54" a="1"/>
  <c r="D6" i="54" s="1"/>
  <c r="E6" i="54" a="1"/>
  <c r="E6" i="54"/>
  <c r="F6" i="54" a="1"/>
  <c r="F6" i="54"/>
  <c r="G6" i="54" a="1"/>
  <c r="G6" i="54"/>
  <c r="H6" i="54" a="1"/>
  <c r="H6" i="54"/>
  <c r="I6" i="54" a="1"/>
  <c r="I6" i="54"/>
  <c r="J6" i="54" a="1"/>
  <c r="J6" i="54"/>
  <c r="K6" i="54" a="1"/>
  <c r="K6" i="54"/>
  <c r="L6" i="54" a="1"/>
  <c r="L6" i="54"/>
  <c r="M6" i="54" a="1"/>
  <c r="M6" i="54" s="1"/>
  <c r="N6" i="54" a="1"/>
  <c r="N6" i="54" s="1"/>
  <c r="O6" i="54" a="1"/>
  <c r="O6" i="54" s="1"/>
  <c r="P6" i="54" a="1"/>
  <c r="P6" i="54"/>
  <c r="Q6" i="54" a="1"/>
  <c r="Q6" i="54"/>
  <c r="R6" i="54" a="1"/>
  <c r="R6" i="54"/>
  <c r="S6" i="54" a="1"/>
  <c r="S6" i="54"/>
  <c r="T6" i="54" a="1"/>
  <c r="T6" i="54"/>
  <c r="U6" i="54" a="1"/>
  <c r="U6" i="54"/>
  <c r="V6" i="54" a="1"/>
  <c r="V6" i="54"/>
  <c r="W6" i="54" a="1"/>
  <c r="W6" i="54"/>
  <c r="X6" i="54" a="1"/>
  <c r="X6" i="54" s="1"/>
  <c r="Y6" i="54" a="1"/>
  <c r="Y6" i="54" s="1"/>
  <c r="Z6" i="54" a="1"/>
  <c r="Z6" i="54" s="1"/>
  <c r="AA6" i="54" a="1"/>
  <c r="AA6" i="54"/>
  <c r="B2" i="54" a="1"/>
  <c r="B2" i="54"/>
  <c r="C2" i="54" a="1"/>
  <c r="C2" i="54" s="1"/>
  <c r="D2" i="54" a="1"/>
  <c r="D2" i="54" s="1"/>
  <c r="E2" i="54" a="1"/>
  <c r="E2" i="54"/>
  <c r="F2" i="54" a="1"/>
  <c r="F2" i="54"/>
  <c r="G2" i="54" a="1"/>
  <c r="G2" i="54"/>
  <c r="H2" i="54" a="1"/>
  <c r="H2" i="54" s="1"/>
  <c r="I2" i="54" a="1"/>
  <c r="I2" i="54"/>
  <c r="J2" i="54" a="1"/>
  <c r="J2" i="54"/>
  <c r="K2" i="54" a="1"/>
  <c r="K2" i="54"/>
  <c r="L2" i="54" a="1"/>
  <c r="L2" i="54"/>
  <c r="M2" i="54" a="1"/>
  <c r="M2" i="54"/>
  <c r="N2" i="54" a="1"/>
  <c r="N2" i="54" s="1"/>
  <c r="O2" i="54" a="1"/>
  <c r="O2" i="54" s="1"/>
  <c r="P2" i="54" a="1"/>
  <c r="P2" i="54"/>
  <c r="Q2" i="54" a="1"/>
  <c r="Q2" i="54"/>
  <c r="R2" i="54" a="1"/>
  <c r="R2" i="54"/>
  <c r="S2" i="54" a="1"/>
  <c r="S2" i="54" s="1"/>
  <c r="T2" i="54" a="1"/>
  <c r="T2" i="54"/>
  <c r="U2" i="54" a="1"/>
  <c r="U2" i="54"/>
  <c r="V2" i="54" a="1"/>
  <c r="V2" i="54"/>
  <c r="W2" i="54" a="1"/>
  <c r="W2" i="54"/>
  <c r="X2" i="54" a="1"/>
  <c r="X2" i="54"/>
  <c r="Y2" i="54" a="1"/>
  <c r="Y2" i="54" s="1"/>
  <c r="Z2" i="54" a="1"/>
  <c r="Z2" i="54" s="1"/>
  <c r="AA2" i="54" a="1"/>
  <c r="AA2" i="54"/>
  <c r="B15" i="52" a="1"/>
  <c r="B15" i="52" s="1"/>
  <c r="C15" i="52" a="1"/>
  <c r="C15" i="52" s="1"/>
  <c r="D15" i="52" a="1"/>
  <c r="D15" i="52" s="1"/>
  <c r="E15" i="52" a="1"/>
  <c r="E15" i="52" s="1"/>
  <c r="F15" i="52" a="1"/>
  <c r="F15" i="52" s="1"/>
  <c r="G15" i="52" a="1"/>
  <c r="G15" i="52" s="1"/>
  <c r="H15" i="52" a="1"/>
  <c r="H15" i="52" s="1"/>
  <c r="I15" i="52" a="1"/>
  <c r="I15" i="52"/>
  <c r="J15" i="52" a="1"/>
  <c r="J15" i="52"/>
  <c r="K15" i="52" a="1"/>
  <c r="K15" i="52"/>
  <c r="L15" i="52" a="1"/>
  <c r="L15" i="52"/>
  <c r="M15" i="52" a="1"/>
  <c r="M15" i="52" s="1"/>
  <c r="N15" i="52" a="1"/>
  <c r="N15" i="52" s="1"/>
  <c r="O15" i="52" a="1"/>
  <c r="O15" i="52" s="1"/>
  <c r="P15" i="52" a="1"/>
  <c r="P15" i="52" s="1"/>
  <c r="Q15" i="52" a="1"/>
  <c r="Q15" i="52" s="1"/>
  <c r="R15" i="52" a="1"/>
  <c r="R15" i="52" s="1"/>
  <c r="S15" i="52" a="1"/>
  <c r="S15" i="52" s="1"/>
  <c r="T15" i="52" a="1"/>
  <c r="T15" i="52"/>
  <c r="U15" i="52" a="1"/>
  <c r="U15" i="52"/>
  <c r="V15" i="52" a="1"/>
  <c r="V15" i="52"/>
  <c r="W15" i="52" a="1"/>
  <c r="W15" i="52"/>
  <c r="X15" i="52" a="1"/>
  <c r="X15" i="52" s="1"/>
  <c r="Y15" i="52" a="1"/>
  <c r="Y15" i="52" s="1"/>
  <c r="Z15" i="52" a="1"/>
  <c r="Z15" i="52" s="1"/>
  <c r="AA15" i="52" a="1"/>
  <c r="AA15" i="52" s="1"/>
  <c r="B9" i="52" a="1"/>
  <c r="B9" i="52" s="1"/>
  <c r="C9" i="52" a="1"/>
  <c r="C9" i="52"/>
  <c r="D9" i="52" a="1"/>
  <c r="D9" i="52" s="1"/>
  <c r="E9" i="52" a="1"/>
  <c r="E9" i="52"/>
  <c r="F9" i="52" a="1"/>
  <c r="F9" i="52" s="1"/>
  <c r="G9" i="52" a="1"/>
  <c r="G9" i="52"/>
  <c r="H9" i="52" a="1"/>
  <c r="H9" i="52"/>
  <c r="I9" i="52" a="1"/>
  <c r="I9" i="52"/>
  <c r="J9" i="52" a="1"/>
  <c r="J9" i="52"/>
  <c r="K9" i="52" a="1"/>
  <c r="K9" i="52"/>
  <c r="L9" i="52" a="1"/>
  <c r="L9" i="52"/>
  <c r="M9" i="52" a="1"/>
  <c r="M9" i="52" s="1"/>
  <c r="N9" i="52" a="1"/>
  <c r="N9" i="52"/>
  <c r="O9" i="52" a="1"/>
  <c r="O9" i="52" s="1"/>
  <c r="P9" i="52" a="1"/>
  <c r="P9" i="52"/>
  <c r="Q9" i="52" a="1"/>
  <c r="Q9" i="52" s="1"/>
  <c r="R9" i="52" a="1"/>
  <c r="R9" i="52"/>
  <c r="S9" i="52" a="1"/>
  <c r="S9" i="52"/>
  <c r="T9" i="52" a="1"/>
  <c r="T9" i="52"/>
  <c r="U9" i="52" a="1"/>
  <c r="U9" i="52"/>
  <c r="V9" i="52" a="1"/>
  <c r="V9" i="52"/>
  <c r="W9" i="52" a="1"/>
  <c r="W9" i="52"/>
  <c r="X9" i="52" a="1"/>
  <c r="X9" i="52" s="1"/>
  <c r="Y9" i="52" a="1"/>
  <c r="Y9" i="52"/>
  <c r="Z9" i="52" a="1"/>
  <c r="Z9" i="52" s="1"/>
  <c r="AA9" i="52" a="1"/>
  <c r="AA9" i="52"/>
  <c r="B8" i="52" a="1"/>
  <c r="B8" i="52" s="1"/>
  <c r="C8" i="52" a="1"/>
  <c r="C8" i="52" s="1"/>
  <c r="D8" i="52" a="1"/>
  <c r="D8" i="52"/>
  <c r="E8" i="52" a="1"/>
  <c r="E8" i="52" s="1"/>
  <c r="F8" i="52" a="1"/>
  <c r="F8" i="52"/>
  <c r="G8" i="52" a="1"/>
  <c r="G8" i="52"/>
  <c r="H8" i="52" a="1"/>
  <c r="H8" i="52"/>
  <c r="I8" i="52" a="1"/>
  <c r="I8" i="52"/>
  <c r="J8" i="52" a="1"/>
  <c r="J8" i="52"/>
  <c r="K8" i="52" a="1"/>
  <c r="K8" i="52"/>
  <c r="L8" i="52" a="1"/>
  <c r="L8" i="52" s="1"/>
  <c r="M8" i="52" a="1"/>
  <c r="M8" i="52" s="1"/>
  <c r="N8" i="52" a="1"/>
  <c r="N8" i="52" s="1"/>
  <c r="O8" i="52" a="1"/>
  <c r="O8" i="52"/>
  <c r="P8" i="52" a="1"/>
  <c r="P8" i="52" s="1"/>
  <c r="Q8" i="52" a="1"/>
  <c r="Q8" i="52"/>
  <c r="R8" i="52" a="1"/>
  <c r="R8" i="52"/>
  <c r="S8" i="52" a="1"/>
  <c r="S8" i="52"/>
  <c r="T8" i="52" a="1"/>
  <c r="T8" i="52"/>
  <c r="U8" i="52" a="1"/>
  <c r="U8" i="52"/>
  <c r="V8" i="52" a="1"/>
  <c r="V8" i="52"/>
  <c r="W8" i="52" a="1"/>
  <c r="W8" i="52" s="1"/>
  <c r="X8" i="52" a="1"/>
  <c r="X8" i="52" s="1"/>
  <c r="Y8" i="52" a="1"/>
  <c r="Y8" i="52" s="1"/>
  <c r="Z8" i="52" a="1"/>
  <c r="Z8" i="52"/>
  <c r="AA8" i="52" a="1"/>
  <c r="AA8" i="52" s="1"/>
  <c r="B7" i="52" a="1"/>
  <c r="B7" i="52" s="1"/>
  <c r="C7" i="52" a="1"/>
  <c r="C7" i="52" s="1"/>
  <c r="D7" i="52" a="1"/>
  <c r="D7" i="52"/>
  <c r="E7" i="52" a="1"/>
  <c r="E7" i="52"/>
  <c r="F7" i="52" a="1"/>
  <c r="F7" i="52" s="1"/>
  <c r="G7" i="52" a="1"/>
  <c r="G7" i="52" s="1"/>
  <c r="H7" i="52" a="1"/>
  <c r="H7" i="52"/>
  <c r="I7" i="52" a="1"/>
  <c r="I7" i="52"/>
  <c r="J7" i="52" a="1"/>
  <c r="J7" i="52" s="1"/>
  <c r="K7" i="52" a="1"/>
  <c r="K7" i="52"/>
  <c r="L7" i="52" a="1"/>
  <c r="L7" i="52"/>
  <c r="M7" i="52" a="1"/>
  <c r="M7" i="52" s="1"/>
  <c r="N7" i="52" a="1"/>
  <c r="N7" i="52" s="1"/>
  <c r="O7" i="52" a="1"/>
  <c r="O7" i="52"/>
  <c r="P7" i="52" a="1"/>
  <c r="P7" i="52"/>
  <c r="Q7" i="52" a="1"/>
  <c r="Q7" i="52" s="1"/>
  <c r="R7" i="52" a="1"/>
  <c r="R7" i="52" s="1"/>
  <c r="S7" i="52" a="1"/>
  <c r="S7" i="52"/>
  <c r="T7" i="52" a="1"/>
  <c r="T7" i="52"/>
  <c r="U7" i="52" a="1"/>
  <c r="U7" i="52" s="1"/>
  <c r="V7" i="52" a="1"/>
  <c r="V7" i="52"/>
  <c r="W7" i="52" a="1"/>
  <c r="W7" i="52"/>
  <c r="X7" i="52" a="1"/>
  <c r="X7" i="52" s="1"/>
  <c r="Y7" i="52" a="1"/>
  <c r="Y7" i="52" s="1"/>
  <c r="Z7" i="52" a="1"/>
  <c r="Z7" i="52"/>
  <c r="AA7" i="52" a="1"/>
  <c r="AA7" i="52"/>
  <c r="B29" i="64"/>
  <c r="B24" i="70"/>
  <c r="C24" i="70"/>
  <c r="D24" i="70"/>
  <c r="E24" i="70"/>
  <c r="F24" i="70"/>
  <c r="G24" i="70"/>
  <c r="H24" i="70"/>
  <c r="I24" i="70"/>
  <c r="J24" i="70"/>
  <c r="B23" i="70"/>
  <c r="C23" i="70"/>
  <c r="D23" i="70"/>
  <c r="E23" i="70"/>
  <c r="F23" i="70"/>
  <c r="G23" i="70"/>
  <c r="H23" i="70"/>
  <c r="I23" i="70"/>
  <c r="J23" i="70"/>
  <c r="B22" i="70"/>
  <c r="C22" i="70"/>
  <c r="D22" i="70"/>
  <c r="E22" i="70"/>
  <c r="F22" i="70"/>
  <c r="G22" i="70"/>
  <c r="H22" i="70"/>
  <c r="I22" i="70"/>
  <c r="J22" i="70"/>
  <c r="B21" i="70"/>
  <c r="C21" i="70"/>
  <c r="D21" i="70"/>
  <c r="E21" i="70"/>
  <c r="F21" i="70"/>
  <c r="G21" i="70"/>
  <c r="H21" i="70"/>
  <c r="I21" i="70"/>
  <c r="J21" i="70"/>
  <c r="B23" i="69"/>
  <c r="C23" i="69"/>
  <c r="D23" i="69"/>
  <c r="E23" i="69"/>
  <c r="F23" i="69"/>
  <c r="G23" i="69"/>
  <c r="H23" i="69"/>
  <c r="I23" i="69"/>
  <c r="J23" i="69"/>
  <c r="B18" i="69"/>
  <c r="B37" i="68"/>
  <c r="C37" i="68"/>
  <c r="D37" i="68"/>
  <c r="E37" i="68"/>
  <c r="F37" i="68"/>
  <c r="G37" i="68"/>
  <c r="H37" i="68"/>
  <c r="I37" i="68"/>
  <c r="J37" i="68"/>
  <c r="B36" i="68"/>
  <c r="C36" i="68"/>
  <c r="D36" i="68"/>
  <c r="E36" i="68"/>
  <c r="F36" i="68"/>
  <c r="G36" i="68"/>
  <c r="H36" i="68"/>
  <c r="I36" i="68"/>
  <c r="J36" i="68"/>
  <c r="B35" i="68"/>
  <c r="C35" i="68"/>
  <c r="D35" i="68"/>
  <c r="E35" i="68"/>
  <c r="F35" i="68"/>
  <c r="G35" i="68"/>
  <c r="H35" i="68"/>
  <c r="I35" i="68"/>
  <c r="J35" i="68"/>
  <c r="B33" i="68"/>
  <c r="C33" i="68"/>
  <c r="D33" i="68"/>
  <c r="E33" i="68"/>
  <c r="F33" i="68"/>
  <c r="G33" i="68"/>
  <c r="H33" i="68"/>
  <c r="I33" i="68"/>
  <c r="J33" i="68"/>
  <c r="B32" i="68"/>
  <c r="C32" i="68"/>
  <c r="D32" i="68"/>
  <c r="E32" i="68"/>
  <c r="F32" i="68"/>
  <c r="G32" i="68"/>
  <c r="H32" i="68"/>
  <c r="I32" i="68"/>
  <c r="J32" i="68"/>
  <c r="B31" i="68" a="1"/>
  <c r="B31" i="68" s="1"/>
  <c r="C31" i="68" a="1"/>
  <c r="C31" i="68" s="1"/>
  <c r="D31" i="68" a="1"/>
  <c r="D31" i="68" s="1"/>
  <c r="E31" i="68" a="1"/>
  <c r="E31" i="68" s="1"/>
  <c r="F31" i="68" a="1"/>
  <c r="F31" i="68" s="1"/>
  <c r="G31" i="68" a="1"/>
  <c r="G31" i="68"/>
  <c r="H31" i="68" a="1"/>
  <c r="H31" i="68"/>
  <c r="I31" i="68" a="1"/>
  <c r="I31" i="68"/>
  <c r="J31" i="68" a="1"/>
  <c r="J31" i="68"/>
  <c r="B30" i="68" a="1"/>
  <c r="B30" i="68"/>
  <c r="C30" i="68" a="1"/>
  <c r="C30" i="68" s="1"/>
  <c r="D30" i="68" a="1"/>
  <c r="D30" i="68" s="1"/>
  <c r="E30" i="68" a="1"/>
  <c r="E30" i="68" s="1"/>
  <c r="F30" i="68" a="1"/>
  <c r="F30" i="68" s="1"/>
  <c r="G30" i="68" a="1"/>
  <c r="G30" i="68"/>
  <c r="H30" i="68" a="1"/>
  <c r="H30" i="68" s="1"/>
  <c r="I30" i="68" a="1"/>
  <c r="I30" i="68"/>
  <c r="J30" i="68" a="1"/>
  <c r="J30" i="68"/>
  <c r="B25" i="68"/>
  <c r="B18" i="68"/>
  <c r="B20" i="67" a="1"/>
  <c r="B20" i="67"/>
  <c r="C20" i="67" a="1"/>
  <c r="C20" i="67"/>
  <c r="D20" i="67" a="1"/>
  <c r="D20" i="67"/>
  <c r="E20" i="67" a="1"/>
  <c r="E20" i="67"/>
  <c r="F20" i="67" a="1"/>
  <c r="F20" i="67"/>
  <c r="G20" i="67" a="1"/>
  <c r="G20" i="67"/>
  <c r="H20" i="67" a="1"/>
  <c r="H20" i="67"/>
  <c r="I20" i="67" a="1"/>
  <c r="I20" i="67"/>
  <c r="J20" i="67" a="1"/>
  <c r="J20" i="67"/>
  <c r="B15" i="67"/>
  <c r="B21" i="66" a="1"/>
  <c r="B21" i="66" s="1"/>
  <c r="C21" i="66" a="1"/>
  <c r="C21" i="66" s="1"/>
  <c r="D21" i="66" a="1"/>
  <c r="D21" i="66" s="1"/>
  <c r="E21" i="66" a="1"/>
  <c r="E21" i="66" s="1"/>
  <c r="F21" i="66" a="1"/>
  <c r="F21" i="66"/>
  <c r="G21" i="66" a="1"/>
  <c r="G21" i="66"/>
  <c r="H21" i="66" a="1"/>
  <c r="H21" i="66"/>
  <c r="I21" i="66" a="1"/>
  <c r="I21" i="66"/>
  <c r="J21" i="66" a="1"/>
  <c r="J21" i="66"/>
  <c r="B16" i="66"/>
  <c r="B22" i="65" a="1"/>
  <c r="B22" i="65" s="1"/>
  <c r="C22" i="65" a="1"/>
  <c r="C22" i="65" s="1"/>
  <c r="D22" i="65" a="1"/>
  <c r="D22" i="65" s="1"/>
  <c r="E22" i="65" a="1"/>
  <c r="E22" i="65" s="1"/>
  <c r="F22" i="65" a="1"/>
  <c r="F22" i="65" s="1"/>
  <c r="G22" i="65" a="1"/>
  <c r="G22" i="65" s="1"/>
  <c r="H22" i="65" a="1"/>
  <c r="H22" i="65" s="1"/>
  <c r="I22" i="65" a="1"/>
  <c r="I22" i="65" s="1"/>
  <c r="J22" i="65" a="1"/>
  <c r="J22" i="65" s="1"/>
  <c r="B17" i="65"/>
  <c r="B31" i="64"/>
  <c r="C31" i="64"/>
  <c r="D31" i="64"/>
  <c r="E31" i="64"/>
  <c r="F31" i="64"/>
  <c r="G31" i="64"/>
  <c r="H31" i="64"/>
  <c r="I31" i="64"/>
  <c r="J31" i="64"/>
  <c r="J30" i="64"/>
  <c r="I30" i="64"/>
  <c r="H30" i="64"/>
  <c r="G30" i="64"/>
  <c r="F30" i="64"/>
  <c r="E30" i="64"/>
  <c r="D30" i="64"/>
  <c r="C30" i="64"/>
  <c r="B30" i="64"/>
  <c r="J29" i="64"/>
  <c r="I29" i="64"/>
  <c r="H29" i="64"/>
  <c r="G29" i="64"/>
  <c r="F29" i="64"/>
  <c r="E29" i="64"/>
  <c r="D29" i="64"/>
  <c r="C29" i="64"/>
  <c r="J28" i="64"/>
  <c r="I28" i="64"/>
  <c r="H28" i="64"/>
  <c r="G28" i="64"/>
  <c r="F28" i="64"/>
  <c r="E28" i="64"/>
  <c r="D28" i="64"/>
  <c r="C28" i="64"/>
  <c r="B28" i="64"/>
  <c r="B21" i="6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<sst xmlns="http://schemas.openxmlformats.org/spreadsheetml/2006/main" count="504" uniqueCount="384">
  <si>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</si>
  <si>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</si>
  <si>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</si>
  <si>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</si>
  <si>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</si>
  <si>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</si>
  <si>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</si>
  <si>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</si>
  <si>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hard coal</t>
  </si>
  <si>
    <t>offshore wind</t>
  </si>
  <si>
    <t>onshore wind</t>
  </si>
  <si>
    <t>lignite</t>
  </si>
  <si>
    <t>crude oil</t>
  </si>
  <si>
    <t>heavy or residual fuel oil</t>
  </si>
  <si>
    <t>municipal solid waste</t>
  </si>
  <si>
    <t>Tower</t>
  </si>
  <si>
    <t>natural gas steam turbine</t>
  </si>
  <si>
    <t>natural gas combined cycle</t>
  </si>
  <si>
    <t>ACP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</si>
  <si>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</si>
  <si>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</si>
  <si>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</si>
  <si>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</si>
  <si>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</si>
  <si>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</si>
  <si>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</si>
  <si>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</si>
  <si>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</si>
  <si>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</si>
  <si>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</si>
  <si>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</si>
  <si>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</si>
  <si>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</si>
  <si>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BAU Tariff Cost Multipliers</t>
  </si>
  <si>
    <t>Variables in this workbook (BTCM = BAU Tariff Cost Multiplier):</t>
  </si>
  <si>
    <t>BTCM-EC</t>
  </si>
  <si>
    <t>Electricity Capacity — tariff cost multiplier by Electricity Source (Pattern A)</t>
  </si>
  <si>
    <t>BTCM-GB</t>
  </si>
  <si>
    <t>Grid Battery storage (standalone + hybrid) — scalar (Pattern B)</t>
  </si>
  <si>
    <t>BTCM-EVB-LDVs-psgr</t>
  </si>
  <si>
    <t>EV Battery — LDVs passenger, by Vehicle Technology (Pattern A)</t>
  </si>
  <si>
    <t>BTCM-EVB-LDVs-frgt</t>
  </si>
  <si>
    <t>EV Battery — LDVs freight, by Vehicle Technology (Pattern A)</t>
  </si>
  <si>
    <t>BTCM-EVB-HDVs-psgr</t>
  </si>
  <si>
    <t>EV Battery — HDVs passenger, by Vehicle Technology (Pattern A)</t>
  </si>
  <si>
    <t>BTCM-EVB-HDVs-frgt</t>
  </si>
  <si>
    <t>EV Battery — HDVs freight, by Vehicle Technology (Pattern A)</t>
  </si>
  <si>
    <t>BTCM-VNB-LDVs-psgr</t>
  </si>
  <si>
    <t>Vehicle Non-Battery — LDVs passenger, by Vehicle Technology (Pattern A)</t>
  </si>
  <si>
    <t>BTCM-VNB-LDVs-frgt</t>
  </si>
  <si>
    <t>Vehicle Non-Battery — LDVs freight, by Vehicle Technology (Pattern A)</t>
  </si>
  <si>
    <t>BTCM-VNB-HDVs-psgr</t>
  </si>
  <si>
    <t>Vehicle Non-Battery — HDVs passenger, by Vehicle Technology (Pattern A)</t>
  </si>
  <si>
    <t>BTCM-VNB-HDVs-frgt</t>
  </si>
  <si>
    <t>Vehicle Non-Battery — HDVs freight, by Vehicle Technology (Pattern A)</t>
  </si>
  <si>
    <t>BTCM-T</t>
  </si>
  <si>
    <t>Transmission — scalar (Pattern B)</t>
  </si>
  <si>
    <t>BTCM-D</t>
  </si>
  <si>
    <t>Distribution — scalar (Pattern B)</t>
  </si>
  <si>
    <t>Units and conventions</t>
  </si>
  <si>
    <t>All values are dimensionless multipliers expressed as fractional cost increase.</t>
  </si>
  <si>
    <t>Example: 0.13 = a +13% cost increase. Unit: Dmnl.</t>
  </si>
  <si>
    <t>Year horizon: 2025–2050 (26 columns). Trailing comma is preserved on CSV export per EPS convention.</t>
  </si>
  <si>
    <t>Subscripted files (Pattern A): row 1 = Unit string + years 2025–2050. Data rows = subscript element + 26 values.</t>
  </si>
  <si>
    <t>Scalar files (Pattern B): col A = Year (2025–2050), col B = Tariff Multiplier, 5 trailing comma columns.</t>
  </si>
  <si>
    <t>Subscript element names must match Vensim source exactly — case and spaces preserved.</t>
  </si>
  <si>
    <t>Methodology</t>
  </si>
  <si>
    <t>Each output tab has key-year anchor values (per the build plan) and linearly interpolated annual values.</t>
  </si>
  <si>
    <t>Output tabs hold the interpolated annual values laid out as Vensim will read them.</t>
  </si>
  <si>
    <t>Calculations tab is embedded inline above each Output block (key-year anchors with linear interpolation formulas).</t>
  </si>
  <si>
    <t>Linear interpolation formula: between two anchor years y1 (v1) and y2 (v2), value at year y = v1 + (y - y1) * (v2 - v1) / (y2 - y1).</t>
  </si>
  <si>
    <t>Caveats</t>
  </si>
  <si>
    <t>Starting calibration for Energy Innovation staff review — not finalized institutional positions.</t>
  </si>
  <si>
    <t>Tariff rates have been volatile through 2025–2026; verify against current USTR notices and CBP guidance before use.</t>
  </si>
  <si>
    <t>Decline trajectory after 2030 assumes partial offset from IRA 45X manufacturing credits and domestic scale-up.</t>
  </si>
  <si>
    <t>Out of scope for v1: retaliation against US energy exports, country-specific energy import tariffs, learning-curve interactions.</t>
  </si>
  <si>
    <t>Sources by technology</t>
  </si>
  <si>
    <t>Solar PV (utility + distributed)</t>
  </si>
  <si>
    <t>Wood Mackenzie</t>
  </si>
  <si>
    <t>Tariffs to increase costs and slow down development for US power industry</t>
  </si>
  <si>
    <t>https://www.woodmac.com/press-releases/tariffs-to-increase-costs-and-slow-down-development-for-us-power-industry/</t>
  </si>
  <si>
    <t>FTI Consulting</t>
  </si>
  <si>
    <t>Solar Shock: How New Tariffs Could Reshape US Utility-Scale Deployment</t>
  </si>
  <si>
    <t>https://www.fticonsulting.com/insights/articles/solar-shock-how-new-tariffs-could-reshape-us-utility-scale-deployment</t>
  </si>
  <si>
    <t>SEIA / Wood Mackenzie</t>
  </si>
  <si>
    <t>US Solar Market Insight (quarterly)</t>
  </si>
  <si>
    <t>CSIS</t>
  </si>
  <si>
    <t>The Impacts of Tariffs on Clean Energy Technologies</t>
  </si>
  <si>
    <t>https://www.csis.org/analysis/impacts-tariffs-clean-energy-technologies</t>
  </si>
  <si>
    <t>Aurora Solar</t>
  </si>
  <si>
    <t>How the latest tariffs could impact solar energy in 2025</t>
  </si>
  <si>
    <t>https://aurorasolar.com/home-solar/blog/solar-101/solar-tariffs</t>
  </si>
  <si>
    <t>Solar.com</t>
  </si>
  <si>
    <t>Residential cost-stack analysis</t>
  </si>
  <si>
    <t>https://www.solar.com/learn/how-tariffs-might-impact-solar/</t>
  </si>
  <si>
    <t>White &amp; Case LLP</t>
  </si>
  <si>
    <t>Trump administration initiates Section 232 investigations on polysilicon (Jul 2025)</t>
  </si>
  <si>
    <t>https://www.whitecase.com/insight-alert/trump-administration-initiates-section-232-investigations-polysilicon-and-unmanned</t>
  </si>
  <si>
    <t>Onshore / offshore wind</t>
  </si>
  <si>
    <t>American Action Forum</t>
  </si>
  <si>
    <t>President Trump Gears Up to Levy Tariffs on Wind Turbine Imports</t>
  </si>
  <si>
    <t>https://www.americanactionforum.org/insight/president-trump-gears-up-to-levy-tariffs-on-wind-turbine-imports/</t>
  </si>
  <si>
    <t>PwC</t>
  </si>
  <si>
    <t>Steel and aluminum goods under Section 232 tariff coverage expanded</t>
  </si>
  <si>
    <t>https://www.pwc.com/us/en/services/tax/library/pwc-steel-and-aluminum-goods-subject-to-section-232-tariffs-expanded.html</t>
  </si>
  <si>
    <t>US Tariff Rates</t>
  </si>
  <si>
    <t>Section 232 Tariffs: Steel &amp; Aluminum 25-50%</t>
  </si>
  <si>
    <t>https://ustariffrates.com/section-232-tariffs</t>
  </si>
  <si>
    <t>APPA</t>
  </si>
  <si>
    <t>New Report Sees Increase in Cost of Power Generation Technologies Due to Tariff Policies</t>
  </si>
  <si>
    <t>https://www.publicpower.org/periodical/article/new-report-sees-increase-cost-power-generation-technologies-due-tariff-policies</t>
  </si>
  <si>
    <t>American Clean Power Association annual supply chain reports</t>
  </si>
  <si>
    <t>Grid + hybrid battery storage</t>
  </si>
  <si>
    <t>Tariffs press release (storage 12-50% range noted)</t>
  </si>
  <si>
    <t>Benchmark Mineral Intelligence</t>
  </si>
  <si>
    <t>What impact could tariffs have on battery energy storage system prices in the US?</t>
  </si>
  <si>
    <t>https://source.benchmarkminerals.com/article/in-charts-what-impact-could-tariffs-have-on-battery-energy-storage-system-prices-in-the-us</t>
  </si>
  <si>
    <t>The trade war begins… what does it mean for EVs, batteries and critical minerals?</t>
  </si>
  <si>
    <t>https://source.benchmarkminerals.com/article/the-trade-war-begins-what-does-it-mean-evs-batteries-and-critical-minerals</t>
  </si>
  <si>
    <t>BloombergNEF</t>
  </si>
  <si>
    <t>Lithium-Ion Battery Price Survey (annual, December release)</t>
  </si>
  <si>
    <t>Energy Storage News</t>
  </si>
  <si>
    <t>What Trump's tariffs mean for US battery storage industry</t>
  </si>
  <si>
    <t>https://www.ess-news.com/2025/04/08/what-trumps-tariffs-mean-for-us-battery-storage-industry/</t>
  </si>
  <si>
    <t>Utility Dive</t>
  </si>
  <si>
    <t>US battery market faces possible 'significant tariff impacts': Clean Energy Associates</t>
  </si>
  <si>
    <t>https://www.utilitydive.com/news/us-battery-storage-lfp-nmc-market-possible-significant-tariff-impacts-clean-energy/737317/</t>
  </si>
  <si>
    <t>EV batteries</t>
  </si>
  <si>
    <t>MIT Technology Review</t>
  </si>
  <si>
    <t>Tariffs are bad news for batteries (~$95/kWh under tariffs vs continuing decline baseline)</t>
  </si>
  <si>
    <t>https://www.technologyreview.com/2025/04/09/1114736/tariffs-batteries/</t>
  </si>
  <si>
    <t>Ufine Battery</t>
  </si>
  <si>
    <t>Comprehensive Analysis of U.S. Tariffs on Chinese Lithium Batteries</t>
  </si>
  <si>
    <t>https://www.ufinebattery.com/blog/comprehensive-analysis-of-u-s-tariffs-on-chinese-lithium-batteries/</t>
  </si>
  <si>
    <t>S&amp;P Global Mobility</t>
  </si>
  <si>
    <t>EV battery supply chain: the cost of a beautiful bill (Nov 2025)</t>
  </si>
  <si>
    <t>https://www.spglobal.com/automotive-insights/en/blogs/2025/11/ev-battery-supply-chain-under-pressure</t>
  </si>
  <si>
    <t>MANLY Battery</t>
  </si>
  <si>
    <t>Battery Tariffs 2025: Impact on U.S. Energy and Trade</t>
  </si>
  <si>
    <t>https://manlybattery.com/battery-tariffs/</t>
  </si>
  <si>
    <t>Kleinman Center for Energy Policy</t>
  </si>
  <si>
    <t>Battling for Batteries: Li-ion Policy and Supply Chain Dynamics in the U.S. and China</t>
  </si>
  <si>
    <t>https://kleinmanenergy.upenn.edu/research/publications/battling-for-batteries-li-ion-policy-and-supply-chain-dynamics-in-the-u-s-and-china/</t>
  </si>
  <si>
    <t>EV non-battery vehicle cost (Section 232 autos)</t>
  </si>
  <si>
    <t>US CBP</t>
  </si>
  <si>
    <t>Section 232 Tariffs on Steel and Aluminum FAQs</t>
  </si>
  <si>
    <t>https://www.cbp.gov/trade/programs-administration/entry-summary/232-tariffs-aluminum-and-steel-faqs</t>
  </si>
  <si>
    <t>Council on Foreign Relations</t>
  </si>
  <si>
    <t>A Guide to Trump's Section 232 Tariffs, in Maps</t>
  </si>
  <si>
    <t>https://www.cfr.org/articles/guide-trumps-section-232-tariffs-nine-maps</t>
  </si>
  <si>
    <t>ICCT</t>
  </si>
  <si>
    <t>HDV cost analysis / EV total cost of ownership (search ICCT)</t>
  </si>
  <si>
    <t>Cox Automotive / KBB</t>
  </si>
  <si>
    <t>US auto import share by segment 2024</t>
  </si>
  <si>
    <t>Transmission + distribution (transformers + grid equipment)</t>
  </si>
  <si>
    <t>tEDmag</t>
  </si>
  <si>
    <t>Trump Administration Increases Tariffs on Certain Transformers</t>
  </si>
  <si>
    <t>https://tedmag.com/trump-administration-increases-tariffs-on-certain-transformers/</t>
  </si>
  <si>
    <t>CTP, Inc.</t>
  </si>
  <si>
    <t>U.S. Overhauls Section 232 Tariffs for Steel, Aluminum, and Copper Products</t>
  </si>
  <si>
    <t>https://info.ctp-inc.com/articles/u-s-overhauls-section-232-tariffs-for-steel-aluminum-and-copper-products</t>
  </si>
  <si>
    <t>GHY</t>
  </si>
  <si>
    <t>U.S. Adjusts Section 232 Tariffs on Aluminum, Steel and Copper (April 2026 full customs value rule)</t>
  </si>
  <si>
    <t>https://www.ghy.com/trade-compliance/us-adjusts-section-232-tariffs-on-aluminum-steel-and-copper-full-customs-value-now-applies/</t>
  </si>
  <si>
    <t>Cross-cutting context / sanity checks</t>
  </si>
  <si>
    <t>Rhodium Group</t>
  </si>
  <si>
    <t>Taking Stock 2025: US Energy and Emissions Outlook</t>
  </si>
  <si>
    <t>https://rhg.com/research/taking-stock-2025/</t>
  </si>
  <si>
    <t>Clean Investment Monitor Q2 2025 Update</t>
  </si>
  <si>
    <t>https://rhg.com/research/clean-investment-monitor-q2-2025-update/</t>
  </si>
  <si>
    <t>Clean Investment Monitor: US Clean Energy Supply Chains 2025</t>
  </si>
  <si>
    <t>https://rhg.com/research/clean-investment-monitor-us-clean-energy-supply-chains/</t>
  </si>
  <si>
    <t>Suaid Global</t>
  </si>
  <si>
    <t>US Tariffs 2026 Guide</t>
  </si>
  <si>
    <t>https://suaidglobal.com/insights/us-tariffs-2026-guide/</t>
  </si>
  <si>
    <t>Gateway Lines</t>
  </si>
  <si>
    <t>Complete Guide to Section 301 China Tariffs in 2026</t>
  </si>
  <si>
    <t>https://gatewaylines.com/press-releases/complete-guide-to-section-301-china-tariffs-in-2026</t>
  </si>
  <si>
    <t>Novogradac</t>
  </si>
  <si>
    <t>Balancing Tariffs and Incentives: How Clean Energy Tax Credits Sustain US Solar and Clean Energy in a Trade-Heavy Market</t>
  </si>
  <si>
    <t>https://www.novoco.com/notes-from-novogradac/balancing-tariffs-and-incentives-how-clean-energy-tax-credits-sustain-us-solar-and-clean-energy-in-a-trade-heavy-market</t>
  </si>
  <si>
    <t>Unit: Dmnl</t>
  </si>
  <si>
    <t>Tariff Multiplier</t>
  </si>
  <si>
    <t>BTCM-Calc-Solar-PV — Bottom-up calculation of solar PV tariff cost multiplier</t>
  </si>
  <si>
    <t>Multiplier = tariff_rate × import_share × cost_component_share × pass_through, summed across cost components.</t>
  </si>
  <si>
    <t>1. TARIFF RATE INPUTS (effective ad valorem rate on imported good)</t>
  </si>
  <si>
    <t>Tariff lever</t>
  </si>
  <si>
    <t>2027 onward</t>
  </si>
  <si>
    <t>Source / Note</t>
  </si>
  <si>
    <t>Section 201 safeguard (modules/cells, most countries)</t>
  </si>
  <si>
    <t>USTR: 14.25% Feb24-Feb25, 14% Feb25-Feb26, expires Feb 7, 2026 (sched.)</t>
  </si>
  <si>
    <t>Section 301 modules/cells (China-origin)</t>
  </si>
  <si>
    <t>USTR Sept 2024 review: raised from 25% to 50% effective Sept 27, 2024</t>
  </si>
  <si>
    <t>Section 301 polysilicon/wafers (China-origin)</t>
  </si>
  <si>
    <t>USTR: 50% effective Jan 1, 2025</t>
  </si>
  <si>
    <t>AD/CVD on SE Asia modules (Cambodia/Malaysia/Thailand/Vietnam, weighted avg)</t>
  </si>
  <si>
    <t>Commerce April 2025 final: rates up to 271% for Vietnam; weighted by trade flow ~30-40%</t>
  </si>
  <si>
    <t>Section 232 steel/aluminum derivatives (applies to structural+electrical BOS)</t>
  </si>
  <si>
    <t>S232 25% in Feb 2025, doubled to 50% in June 2025</t>
  </si>
  <si>
    <t>Reciprocal 'energy resource' tariff (China-origin)</t>
  </si>
  <si>
    <t>Feb 2025 executive order: +10% on Chinese polysilicon/wafers/cells</t>
  </si>
  <si>
    <t>2. SYSTEM COST STRUCTURE &amp; IMPORT SHARES (utility-scale solar PV)</t>
  </si>
  <si>
    <t>Cost component</t>
  </si>
  <si>
    <t>% of system CAPEX</t>
  </si>
  <si>
    <t>Import share (China-origin)</t>
  </si>
  <si>
    <t>Import share (SE Asia)</t>
  </si>
  <si>
    <t>Pass-through</t>
  </si>
  <si>
    <t>Modules (cells+assembly)</t>
  </si>
  <si>
    <t>NREL Q1 2024 benchmark, Wood Mac SEIA Q4 2024; ~50-60 GW US assembly capacity by 2025 but production well below demand</t>
  </si>
  <si>
    <t>Polysilicon / wafers</t>
  </si>
  <si>
    <t>China 98% of ingot/wafer &amp; 92% of polysilicon capacity end-2023 (IEA-PVPS/SolarPower Europe via PV-Tech)</t>
  </si>
  <si>
    <t>Inverters / electrical BOS</t>
  </si>
  <si>
    <t>Domestic+SE Asia mix; steel/aluminum/copper content exposes to S232</t>
  </si>
  <si>
    <t>Structural BOS (racking/trackers)</t>
  </si>
  <si>
    <t>Steel-intensive; 100% pass-through of S232 steel tariff via cost-plus pricing</t>
  </si>
  <si>
    <t>EPC labor / overhead / margin</t>
  </si>
  <si>
    <t>Domestic labor; no direct tariff exposure</t>
  </si>
  <si>
    <t>Land / development / interconnection</t>
  </si>
  <si>
    <t>Domestic; no tariff exposure</t>
  </si>
  <si>
    <t>Sum of cost shares (should = 100%):</t>
  </si>
  <si>
    <t>3. CALCULATED TARIFF MULTIPLIER (key years; output tab pulls from row 31)</t>
  </si>
  <si>
    <t>For each component: contribution = cost_share × pass_through × (China_imp_share × China_tariff_stack + SEAsia_imp_share × SEAsia_tariff_stack + non_China_imp_share × non_China_tariff_stack)</t>
  </si>
  <si>
    <t>Component contribution</t>
  </si>
  <si>
    <t>Tariff-exposure decline factor (vs 2026 peak)</t>
  </si>
  <si>
    <t xml:space="preserve">  China-origin module tariff stack (S201 + S301 + reciprocal)</t>
  </si>
  <si>
    <t xml:space="preserve">  SE Asia module tariff stack (S201 + AD/CVD)</t>
  </si>
  <si>
    <t xml:space="preserve">  Steel/aluminum derivative tariff (applies to structural BOS, all sources)</t>
  </si>
  <si>
    <t>TOTAL Solar PV Cost Multiplier (→ feeds BTCM-EC 'solar PV' row)</t>
  </si>
  <si>
    <t>BTCM-Calc-Solar-Thermal — Bottom-up calculation of solar thermal (CSP) tariff cost multiplier</t>
  </si>
  <si>
    <t>Multiplier = sum over components of (cost_share × import_share × tariff_stack × pass_through)</t>
  </si>
  <si>
    <t>1. TARIFF RATE INPUTS</t>
  </si>
  <si>
    <t>Source</t>
  </si>
  <si>
    <t>Section 232 steel/aluminum (50%)</t>
  </si>
  <si>
    <t>CFR: S232 doubled to 50% June 2025</t>
  </si>
  <si>
    <t>Section 232 copper derivatives</t>
  </si>
  <si>
    <t>Aug 2025 expansion to derivatives</t>
  </si>
  <si>
    <t>S301 China-origin electronics/controls</t>
  </si>
  <si>
    <t>USTR baseline rate</t>
  </si>
  <si>
    <t>2. CSP COST STRUCTURE (NREL ATB 2024 power tower)</t>
  </si>
  <si>
    <t>Component</t>
  </si>
  <si>
    <t>% of CAPEX</t>
  </si>
  <si>
    <t>Steel/al exposure</t>
  </si>
  <si>
    <t>S301 China exposure</t>
  </si>
  <si>
    <t>Solar field (heliostats, structural steel)</t>
  </si>
  <si>
    <t>NREL ATB 2024 CSP page; mostly domestic steel structure</t>
  </si>
  <si>
    <t>Receiver/tower (steel)</t>
  </si>
  <si>
    <t>Steel-intensive</t>
  </si>
  <si>
    <t>Thermal storage (molten salt tanks)</t>
  </si>
  <si>
    <t>Steel tanks; some specialty alloys</t>
  </si>
  <si>
    <t>Power block (turbine/generator)</t>
  </si>
  <si>
    <t>Mostly domestic mfg; minor copper exposure</t>
  </si>
  <si>
    <t>BOP, EPC, contingency</t>
  </si>
  <si>
    <t>Mostly labor/services</t>
  </si>
  <si>
    <t>Sum check</t>
  </si>
  <si>
    <t>3. CALCULATED MULTIPLIER (key years; output is row 22)</t>
  </si>
  <si>
    <t>Decline factor (IRA + domestic ramp)</t>
  </si>
  <si>
    <t>TOTAL Solar Thermal Multiplier (→ BTCM-EC 'solar thermal' row)</t>
  </si>
  <si>
    <t>BTCM-Calc-Wind-Onshore — Bottom-up calculation of onshore wind tariff cost multiplier</t>
  </si>
  <si>
    <t>Section 232 steel/aluminum (50%, applies to towers/blades/nacelles content)</t>
  </si>
  <si>
    <t>S232 doubled to 50% June 2025; Aug 2025 expansion to derivative goods incl wind turbines</t>
  </si>
  <si>
    <t>Reciprocal/MFN rate on imported turbine components (avg)</t>
  </si>
  <si>
    <t>Avg reciprocal rate; turbine OEMs Vestas/Siemens Gamesa/GE source globally</t>
  </si>
  <si>
    <t>2. ONSHORE WIND COST STRUCTURE (LBNL Land-Based Wind Market Report 2023)</t>
  </si>
  <si>
    <t>% of project CAPEX</t>
  </si>
  <si>
    <t>Steel/aluminum content</t>
  </si>
  <si>
    <t>Import share</t>
  </si>
  <si>
    <t>Nacelle (gearbox, generator)</t>
  </si>
  <si>
    <t>LBNL Land-Based Wind 2023: over 85% nacelle assembly domestic in 2022</t>
  </si>
  <si>
    <t>Blades</t>
  </si>
  <si>
    <t>LBNL Land-Based Wind 2023: blade domestic content just 5-25% in 2022</t>
  </si>
  <si>
    <t>LBNL: 70-85% tower mfg domestic, but tower is ~100% steel → S232 fully passes through</t>
  </si>
  <si>
    <t>Foundation, BOP, electrical, installation</t>
  </si>
  <si>
    <t>Domestic labor + steel; S232 hits steel content</t>
  </si>
  <si>
    <t>Development, interconnection, overhead</t>
  </si>
  <si>
    <t>Domestic services</t>
  </si>
  <si>
    <t>3. CALCULATED MULTIPLIER</t>
  </si>
  <si>
    <t>TOTAL Onshore Wind Multiplier (→ BTCM-EC 'onshore wind' row)</t>
  </si>
  <si>
    <t>BTCM-Calc-Wind-Offshore — Bottom-up calculation of offshore wind tariff cost multiplier</t>
  </si>
  <si>
    <t>S232 doubled to 50% June 2025; impacts steel-intensive monopiles, jackets, towers</t>
  </si>
  <si>
    <t>Reciprocal/MFN on imported turbine components (avg)</t>
  </si>
  <si>
    <t>OEM turbines (Vestas/Siemens/GE Vernova) sourced from Europe + emerging US plants</t>
  </si>
  <si>
    <t>2. OFFSHORE WIND CAPEX STRUCTURE (NREL 2024 Cost of Offshore Wind; Kikuchi &amp; Ishihara 2023)</t>
  </si>
  <si>
    <t>Wind turbine (nacelle, blades, tower)</t>
  </si>
  <si>
    <t>Kikuchi &amp; Ishihara 2023; minimal US offshore turbine mfg; mostly imported from Europe (Vestas/Siemens)</t>
  </si>
  <si>
    <t>Balance of plant (monopile, cables, substation)</t>
  </si>
  <si>
    <t>Steel-intensive monopiles, much imported; subsea cables predominantly imported</t>
  </si>
  <si>
    <t>Installation (vessels, marine services)</t>
  </si>
  <si>
    <t>Jones Act vessels limited; many installation vessels foreign-flagged</t>
  </si>
  <si>
    <t>Development, project management</t>
  </si>
  <si>
    <t>Decline factor (IRA + domestic ramp — slower for offshore due to nascent US supply chain)</t>
  </si>
  <si>
    <t>TOTAL Offshore Wind Multiplier (→ BTCM-EC 'offshore wind' row)</t>
  </si>
  <si>
    <t>BTCM-Calc-Battery — Bottom-up calc for grid battery (BTCM-GB) and EV battery (BTCM-EVB) multipliers</t>
  </si>
  <si>
    <t>Both stationary BESS and EV battery packs share a similar cell-cost structure; this tab calcs both and feeds 5 output tabs.</t>
  </si>
  <si>
    <t>Section 301 EV batteries (China)</t>
  </si>
  <si>
    <t>USTR Sept 2024 review: Li-ion EV batteries raised to 25% effective 2024</t>
  </si>
  <si>
    <t>Section 301 non-EV (stationary) batteries (China)</t>
  </si>
  <si>
    <t>USTR review: nonEV Li-ion batteries scheduled to rise from 7.5% to 25% in 2026</t>
  </si>
  <si>
    <t>Section 232 steel/aluminum (BESS containers, EV pack housing)</t>
  </si>
  <si>
    <t>S232 50%, applies to steel content of BESS enclosures and EV pack housing</t>
  </si>
  <si>
    <t>Reciprocal/MFN average on non-China imports</t>
  </si>
  <si>
    <t>Avg of reciprocal rates on Korean/Japanese cells (typically 15%)</t>
  </si>
  <si>
    <t>2A. GRID BATTERY (stationary BESS) COST STRUCTURE</t>
  </si>
  <si>
    <t>% of system cost</t>
  </si>
  <si>
    <t>China-origin import share</t>
  </si>
  <si>
    <t>Steel content</t>
  </si>
  <si>
    <t>Li-ion cells (LFP for stationary)</t>
  </si>
  <si>
    <t>BNEF 2025 BESS pack $70/kWh; cells ~70% of pack; China dominates LFP supply (CATL/BYD); US cell mfg nascent</t>
  </si>
  <si>
    <t>Pack assembly (modules, BMS)</t>
  </si>
  <si>
    <t>Mix of US, Korea, China</t>
  </si>
  <si>
    <t>Container/enclosure (steel)</t>
  </si>
  <si>
    <t>Steel-intensive; S232 50% pass-through</t>
  </si>
  <si>
    <t>Power conversion system (PCS, inverter)</t>
  </si>
  <si>
    <t>PCS partially imported; Tesla, Sungrow, others</t>
  </si>
  <si>
    <t>Site work, EPC, integration</t>
  </si>
  <si>
    <t>Domestic labor</t>
  </si>
  <si>
    <t>2B. EV BATTERY PACK COST STRUCTURE</t>
  </si>
  <si>
    <t>% of pack cost</t>
  </si>
  <si>
    <t>EV cells (NMC + LFP mix)</t>
  </si>
  <si>
    <t>BNEF 2025: BEV cells avg $79/kWh = 80% of pack price; China leads but Korea/Japan/US growing</t>
  </si>
  <si>
    <t>Pack housing, cooling, BMS</t>
  </si>
  <si>
    <t>Mix of domestic and imported; steel/aluminum housing exposes to S232</t>
  </si>
  <si>
    <t>Pack assembly labor</t>
  </si>
  <si>
    <t>Increasingly US-domestic via Ford/GM/Stellantis/Tesla joint ventures</t>
  </si>
  <si>
    <t>3. CALCULATED MULTIPLIERS</t>
  </si>
  <si>
    <t>Decline factor (IRA 45X cell mfg credits + domestic gigafactory ramp)</t>
  </si>
  <si>
    <t>TOTAL Grid Battery (BESS) Multiplier (→ BTCM-GB scalar)</t>
  </si>
  <si>
    <t>TOTAL EV Battery (LDV BEV pack) Multiplier (→ BTCM-EVB-LDVs-* for BEV row)</t>
  </si>
  <si>
    <t>EV Battery PHEV multiplier (LDV) — BEV mult × 0.65 (smaller battery share of vehicle cost)</t>
  </si>
  <si>
    <t>H2 vehicle battery multiplier — BEV mult × 0.30 (small Li-ion + fuel cell)</t>
  </si>
  <si>
    <t>TOTAL EV Battery (HDV BEV pack) Multiplier (→ BTCM-EVB-HDVs-*)</t>
  </si>
  <si>
    <t>HDV PHEV multiplier</t>
  </si>
  <si>
    <t>HDV H2 multiplier</t>
  </si>
  <si>
    <t>BTCM-Calc-T-and-D — Source-anchored calc for Transmission and Distribution tariff multipliers</t>
  </si>
  <si>
    <t>Approach: source-anchored. Multiplier driven by S232 derivative tariff on grid equipment (transformers, conductors).</t>
  </si>
  <si>
    <t>1. TARIFF &amp; MARKET CONTEXT</t>
  </si>
  <si>
    <t>Key fact</t>
  </si>
  <si>
    <t>S232 steel/aluminum tariffs at 50% (June 2025); copper derivatives added Aug 2025 with 15% transitional rate through Dec 2027</t>
  </si>
  <si>
    <t>CTP Inc.: U.S. Overhauls Section 232 Tariffs. URL: https://info.ctp-inc.com/articles/u-s-overhauls-section-232-tariffs-for-steel-aluminum-and-copper-products</t>
  </si>
  <si>
    <t>Transformer-specific tariffs increased; transformers are a critical bottleneck with 25% YoY price surge cited by SEIA</t>
  </si>
  <si>
    <t>SEIA Q1 2024: 'higher transformer costs, which surged by 25% year-over-year due to transformer supply shortages'</t>
  </si>
  <si>
    <t>S232 expanded to derivative goods Aug 2025 (407 product categories) covering grid components</t>
  </si>
  <si>
    <t>PwC. URL: https://www.pwc.com/us/en/services/tax/library/pwc-steel-and-aluminum-goods-subject-to-section-232-tariffs-expanded.html</t>
  </si>
  <si>
    <t>April 2026: full customs value rule for S232 (vs prior content-only)</t>
  </si>
  <si>
    <t>GHY: U.S. Adjusts Section 232 Tariffs. URL: https://www.ghy.com/trade-compliance/us-adjusts-section-232-tariffs-on-aluminum-steel-and-copper-full-customs-value-now-applies/</t>
  </si>
  <si>
    <t>2. STEEL/COPPER/ALUMINUM SHARE OF T&amp;D CAPEX (rough decomposition)</t>
  </si>
  <si>
    <t>% of T or D capex</t>
  </si>
  <si>
    <t>Steel/Cu/Al content</t>
  </si>
  <si>
    <t>Effective tariff exposure</t>
  </si>
  <si>
    <t>Transformers (steel core, copper windings)</t>
  </si>
  <si>
    <t>Conductors (copper/aluminum cables)</t>
  </si>
  <si>
    <t>Towers/poles (steel)</t>
  </si>
  <si>
    <t>Substations (switchgear, breakers — steel+copper)</t>
  </si>
  <si>
    <t>Civil works, ROW, labor</t>
  </si>
  <si>
    <t>Decline factor (some IRA support but T&amp;D supply chain is structurally constrained — modest decline)</t>
  </si>
  <si>
    <t>TOTAL T&amp;D Multiplier (applies to both BTCM-T and BTCM-D)</t>
  </si>
  <si>
    <t>BTCM-Calc-Vehicle-NonBattery — Decomposition of Section 232 autos tariff impact on vehicle structure (non-battery)</t>
  </si>
  <si>
    <t>Section 232 imposed Apr/May 2025: 25% on imported vehicles + parts (USMCA-compliant US content exempt).</t>
  </si>
  <si>
    <t>1. TARIFF INPUTS</t>
  </si>
  <si>
    <t>Tariff</t>
  </si>
  <si>
    <t>S232 autos: 25% on imported vehicles (LDV passenger)</t>
  </si>
  <si>
    <t>Trump Proclamation Mar 2025, effective Apr 2025. URL: https://www.federalregister.gov/documents/2025/04/03/2025-05930/</t>
  </si>
  <si>
    <t>S232 autos: 25% on imported auto parts</t>
  </si>
  <si>
    <t>Effective May 3, 2025. CBP: https://www.cbp.gov/trade/programs-administration/entry-summary/section-232-additional-faqs-autos</t>
  </si>
  <si>
    <t>S232 MHDV: 25% on medium/heavy-duty vehicles + parts; 10% on buses</t>
  </si>
  <si>
    <t>Trump Proclamation Oct 17, 2025, effective Nov 1, 2025. URL: https://www.whitehouse.gov/presidential-actions/2025/10/adjusting-imports-of-medium-and-heavy-duty-vehicles/</t>
  </si>
  <si>
    <t>2. IMPORT SHARES &amp; PARTS EXPOSURE BY VEHICLE CLASS</t>
  </si>
  <si>
    <t>Vehicle class</t>
  </si>
  <si>
    <t>Imported share of vehicles sold</t>
  </si>
  <si>
    <t>Imported parts share of US-assembled vehicles</t>
  </si>
  <si>
    <t>Effective non-USMCA exposure</t>
  </si>
  <si>
    <t>LDV passenger (cars/SUVs/crossovers)</t>
  </si>
  <si>
    <t>CFR: 'US imports nearly half of all new cars sold'; 'close to 60% of parts used in American auto plants are imported'</t>
  </si>
  <si>
    <t>LDV freight (light trucks/pickups)</t>
  </si>
  <si>
    <t>Pickups are 80%+ domestic (F-150, Silverado, Ram all US-assembled)</t>
  </si>
  <si>
    <t>HDV passenger (transit buses, motor coaches)</t>
  </si>
  <si>
    <t>CFR: 'Just 5% of buses are imported'</t>
  </si>
  <si>
    <t>HDV freight (mid-heavy trucks)</t>
  </si>
  <si>
    <t>CFR: 'US imports around 25% of mid-sized trucks and 40% of heavy trucks'</t>
  </si>
  <si>
    <t>For each class: multiplier = tariff_rate × (imported_vehicle_share + imported_parts_share × (1-imported_vehicle_share)) × effective_exposure × pass_through × decline_factor</t>
  </si>
  <si>
    <t>Decline factor (S232 autos persistent; modest decline as USMCA reshoring progresses)</t>
  </si>
  <si>
    <t>VNB LDV-psgr multiplier (→ BTCM-VNB-LDVs-psgr, uniform across techs)</t>
  </si>
  <si>
    <t>VNB LDV-frgt multiplier (→ BTCM-VNB-LDVs-frgt)</t>
  </si>
  <si>
    <t>VNB HDV-psgr multiplier (→ BTCM-VNB-HDVs-psgr) — buses, S232 10%</t>
  </si>
  <si>
    <t>VNB HDV-frgt multiplier (→ BTCM-VNB-HDVs-frgt) — mid/heavy trucks, S232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</si>
</sst>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9" formatCode="_-* #,##0.00_-;\-* #,##0.00_-;_-* &quot;-&quot;??_-;_-@_-"/>
    <numFmt numFmtId="170" formatCode="0.0%"/>
  </numFmts>
  <fonts count="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sz val="11"/>
      <color theme="1"/>
      <name val="Times New Roman"/>
      <family val="2"/>
    </font>
    <font>
      <b/>
      <sz val="10"/>
      <color rgb="FF00B050"/>
      <name val="Helvetica Neue"/>
    </font>
    <font>
      <b/>
      <sz val="10"/>
      <color theme="9"/>
      <name val="Helvetica Neue"/>
    </font>
    <font>
      <b/>
      <sz val="13"/>
      <color theme="3"/>
      <name val="Times New Roman"/>
      <family val="2"/>
    </font>
    <font>
      <b/>
      <sz val="10"/>
      <color theme="6"/>
      <name val="Helvetica Neue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Calibri"/>
      <family val="2"/>
    </font>
    <font>
      <u/>
      <sz val="10"/>
      <color indexed="12"/>
      <name val="Arial"/>
      <family val="2"/>
    </font>
    <font>
      <b/>
      <sz val="10"/>
      <color theme="7"/>
      <name val="Helvetica Neue"/>
    </font>
    <font>
      <b/>
      <sz val="10"/>
      <color rgb="FF00B0F0"/>
      <name val="Helvetica Neue"/>
    </font>
    <font>
      <sz val="10"/>
      <name val="Helvetica Neue"/>
    </font>
    <font>
      <sz val="10"/>
      <color theme="1"/>
      <name val="Calibri"/>
      <family val="2"/>
      <scheme val="minor"/>
    </font>
    <font>
      <b/>
      <sz val="10"/>
      <color rgb="FFFF0000"/>
      <name val="Helvetica Neue"/>
    </font>
    <font>
      <b/>
      <sz val="10"/>
      <color theme="1"/>
      <name val="Helvetica Neue"/>
    </font>
    <font>
      <b/>
      <sz val="10"/>
      <color theme="5"/>
      <name val="Helvetica Neue"/>
    </font>
    <font>
      <b/>
      <sz val="10"/>
      <color rgb="FF7F7F7F"/>
      <name val="Helvetica Neue"/>
    </font>
    <font>
      <i/>
      <sz val="11"/>
      <color theme="1"/>
      <name val="Calibri"/>
      <family val="2"/>
      <scheme val="minor"/>
    </font>
    <font>
      <b/>
      <sz val="10"/>
      <color rgb="FF00B050"/>
      <name val="Helvetica Neue"/>
      <family val="2"/>
    </font>
    <font>
      <b/>
      <sz val="10"/>
      <color theme="9"/>
      <name val="Helvetica Neue"/>
      <family val="2"/>
    </font>
    <font>
      <b/>
      <sz val="10"/>
      <color theme="6"/>
      <name val="Helvetica Neue"/>
      <family val="2"/>
    </font>
    <font>
      <b/>
      <sz val="10"/>
      <color theme="7"/>
      <name val="Helvetica Neue"/>
      <family val="2"/>
    </font>
    <font>
      <b/>
      <sz val="10"/>
      <color rgb="FF00B0F0"/>
      <name val="Helvetica Neue"/>
      <family val="2"/>
    </font>
    <font>
      <sz val="10"/>
      <name val="Helvetica Neue"/>
      <family val="2"/>
    </font>
    <font>
      <b/>
      <sz val="10"/>
      <color rgb="FFFF0000"/>
      <name val="Helvetica Neue"/>
      <family val="2"/>
    </font>
    <font>
      <b/>
      <sz val="10"/>
      <color theme="1"/>
      <name val="Helvetica Neue"/>
      <family val="2"/>
    </font>
    <font>
      <b/>
      <sz val="10"/>
      <color theme="5"/>
      <name val="Helvetica Neue"/>
      <family val="2"/>
    </font>
    <font>
      <b/>
      <sz val="10"/>
      <color rgb="FF7F7F7F"/>
      <name val="Helvetica Neue"/>
      <family val="2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501">
    <xf numFmtId="0" fontId="0" fillId="0" borderId="0"/>
    <xf numFmtId="0" fontId="2" fillId="0" borderId="0" applyNumberFormat="0" applyProtection="0">
      <alignment horizontal="left"/>
    </xf>
    <xf numFmtId="0" fontId="3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0" applyNumberFormat="0" applyFill="0" applyBorder="0" applyAlignment="0" applyProtection="0"/>
    <xf numFmtId="0" fontId="4" fillId="0" borderId="4" applyNumberFormat="0" applyProtection="0">
      <alignment vertical="top" wrapText="1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3" fillId="0" borderId="5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9" fillId="0" borderId="0"/>
    <xf numFmtId="0" fontId="10" fillId="0" borderId="0"/>
    <xf numFmtId="0" fontId="12" fillId="2" borderId="0" applyNumberFormat="0" applyBorder="0" applyAlignment="0" applyProtection="0"/>
    <xf numFmtId="0" fontId="8" fillId="2" borderId="0" applyNumberFormat="0" applyBorder="0" applyAlignment="0" applyProtection="0"/>
    <xf numFmtId="0" fontId="12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4" borderId="0" applyNumberFormat="0" applyBorder="0" applyAlignment="0" applyProtection="0"/>
    <xf numFmtId="0" fontId="8" fillId="4" borderId="0" applyNumberFormat="0" applyBorder="0" applyAlignment="0" applyProtection="0"/>
    <xf numFmtId="0" fontId="12" fillId="5" borderId="0" applyNumberFormat="0" applyBorder="0" applyAlignment="0" applyProtection="0"/>
    <xf numFmtId="0" fontId="8" fillId="5" borderId="0" applyNumberFormat="0" applyBorder="0" applyAlignment="0" applyProtection="0"/>
    <xf numFmtId="164" fontId="13" fillId="0" borderId="0" applyFill="0" applyProtection="0">
      <alignment horizontal="right" vertical="center"/>
    </xf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9" fontId="14" fillId="0" borderId="0" applyFill="0" applyBorder="0" applyProtection="0">
      <alignment horizontal="right" vertical="center"/>
    </xf>
    <xf numFmtId="0" fontId="15" fillId="0" borderId="8" applyNumberFormat="0" applyFill="0" applyAlignment="0" applyProtection="0"/>
    <xf numFmtId="0" fontId="16" fillId="0" borderId="0" applyFill="0" applyBorder="0" applyProtection="0">
      <alignment horizontal="right"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21" fillId="0" borderId="0" applyFill="0" applyProtection="0">
      <alignment horizontal="right" vertical="center"/>
    </xf>
    <xf numFmtId="164" fontId="22" fillId="0" borderId="0" applyFill="0" applyProtection="0">
      <alignment horizontal="right" vertical="center"/>
    </xf>
    <xf numFmtId="0" fontId="8" fillId="0" borderId="0"/>
    <xf numFmtId="0" fontId="9" fillId="0" borderId="0"/>
    <xf numFmtId="0" fontId="7" fillId="0" borderId="0"/>
    <xf numFmtId="0" fontId="23" fillId="0" borderId="0">
      <alignment horizontal="right" vertical="center"/>
    </xf>
    <xf numFmtId="0" fontId="8" fillId="0" borderId="0"/>
    <xf numFmtId="0" fontId="7" fillId="0" borderId="0"/>
    <xf numFmtId="0" fontId="9" fillId="0" borderId="0"/>
    <xf numFmtId="0" fontId="24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25" fillId="0" borderId="0" applyFill="0" applyProtection="0">
      <alignment horizontal="right" vertical="center"/>
    </xf>
    <xf numFmtId="0" fontId="11" fillId="0" borderId="0" applyNumberFormat="0" applyFill="0" applyBorder="0" applyAlignment="0" applyProtection="0"/>
    <xf numFmtId="0" fontId="26" fillId="0" borderId="0" applyFill="0" applyBorder="0" applyProtection="0">
      <alignment horizontal="right" vertical="center"/>
    </xf>
    <xf numFmtId="0" fontId="27" fillId="0" borderId="0" applyFill="0" applyBorder="0" applyProtection="0">
      <alignment horizontal="right" vertical="center"/>
    </xf>
    <xf numFmtId="0" fontId="7" fillId="6" borderId="9"/>
    <xf numFmtId="0" fontId="28" fillId="0" borderId="0" applyFill="0" applyBorder="0" applyProtection="0">
      <alignment horizontal="right"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30" fillId="0" borderId="0" applyFill="0" applyProtection="0">
      <alignment horizontal="right" vertical="center"/>
    </xf>
    <xf numFmtId="49" fontId="31" fillId="0" borderId="0" applyFill="0" applyBorder="0" applyProtection="0">
      <alignment horizontal="right" vertical="center"/>
    </xf>
    <xf numFmtId="0" fontId="32" fillId="0" borderId="0" applyFill="0" applyBorder="0" applyProtection="0">
      <alignment horizontal="right" vertical="center"/>
    </xf>
    <xf numFmtId="164" fontId="33" fillId="0" borderId="0" applyFill="0" applyProtection="0">
      <alignment horizontal="right" vertical="center"/>
    </xf>
    <xf numFmtId="164" fontId="34" fillId="0" borderId="0" applyFill="0" applyProtection="0">
      <alignment horizontal="right" vertical="center"/>
    </xf>
    <xf numFmtId="0" fontId="35" fillId="0" borderId="0">
      <alignment horizontal="right" vertical="center"/>
    </xf>
    <xf numFmtId="164" fontId="36" fillId="0" borderId="0" applyFill="0" applyProtection="0">
      <alignment horizontal="right" vertical="center"/>
    </xf>
    <xf numFmtId="0" fontId="37" fillId="0" borderId="0" applyFill="0" applyBorder="0" applyProtection="0">
      <alignment horizontal="right" vertical="center"/>
    </xf>
    <xf numFmtId="0" fontId="38" fillId="0" borderId="0" applyFill="0" applyBorder="0" applyProtection="0">
      <alignment horizontal="right" vertical="center"/>
    </xf>
    <xf numFmtId="0" fontId="39" fillId="0" borderId="0" applyFill="0" applyBorder="0" applyProtection="0">
      <alignment horizontal="right"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9" fillId="0" borderId="0" xfId="0" applyFont="1"/>
    <xf numFmtId="164" fontId="0" fillId="0" borderId="0" xfId="0" applyNumberFormat="1"/>
    <xf numFmtId="170" fontId="0" fillId="0" borderId="0" xfId="0" applyNumberFormat="1"/>
    <xf numFmtId="0" fontId="40" fillId="0" borderId="0" xfId="0" applyFont="1"/>
    <xf numFmtId="0" fontId="1" fillId="7" borderId="0" xfId="0" applyFont="1" applyFill="1"/>
    <xf numFmtId="0" fontId="42" fillId="0" borderId="0" xfId="0" applyFont="1"/>
    <xf numFmtId="0" fontId="1" fillId="8" borderId="0" xfId="0" applyFont="1" applyFill="1"/>
    <xf numFmtId="170" fontId="41" fillId="0" borderId="0" xfId="0" applyNumberFormat="1" applyFont="1"/>
    <xf numFmtId="0" fontId="43" fillId="0" borderId="0" xfId="0" applyFont="1"/>
    <xf numFmtId="2" fontId="41" fillId="0" borderId="0" xfId="0" applyNumberFormat="1" applyFont="1"/>
    <xf numFmtId="0" fontId="1" fillId="9" borderId="0" xfId="0" applyFont="1" applyFill="1"/>
    <xf numFmtId="164" fontId="1" fillId="0" borderId="0" xfId="0" applyNumberFormat="1" applyFont="1"/>
  </cellXfs>
  <cellStyles count="501">
    <cellStyle name="20% - Accent1 2" xfId="15" xr:uid="{00000000-0005-0000-0000-000000000000}"/>
    <cellStyle name="20% - Accent1 2 2" xfId="16" xr:uid="{00000000-0005-0000-0000-000001000000}"/>
    <cellStyle name="20% - Accent1 2 2 2" xfId="150" xr:uid="{00000000-0005-0000-0000-000002000000}"/>
    <cellStyle name="20% - Accent1 2 2 2 2" xfId="172" xr:uid="{00000000-0005-0000-0000-000003000000}"/>
    <cellStyle name="20% - Accent1 2 2 2 2 2" xfId="216" xr:uid="{00000000-0005-0000-0000-000004000000}"/>
    <cellStyle name="20% - Accent1 2 2 2 2 2 2" xfId="314" xr:uid="{CB161B9E-93CA-4ABD-9811-6164416B7BA7}"/>
    <cellStyle name="20% - Accent1 2 2 2 2 2 2 2" xfId="490" xr:uid="{3C9E27E7-1814-4BF0-B446-91FFA667F289}"/>
    <cellStyle name="20% - Accent1 2 2 2 2 2 3" xfId="402" xr:uid="{812EFD95-B5FD-4653-B30D-17B9BA8E9C80}"/>
    <cellStyle name="20% - Accent1 2 2 2 2 3" xfId="270" xr:uid="{ED0D8F3D-CB6D-4B28-80DF-8279F86048D3}"/>
    <cellStyle name="20% - Accent1 2 2 2 2 3 2" xfId="446" xr:uid="{982CE0BC-2A4D-4A52-9ECC-01CE02D79756}"/>
    <cellStyle name="20% - Accent1 2 2 2 2 4" xfId="358" xr:uid="{385F17AD-14C7-4E30-8202-08E13E95C811}"/>
    <cellStyle name="20% - Accent1 2 2 2 3" xfId="194" xr:uid="{00000000-0005-0000-0000-000005000000}"/>
    <cellStyle name="20% - Accent1 2 2 2 3 2" xfId="292" xr:uid="{959F0465-178B-4DE9-8F72-9AC7B4033508}"/>
    <cellStyle name="20% - Accent1 2 2 2 3 2 2" xfId="468" xr:uid="{863C8D74-B401-439E-A051-1DD061D98A50}"/>
    <cellStyle name="20% - Accent1 2 2 2 3 3" xfId="380" xr:uid="{7E792AA2-5954-4008-A16D-0D32CF6E0509}"/>
    <cellStyle name="20% - Accent1 2 2 2 4" xfId="248" xr:uid="{A70C8D3F-9B97-43F7-98A0-EE0A0E799244}"/>
    <cellStyle name="20% - Accent1 2 2 2 4 2" xfId="424" xr:uid="{787772F0-D58E-4D38-81FA-F6643C1520CC}"/>
    <cellStyle name="20% - Accent1 2 2 2 5" xfId="336" xr:uid="{ACF346CA-4E50-4122-8C98-3D02563A30FC}"/>
    <cellStyle name="20% - Accent1 2 2 3" xfId="161" xr:uid="{00000000-0005-0000-0000-000006000000}"/>
    <cellStyle name="20% - Accent1 2 2 3 2" xfId="205" xr:uid="{00000000-0005-0000-0000-000007000000}"/>
    <cellStyle name="20% - Accent1 2 2 3 2 2" xfId="303" xr:uid="{E09B64CE-319C-49E1-B4E3-463ED0B9790F}"/>
    <cellStyle name="20% - Accent1 2 2 3 2 2 2" xfId="479" xr:uid="{67868732-1A2C-4B9E-A694-35CEBB866CBA}"/>
    <cellStyle name="20% - Accent1 2 2 3 2 3" xfId="391" xr:uid="{D62ED3E2-0FC7-4D74-834A-56120C3F2B4D}"/>
    <cellStyle name="20% - Accent1 2 2 3 3" xfId="259" xr:uid="{063135D7-A230-483C-95A9-D7DC64774C72}"/>
    <cellStyle name="20% - Accent1 2 2 3 3 2" xfId="435" xr:uid="{F4FB715A-BD67-427F-B7A9-FF2C6622436C}"/>
    <cellStyle name="20% - Accent1 2 2 3 4" xfId="347" xr:uid="{F88F8E83-328A-4220-B46C-EFEA7A6FF470}"/>
    <cellStyle name="20% - Accent1 2 2 4" xfId="183" xr:uid="{00000000-0005-0000-0000-000008000000}"/>
    <cellStyle name="20% - Accent1 2 2 4 2" xfId="281" xr:uid="{972DC2C9-46F6-4CAC-A609-A51ACDA06609}"/>
    <cellStyle name="20% - Accent1 2 2 4 2 2" xfId="457" xr:uid="{29FDB7DD-D064-4DA2-AE94-823F6300C478}"/>
    <cellStyle name="20% - Accent1 2 2 4 3" xfId="369" xr:uid="{451435F1-6EF0-4555-97C9-02F81D55A5E1}"/>
    <cellStyle name="20% - Accent1 2 2 5" xfId="237" xr:uid="{3325A904-AE48-471F-B4C6-5FECF5C22AE6}"/>
    <cellStyle name="20% - Accent1 2 2 5 2" xfId="413" xr:uid="{5211E594-38C3-4DAE-9AC3-97635C66A7BF}"/>
    <cellStyle name="20% - Accent1 2 2 6" xfId="325" xr:uid="{38D58333-2F44-4EEE-AC75-41567B0C6AD2}"/>
    <cellStyle name="20% - Accent2 2" xfId="17" xr:uid="{00000000-0005-0000-0000-000009000000}"/>
    <cellStyle name="20% - Accent2 2 2" xfId="18" xr:uid="{00000000-0005-0000-0000-00000A000000}"/>
    <cellStyle name="20% - Accent2 2 2 2" xfId="151" xr:uid="{00000000-0005-0000-0000-00000B000000}"/>
    <cellStyle name="20% - Accent2 2 2 2 2" xfId="173" xr:uid="{00000000-0005-0000-0000-00000C000000}"/>
    <cellStyle name="20% - Accent2 2 2 2 2 2" xfId="217" xr:uid="{00000000-0005-0000-0000-00000D000000}"/>
    <cellStyle name="20% - Accent2 2 2 2 2 2 2" xfId="315" xr:uid="{7200C0E3-DADB-493D-9AB8-D9FE00A89494}"/>
    <cellStyle name="20% - Accent2 2 2 2 2 2 2 2" xfId="491" xr:uid="{33B772A9-4D26-4673-A639-90F465828621}"/>
    <cellStyle name="20% - Accent2 2 2 2 2 2 3" xfId="403" xr:uid="{CE13F3EC-CB6B-41C2-9840-3AAEA746679B}"/>
    <cellStyle name="20% - Accent2 2 2 2 2 3" xfId="271" xr:uid="{D4F1AA1E-6F4D-4270-8CDB-454705D66E49}"/>
    <cellStyle name="20% - Accent2 2 2 2 2 3 2" xfId="447" xr:uid="{4662C63D-59EB-47C5-B76C-0E109A062324}"/>
    <cellStyle name="20% - Accent2 2 2 2 2 4" xfId="359" xr:uid="{9FEB9346-AB20-4E96-BBA8-9C6C77D964E0}"/>
    <cellStyle name="20% - Accent2 2 2 2 3" xfId="195" xr:uid="{00000000-0005-0000-0000-00000E000000}"/>
    <cellStyle name="20% - Accent2 2 2 2 3 2" xfId="293" xr:uid="{8EFBEC0F-3DA1-4E4A-A3FB-F532F0ED3BF2}"/>
    <cellStyle name="20% - Accent2 2 2 2 3 2 2" xfId="469" xr:uid="{B3618067-31B2-4D52-9569-D593DB8723BE}"/>
    <cellStyle name="20% - Accent2 2 2 2 3 3" xfId="381" xr:uid="{97B746C1-07DC-461E-8595-1E7E47C6FD1A}"/>
    <cellStyle name="20% - Accent2 2 2 2 4" xfId="249" xr:uid="{E64D1EAF-BD8B-4276-B89E-1547774A92BC}"/>
    <cellStyle name="20% - Accent2 2 2 2 4 2" xfId="425" xr:uid="{4B4965A6-8404-47C0-827F-E05C3DFDE6C2}"/>
    <cellStyle name="20% - Accent2 2 2 2 5" xfId="337" xr:uid="{03D5179C-3AEB-4F0D-8C11-235691276EC6}"/>
    <cellStyle name="20% - Accent2 2 2 3" xfId="162" xr:uid="{00000000-0005-0000-0000-00000F000000}"/>
    <cellStyle name="20% - Accent2 2 2 3 2" xfId="206" xr:uid="{00000000-0005-0000-0000-000010000000}"/>
    <cellStyle name="20% - Accent2 2 2 3 2 2" xfId="304" xr:uid="{7171C78F-9A09-4024-A73F-45D5200683D9}"/>
    <cellStyle name="20% - Accent2 2 2 3 2 2 2" xfId="480" xr:uid="{8EAB6526-86C2-4A55-BCD2-8EA064152C1E}"/>
    <cellStyle name="20% - Accent2 2 2 3 2 3" xfId="392" xr:uid="{7E54FB45-3BC6-4299-8F71-283A52989602}"/>
    <cellStyle name="20% - Accent2 2 2 3 3" xfId="260" xr:uid="{D4A61FA1-3F19-4446-B440-6E49F0D42E62}"/>
    <cellStyle name="20% - Accent2 2 2 3 3 2" xfId="436" xr:uid="{3F90D709-E68D-49BA-860C-5653E3E21236}"/>
    <cellStyle name="20% - Accent2 2 2 3 4" xfId="348" xr:uid="{09A34EF4-6C92-4F03-BF12-F957D5ACB7DE}"/>
    <cellStyle name="20% - Accent2 2 2 4" xfId="184" xr:uid="{00000000-0005-0000-0000-000011000000}"/>
    <cellStyle name="20% - Accent2 2 2 4 2" xfId="282" xr:uid="{257AE7C8-3A29-4F52-A6C1-EC21C4A7222E}"/>
    <cellStyle name="20% - Accent2 2 2 4 2 2" xfId="458" xr:uid="{20D0473E-4E24-42A3-9A0C-A57AFCAEABBB}"/>
    <cellStyle name="20% - Accent2 2 2 4 3" xfId="370" xr:uid="{9565A42F-EF13-4B55-AD6A-888FDFD3B10E}"/>
    <cellStyle name="20% - Accent2 2 2 5" xfId="238" xr:uid="{7A2469AD-A4C7-4C04-B40B-9A16E3373161}"/>
    <cellStyle name="20% - Accent2 2 2 5 2" xfId="414" xr:uid="{0AC717A7-6DC9-4A75-9969-B00BC3F8F838}"/>
    <cellStyle name="20% - Accent2 2 2 6" xfId="326" xr:uid="{269B44EF-8C0B-4E46-9CEA-88403631C851}"/>
    <cellStyle name="20% - Accent3 2" xfId="19" xr:uid="{00000000-0005-0000-0000-000012000000}"/>
    <cellStyle name="20% - Accent3 2 2" xfId="20" xr:uid="{00000000-0005-0000-0000-000013000000}"/>
    <cellStyle name="20% - Accent3 2 2 2" xfId="152" xr:uid="{00000000-0005-0000-0000-000014000000}"/>
    <cellStyle name="20% - Accent3 2 2 2 2" xfId="174" xr:uid="{00000000-0005-0000-0000-000015000000}"/>
    <cellStyle name="20% - Accent3 2 2 2 2 2" xfId="218" xr:uid="{00000000-0005-0000-0000-000016000000}"/>
    <cellStyle name="20% - Accent3 2 2 2 2 2 2" xfId="316" xr:uid="{6BCBBC59-D661-4053-AAAE-D681772D2DEB}"/>
    <cellStyle name="20% - Accent3 2 2 2 2 2 2 2" xfId="492" xr:uid="{1A1E0A80-C151-401F-8500-D22A7FC3E2DF}"/>
    <cellStyle name="20% - Accent3 2 2 2 2 2 3" xfId="404" xr:uid="{B70B91F9-70F0-4952-A43F-1F7A3DA457B1}"/>
    <cellStyle name="20% - Accent3 2 2 2 2 3" xfId="272" xr:uid="{86A3595A-27D2-420A-A87C-BC180921D99E}"/>
    <cellStyle name="20% - Accent3 2 2 2 2 3 2" xfId="448" xr:uid="{8D072181-704A-442C-9C87-A53195E545AC}"/>
    <cellStyle name="20% - Accent3 2 2 2 2 4" xfId="360" xr:uid="{E1347F78-E6D3-4D3E-84AD-109C7FB733F1}"/>
    <cellStyle name="20% - Accent3 2 2 2 3" xfId="196" xr:uid="{00000000-0005-0000-0000-000017000000}"/>
    <cellStyle name="20% - Accent3 2 2 2 3 2" xfId="294" xr:uid="{3F850AB7-814E-475B-9127-AA6AAF2D2AFF}"/>
    <cellStyle name="20% - Accent3 2 2 2 3 2 2" xfId="470" xr:uid="{A57EFE08-20F0-466A-ADA8-38302BFBE301}"/>
    <cellStyle name="20% - Accent3 2 2 2 3 3" xfId="382" xr:uid="{57445812-D0DF-4886-8512-E916F1EDB22A}"/>
    <cellStyle name="20% - Accent3 2 2 2 4" xfId="250" xr:uid="{A8F6EBFC-9B43-46AF-9606-21B33A81990B}"/>
    <cellStyle name="20% - Accent3 2 2 2 4 2" xfId="426" xr:uid="{D4F6179D-E19F-4808-86F5-8C7FF6A9836B}"/>
    <cellStyle name="20% - Accent3 2 2 2 5" xfId="338" xr:uid="{179614C1-6876-460B-8150-CE2D6BA669A9}"/>
    <cellStyle name="20% - Accent3 2 2 3" xfId="163" xr:uid="{00000000-0005-0000-0000-000018000000}"/>
    <cellStyle name="20% - Accent3 2 2 3 2" xfId="207" xr:uid="{00000000-0005-0000-0000-000019000000}"/>
    <cellStyle name="20% - Accent3 2 2 3 2 2" xfId="305" xr:uid="{4CAE6D51-A0C0-4F52-B609-11FFA5EB912D}"/>
    <cellStyle name="20% - Accent3 2 2 3 2 2 2" xfId="481" xr:uid="{B8789C48-642A-4F09-9A81-8354121FB522}"/>
    <cellStyle name="20% - Accent3 2 2 3 2 3" xfId="393" xr:uid="{F1CBD2CC-654E-4578-AE86-47448DB9D4FE}"/>
    <cellStyle name="20% - Accent3 2 2 3 3" xfId="261" xr:uid="{EB3F3D3C-98C4-415A-8400-C6587905B9D1}"/>
    <cellStyle name="20% - Accent3 2 2 3 3 2" xfId="437" xr:uid="{6FC724B2-1AE7-4677-ACE7-95A6EE1730CD}"/>
    <cellStyle name="20% - Accent3 2 2 3 4" xfId="349" xr:uid="{B08767BC-77FD-4E8C-ACF1-1FF6F2F9CE86}"/>
    <cellStyle name="20% - Accent3 2 2 4" xfId="185" xr:uid="{00000000-0005-0000-0000-00001A000000}"/>
    <cellStyle name="20% - Accent3 2 2 4 2" xfId="283" xr:uid="{F715826A-5E19-4AEB-8735-9C16C858E51A}"/>
    <cellStyle name="20% - Accent3 2 2 4 2 2" xfId="459" xr:uid="{3543C500-98DA-4C62-8B51-F1C9631C3884}"/>
    <cellStyle name="20% - Accent3 2 2 4 3" xfId="371" xr:uid="{91D86FF8-3A69-4F4C-BD8D-7DDE5076AFDB}"/>
    <cellStyle name="20% - Accent3 2 2 5" xfId="239" xr:uid="{A46D6ED1-91CB-4E71-A699-B0C511AB04D1}"/>
    <cellStyle name="20% - Accent3 2 2 5 2" xfId="415" xr:uid="{7A4643CE-2222-4F16-B11A-86995436375A}"/>
    <cellStyle name="20% - Accent3 2 2 6" xfId="327" xr:uid="{30FDC8C5-FA71-4A49-9754-8B67244BB5AD}"/>
    <cellStyle name="20% - Accent4 2" xfId="21" xr:uid="{00000000-0005-0000-0000-00001B000000}"/>
    <cellStyle name="20% - Accent4 2 2" xfId="22" xr:uid="{00000000-0005-0000-0000-00001C000000}"/>
    <cellStyle name="20% - Accent4 2 2 2" xfId="153" xr:uid="{00000000-0005-0000-0000-00001D000000}"/>
    <cellStyle name="20% - Accent4 2 2 2 2" xfId="175" xr:uid="{00000000-0005-0000-0000-00001E000000}"/>
    <cellStyle name="20% - Accent4 2 2 2 2 2" xfId="219" xr:uid="{00000000-0005-0000-0000-00001F000000}"/>
    <cellStyle name="20% - Accent4 2 2 2 2 2 2" xfId="317" xr:uid="{16B921B0-ABEB-48F7-B8F5-C70B1CD44B3F}"/>
    <cellStyle name="20% - Accent4 2 2 2 2 2 2 2" xfId="493" xr:uid="{4FA02FB9-2532-440F-A29A-87E900D0C365}"/>
    <cellStyle name="20% - Accent4 2 2 2 2 2 3" xfId="405" xr:uid="{6C1605A8-22B4-4E5A-B4E1-CEF98FEE71BB}"/>
    <cellStyle name="20% - Accent4 2 2 2 2 3" xfId="273" xr:uid="{8F1346F5-23C6-4FBA-BF92-7B9B5863674B}"/>
    <cellStyle name="20% - Accent4 2 2 2 2 3 2" xfId="449" xr:uid="{3915ED11-F0EA-40D2-A6C7-F70A0B8530DE}"/>
    <cellStyle name="20% - Accent4 2 2 2 2 4" xfId="361" xr:uid="{8BE9E565-CE95-4F65-A925-7CA5BAF9BAA2}"/>
    <cellStyle name="20% - Accent4 2 2 2 3" xfId="197" xr:uid="{00000000-0005-0000-0000-000020000000}"/>
    <cellStyle name="20% - Accent4 2 2 2 3 2" xfId="295" xr:uid="{060333A5-2F92-495B-8781-F9D45109707C}"/>
    <cellStyle name="20% - Accent4 2 2 2 3 2 2" xfId="471" xr:uid="{7F1D2BC3-0BF8-42A3-84F2-7E59C5EA62A6}"/>
    <cellStyle name="20% - Accent4 2 2 2 3 3" xfId="383" xr:uid="{E84E0603-3810-440A-AB7F-6C41B07D55DC}"/>
    <cellStyle name="20% - Accent4 2 2 2 4" xfId="251" xr:uid="{57DF3BB4-9115-41EE-AA9A-B0B2EF869AFE}"/>
    <cellStyle name="20% - Accent4 2 2 2 4 2" xfId="427" xr:uid="{BEF8875A-37A9-430B-9943-3105A979FF73}"/>
    <cellStyle name="20% - Accent4 2 2 2 5" xfId="339" xr:uid="{B28B19CD-5551-4EAF-B733-3BDE2CD3CF39}"/>
    <cellStyle name="20% - Accent4 2 2 3" xfId="164" xr:uid="{00000000-0005-0000-0000-000021000000}"/>
    <cellStyle name="20% - Accent4 2 2 3 2" xfId="208" xr:uid="{00000000-0005-0000-0000-000022000000}"/>
    <cellStyle name="20% - Accent4 2 2 3 2 2" xfId="306" xr:uid="{8BEDAE69-CBE7-446B-A127-8FAA379F7FE6}"/>
    <cellStyle name="20% - Accent4 2 2 3 2 2 2" xfId="482" xr:uid="{72C3381F-8928-42E2-AF08-8DE2D4957E70}"/>
    <cellStyle name="20% - Accent4 2 2 3 2 3" xfId="394" xr:uid="{5C4D2DCB-9787-47B5-B84B-C78352223114}"/>
    <cellStyle name="20% - Accent4 2 2 3 3" xfId="262" xr:uid="{1A41B427-BF52-4CA8-AEDE-E6383840E78E}"/>
    <cellStyle name="20% - Accent4 2 2 3 3 2" xfId="438" xr:uid="{BAB75581-D5C5-4B2A-9E79-8023C8D9905C}"/>
    <cellStyle name="20% - Accent4 2 2 3 4" xfId="350" xr:uid="{560F61A4-C9F9-4FEC-99FE-2FC903F06FD4}"/>
    <cellStyle name="20% - Accent4 2 2 4" xfId="186" xr:uid="{00000000-0005-0000-0000-000023000000}"/>
    <cellStyle name="20% - Accent4 2 2 4 2" xfId="284" xr:uid="{074511D5-748D-4C24-A426-2F6FEBD8B60A}"/>
    <cellStyle name="20% - Accent4 2 2 4 2 2" xfId="460" xr:uid="{71F971E3-40D7-461C-9886-593A8DB4A306}"/>
    <cellStyle name="20% - Accent4 2 2 4 3" xfId="372" xr:uid="{7E8B07F3-3C79-4ED5-A467-6EAB819A26B4}"/>
    <cellStyle name="20% - Accent4 2 2 5" xfId="240" xr:uid="{200FA21C-3851-4ECD-A8B5-8081D7C0BC35}"/>
    <cellStyle name="20% - Accent4 2 2 5 2" xfId="416" xr:uid="{ECF13539-B587-4086-BCE1-E51759AAF734}"/>
    <cellStyle name="20% - Accent4 2 2 6" xfId="328" xr:uid="{BF65FBB8-C0AC-48D8-823F-5F37F0E5E144}"/>
    <cellStyle name="Body: normal cell" xfId="4" xr:uid="{00000000-0005-0000-0000-000024000000}"/>
    <cellStyle name="Calculated" xfId="23" xr:uid="{00000000-0005-0000-0000-000025000000}"/>
    <cellStyle name="Calculated 2" xfId="227" xr:uid="{E13752E4-72D0-4ED2-8D62-CD15EBB3A56B}"/>
    <cellStyle name="Comma 10" xfId="24" xr:uid="{00000000-0005-0000-0000-000026000000}"/>
    <cellStyle name="Comma 10 2" xfId="154" xr:uid="{00000000-0005-0000-0000-000027000000}"/>
    <cellStyle name="Comma 10 2 2" xfId="176" xr:uid="{00000000-0005-0000-0000-000028000000}"/>
    <cellStyle name="Comma 10 2 2 2" xfId="220" xr:uid="{00000000-0005-0000-0000-000029000000}"/>
    <cellStyle name="Comma 10 2 2 2 2" xfId="318" xr:uid="{35790C49-B098-429B-95F1-6B8C2831CB3D}"/>
    <cellStyle name="Comma 10 2 2 2 2 2" xfId="494" xr:uid="{12D98EDB-8A2C-4EF3-A3E7-4C69038C41C8}"/>
    <cellStyle name="Comma 10 2 2 2 3" xfId="406" xr:uid="{098BEEC8-C74F-4E2C-AB36-0DB55F87AF49}"/>
    <cellStyle name="Comma 10 2 2 3" xfId="274" xr:uid="{6D0E2B6A-DFE4-4934-9DD5-C29D6147F046}"/>
    <cellStyle name="Comma 10 2 2 3 2" xfId="450" xr:uid="{29DF5FC9-0F36-474B-B249-34DB29FA9109}"/>
    <cellStyle name="Comma 10 2 2 4" xfId="362" xr:uid="{2575FA79-AB39-4C98-BA66-DF12FD90DA99}"/>
    <cellStyle name="Comma 10 2 3" xfId="198" xr:uid="{00000000-0005-0000-0000-00002A000000}"/>
    <cellStyle name="Comma 10 2 3 2" xfId="296" xr:uid="{EA11844D-9F0B-40BC-86CD-4B95D0780DFA}"/>
    <cellStyle name="Comma 10 2 3 2 2" xfId="472" xr:uid="{BB65CB55-0196-4C1C-9010-58F8C5340784}"/>
    <cellStyle name="Comma 10 2 3 3" xfId="384" xr:uid="{43185200-D359-4230-8F73-2CE91500F6E0}"/>
    <cellStyle name="Comma 10 2 4" xfId="252" xr:uid="{A08E2A69-E6F6-49B8-BCF4-2820D599BE00}"/>
    <cellStyle name="Comma 10 2 4 2" xfId="428" xr:uid="{CF5121C5-980C-40AB-B3AC-E68D137DF9DB}"/>
    <cellStyle name="Comma 10 2 5" xfId="340" xr:uid="{71864749-41CA-4E07-8462-B15A8A309F5D}"/>
    <cellStyle name="Comma 10 3" xfId="165" xr:uid="{00000000-0005-0000-0000-00002B000000}"/>
    <cellStyle name="Comma 10 3 2" xfId="209" xr:uid="{00000000-0005-0000-0000-00002C000000}"/>
    <cellStyle name="Comma 10 3 2 2" xfId="307" xr:uid="{EA33ECFE-B16A-4FDE-B038-340A91D81DEF}"/>
    <cellStyle name="Comma 10 3 2 2 2" xfId="483" xr:uid="{40053495-BCAD-48BC-BB90-A8ABB3427FD0}"/>
    <cellStyle name="Comma 10 3 2 3" xfId="395" xr:uid="{1F643BF2-27E6-45F2-9365-59DEE0A135FD}"/>
    <cellStyle name="Comma 10 3 3" xfId="263" xr:uid="{F95CCEAA-D714-4199-AE5B-1706EEE2944E}"/>
    <cellStyle name="Comma 10 3 3 2" xfId="439" xr:uid="{AA007245-B0C6-45CE-8D91-17EBD78EABEB}"/>
    <cellStyle name="Comma 10 3 4" xfId="351" xr:uid="{152034AB-376B-4FD7-B04A-61596DFDA122}"/>
    <cellStyle name="Comma 10 4" xfId="187" xr:uid="{00000000-0005-0000-0000-00002D000000}"/>
    <cellStyle name="Comma 10 4 2" xfId="285" xr:uid="{3C364A39-1056-4117-92D5-64497A1E2CDF}"/>
    <cellStyle name="Comma 10 4 2 2" xfId="461" xr:uid="{03652A98-639D-43DC-A9CB-D373CA22D681}"/>
    <cellStyle name="Comma 10 4 3" xfId="373" xr:uid="{5A82BDB9-EDBD-4491-BE00-718E9DF635E6}"/>
    <cellStyle name="Comma 10 5" xfId="241" xr:uid="{450EEAE9-2DC0-43CD-9E3A-5818D85907D5}"/>
    <cellStyle name="Comma 10 5 2" xfId="417" xr:uid="{9192CD90-57CD-4B9E-9AF3-78A2D18AF33F}"/>
    <cellStyle name="Comma 10 6" xfId="329" xr:uid="{ABC9FC4F-37BE-4BA0-A5AF-4BE9D249F35B}"/>
    <cellStyle name="Comma 11" xfId="25" xr:uid="{00000000-0005-0000-0000-00002E000000}"/>
    <cellStyle name="Comma 2" xfId="26" xr:uid="{00000000-0005-0000-0000-00002F000000}"/>
    <cellStyle name="Comma 2 2" xfId="27" xr:uid="{00000000-0005-0000-0000-000030000000}"/>
    <cellStyle name="Comma 2 2 2" xfId="155" xr:uid="{00000000-0005-0000-0000-000031000000}"/>
    <cellStyle name="Comma 2 2 2 2" xfId="177" xr:uid="{00000000-0005-0000-0000-000032000000}"/>
    <cellStyle name="Comma 2 2 2 2 2" xfId="221" xr:uid="{00000000-0005-0000-0000-000033000000}"/>
    <cellStyle name="Comma 2 2 2 2 2 2" xfId="319" xr:uid="{AC958AC5-08FA-4156-A2B2-0D23BB785ADB}"/>
    <cellStyle name="Comma 2 2 2 2 2 2 2" xfId="495" xr:uid="{F0EF4358-3E5F-4E8F-93B2-E29D7D8A9D18}"/>
    <cellStyle name="Comma 2 2 2 2 2 3" xfId="407" xr:uid="{B33612E1-0C11-422C-92F8-73C274A610D2}"/>
    <cellStyle name="Comma 2 2 2 2 3" xfId="275" xr:uid="{B213F3C4-78ED-490A-9492-DD7D7CF13777}"/>
    <cellStyle name="Comma 2 2 2 2 3 2" xfId="451" xr:uid="{7D55DC42-4081-4A6B-AED2-CC20A266009D}"/>
    <cellStyle name="Comma 2 2 2 2 4" xfId="363" xr:uid="{B9305B84-3700-42BC-82F1-13F4A70749E4}"/>
    <cellStyle name="Comma 2 2 2 3" xfId="199" xr:uid="{00000000-0005-0000-0000-000034000000}"/>
    <cellStyle name="Comma 2 2 2 3 2" xfId="297" xr:uid="{8EFD22BB-C93B-469C-930C-5546C5E00B8E}"/>
    <cellStyle name="Comma 2 2 2 3 2 2" xfId="473" xr:uid="{A65958D7-9C2B-4834-B7DB-7FB01BE87A49}"/>
    <cellStyle name="Comma 2 2 2 3 3" xfId="385" xr:uid="{27AE7EA6-8943-44ED-9B5A-9703622815F8}"/>
    <cellStyle name="Comma 2 2 2 4" xfId="253" xr:uid="{EF843FA1-7E45-491B-83FA-35ABCFDCC995}"/>
    <cellStyle name="Comma 2 2 2 4 2" xfId="429" xr:uid="{388B4282-9E99-4211-B5E2-DA6AD099F5E5}"/>
    <cellStyle name="Comma 2 2 2 5" xfId="341" xr:uid="{59547352-E40C-46E3-B965-7B05886E902E}"/>
    <cellStyle name="Comma 2 2 3" xfId="166" xr:uid="{00000000-0005-0000-0000-000035000000}"/>
    <cellStyle name="Comma 2 2 3 2" xfId="210" xr:uid="{00000000-0005-0000-0000-000036000000}"/>
    <cellStyle name="Comma 2 2 3 2 2" xfId="308" xr:uid="{70198FB2-BB4B-48AD-AC8B-7582D96CCBB5}"/>
    <cellStyle name="Comma 2 2 3 2 2 2" xfId="484" xr:uid="{1BB11C8A-8604-4701-A35E-883CB53890AE}"/>
    <cellStyle name="Comma 2 2 3 2 3" xfId="396" xr:uid="{B28CC3FF-81FC-4BEE-9A50-20F4D63FBA6E}"/>
    <cellStyle name="Comma 2 2 3 3" xfId="264" xr:uid="{76F64190-55BA-45EC-AE00-6C68B6D81ECE}"/>
    <cellStyle name="Comma 2 2 3 3 2" xfId="440" xr:uid="{1D020E44-98F9-4F25-BA3A-7E7F7DC21468}"/>
    <cellStyle name="Comma 2 2 3 4" xfId="352" xr:uid="{C1538F41-BB91-4001-AAF7-305BBAEB8C89}"/>
    <cellStyle name="Comma 2 2 4" xfId="188" xr:uid="{00000000-0005-0000-0000-000037000000}"/>
    <cellStyle name="Comma 2 2 4 2" xfId="286" xr:uid="{175FCD2A-3D67-4803-850D-89B1B76F7A42}"/>
    <cellStyle name="Comma 2 2 4 2 2" xfId="462" xr:uid="{E61D3E7C-8C3E-49C9-8063-8B84D976A55E}"/>
    <cellStyle name="Comma 2 2 4 3" xfId="374" xr:uid="{2B5A8DB8-85B5-47F3-A18A-9C29DC2C38EA}"/>
    <cellStyle name="Comma 2 2 5" xfId="242" xr:uid="{03D697FC-E407-4271-A25C-804118ED9E3A}"/>
    <cellStyle name="Comma 2 2 5 2" xfId="418" xr:uid="{31EBEC0B-375E-419F-9794-A020F25EEB18}"/>
    <cellStyle name="Comma 2 2 6" xfId="330" xr:uid="{A386E4D8-E9CA-4606-8CEC-3BA1D743006D}"/>
    <cellStyle name="Comma 3" xfId="28" xr:uid="{00000000-0005-0000-0000-000038000000}"/>
    <cellStyle name="Comma 3 2" xfId="29" xr:uid="{00000000-0005-0000-0000-000039000000}"/>
    <cellStyle name="Comma 3 2 2" xfId="156" xr:uid="{00000000-0005-0000-0000-00003A000000}"/>
    <cellStyle name="Comma 3 2 2 2" xfId="178" xr:uid="{00000000-0005-0000-0000-00003B000000}"/>
    <cellStyle name="Comma 3 2 2 2 2" xfId="222" xr:uid="{00000000-0005-0000-0000-00003C000000}"/>
    <cellStyle name="Comma 3 2 2 2 2 2" xfId="320" xr:uid="{5AB29B70-F6C2-4802-8888-F29EAB961C99}"/>
    <cellStyle name="Comma 3 2 2 2 2 2 2" xfId="496" xr:uid="{FDE13F56-00BB-44A2-B914-9F53DCC0E93D}"/>
    <cellStyle name="Comma 3 2 2 2 2 3" xfId="408" xr:uid="{558B0414-C10B-450B-8113-CE993D34E19E}"/>
    <cellStyle name="Comma 3 2 2 2 3" xfId="276" xr:uid="{F23C0D68-A865-493D-9956-551252A35AA3}"/>
    <cellStyle name="Comma 3 2 2 2 3 2" xfId="452" xr:uid="{7479A8C1-6C30-43B9-A112-CBBBC21B85F1}"/>
    <cellStyle name="Comma 3 2 2 2 4" xfId="364" xr:uid="{2DDD6DB5-044E-4527-AA1A-6B37BE95C935}"/>
    <cellStyle name="Comma 3 2 2 3" xfId="200" xr:uid="{00000000-0005-0000-0000-00003D000000}"/>
    <cellStyle name="Comma 3 2 2 3 2" xfId="298" xr:uid="{B1661DB9-7C02-4F03-BFC0-CD38A429223D}"/>
    <cellStyle name="Comma 3 2 2 3 2 2" xfId="474" xr:uid="{7BF87F62-DCC2-4F95-B2ED-4365AE6EFC78}"/>
    <cellStyle name="Comma 3 2 2 3 3" xfId="386" xr:uid="{D72B87FB-1E8E-46FC-BE41-7A8B6FB04F0D}"/>
    <cellStyle name="Comma 3 2 2 4" xfId="254" xr:uid="{4F5DBFCE-E025-4F77-B35D-5290FA984393}"/>
    <cellStyle name="Comma 3 2 2 4 2" xfId="430" xr:uid="{2EC45B77-0DAB-4A82-AC04-65CDEDE27E5F}"/>
    <cellStyle name="Comma 3 2 2 5" xfId="342" xr:uid="{90D29040-3CA9-470C-A6F9-88222729D24D}"/>
    <cellStyle name="Comma 3 2 3" xfId="167" xr:uid="{00000000-0005-0000-0000-00003E000000}"/>
    <cellStyle name="Comma 3 2 3 2" xfId="211" xr:uid="{00000000-0005-0000-0000-00003F000000}"/>
    <cellStyle name="Comma 3 2 3 2 2" xfId="309" xr:uid="{B6CC3947-D001-471F-BB45-6BB84A3EAB02}"/>
    <cellStyle name="Comma 3 2 3 2 2 2" xfId="485" xr:uid="{6E067B60-5131-4F54-BF19-68D8084F7459}"/>
    <cellStyle name="Comma 3 2 3 2 3" xfId="397" xr:uid="{6D50FE12-254D-4958-8696-39039C63437E}"/>
    <cellStyle name="Comma 3 2 3 3" xfId="265" xr:uid="{84784787-8763-4967-8CEC-6A8979DDA3BB}"/>
    <cellStyle name="Comma 3 2 3 3 2" xfId="441" xr:uid="{B8179EA0-28B9-4768-855D-FACD4FC58214}"/>
    <cellStyle name="Comma 3 2 3 4" xfId="353" xr:uid="{927F38D5-7DAF-4846-92A7-35A2C0BA67FE}"/>
    <cellStyle name="Comma 3 2 4" xfId="189" xr:uid="{00000000-0005-0000-0000-000040000000}"/>
    <cellStyle name="Comma 3 2 4 2" xfId="287" xr:uid="{0EBC8AF1-B3A6-4904-8CAA-90BD9770240C}"/>
    <cellStyle name="Comma 3 2 4 2 2" xfId="463" xr:uid="{B9E61AEB-9D8A-4B77-A880-3088EF29061F}"/>
    <cellStyle name="Comma 3 2 4 3" xfId="375" xr:uid="{1C6DAF79-E8DD-43BD-988C-6618BF486449}"/>
    <cellStyle name="Comma 3 2 5" xfId="243" xr:uid="{F39FF2DD-57E3-43B5-A901-54DFCC748C8F}"/>
    <cellStyle name="Comma 3 2 5 2" xfId="419" xr:uid="{A42E7556-C5FD-4197-A5FD-2822DECCD9C9}"/>
    <cellStyle name="Comma 3 2 6" xfId="331" xr:uid="{43ECC2BA-006E-4B88-9725-C759B6A0361B}"/>
    <cellStyle name="Comma 4" xfId="30" xr:uid="{00000000-0005-0000-0000-000041000000}"/>
    <cellStyle name="Comma 5" xfId="31" xr:uid="{00000000-0005-0000-0000-000042000000}"/>
    <cellStyle name="Comma 6" xfId="32" xr:uid="{00000000-0005-0000-0000-000043000000}"/>
    <cellStyle name="Comma 7" xfId="33" xr:uid="{00000000-0005-0000-0000-000044000000}"/>
    <cellStyle name="Comma 8" xfId="34" xr:uid="{00000000-0005-0000-0000-000045000000}"/>
    <cellStyle name="Comma 9" xfId="35" xr:uid="{00000000-0005-0000-0000-000046000000}"/>
    <cellStyle name="Currency 2" xfId="36" xr:uid="{00000000-0005-0000-0000-000047000000}"/>
    <cellStyle name="Currency 3" xfId="37" xr:uid="{00000000-0005-0000-0000-000048000000}"/>
    <cellStyle name="Currency 4" xfId="38" xr:uid="{00000000-0005-0000-0000-000049000000}"/>
    <cellStyle name="Currency 5" xfId="39" xr:uid="{00000000-0005-0000-0000-00004A000000}"/>
    <cellStyle name="Currency 6" xfId="40" xr:uid="{00000000-0005-0000-0000-00004B000000}"/>
    <cellStyle name="Currency 7" xfId="41" xr:uid="{00000000-0005-0000-0000-00004C000000}"/>
    <cellStyle name="Currency 8" xfId="42" xr:uid="{00000000-0005-0000-0000-00004D000000}"/>
    <cellStyle name="Currency 8 2" xfId="157" xr:uid="{00000000-0005-0000-0000-00004E000000}"/>
    <cellStyle name="Currency 8 2 2" xfId="179" xr:uid="{00000000-0005-0000-0000-00004F000000}"/>
    <cellStyle name="Currency 8 2 2 2" xfId="223" xr:uid="{00000000-0005-0000-0000-000050000000}"/>
    <cellStyle name="Currency 8 2 2 2 2" xfId="321" xr:uid="{5E8BB862-C544-4B02-A159-2960D430913B}"/>
    <cellStyle name="Currency 8 2 2 2 2 2" xfId="497" xr:uid="{DA9CFE6C-0DE2-47D5-B9EB-C467B46BE7EB}"/>
    <cellStyle name="Currency 8 2 2 2 3" xfId="409" xr:uid="{4CBB93EB-3F03-4B4D-A74D-177890E4DB51}"/>
    <cellStyle name="Currency 8 2 2 3" xfId="277" xr:uid="{497670EE-CC24-48F4-B28A-EEDC061ECBE2}"/>
    <cellStyle name="Currency 8 2 2 3 2" xfId="453" xr:uid="{FD470898-F223-49DB-A9F5-8ED40939DE5F}"/>
    <cellStyle name="Currency 8 2 2 4" xfId="365" xr:uid="{326F5A08-4E30-4AA4-AD6C-267121FAF9A2}"/>
    <cellStyle name="Currency 8 2 3" xfId="201" xr:uid="{00000000-0005-0000-0000-000051000000}"/>
    <cellStyle name="Currency 8 2 3 2" xfId="299" xr:uid="{EBDBB64E-8613-493D-84F0-D5571324567A}"/>
    <cellStyle name="Currency 8 2 3 2 2" xfId="475" xr:uid="{243A9A39-E814-4311-918D-1650C7850CF7}"/>
    <cellStyle name="Currency 8 2 3 3" xfId="387" xr:uid="{D263265D-8724-4652-BFC8-1E9A33D956F9}"/>
    <cellStyle name="Currency 8 2 4" xfId="255" xr:uid="{D97A352D-23A7-48EF-BB04-A34171655875}"/>
    <cellStyle name="Currency 8 2 4 2" xfId="431" xr:uid="{4BCE2D9A-C46E-4B4C-AC1F-182EFCFED114}"/>
    <cellStyle name="Currency 8 2 5" xfId="343" xr:uid="{555ADE6D-FAA2-4CCA-9914-50547AE4A5DA}"/>
    <cellStyle name="Currency 8 3" xfId="168" xr:uid="{00000000-0005-0000-0000-000052000000}"/>
    <cellStyle name="Currency 8 3 2" xfId="212" xr:uid="{00000000-0005-0000-0000-000053000000}"/>
    <cellStyle name="Currency 8 3 2 2" xfId="310" xr:uid="{3E8EC4F0-FD90-4CCA-803D-C1849033FBD5}"/>
    <cellStyle name="Currency 8 3 2 2 2" xfId="486" xr:uid="{EB5054C4-9C4B-4F52-B60B-BBD100A87686}"/>
    <cellStyle name="Currency 8 3 2 3" xfId="398" xr:uid="{86D24CAF-6557-491A-BECF-284E25F7357F}"/>
    <cellStyle name="Currency 8 3 3" xfId="266" xr:uid="{498A94CF-60E0-40D2-AAB1-670D7C29C01B}"/>
    <cellStyle name="Currency 8 3 3 2" xfId="442" xr:uid="{F3D1025C-C671-4026-9D4B-D5D38BEBB571}"/>
    <cellStyle name="Currency 8 3 4" xfId="354" xr:uid="{6D7EC2CD-9E65-4220-8079-4999186F0E7C}"/>
    <cellStyle name="Currency 8 4" xfId="190" xr:uid="{00000000-0005-0000-0000-000054000000}"/>
    <cellStyle name="Currency 8 4 2" xfId="288" xr:uid="{EBC8C18D-D3F3-43CE-BA06-7CFA9FDCD55C}"/>
    <cellStyle name="Currency 8 4 2 2" xfId="464" xr:uid="{B5875719-2228-4F17-89EC-E1656B70F380}"/>
    <cellStyle name="Currency 8 4 3" xfId="376" xr:uid="{64DEEE55-6521-4D75-8688-437DE212BBB3}"/>
    <cellStyle name="Currency 8 5" xfId="244" xr:uid="{25E949BF-4352-4A48-BE26-0290634632CA}"/>
    <cellStyle name="Currency 8 5 2" xfId="420" xr:uid="{30B758F8-4587-4B23-A66F-074936279151}"/>
    <cellStyle name="Currency 8 6" xfId="332" xr:uid="{1238BA29-9A24-4458-B45B-9946781E15D1}"/>
    <cellStyle name="Followed Hyperlink" xfId="7" builtinId="9" customBuiltin="1"/>
    <cellStyle name="Font: Calibri, 9pt regular" xfId="5" xr:uid="{00000000-0005-0000-0000-000056000000}"/>
    <cellStyle name="Footnotes: all except top row" xfId="8" xr:uid="{00000000-0005-0000-0000-000057000000}"/>
    <cellStyle name="Footnotes: top row" xfId="6" xr:uid="{00000000-0005-0000-0000-000058000000}"/>
    <cellStyle name="Header: bottom row" xfId="2" xr:uid="{00000000-0005-0000-0000-000059000000}"/>
    <cellStyle name="Header: top rows" xfId="9" xr:uid="{00000000-0005-0000-0000-00005A000000}"/>
    <cellStyle name="Heading" xfId="43" xr:uid="{00000000-0005-0000-0000-00005B000000}"/>
    <cellStyle name="Heading 2 2" xfId="44" xr:uid="{00000000-0005-0000-0000-00005C000000}"/>
    <cellStyle name="Heading 5" xfId="228" xr:uid="{25448713-D4C7-41F9-B145-7856FD78695B}"/>
    <cellStyle name="Heading2" xfId="45" xr:uid="{00000000-0005-0000-0000-00005D000000}"/>
    <cellStyle name="Heading2 2" xfId="229" xr:uid="{7746558D-17ED-4EBE-8321-C9F49E5C81EF}"/>
    <cellStyle name="Hyperlink 10" xfId="46" xr:uid="{00000000-0005-0000-0000-00005F000000}"/>
    <cellStyle name="Hyperlink 10 2" xfId="47" xr:uid="{00000000-0005-0000-0000-000060000000}"/>
    <cellStyle name="Hyperlink 10 3" xfId="48" xr:uid="{00000000-0005-0000-0000-000061000000}"/>
    <cellStyle name="Hyperlink 11" xfId="49" xr:uid="{00000000-0005-0000-0000-000062000000}"/>
    <cellStyle name="Hyperlink 11 2" xfId="50" xr:uid="{00000000-0005-0000-0000-000063000000}"/>
    <cellStyle name="Hyperlink 11 3" xfId="51" xr:uid="{00000000-0005-0000-0000-000064000000}"/>
    <cellStyle name="Hyperlink 12" xfId="52" xr:uid="{00000000-0005-0000-0000-000065000000}"/>
    <cellStyle name="Hyperlink 12 2" xfId="53" xr:uid="{00000000-0005-0000-0000-000066000000}"/>
    <cellStyle name="Hyperlink 12 3" xfId="54" xr:uid="{00000000-0005-0000-0000-000067000000}"/>
    <cellStyle name="Hyperlink 13" xfId="55" xr:uid="{00000000-0005-0000-0000-000068000000}"/>
    <cellStyle name="Hyperlink 13 2" xfId="56" xr:uid="{00000000-0005-0000-0000-000069000000}"/>
    <cellStyle name="Hyperlink 13 3" xfId="57" xr:uid="{00000000-0005-0000-0000-00006A000000}"/>
    <cellStyle name="Hyperlink 14" xfId="58" xr:uid="{00000000-0005-0000-0000-00006B000000}"/>
    <cellStyle name="Hyperlink 14 2" xfId="59" xr:uid="{00000000-0005-0000-0000-00006C000000}"/>
    <cellStyle name="Hyperlink 14 3" xfId="60" xr:uid="{00000000-0005-0000-0000-00006D000000}"/>
    <cellStyle name="Hyperlink 15" xfId="61" xr:uid="{00000000-0005-0000-0000-00006E000000}"/>
    <cellStyle name="Hyperlink 15 2" xfId="62" xr:uid="{00000000-0005-0000-0000-00006F000000}"/>
    <cellStyle name="Hyperlink 15 3" xfId="63" xr:uid="{00000000-0005-0000-0000-000070000000}"/>
    <cellStyle name="Hyperlink 16" xfId="64" xr:uid="{00000000-0005-0000-0000-000071000000}"/>
    <cellStyle name="Hyperlink 16 2" xfId="65" xr:uid="{00000000-0005-0000-0000-000072000000}"/>
    <cellStyle name="Hyperlink 16 3" xfId="66" xr:uid="{00000000-0005-0000-0000-000073000000}"/>
    <cellStyle name="Hyperlink 17" xfId="67" xr:uid="{00000000-0005-0000-0000-000074000000}"/>
    <cellStyle name="Hyperlink 17 2" xfId="68" xr:uid="{00000000-0005-0000-0000-000075000000}"/>
    <cellStyle name="Hyperlink 17 3" xfId="69" xr:uid="{00000000-0005-0000-0000-000076000000}"/>
    <cellStyle name="Hyperlink 18" xfId="70" xr:uid="{00000000-0005-0000-0000-000077000000}"/>
    <cellStyle name="Hyperlink 18 2" xfId="71" xr:uid="{00000000-0005-0000-0000-000078000000}"/>
    <cellStyle name="Hyperlink 18 3" xfId="72" xr:uid="{00000000-0005-0000-0000-000079000000}"/>
    <cellStyle name="Hyperlink 19" xfId="73" xr:uid="{00000000-0005-0000-0000-00007A000000}"/>
    <cellStyle name="Hyperlink 19 2" xfId="74" xr:uid="{00000000-0005-0000-0000-00007B000000}"/>
    <cellStyle name="Hyperlink 19 3" xfId="75" xr:uid="{00000000-0005-0000-0000-00007C000000}"/>
    <cellStyle name="Hyperlink 2" xfId="10" xr:uid="{00000000-0005-0000-0000-00007D000000}"/>
    <cellStyle name="Hyperlink 2 2" xfId="77" xr:uid="{00000000-0005-0000-0000-00007E000000}"/>
    <cellStyle name="Hyperlink 2 3" xfId="78" xr:uid="{00000000-0005-0000-0000-00007F000000}"/>
    <cellStyle name="Hyperlink 2 4" xfId="76" xr:uid="{00000000-0005-0000-0000-000080000000}"/>
    <cellStyle name="Hyperlink 20" xfId="79" xr:uid="{00000000-0005-0000-0000-000081000000}"/>
    <cellStyle name="Hyperlink 20 2" xfId="80" xr:uid="{00000000-0005-0000-0000-000082000000}"/>
    <cellStyle name="Hyperlink 20 3" xfId="81" xr:uid="{00000000-0005-0000-0000-000083000000}"/>
    <cellStyle name="Hyperlink 21" xfId="82" xr:uid="{00000000-0005-0000-0000-000084000000}"/>
    <cellStyle name="Hyperlink 21 2" xfId="83" xr:uid="{00000000-0005-0000-0000-000085000000}"/>
    <cellStyle name="Hyperlink 21 3" xfId="84" xr:uid="{00000000-0005-0000-0000-000086000000}"/>
    <cellStyle name="Hyperlink 22" xfId="85" xr:uid="{00000000-0005-0000-0000-000087000000}"/>
    <cellStyle name="Hyperlink 22 2" xfId="86" xr:uid="{00000000-0005-0000-0000-000088000000}"/>
    <cellStyle name="Hyperlink 22 3" xfId="87" xr:uid="{00000000-0005-0000-0000-000089000000}"/>
    <cellStyle name="Hyperlink 23" xfId="88" xr:uid="{00000000-0005-0000-0000-00008A000000}"/>
    <cellStyle name="Hyperlink 23 2" xfId="89" xr:uid="{00000000-0005-0000-0000-00008B000000}"/>
    <cellStyle name="Hyperlink 23 3" xfId="90" xr:uid="{00000000-0005-0000-0000-00008C000000}"/>
    <cellStyle name="Hyperlink 24" xfId="91" xr:uid="{00000000-0005-0000-0000-00008D000000}"/>
    <cellStyle name="Hyperlink 25" xfId="92" xr:uid="{00000000-0005-0000-0000-00008E000000}"/>
    <cellStyle name="Hyperlink 26" xfId="93" xr:uid="{00000000-0005-0000-0000-00008F000000}"/>
    <cellStyle name="Hyperlink 27" xfId="94" xr:uid="{00000000-0005-0000-0000-000090000000}"/>
    <cellStyle name="Hyperlink 28" xfId="95" xr:uid="{00000000-0005-0000-0000-000091000000}"/>
    <cellStyle name="Hyperlink 29" xfId="96" xr:uid="{00000000-0005-0000-0000-000092000000}"/>
    <cellStyle name="Hyperlink 3" xfId="97" xr:uid="{00000000-0005-0000-0000-000093000000}"/>
    <cellStyle name="Hyperlink 3 2" xfId="98" xr:uid="{00000000-0005-0000-0000-000094000000}"/>
    <cellStyle name="Hyperlink 3 3" xfId="99" xr:uid="{00000000-0005-0000-0000-000095000000}"/>
    <cellStyle name="Hyperlink 30" xfId="100" xr:uid="{00000000-0005-0000-0000-000096000000}"/>
    <cellStyle name="Hyperlink 31" xfId="101" xr:uid="{00000000-0005-0000-0000-000097000000}"/>
    <cellStyle name="Hyperlink 32" xfId="102" xr:uid="{00000000-0005-0000-0000-000098000000}"/>
    <cellStyle name="Hyperlink 33" xfId="103" xr:uid="{00000000-0005-0000-0000-000099000000}"/>
    <cellStyle name="Hyperlink 33 2" xfId="104" xr:uid="{00000000-0005-0000-0000-00009A000000}"/>
    <cellStyle name="Hyperlink 33 3" xfId="105" xr:uid="{00000000-0005-0000-0000-00009B000000}"/>
    <cellStyle name="Hyperlink 34" xfId="106" xr:uid="{00000000-0005-0000-0000-00009C000000}"/>
    <cellStyle name="Hyperlink 34 2" xfId="107" xr:uid="{00000000-0005-0000-0000-00009D000000}"/>
    <cellStyle name="Hyperlink 34 3" xfId="108" xr:uid="{00000000-0005-0000-0000-00009E000000}"/>
    <cellStyle name="Hyperlink 34 4" xfId="109" xr:uid="{00000000-0005-0000-0000-00009F000000}"/>
    <cellStyle name="Hyperlink 34 5" xfId="110" xr:uid="{00000000-0005-0000-0000-0000A0000000}"/>
    <cellStyle name="Hyperlink 4" xfId="111" xr:uid="{00000000-0005-0000-0000-0000A1000000}"/>
    <cellStyle name="Hyperlink 4 2" xfId="112" xr:uid="{00000000-0005-0000-0000-0000A2000000}"/>
    <cellStyle name="Hyperlink 4 3" xfId="113" xr:uid="{00000000-0005-0000-0000-0000A3000000}"/>
    <cellStyle name="Hyperlink 5" xfId="114" xr:uid="{00000000-0005-0000-0000-0000A4000000}"/>
    <cellStyle name="Hyperlink 5 2" xfId="115" xr:uid="{00000000-0005-0000-0000-0000A5000000}"/>
    <cellStyle name="Hyperlink 5 3" xfId="116" xr:uid="{00000000-0005-0000-0000-0000A6000000}"/>
    <cellStyle name="Hyperlink 6" xfId="117" xr:uid="{00000000-0005-0000-0000-0000A7000000}"/>
    <cellStyle name="Hyperlink 6 2" xfId="118" xr:uid="{00000000-0005-0000-0000-0000A8000000}"/>
    <cellStyle name="Hyperlink 6 3" xfId="119" xr:uid="{00000000-0005-0000-0000-0000A9000000}"/>
    <cellStyle name="Hyperlink 7" xfId="120" xr:uid="{00000000-0005-0000-0000-0000AA000000}"/>
    <cellStyle name="Hyperlink 7 2" xfId="121" xr:uid="{00000000-0005-0000-0000-0000AB000000}"/>
    <cellStyle name="Hyperlink 7 3" xfId="122" xr:uid="{00000000-0005-0000-0000-0000AC000000}"/>
    <cellStyle name="Hyperlink 8" xfId="123" xr:uid="{00000000-0005-0000-0000-0000AD000000}"/>
    <cellStyle name="Hyperlink 8 2" xfId="124" xr:uid="{00000000-0005-0000-0000-0000AE000000}"/>
    <cellStyle name="Hyperlink 8 3" xfId="125" xr:uid="{00000000-0005-0000-0000-0000AF000000}"/>
    <cellStyle name="Hyperlink 9" xfId="126" xr:uid="{00000000-0005-0000-0000-0000B0000000}"/>
    <cellStyle name="Hyperlink 9 2" xfId="127" xr:uid="{00000000-0005-0000-0000-0000B1000000}"/>
    <cellStyle name="Hyperlink 9 3" xfId="128" xr:uid="{00000000-0005-0000-0000-0000B2000000}"/>
    <cellStyle name="Input 2" xfId="129" xr:uid="{00000000-0005-0000-0000-0000B3000000}"/>
    <cellStyle name="Input 2 2" xfId="230" xr:uid="{88D4C9AC-6088-4270-B7F2-3A0D5EFEF403}"/>
    <cellStyle name="Linked" xfId="130" xr:uid="{00000000-0005-0000-0000-0000B4000000}"/>
    <cellStyle name="Linked 2" xfId="231" xr:uid="{FF2CAE21-15DA-4744-99C5-A9EF0773C10B}"/>
    <cellStyle name="Normal" xfId="0" builtinId="0"/>
    <cellStyle name="Normal 2" xfId="14" xr:uid="{00000000-0005-0000-0000-0000B6000000}"/>
    <cellStyle name="Normal 2 2" xfId="13" xr:uid="{00000000-0005-0000-0000-0000B7000000}"/>
    <cellStyle name="Normal 2 2 2" xfId="131" xr:uid="{00000000-0005-0000-0000-0000B8000000}"/>
    <cellStyle name="Normal 2 2 2 2" xfId="158" xr:uid="{00000000-0005-0000-0000-0000B9000000}"/>
    <cellStyle name="Normal 2 2 2 2 2" xfId="180" xr:uid="{00000000-0005-0000-0000-0000BA000000}"/>
    <cellStyle name="Normal 2 2 2 2 2 2" xfId="224" xr:uid="{00000000-0005-0000-0000-0000BB000000}"/>
    <cellStyle name="Normal 2 2 2 2 2 2 2" xfId="322" xr:uid="{5AC28247-EA66-4217-AA9A-F8E775584E3D}"/>
    <cellStyle name="Normal 2 2 2 2 2 2 2 2" xfId="498" xr:uid="{1D90125B-EF2B-45E9-B625-E6C8F3417B30}"/>
    <cellStyle name="Normal 2 2 2 2 2 2 3" xfId="410" xr:uid="{C72CFE15-C366-4219-A6A4-631CABA5B5C9}"/>
    <cellStyle name="Normal 2 2 2 2 2 3" xfId="278" xr:uid="{A3DAEC5F-78A2-466A-935A-538212DCBBAF}"/>
    <cellStyle name="Normal 2 2 2 2 2 3 2" xfId="454" xr:uid="{BC823455-D254-4D20-9614-F0F4A8B7EF2B}"/>
    <cellStyle name="Normal 2 2 2 2 2 4" xfId="366" xr:uid="{6AE421A1-72D6-4DE8-AF1F-FB7C960DB0C5}"/>
    <cellStyle name="Normal 2 2 2 2 3" xfId="202" xr:uid="{00000000-0005-0000-0000-0000BC000000}"/>
    <cellStyle name="Normal 2 2 2 2 3 2" xfId="300" xr:uid="{B8D641DB-CA3E-4A8B-A2C6-1D71FC1929C1}"/>
    <cellStyle name="Normal 2 2 2 2 3 2 2" xfId="476" xr:uid="{E73632C5-9577-4D64-8D4A-9C32B69E0A72}"/>
    <cellStyle name="Normal 2 2 2 2 3 3" xfId="388" xr:uid="{4D252939-DE4C-4723-947E-3961BF3DCFEC}"/>
    <cellStyle name="Normal 2 2 2 2 4" xfId="256" xr:uid="{A78E969A-CF72-433C-8E0D-524A6F21CAEB}"/>
    <cellStyle name="Normal 2 2 2 2 4 2" xfId="432" xr:uid="{3D9F853E-0B84-4548-8A03-62FD1C233F62}"/>
    <cellStyle name="Normal 2 2 2 2 5" xfId="344" xr:uid="{98679218-AF2A-42DA-B0DC-8DAB5451F446}"/>
    <cellStyle name="Normal 2 2 2 3" xfId="169" xr:uid="{00000000-0005-0000-0000-0000BD000000}"/>
    <cellStyle name="Normal 2 2 2 3 2" xfId="213" xr:uid="{00000000-0005-0000-0000-0000BE000000}"/>
    <cellStyle name="Normal 2 2 2 3 2 2" xfId="311" xr:uid="{239899D2-AD41-4E52-AA7A-EF5C1D61A28C}"/>
    <cellStyle name="Normal 2 2 2 3 2 2 2" xfId="487" xr:uid="{04FC2263-EAF7-45C0-A181-76C6DA45A03F}"/>
    <cellStyle name="Normal 2 2 2 3 2 3" xfId="399" xr:uid="{CF3180FA-481A-4090-BDDE-2838BC27DB3F}"/>
    <cellStyle name="Normal 2 2 2 3 3" xfId="267" xr:uid="{FD6D63D6-60B2-45E6-A738-D41B79EAB763}"/>
    <cellStyle name="Normal 2 2 2 3 3 2" xfId="443" xr:uid="{FE996C77-D1FE-4D8D-B8F5-A736B9996CEE}"/>
    <cellStyle name="Normal 2 2 2 3 4" xfId="355" xr:uid="{CC2BDD0C-BDF2-447B-A434-9AB4A7D21706}"/>
    <cellStyle name="Normal 2 2 2 4" xfId="191" xr:uid="{00000000-0005-0000-0000-0000BF000000}"/>
    <cellStyle name="Normal 2 2 2 4 2" xfId="289" xr:uid="{46CE0C83-99C6-4AA5-BD82-62544E67EF52}"/>
    <cellStyle name="Normal 2 2 2 4 2 2" xfId="465" xr:uid="{B551EE75-3EDA-4B44-81E0-191DEEF34CC0}"/>
    <cellStyle name="Normal 2 2 2 4 3" xfId="377" xr:uid="{99D22260-F222-4AAD-B138-067FD06AAE75}"/>
    <cellStyle name="Normal 2 2 2 5" xfId="245" xr:uid="{07E53D74-CF37-4C06-8049-2B69EC851CE5}"/>
    <cellStyle name="Normal 2 2 2 5 2" xfId="421" xr:uid="{9F9E651A-AEB5-4DD1-88BA-84C93ABD9ECA}"/>
    <cellStyle name="Normal 2 2 2 6" xfId="333" xr:uid="{95120917-41D0-471F-A201-8B75826B32DD}"/>
    <cellStyle name="Normal 3" xfId="132" xr:uid="{00000000-0005-0000-0000-0000C0000000}"/>
    <cellStyle name="Normal 4" xfId="133" xr:uid="{00000000-0005-0000-0000-0000C1000000}"/>
    <cellStyle name="Normal 5" xfId="134" xr:uid="{00000000-0005-0000-0000-0000C2000000}"/>
    <cellStyle name="Normal 5 2" xfId="232" xr:uid="{7467C012-1D47-4F25-ACBC-C180398A70D0}"/>
    <cellStyle name="Normal 6" xfId="135" xr:uid="{00000000-0005-0000-0000-0000C3000000}"/>
    <cellStyle name="Normal 6 2" xfId="159" xr:uid="{00000000-0005-0000-0000-0000C4000000}"/>
    <cellStyle name="Normal 6 2 2" xfId="181" xr:uid="{00000000-0005-0000-0000-0000C5000000}"/>
    <cellStyle name="Normal 6 2 2 2" xfId="225" xr:uid="{00000000-0005-0000-0000-0000C6000000}"/>
    <cellStyle name="Normal 6 2 2 2 2" xfId="323" xr:uid="{7721DD48-BA8D-4212-955D-9CB4FE3BB118}"/>
    <cellStyle name="Normal 6 2 2 2 2 2" xfId="499" xr:uid="{BE76D721-C7E4-432F-9873-5E3E0A9593C8}"/>
    <cellStyle name="Normal 6 2 2 2 3" xfId="411" xr:uid="{F3911515-CD11-490A-98BF-A9217D6F95E3}"/>
    <cellStyle name="Normal 6 2 2 3" xfId="279" xr:uid="{93243BA9-A1CF-405C-98B7-72935F55CBB3}"/>
    <cellStyle name="Normal 6 2 2 3 2" xfId="455" xr:uid="{596750A2-7F96-4E85-A02D-6A3ABB65D07C}"/>
    <cellStyle name="Normal 6 2 2 4" xfId="367" xr:uid="{7B173737-C00F-4063-B1D9-538B630E6A7A}"/>
    <cellStyle name="Normal 6 2 3" xfId="203" xr:uid="{00000000-0005-0000-0000-0000C7000000}"/>
    <cellStyle name="Normal 6 2 3 2" xfId="301" xr:uid="{B15D910C-B89D-4ED8-9E6B-B747BF8F6461}"/>
    <cellStyle name="Normal 6 2 3 2 2" xfId="477" xr:uid="{4C8DDEEF-04BE-4977-8D2C-3F1C0549B0A3}"/>
    <cellStyle name="Normal 6 2 3 3" xfId="389" xr:uid="{7A459F81-9C40-472D-9E8A-572E6EAE57F2}"/>
    <cellStyle name="Normal 6 2 4" xfId="257" xr:uid="{8908AC1C-51F2-44AF-8CDD-362DF84B3C85}"/>
    <cellStyle name="Normal 6 2 4 2" xfId="433" xr:uid="{2686913D-6382-4756-9A98-395B8F82780B}"/>
    <cellStyle name="Normal 6 2 5" xfId="345" xr:uid="{F42DA274-87A5-4252-9672-855EFE287BF0}"/>
    <cellStyle name="Normal 6 3" xfId="170" xr:uid="{00000000-0005-0000-0000-0000C8000000}"/>
    <cellStyle name="Normal 6 3 2" xfId="214" xr:uid="{00000000-0005-0000-0000-0000C9000000}"/>
    <cellStyle name="Normal 6 3 2 2" xfId="312" xr:uid="{3A2CC997-B09A-456B-AB93-F91F2636D81B}"/>
    <cellStyle name="Normal 6 3 2 2 2" xfId="488" xr:uid="{3C4377F7-D021-443A-86CB-CA84DE21A33C}"/>
    <cellStyle name="Normal 6 3 2 3" xfId="400" xr:uid="{6D9CF56E-6AC3-477D-858E-4CA52192B5A8}"/>
    <cellStyle name="Normal 6 3 3" xfId="268" xr:uid="{9F49EF41-13AA-497B-90A7-50AC2E26C853}"/>
    <cellStyle name="Normal 6 3 3 2" xfId="444" xr:uid="{5865B052-E187-470D-ACFC-A0D580561925}"/>
    <cellStyle name="Normal 6 3 4" xfId="356" xr:uid="{100F7653-01D4-4076-BD11-CDEDEA2CD5F2}"/>
    <cellStyle name="Normal 6 4" xfId="192" xr:uid="{00000000-0005-0000-0000-0000CA000000}"/>
    <cellStyle name="Normal 6 4 2" xfId="290" xr:uid="{BD0058FA-80C8-4B48-9CE0-A5ECC3FEE1E6}"/>
    <cellStyle name="Normal 6 4 2 2" xfId="466" xr:uid="{E98B7E1E-919D-4A28-9E08-4712842EE335}"/>
    <cellStyle name="Normal 6 4 3" xfId="378" xr:uid="{A035E8D9-CF6B-4A65-AD65-20C5B440D0C4}"/>
    <cellStyle name="Normal 6 5" xfId="246" xr:uid="{0E37A6EB-32DA-4AEF-BDD3-4DE09352FF6A}"/>
    <cellStyle name="Normal 6 5 2" xfId="422" xr:uid="{DCFE3C1A-EEB8-4F5C-AA5E-DE9B20959758}"/>
    <cellStyle name="Normal 6 6" xfId="334" xr:uid="{246F2E1C-0DB0-4FF2-B5FF-7C345B78F2C8}"/>
    <cellStyle name="Normal 7" xfId="136" xr:uid="{00000000-0005-0000-0000-0000CB000000}"/>
    <cellStyle name="Normal 8" xfId="137" xr:uid="{00000000-0005-0000-0000-0000CC000000}"/>
    <cellStyle name="Normal Small" xfId="138" xr:uid="{00000000-0005-0000-0000-0000CD000000}"/>
    <cellStyle name="Parent row" xfId="3" xr:uid="{00000000-0005-0000-0000-0000CE000000}"/>
    <cellStyle name="Percent 2" xfId="139" xr:uid="{00000000-0005-0000-0000-0000D0000000}"/>
    <cellStyle name="Percent 2 2" xfId="140" xr:uid="{00000000-0005-0000-0000-0000D1000000}"/>
    <cellStyle name="Percent 2 3" xfId="141" xr:uid="{00000000-0005-0000-0000-0000D2000000}"/>
    <cellStyle name="Percent 2 4" xfId="160" xr:uid="{00000000-0005-0000-0000-0000D3000000}"/>
    <cellStyle name="Percent 2 4 2" xfId="182" xr:uid="{00000000-0005-0000-0000-0000D4000000}"/>
    <cellStyle name="Percent 2 4 2 2" xfId="226" xr:uid="{00000000-0005-0000-0000-0000D5000000}"/>
    <cellStyle name="Percent 2 4 2 2 2" xfId="324" xr:uid="{8DB5AAA5-F743-47E1-AA49-38625263D8A2}"/>
    <cellStyle name="Percent 2 4 2 2 2 2" xfId="500" xr:uid="{D02E3246-7635-48F8-9DF9-87D70BA2B591}"/>
    <cellStyle name="Percent 2 4 2 2 3" xfId="412" xr:uid="{CFD8F232-BFA0-4CDA-B67F-AE482D31CBCB}"/>
    <cellStyle name="Percent 2 4 2 3" xfId="280" xr:uid="{88FAA527-C542-4E8D-BB41-981F70C4F6FF}"/>
    <cellStyle name="Percent 2 4 2 3 2" xfId="456" xr:uid="{6DC24DF9-4EA3-482D-94F4-0A54F385F318}"/>
    <cellStyle name="Percent 2 4 2 4" xfId="368" xr:uid="{1E67FF88-0726-43AE-83E7-0DF99710A8FB}"/>
    <cellStyle name="Percent 2 4 3" xfId="204" xr:uid="{00000000-0005-0000-0000-0000D6000000}"/>
    <cellStyle name="Percent 2 4 3 2" xfId="302" xr:uid="{9329E13A-CECE-4808-AB9F-396C15197EAF}"/>
    <cellStyle name="Percent 2 4 3 2 2" xfId="478" xr:uid="{B8B9CA13-710A-4924-8DE3-83B7F18BC6A7}"/>
    <cellStyle name="Percent 2 4 3 3" xfId="390" xr:uid="{10D427E3-2780-4167-9DC7-08D997C60223}"/>
    <cellStyle name="Percent 2 4 4" xfId="258" xr:uid="{B99A8A3F-9947-49C4-BFF9-28C4560FE9C6}"/>
    <cellStyle name="Percent 2 4 4 2" xfId="434" xr:uid="{FD87F3DB-D9B1-4E8E-8B59-46151CDDA7CB}"/>
    <cellStyle name="Percent 2 4 5" xfId="346" xr:uid="{FC2985C6-482D-4481-AFBE-744AFEDB2566}"/>
    <cellStyle name="Percent 2 5" xfId="171" xr:uid="{00000000-0005-0000-0000-0000D7000000}"/>
    <cellStyle name="Percent 2 5 2" xfId="215" xr:uid="{00000000-0005-0000-0000-0000D8000000}"/>
    <cellStyle name="Percent 2 5 2 2" xfId="313" xr:uid="{A02FBEA5-E66D-4284-9AF2-ADEB59C539D0}"/>
    <cellStyle name="Percent 2 5 2 2 2" xfId="489" xr:uid="{856527DE-EB14-4970-9B6F-DAED9578A927}"/>
    <cellStyle name="Percent 2 5 2 3" xfId="401" xr:uid="{EA2D60ED-52ED-400A-A15C-3F1E78DD0FB4}"/>
    <cellStyle name="Percent 2 5 3" xfId="269" xr:uid="{9F312FE3-3CFA-4BEC-9B98-2745110E325A}"/>
    <cellStyle name="Percent 2 5 3 2" xfId="445" xr:uid="{B06D22D2-0244-41D0-8BAD-7C87001966B6}"/>
    <cellStyle name="Percent 2 5 4" xfId="357" xr:uid="{A8F61F17-46E2-4AC3-BD58-8A98EC875302}"/>
    <cellStyle name="Percent 2 6" xfId="193" xr:uid="{00000000-0005-0000-0000-0000D9000000}"/>
    <cellStyle name="Percent 2 6 2" xfId="291" xr:uid="{C03AF7F6-2208-468B-B4D8-89EA3A0B1E97}"/>
    <cellStyle name="Percent 2 6 2 2" xfId="467" xr:uid="{C1BA04D2-081B-483C-BFA8-EC97D3A2FA3B}"/>
    <cellStyle name="Percent 2 6 3" xfId="379" xr:uid="{FDB89D89-DC69-416D-9FBC-85DA89A86DDB}"/>
    <cellStyle name="Percent 2 7" xfId="247" xr:uid="{63B9FD47-4819-45D9-8E09-01CE09EAEAE2}"/>
    <cellStyle name="Percent 2 7 2" xfId="423" xr:uid="{6030D0AC-FD68-4E5F-8AD3-7B3E15487FFB}"/>
    <cellStyle name="Percent 2 8" xfId="335" xr:uid="{122135BA-65BA-41A0-94A8-12DB2E7B7A6F}"/>
    <cellStyle name="Percent 3" xfId="142" xr:uid="{00000000-0005-0000-0000-0000DA000000}"/>
    <cellStyle name="Percent 3 2" xfId="143" xr:uid="{00000000-0005-0000-0000-0000DB000000}"/>
    <cellStyle name="Results" xfId="144" xr:uid="{00000000-0005-0000-0000-0000DC000000}"/>
    <cellStyle name="Results 2" xfId="233" xr:uid="{06B7D1DF-807F-48CD-A487-3926F4518127}"/>
    <cellStyle name="Section Break" xfId="11" xr:uid="{00000000-0005-0000-0000-0000DD000000}"/>
    <cellStyle name="Section Break: parent row" xfId="12" xr:uid="{00000000-0005-0000-0000-0000DE000000}"/>
    <cellStyle name="Table title" xfId="1" xr:uid="{00000000-0005-0000-0000-0000DF000000}"/>
    <cellStyle name="Title 2" xfId="145" xr:uid="{00000000-0005-0000-0000-0000E0000000}"/>
    <cellStyle name="Title 3" xfId="146" xr:uid="{00000000-0005-0000-0000-0000E1000000}"/>
    <cellStyle name="Title 3 2" xfId="234" xr:uid="{50120BD3-8CC0-4ECC-8E46-98A68AE2CAA3}"/>
    <cellStyle name="Unit" xfId="147" xr:uid="{00000000-0005-0000-0000-0000E2000000}"/>
    <cellStyle name="Unit 2" xfId="235" xr:uid="{CA5A6D15-9DAB-4838-9A26-76D16E50FBC3}"/>
    <cellStyle name="UserInput" xfId="148" xr:uid="{00000000-0005-0000-0000-0000E3000000}"/>
    <cellStyle name="Variable" xfId="149" xr:uid="{00000000-0005-0000-0000-0000E4000000}"/>
    <cellStyle name="Variable 2" xfId="236" xr:uid="{2D07B8F2-E589-475C-859D-E8DCAA1D0435}"/>
  </cellStyles>
  <dxfs count="4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2" defaultTableStyle="TableStyleMedium2" defaultPivotStyle="PivotStyleLight16">
    <tableStyle name="Table Style 1" pivot="0" count="2" xr9:uid="{00000000-0011-0000-FFFF-FFFF00000000}">
      <tableStyleElement type="wholeTable" dxfId="3"/>
      <tableStyleElement type="headerRow" dxfId="2"/>
    </tableStyle>
    <tableStyle name="MySqlDefault" pivot="0" table="0" count="2" xr9:uid="{00000000-0011-0000-FFFF-FFFF01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26B0CD-4B4F-4B92-AA0D-BA5C564F26E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2ec955f-ad25-48a2-af68-69e76b12ef8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BFC3-1A6A-47EE-A799-497D849703CE}">
  <dimension ref="A1:C86"/>
  <sheetViews>
    <sheetView tabSelected="1" workbookViewId="0"/>
  </sheetViews>
  <sheetFormatPr defaultRowHeight="15"/>
  <cols>
    <col min="1" max="3" width="41.85546875" customWidth="1"/>
  </cols>
  <sheetData>
    <row r="1" spans="1:2" ht="18.75">
      <c r="A1" s="5" t="s">
        <v>33</v>
      </c>
    </row>
    <row r="3" spans="1:2">
      <c r="A3" s="1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s">
        <v>38</v>
      </c>
    </row>
    <row r="6" spans="1:2">
      <c r="A6" t="s">
        <v>39</v>
      </c>
      <c r="B6" t="s">
        <v>40</v>
      </c>
    </row>
    <row r="7" spans="1:2">
      <c r="A7" t="s">
        <v>41</v>
      </c>
      <c r="B7" t="s">
        <v>42</v>
      </c>
    </row>
    <row r="8" spans="1:2">
      <c r="A8" t="s">
        <v>43</v>
      </c>
      <c r="B8" t="s">
        <v>44</v>
      </c>
    </row>
    <row r="9" spans="1:2">
      <c r="A9" t="s">
        <v>45</v>
      </c>
      <c r="B9" t="s">
        <v>46</v>
      </c>
    </row>
    <row r="10" spans="1:2">
      <c r="A10" t="s">
        <v>47</v>
      </c>
      <c r="B10" t="s">
        <v>48</v>
      </c>
    </row>
    <row r="11" spans="1:2">
      <c r="A11" t="s">
        <v>49</v>
      </c>
      <c r="B11" t="s">
        <v>50</v>
      </c>
    </row>
    <row r="12" spans="1:2">
      <c r="A12" t="s">
        <v>51</v>
      </c>
      <c r="B12" t="s">
        <v>52</v>
      </c>
    </row>
    <row r="13" spans="1:2">
      <c r="A13" t="s">
        <v>53</v>
      </c>
      <c r="B13" t="s">
        <v>54</v>
      </c>
    </row>
    <row r="14" spans="1:2">
      <c r="A14" t="s">
        <v>55</v>
      </c>
      <c r="B14" t="s">
        <v>56</v>
      </c>
    </row>
    <row r="15" spans="1:2">
      <c r="A15" t="s">
        <v>57</v>
      </c>
      <c r="B15" t="s">
        <v>58</v>
      </c>
    </row>
    <row r="17" spans="1:1">
      <c r="A17" s="1" t="s">
        <v>59</v>
      </c>
    </row>
    <row r="18" spans="1:1">
      <c r="A18" t="s">
        <v>60</v>
      </c>
    </row>
    <row r="19" spans="1:1">
      <c r="A19" t="s">
        <v>61</v>
      </c>
    </row>
    <row r="20" spans="1:1">
      <c r="A20" t="s">
        <v>62</v>
      </c>
    </row>
    <row r="21" spans="1:1">
      <c r="A21" t="s">
        <v>63</v>
      </c>
    </row>
    <row r="22" spans="1:1">
      <c r="A22" t="s">
        <v>64</v>
      </c>
    </row>
    <row r="23" spans="1:1">
      <c r="A23" t="s">
        <v>65</v>
      </c>
    </row>
    <row r="25" spans="1:1">
      <c r="A25" s="1" t="s">
        <v>66</v>
      </c>
    </row>
    <row r="26" spans="1:1">
      <c r="A26" t="s">
        <v>67</v>
      </c>
    </row>
    <row r="27" spans="1:1">
      <c r="A27" t="s">
        <v>68</v>
      </c>
    </row>
    <row r="28" spans="1:1">
      <c r="A28" t="s">
        <v>69</v>
      </c>
    </row>
    <row r="29" spans="1:1">
      <c r="A29" t="s">
        <v>70</v>
      </c>
    </row>
    <row r="31" spans="1:1">
      <c r="A31" s="1" t="s">
        <v>71</v>
      </c>
    </row>
    <row r="32" spans="1:1">
      <c r="A32" t="s">
        <v>72</v>
      </c>
    </row>
    <row r="33" spans="1:3">
      <c r="A33" t="s">
        <v>73</v>
      </c>
    </row>
    <row r="34" spans="1:3">
      <c r="A34" t="s">
        <v>74</v>
      </c>
    </row>
    <row r="35" spans="1:3">
      <c r="A35" t="s">
        <v>75</v>
      </c>
    </row>
    <row r="37" spans="1:3">
      <c r="A37" s="1" t="s">
        <v>76</v>
      </c>
    </row>
    <row r="38" spans="1:3">
      <c r="A38" s="1" t="s">
        <v>77</v>
      </c>
    </row>
    <row r="39" spans="1:3">
      <c r="A39" t="s">
        <v>78</v>
      </c>
      <c r="B39" t="s">
        <v>79</v>
      </c>
      <c r="C39" t="s">
        <v>80</v>
      </c>
    </row>
    <row r="40" spans="1:3">
      <c r="A40" t="s">
        <v>81</v>
      </c>
      <c r="B40" t="s">
        <v>82</v>
      </c>
      <c r="C40" t="s">
        <v>83</v>
      </c>
    </row>
    <row r="41" spans="1:3">
      <c r="A41" t="s">
        <v>84</v>
      </c>
      <c r="B41" t="s">
        <v>85</v>
      </c>
    </row>
    <row r="42" spans="1:3">
      <c r="A42" t="s">
        <v>86</v>
      </c>
      <c r="B42" t="s">
        <v>87</v>
      </c>
      <c r="C42" t="s">
        <v>88</v>
      </c>
    </row>
    <row r="43" spans="1:3">
      <c r="A43" t="s">
        <v>89</v>
      </c>
      <c r="B43" t="s">
        <v>90</v>
      </c>
      <c r="C43" t="s">
        <v>91</v>
      </c>
    </row>
    <row r="44" spans="1:3">
      <c r="A44" t="s">
        <v>92</v>
      </c>
      <c r="B44" t="s">
        <v>93</v>
      </c>
      <c r="C44" t="s">
        <v>94</v>
      </c>
    </row>
    <row r="45" spans="1:3">
      <c r="A45" t="s">
        <v>95</v>
      </c>
      <c r="B45" t="s">
        <v>96</v>
      </c>
      <c r="C45" t="s">
        <v>97</v>
      </c>
    </row>
    <row r="47" spans="1:3">
      <c r="A47" s="1" t="s">
        <v>98</v>
      </c>
    </row>
    <row r="48" spans="1:3">
      <c r="A48" t="s">
        <v>99</v>
      </c>
      <c r="B48" t="s">
        <v>100</v>
      </c>
      <c r="C48" t="s">
        <v>101</v>
      </c>
    </row>
    <row r="49" spans="1:3">
      <c r="A49" t="s">
        <v>102</v>
      </c>
      <c r="B49" t="s">
        <v>103</v>
      </c>
      <c r="C49" t="s">
        <v>104</v>
      </c>
    </row>
    <row r="50" spans="1:3">
      <c r="A50" t="s">
        <v>105</v>
      </c>
      <c r="B50" t="s">
        <v>106</v>
      </c>
      <c r="C50" t="s">
        <v>107</v>
      </c>
    </row>
    <row r="51" spans="1:3">
      <c r="A51" t="s">
        <v>108</v>
      </c>
      <c r="B51" t="s">
        <v>109</v>
      </c>
      <c r="C51" t="s">
        <v>110</v>
      </c>
    </row>
    <row r="52" spans="1:3">
      <c r="A52" t="s">
        <v>18</v>
      </c>
      <c r="B52" t="s">
        <v>111</v>
      </c>
    </row>
    <row r="54" spans="1:3">
      <c r="A54" s="1" t="s">
        <v>112</v>
      </c>
    </row>
    <row r="55" spans="1:3">
      <c r="A55" t="s">
        <v>78</v>
      </c>
      <c r="B55" t="s">
        <v>113</v>
      </c>
      <c r="C55" t="s">
        <v>80</v>
      </c>
    </row>
    <row r="56" spans="1:3">
      <c r="A56" t="s">
        <v>114</v>
      </c>
      <c r="B56" t="s">
        <v>115</v>
      </c>
      <c r="C56" t="s">
        <v>116</v>
      </c>
    </row>
    <row r="57" spans="1:3">
      <c r="A57" t="s">
        <v>114</v>
      </c>
      <c r="B57" t="s">
        <v>117</v>
      </c>
      <c r="C57" t="s">
        <v>118</v>
      </c>
    </row>
    <row r="58" spans="1:3">
      <c r="A58" t="s">
        <v>119</v>
      </c>
      <c r="B58" t="s">
        <v>120</v>
      </c>
    </row>
    <row r="59" spans="1:3">
      <c r="A59" t="s">
        <v>121</v>
      </c>
      <c r="B59" t="s">
        <v>122</v>
      </c>
      <c r="C59" t="s">
        <v>123</v>
      </c>
    </row>
    <row r="60" spans="1:3">
      <c r="A60" t="s">
        <v>124</v>
      </c>
      <c r="B60" t="s">
        <v>125</v>
      </c>
      <c r="C60" t="s">
        <v>126</v>
      </c>
    </row>
    <row r="62" spans="1:3">
      <c r="A62" s="1" t="s">
        <v>127</v>
      </c>
    </row>
    <row r="63" spans="1:3">
      <c r="A63" t="s">
        <v>128</v>
      </c>
      <c r="B63" t="s">
        <v>129</v>
      </c>
      <c r="C63" t="s">
        <v>130</v>
      </c>
    </row>
    <row r="64" spans="1:3">
      <c r="A64" t="s">
        <v>131</v>
      </c>
      <c r="B64" t="s">
        <v>132</v>
      </c>
      <c r="C64" t="s">
        <v>133</v>
      </c>
    </row>
    <row r="65" spans="1:3">
      <c r="A65" t="s">
        <v>134</v>
      </c>
      <c r="B65" t="s">
        <v>135</v>
      </c>
      <c r="C65" t="s">
        <v>136</v>
      </c>
    </row>
    <row r="66" spans="1:3">
      <c r="A66" t="s">
        <v>137</v>
      </c>
      <c r="B66" t="s">
        <v>138</v>
      </c>
      <c r="C66" t="s">
        <v>139</v>
      </c>
    </row>
    <row r="67" spans="1:3">
      <c r="A67" t="s">
        <v>140</v>
      </c>
      <c r="B67" t="s">
        <v>141</v>
      </c>
      <c r="C67" t="s">
        <v>142</v>
      </c>
    </row>
    <row r="69" spans="1:3">
      <c r="A69" s="1" t="s">
        <v>143</v>
      </c>
    </row>
    <row r="70" spans="1:3">
      <c r="A70" t="s">
        <v>144</v>
      </c>
      <c r="B70" t="s">
        <v>145</v>
      </c>
      <c r="C70" t="s">
        <v>146</v>
      </c>
    </row>
    <row r="71" spans="1:3">
      <c r="A71" t="s">
        <v>147</v>
      </c>
      <c r="B71" t="s">
        <v>148</v>
      </c>
      <c r="C71" t="s">
        <v>149</v>
      </c>
    </row>
    <row r="72" spans="1:3">
      <c r="A72" t="s">
        <v>150</v>
      </c>
      <c r="B72" t="s">
        <v>151</v>
      </c>
    </row>
    <row r="73" spans="1:3">
      <c r="A73" t="s">
        <v>152</v>
      </c>
      <c r="B73" t="s">
        <v>153</v>
      </c>
    </row>
    <row r="75" spans="1:3">
      <c r="A75" s="1" t="s">
        <v>154</v>
      </c>
    </row>
    <row r="76" spans="1:3">
      <c r="A76" t="s">
        <v>155</v>
      </c>
      <c r="B76" t="s">
        <v>156</v>
      </c>
      <c r="C76" t="s">
        <v>157</v>
      </c>
    </row>
    <row r="77" spans="1:3">
      <c r="A77" t="s">
        <v>158</v>
      </c>
      <c r="B77" t="s">
        <v>159</v>
      </c>
      <c r="C77" t="s">
        <v>160</v>
      </c>
    </row>
    <row r="78" spans="1:3">
      <c r="A78" t="s">
        <v>161</v>
      </c>
      <c r="B78" t="s">
        <v>162</v>
      </c>
      <c r="C78" t="s">
        <v>163</v>
      </c>
    </row>
    <row r="80" spans="1:3">
      <c r="A80" s="1" t="s">
        <v>164</v>
      </c>
    </row>
    <row r="81" spans="1:3">
      <c r="A81" t="s">
        <v>165</v>
      </c>
      <c r="B81" t="s">
        <v>166</v>
      </c>
      <c r="C81" t="s">
        <v>167</v>
      </c>
    </row>
    <row r="82" spans="1:3">
      <c r="A82" t="s">
        <v>165</v>
      </c>
      <c r="B82" t="s">
        <v>168</v>
      </c>
      <c r="C82" t="s">
        <v>169</v>
      </c>
    </row>
    <row r="83" spans="1:3">
      <c r="A83" t="s">
        <v>165</v>
      </c>
      <c r="B83" t="s">
        <v>170</v>
      </c>
      <c r="C83" t="s">
        <v>171</v>
      </c>
    </row>
    <row r="84" spans="1:3">
      <c r="A84" t="s">
        <v>172</v>
      </c>
      <c r="B84" t="s">
        <v>173</v>
      </c>
      <c r="C84" t="s">
        <v>174</v>
      </c>
    </row>
    <row r="85" spans="1:3">
      <c r="A85" t="s">
        <v>175</v>
      </c>
      <c r="B85" t="s">
        <v>176</v>
      </c>
      <c r="C85" t="s">
        <v>177</v>
      </c>
    </row>
    <row r="86" spans="1:3">
      <c r="A86" t="s">
        <v>178</v>
      </c>
      <c r="B86" t="s">
        <v>179</v>
      </c>
      <c r="C86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ED1D-14BA-4A72-A9E4-B88E3DC2E243}">
  <dimension ref="A1:J31"/>
  <sheetViews>
    <sheetView topLeftCell="A6" workbookViewId="0">
      <selection activeCell="A27" sqref="A27"/>
    </sheetView>
  </sheetViews>
  <sheetFormatPr defaultRowHeight="15"/>
  <sheetData>
    <row r="1" spans="1:6" ht="17.25">
      <c r="A1" s="7" t="s">
        <v>183</v>
      </c>
    </row>
    <row r="2" spans="1:6">
      <c r="A2" s="2" t="s">
        <v>184</v>
      </c>
    </row>
    <row r="4" spans="1:6">
      <c r="A4" s="8" t="s">
        <v>185</v>
      </c>
    </row>
    <row r="5" spans="1:6">
      <c r="A5" s="6" t="s">
        <v>186</v>
      </c>
      <c r="B5" s="6">
        <v>2025</v>
      </c>
      <c r="C5" s="6">
        <v>2026</v>
      </c>
      <c r="D5" s="6" t="s">
        <v>187</v>
      </c>
      <c r="E5" s="6" t="s">
        <v>188</v>
      </c>
    </row>
    <row r="6" spans="1:6">
      <c r="A6" t="s">
        <v>189</v>
      </c>
      <c r="B6" s="9">
        <v>0.14000000000000001</v>
      </c>
      <c r="C6" s="9">
        <v>0</v>
      </c>
      <c r="D6" s="9">
        <v>0</v>
      </c>
      <c r="E6" t="s">
        <v>190</v>
      </c>
    </row>
    <row r="7" spans="1:6">
      <c r="A7" t="s">
        <v>191</v>
      </c>
      <c r="B7" s="9">
        <v>0.5</v>
      </c>
      <c r="C7" s="9">
        <v>0.5</v>
      </c>
      <c r="D7" s="9">
        <v>0.5</v>
      </c>
      <c r="E7" t="s">
        <v>192</v>
      </c>
    </row>
    <row r="8" spans="1:6">
      <c r="A8" t="s">
        <v>193</v>
      </c>
      <c r="B8" s="9">
        <v>0.5</v>
      </c>
      <c r="C8" s="9">
        <v>0.5</v>
      </c>
      <c r="D8" s="9">
        <v>0.5</v>
      </c>
      <c r="E8" t="s">
        <v>194</v>
      </c>
    </row>
    <row r="9" spans="1:6">
      <c r="A9" t="s">
        <v>195</v>
      </c>
      <c r="B9" s="9">
        <v>0.4</v>
      </c>
      <c r="C9" s="9">
        <v>0.4</v>
      </c>
      <c r="D9" s="9">
        <v>0.3</v>
      </c>
      <c r="E9" t="s">
        <v>196</v>
      </c>
    </row>
    <row r="10" spans="1:6">
      <c r="A10" t="s">
        <v>197</v>
      </c>
      <c r="B10" s="9">
        <v>0.5</v>
      </c>
      <c r="C10" s="9">
        <v>0.5</v>
      </c>
      <c r="D10" s="9">
        <v>0.5</v>
      </c>
      <c r="E10" t="s">
        <v>198</v>
      </c>
    </row>
    <row r="11" spans="1:6">
      <c r="A11" t="s">
        <v>199</v>
      </c>
      <c r="B11" s="9">
        <v>0.1</v>
      </c>
      <c r="C11" s="9">
        <v>0.1</v>
      </c>
      <c r="D11" s="9">
        <v>0.1</v>
      </c>
      <c r="E11" t="s">
        <v>200</v>
      </c>
    </row>
    <row r="13" spans="1:6">
      <c r="A13" s="8" t="s">
        <v>201</v>
      </c>
    </row>
    <row r="14" spans="1:6">
      <c r="A14" s="6" t="s">
        <v>202</v>
      </c>
      <c r="B14" s="6" t="s">
        <v>203</v>
      </c>
      <c r="C14" s="6" t="s">
        <v>204</v>
      </c>
      <c r="D14" s="6" t="s">
        <v>205</v>
      </c>
      <c r="E14" s="6" t="s">
        <v>206</v>
      </c>
      <c r="F14" s="6" t="s">
        <v>188</v>
      </c>
    </row>
    <row r="15" spans="1:6">
      <c r="A15" t="s">
        <v>207</v>
      </c>
      <c r="B15" s="9">
        <v>0.3</v>
      </c>
      <c r="C15" s="9">
        <v>0.1</v>
      </c>
      <c r="D15" s="9">
        <v>0.5</v>
      </c>
      <c r="E15" s="9">
        <v>0.8</v>
      </c>
      <c r="F15" t="s">
        <v>208</v>
      </c>
    </row>
    <row r="16" spans="1:6">
      <c r="A16" t="s">
        <v>209</v>
      </c>
      <c r="B16" s="9">
        <v>0.05</v>
      </c>
      <c r="C16" s="9">
        <v>0.85</v>
      </c>
      <c r="D16" s="9">
        <v>0</v>
      </c>
      <c r="E16" s="9">
        <v>0.8</v>
      </c>
      <c r="F16" t="s">
        <v>210</v>
      </c>
    </row>
    <row r="17" spans="1:10">
      <c r="A17" t="s">
        <v>211</v>
      </c>
      <c r="B17" s="9">
        <v>0.1</v>
      </c>
      <c r="C17" s="9">
        <v>0.05</v>
      </c>
      <c r="D17" s="9">
        <v>0.05</v>
      </c>
      <c r="E17" s="9">
        <v>0.7</v>
      </c>
      <c r="F17" t="s">
        <v>212</v>
      </c>
    </row>
    <row r="18" spans="1:10">
      <c r="A18" t="s">
        <v>213</v>
      </c>
      <c r="B18" s="9">
        <v>0.1</v>
      </c>
      <c r="C18" s="9">
        <v>0</v>
      </c>
      <c r="D18" s="9">
        <v>0</v>
      </c>
      <c r="E18" s="9">
        <v>1</v>
      </c>
      <c r="F18" t="s">
        <v>214</v>
      </c>
    </row>
    <row r="19" spans="1:10">
      <c r="A19" t="s">
        <v>215</v>
      </c>
      <c r="B19" s="9">
        <v>0.3</v>
      </c>
      <c r="C19" s="9">
        <v>0</v>
      </c>
      <c r="D19" s="9">
        <v>0</v>
      </c>
      <c r="E19" s="9">
        <v>0</v>
      </c>
      <c r="F19" t="s">
        <v>216</v>
      </c>
    </row>
    <row r="20" spans="1:10">
      <c r="A20" t="s">
        <v>217</v>
      </c>
      <c r="B20" s="9">
        <v>0.15</v>
      </c>
      <c r="C20" s="9">
        <v>0</v>
      </c>
      <c r="D20" s="9">
        <v>0</v>
      </c>
      <c r="E20" s="9">
        <v>0</v>
      </c>
      <c r="F20" t="s">
        <v>218</v>
      </c>
    </row>
    <row r="21" spans="1:10">
      <c r="A21" s="2" t="s">
        <v>219</v>
      </c>
      <c r="B21" s="4">
        <f>SUM(B15:B20)</f>
        <v>0.99999999999999989</v>
      </c>
    </row>
    <row r="23" spans="1:10">
      <c r="A23" s="8" t="s">
        <v>220</v>
      </c>
    </row>
    <row r="24" spans="1:10">
      <c r="A24" s="10" t="s">
        <v>221</v>
      </c>
    </row>
    <row r="26" spans="1:10">
      <c r="A26" s="6" t="s">
        <v>222</v>
      </c>
      <c r="B26" s="6">
        <v>2025</v>
      </c>
      <c r="C26" s="6">
        <v>2026</v>
      </c>
      <c r="D26" s="6">
        <v>2027</v>
      </c>
      <c r="E26" s="6">
        <v>2028</v>
      </c>
      <c r="F26" s="6">
        <v>2029</v>
      </c>
      <c r="G26" s="6">
        <v>2030</v>
      </c>
      <c r="H26" s="6">
        <v>2035</v>
      </c>
      <c r="I26" s="6">
        <v>2040</v>
      </c>
      <c r="J26" s="6">
        <v>2050</v>
      </c>
    </row>
    <row r="27" spans="1:10">
      <c r="A27" s="2" t="s">
        <v>223</v>
      </c>
      <c r="B27" s="11">
        <v>0.7</v>
      </c>
      <c r="C27" s="11">
        <v>1</v>
      </c>
      <c r="D27" s="11">
        <v>0.95</v>
      </c>
      <c r="E27" s="11">
        <v>0.85</v>
      </c>
      <c r="F27" s="11">
        <v>0.7</v>
      </c>
      <c r="G27" s="11">
        <v>0.55000000000000004</v>
      </c>
      <c r="H27" s="11">
        <v>0.4</v>
      </c>
      <c r="I27" s="11">
        <v>0.3</v>
      </c>
      <c r="J27" s="11">
        <v>0.3</v>
      </c>
    </row>
    <row r="28" spans="1:10">
      <c r="A28" t="s">
        <v>224</v>
      </c>
      <c r="B28" s="4">
        <f>B6+B7+B11</f>
        <v>0.74</v>
      </c>
      <c r="C28" s="4">
        <f>C6+C7+C11</f>
        <v>0.6</v>
      </c>
      <c r="D28" s="4">
        <f>D6+D7+D11</f>
        <v>0.6</v>
      </c>
      <c r="E28" s="4">
        <f>D6+D7+D11</f>
        <v>0.6</v>
      </c>
      <c r="F28" s="4">
        <f>D6+D7+D11</f>
        <v>0.6</v>
      </c>
      <c r="G28" s="4">
        <f>D6+D7+D11</f>
        <v>0.6</v>
      </c>
      <c r="H28" s="4">
        <f>D6+D7+D11</f>
        <v>0.6</v>
      </c>
      <c r="I28" s="4">
        <f>D6+D7+D11</f>
        <v>0.6</v>
      </c>
      <c r="J28" s="4">
        <f>D6+D7+D11</f>
        <v>0.6</v>
      </c>
    </row>
    <row r="29" spans="1:10">
      <c r="A29" t="s">
        <v>225</v>
      </c>
      <c r="B29" s="4">
        <f>B6+B9</f>
        <v>0.54</v>
      </c>
      <c r="C29" s="4">
        <f>C6+C9</f>
        <v>0.4</v>
      </c>
      <c r="D29" s="4">
        <f>D6+D9</f>
        <v>0.3</v>
      </c>
      <c r="E29" s="4">
        <f>D6+D9</f>
        <v>0.3</v>
      </c>
      <c r="F29" s="4">
        <f>D6+D9</f>
        <v>0.3</v>
      </c>
      <c r="G29" s="4">
        <f>D6+D9</f>
        <v>0.3</v>
      </c>
      <c r="H29" s="4">
        <f>D6+D9</f>
        <v>0.3</v>
      </c>
      <c r="I29" s="4">
        <f>D6+D9</f>
        <v>0.3</v>
      </c>
      <c r="J29" s="4">
        <f>D6+D9</f>
        <v>0.3</v>
      </c>
    </row>
    <row r="30" spans="1:10">
      <c r="A30" t="s">
        <v>226</v>
      </c>
      <c r="B30" s="4">
        <f>B10</f>
        <v>0.5</v>
      </c>
      <c r="C30" s="4">
        <f>C10</f>
        <v>0.5</v>
      </c>
      <c r="D30" s="4">
        <f>D10</f>
        <v>0.5</v>
      </c>
      <c r="E30" s="4">
        <f>D10</f>
        <v>0.5</v>
      </c>
      <c r="F30" s="4">
        <f>D10</f>
        <v>0.5</v>
      </c>
      <c r="G30" s="4">
        <f>D10</f>
        <v>0.5</v>
      </c>
      <c r="H30" s="4">
        <f>D10</f>
        <v>0.5</v>
      </c>
      <c r="I30" s="4">
        <f>D10</f>
        <v>0.5</v>
      </c>
      <c r="J30" s="4">
        <f>D10</f>
        <v>0.5</v>
      </c>
    </row>
    <row r="31" spans="1:10">
      <c r="A31" s="12" t="s">
        <v>227</v>
      </c>
      <c r="B31" s="13">
        <f>B27*($B$15*$E$15*($C$15*B28+$D$15*B29)+$B$16*$E$16*$C$16*$B$7+$B$17*$E$17*$C$17*B28+$B$18*$E$18*B30)</f>
        <v>0.106505</v>
      </c>
      <c r="C31" s="13">
        <f>C27*($B$15*$E$15*($C$15*C28+$D$15*C29)+$B$16*$E$16*$C$16*$B$7+$B$17*$E$17*$C$17*C28+$B$18*$E$18*C30)</f>
        <v>0.13150000000000001</v>
      </c>
      <c r="D31" s="13">
        <f>D27*($B$15*$E$15*($C$15*D28+$D$15*D29)+$B$16*$E$16*$C$16*$B$7+$B$17*$E$17*$C$17*D28+$B$18*$E$18*D30)</f>
        <v>0.11352499999999999</v>
      </c>
      <c r="E31" s="13">
        <f>E27*($B$15*$E$15*($C$15*E28+$D$15*E29)+$B$16*$E$16*$C$16*$B$7+$B$17*$E$17*$C$17*E28+$B$18*$E$18*E30)</f>
        <v>0.101575</v>
      </c>
      <c r="F31" s="13">
        <f>F27*($B$15*$E$15*($C$15*F28+$D$15*F29)+$B$16*$E$16*$C$16*$B$7+$B$17*$E$17*$C$17*F28+$B$18*$E$18*F30)</f>
        <v>8.3649999999999988E-2</v>
      </c>
      <c r="G31" s="13">
        <f>G27*($B$15*$E$15*($C$15*G28+$D$15*G29)+$B$16*$E$16*$C$16*$B$7+$B$17*$E$17*$C$17*G28+$B$18*$E$18*G30)</f>
        <v>6.5725000000000006E-2</v>
      </c>
      <c r="H31" s="13">
        <f>H27*($B$15*$E$15*($C$15*H28+$D$15*H29)+$B$16*$E$16*$C$16*$B$7+$B$17*$E$17*$C$17*H28+$B$18*$E$18*H30)</f>
        <v>4.7800000000000002E-2</v>
      </c>
      <c r="I31" s="13">
        <f>I27*($B$15*$E$15*($C$15*I28+$D$15*I29)+$B$16*$E$16*$C$16*$B$7+$B$17*$E$17*$C$17*I28+$B$18*$E$18*I30)</f>
        <v>3.585E-2</v>
      </c>
      <c r="J31" s="13">
        <f>J27*($B$15*$E$15*($C$15*J28+$D$15*J29)+$B$16*$E$16*$C$16*$B$7+$B$17*$E$17*$C$17*J28+$B$18*$E$18*J30)</f>
        <v>3.585E-2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64B3-9AF2-4DE5-A4F7-6BE29D180A3A}">
  <dimension ref="A1:J22"/>
  <sheetViews>
    <sheetView workbookViewId="0">
      <selection activeCell="A27" sqref="A27"/>
    </sheetView>
  </sheetViews>
  <sheetFormatPr defaultRowHeight="15"/>
  <sheetData>
    <row r="1" spans="1:6" ht="17.25">
      <c r="A1" s="7" t="s">
        <v>228</v>
      </c>
    </row>
    <row r="2" spans="1:6">
      <c r="A2" s="2" t="s">
        <v>229</v>
      </c>
    </row>
    <row r="4" spans="1:6">
      <c r="A4" s="8" t="s">
        <v>230</v>
      </c>
    </row>
    <row r="5" spans="1:6">
      <c r="A5" s="6" t="s">
        <v>186</v>
      </c>
      <c r="B5" s="6">
        <v>2025</v>
      </c>
      <c r="C5" s="6">
        <v>2026</v>
      </c>
      <c r="D5" s="6" t="s">
        <v>187</v>
      </c>
      <c r="E5" s="6" t="s">
        <v>231</v>
      </c>
    </row>
    <row r="6" spans="1:6">
      <c r="A6" t="s">
        <v>232</v>
      </c>
      <c r="B6" s="9">
        <v>0.5</v>
      </c>
      <c r="C6" s="9">
        <v>0.5</v>
      </c>
      <c r="D6" s="9">
        <v>0.5</v>
      </c>
      <c r="E6" t="s">
        <v>233</v>
      </c>
    </row>
    <row r="7" spans="1:6">
      <c r="A7" t="s">
        <v>234</v>
      </c>
      <c r="B7" s="9">
        <v>0.5</v>
      </c>
      <c r="C7" s="9">
        <v>0.5</v>
      </c>
      <c r="D7" s="9">
        <v>0.5</v>
      </c>
      <c r="E7" t="s">
        <v>235</v>
      </c>
    </row>
    <row r="8" spans="1:6">
      <c r="A8" t="s">
        <v>236</v>
      </c>
      <c r="B8" s="9">
        <v>0.25</v>
      </c>
      <c r="C8" s="9">
        <v>0.25</v>
      </c>
      <c r="D8" s="9">
        <v>0.25</v>
      </c>
      <c r="E8" t="s">
        <v>237</v>
      </c>
    </row>
    <row r="10" spans="1:6">
      <c r="A10" s="8" t="s">
        <v>238</v>
      </c>
    </row>
    <row r="11" spans="1:6">
      <c r="A11" s="6" t="s">
        <v>239</v>
      </c>
      <c r="B11" s="6" t="s">
        <v>240</v>
      </c>
      <c r="C11" s="6" t="s">
        <v>241</v>
      </c>
      <c r="D11" s="6" t="s">
        <v>242</v>
      </c>
      <c r="E11" s="6" t="s">
        <v>206</v>
      </c>
      <c r="F11" s="6" t="s">
        <v>231</v>
      </c>
    </row>
    <row r="12" spans="1:6">
      <c r="A12" t="s">
        <v>243</v>
      </c>
      <c r="B12" s="9">
        <v>0.45</v>
      </c>
      <c r="C12" s="9">
        <v>1</v>
      </c>
      <c r="D12" s="9">
        <v>0</v>
      </c>
      <c r="E12" s="9">
        <v>0.8</v>
      </c>
      <c r="F12" t="s">
        <v>244</v>
      </c>
    </row>
    <row r="13" spans="1:6">
      <c r="A13" t="s">
        <v>245</v>
      </c>
      <c r="B13" s="9">
        <v>0.1</v>
      </c>
      <c r="C13" s="9">
        <v>1</v>
      </c>
      <c r="D13" s="9">
        <v>0</v>
      </c>
      <c r="E13" s="9">
        <v>0.8</v>
      </c>
      <c r="F13" t="s">
        <v>246</v>
      </c>
    </row>
    <row r="14" spans="1:6">
      <c r="A14" t="s">
        <v>247</v>
      </c>
      <c r="B14" s="9">
        <v>0.1</v>
      </c>
      <c r="C14" s="9">
        <v>0.5</v>
      </c>
      <c r="D14" s="9">
        <v>0</v>
      </c>
      <c r="E14" s="9">
        <v>0.7</v>
      </c>
      <c r="F14" t="s">
        <v>248</v>
      </c>
    </row>
    <row r="15" spans="1:6">
      <c r="A15" t="s">
        <v>249</v>
      </c>
      <c r="B15" s="9">
        <v>0.15</v>
      </c>
      <c r="C15" s="9">
        <v>0.2</v>
      </c>
      <c r="D15" s="9">
        <v>0.1</v>
      </c>
      <c r="E15" s="9">
        <v>0.5</v>
      </c>
      <c r="F15" t="s">
        <v>250</v>
      </c>
    </row>
    <row r="16" spans="1:6">
      <c r="A16" t="s">
        <v>251</v>
      </c>
      <c r="B16" s="9">
        <v>0.2</v>
      </c>
      <c r="C16" s="9">
        <v>0.1</v>
      </c>
      <c r="D16" s="9">
        <v>0.05</v>
      </c>
      <c r="E16" s="9">
        <v>0.3</v>
      </c>
      <c r="F16" t="s">
        <v>252</v>
      </c>
    </row>
    <row r="17" spans="1:10">
      <c r="A17" t="s">
        <v>253</v>
      </c>
      <c r="B17" s="4">
        <f>SUM(B12:B16)</f>
        <v>1</v>
      </c>
    </row>
    <row r="19" spans="1:10">
      <c r="A19" s="8" t="s">
        <v>254</v>
      </c>
    </row>
    <row r="20" spans="1:10">
      <c r="A20" s="6"/>
      <c r="B20" s="6">
        <v>2025</v>
      </c>
      <c r="C20" s="6">
        <v>2026</v>
      </c>
      <c r="D20" s="6">
        <v>2027</v>
      </c>
      <c r="E20" s="6">
        <v>2028</v>
      </c>
      <c r="F20" s="6">
        <v>2029</v>
      </c>
      <c r="G20" s="6">
        <v>2030</v>
      </c>
      <c r="H20" s="6">
        <v>2035</v>
      </c>
      <c r="I20" s="6">
        <v>2040</v>
      </c>
      <c r="J20" s="6">
        <v>2050</v>
      </c>
    </row>
    <row r="21" spans="1:10">
      <c r="A21" t="s">
        <v>255</v>
      </c>
      <c r="B21" s="11">
        <v>0.7</v>
      </c>
      <c r="C21" s="11">
        <v>1</v>
      </c>
      <c r="D21" s="11">
        <v>0.95</v>
      </c>
      <c r="E21" s="11">
        <v>0.85</v>
      </c>
      <c r="F21" s="11">
        <v>0.7</v>
      </c>
      <c r="G21" s="11">
        <v>0.55000000000000004</v>
      </c>
      <c r="H21" s="11">
        <v>0.4</v>
      </c>
      <c r="I21" s="11">
        <v>0.3</v>
      </c>
      <c r="J21" s="11">
        <v>0.3</v>
      </c>
    </row>
    <row r="22" spans="1:10">
      <c r="A22" s="12" t="s">
        <v>256</v>
      </c>
      <c r="B22" s="13" cm="1">
        <f t="array" ref="B22">B21*SUMPRODUCT($B$12:$B$16, $E$12:$E$16, ($C$12:$C$16*B$6+$D$12:$D$16*B$8))</f>
        <v>0.17543749999999997</v>
      </c>
      <c r="C22" s="13" cm="1">
        <f t="array" ref="C22">C21*SUMPRODUCT($B$12:$B$16, $E$12:$E$16, ($C$12:$C$16*C$6+$D$12:$D$16*C$8))</f>
        <v>0.25062499999999999</v>
      </c>
      <c r="D22" s="13" cm="1">
        <f t="array" ref="D22">D21*SUMPRODUCT($B$12:$B$16, $E$12:$E$16, ($C$12:$C$16*D$6+$D$12:$D$16*D$8))</f>
        <v>0.23809374999999997</v>
      </c>
      <c r="E22" s="13" cm="1">
        <f t="array" ref="E22">E21*SUMPRODUCT($B$12:$B$16, $E$12:$E$16, ($C$12:$C$16*D$6+$D$12:$D$16*D$8))</f>
        <v>0.21303124999999998</v>
      </c>
      <c r="F22" s="13" cm="1">
        <f t="array" ref="F22">F21*SUMPRODUCT($B$12:$B$16, $E$12:$E$16, ($C$12:$C$16*D$6+$D$12:$D$16*D$8))</f>
        <v>0.17543749999999997</v>
      </c>
      <c r="G22" s="13" cm="1">
        <f t="array" ref="G22">G21*SUMPRODUCT($B$12:$B$16, $E$12:$E$16, ($C$12:$C$16*D$6+$D$12:$D$16*D$8))</f>
        <v>0.13784375000000001</v>
      </c>
      <c r="H22" s="13" cm="1">
        <f t="array" ref="H22">H21*SUMPRODUCT($B$12:$B$16, $E$12:$E$16, ($C$12:$C$16*D$6+$D$12:$D$16*D$8))</f>
        <v>0.10025000000000001</v>
      </c>
      <c r="I22" s="13" cm="1">
        <f t="array" ref="I22">I21*SUMPRODUCT($B$12:$B$16, $E$12:$E$16, ($C$12:$C$16*D$6+$D$12:$D$16*D$8))</f>
        <v>7.518749999999999E-2</v>
      </c>
      <c r="J22" s="13" cm="1">
        <f t="array" ref="J22">J21*SUMPRODUCT($B$12:$B$16, $E$12:$E$16, ($C$12:$C$16*D$6+$D$12:$D$16*D$8))</f>
        <v>7.518749999999999E-2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0E6E-A176-4BEB-967E-A58B4368FD1B}">
  <dimension ref="A1:J21"/>
  <sheetViews>
    <sheetView workbookViewId="0">
      <selection activeCell="A27" sqref="A27"/>
    </sheetView>
  </sheetViews>
  <sheetFormatPr defaultRowHeight="15"/>
  <sheetData>
    <row r="1" spans="1:6" ht="17.25">
      <c r="A1" s="7" t="s">
        <v>257</v>
      </c>
    </row>
    <row r="2" spans="1:6">
      <c r="A2" s="2" t="s">
        <v>229</v>
      </c>
    </row>
    <row r="4" spans="1:6">
      <c r="A4" s="8" t="s">
        <v>230</v>
      </c>
    </row>
    <row r="5" spans="1:6">
      <c r="A5" s="6" t="s">
        <v>186</v>
      </c>
      <c r="B5" s="6">
        <v>2025</v>
      </c>
      <c r="C5" s="6">
        <v>2026</v>
      </c>
      <c r="D5" s="6" t="s">
        <v>187</v>
      </c>
      <c r="E5" s="6" t="s">
        <v>231</v>
      </c>
    </row>
    <row r="6" spans="1:6">
      <c r="A6" t="s">
        <v>258</v>
      </c>
      <c r="B6" s="9">
        <v>0.5</v>
      </c>
      <c r="C6" s="9">
        <v>0.5</v>
      </c>
      <c r="D6" s="9">
        <v>0.5</v>
      </c>
      <c r="E6" t="s">
        <v>259</v>
      </c>
    </row>
    <row r="7" spans="1:6">
      <c r="A7" t="s">
        <v>260</v>
      </c>
      <c r="B7" s="9">
        <v>0.1</v>
      </c>
      <c r="C7" s="9">
        <v>0.1</v>
      </c>
      <c r="D7" s="9">
        <v>0.1</v>
      </c>
      <c r="E7" t="s">
        <v>261</v>
      </c>
    </row>
    <row r="9" spans="1:6">
      <c r="A9" s="8" t="s">
        <v>262</v>
      </c>
    </row>
    <row r="10" spans="1:6">
      <c r="A10" s="6" t="s">
        <v>239</v>
      </c>
      <c r="B10" s="6" t="s">
        <v>263</v>
      </c>
      <c r="C10" s="6" t="s">
        <v>264</v>
      </c>
      <c r="D10" s="6" t="s">
        <v>265</v>
      </c>
      <c r="E10" s="6" t="s">
        <v>206</v>
      </c>
      <c r="F10" s="6" t="s">
        <v>231</v>
      </c>
    </row>
    <row r="11" spans="1:6">
      <c r="A11" t="s">
        <v>266</v>
      </c>
      <c r="B11" s="9">
        <v>0.2</v>
      </c>
      <c r="C11" s="9">
        <v>0.3</v>
      </c>
      <c r="D11" s="9">
        <v>0.15</v>
      </c>
      <c r="E11" s="9">
        <v>0.8</v>
      </c>
      <c r="F11" t="s">
        <v>267</v>
      </c>
    </row>
    <row r="12" spans="1:6">
      <c r="A12" t="s">
        <v>268</v>
      </c>
      <c r="B12" s="9">
        <v>0.15</v>
      </c>
      <c r="C12" s="9">
        <v>0.1</v>
      </c>
      <c r="D12" s="9">
        <v>0.8</v>
      </c>
      <c r="E12" s="9">
        <v>0.8</v>
      </c>
      <c r="F12" t="s">
        <v>269</v>
      </c>
    </row>
    <row r="13" spans="1:6">
      <c r="A13" t="s">
        <v>15</v>
      </c>
      <c r="B13" s="9">
        <v>0.15</v>
      </c>
      <c r="C13" s="9">
        <v>1</v>
      </c>
      <c r="D13" s="9">
        <v>0.25</v>
      </c>
      <c r="E13" s="9">
        <v>0.9</v>
      </c>
      <c r="F13" t="s">
        <v>270</v>
      </c>
    </row>
    <row r="14" spans="1:6">
      <c r="A14" t="s">
        <v>271</v>
      </c>
      <c r="B14" s="9">
        <v>0.3</v>
      </c>
      <c r="C14" s="9">
        <v>0.5</v>
      </c>
      <c r="D14" s="9">
        <v>0.05</v>
      </c>
      <c r="E14" s="9">
        <v>0.5</v>
      </c>
      <c r="F14" t="s">
        <v>272</v>
      </c>
    </row>
    <row r="15" spans="1:6">
      <c r="A15" t="s">
        <v>273</v>
      </c>
      <c r="B15" s="9">
        <v>0.2</v>
      </c>
      <c r="C15" s="9">
        <v>0.05</v>
      </c>
      <c r="D15" s="9">
        <v>0</v>
      </c>
      <c r="E15" s="9">
        <v>0.1</v>
      </c>
      <c r="F15" t="s">
        <v>274</v>
      </c>
    </row>
    <row r="16" spans="1:6">
      <c r="A16" t="s">
        <v>253</v>
      </c>
      <c r="B16" s="4">
        <f>SUM(B11:B15)</f>
        <v>1</v>
      </c>
    </row>
    <row r="18" spans="1:10">
      <c r="A18" s="8" t="s">
        <v>275</v>
      </c>
    </row>
    <row r="19" spans="1:10">
      <c r="A19" s="6"/>
      <c r="B19" s="6">
        <v>2025</v>
      </c>
      <c r="C19" s="6">
        <v>2026</v>
      </c>
      <c r="D19" s="6">
        <v>2027</v>
      </c>
      <c r="E19" s="6">
        <v>2028</v>
      </c>
      <c r="F19" s="6">
        <v>2029</v>
      </c>
      <c r="G19" s="6">
        <v>2030</v>
      </c>
      <c r="H19" s="6">
        <v>2035</v>
      </c>
      <c r="I19" s="6">
        <v>2040</v>
      </c>
      <c r="J19" s="6">
        <v>2050</v>
      </c>
    </row>
    <row r="20" spans="1:10">
      <c r="A20" t="s">
        <v>255</v>
      </c>
      <c r="B20" s="11">
        <v>0.7</v>
      </c>
      <c r="C20" s="11">
        <v>1</v>
      </c>
      <c r="D20" s="11">
        <v>0.95</v>
      </c>
      <c r="E20" s="11">
        <v>0.85</v>
      </c>
      <c r="F20" s="11">
        <v>0.7</v>
      </c>
      <c r="G20" s="11">
        <v>0.55000000000000004</v>
      </c>
      <c r="H20" s="11">
        <v>0.4</v>
      </c>
      <c r="I20" s="11">
        <v>0.3</v>
      </c>
      <c r="J20" s="11">
        <v>0.3</v>
      </c>
    </row>
    <row r="21" spans="1:10">
      <c r="A21" s="12" t="s">
        <v>276</v>
      </c>
      <c r="B21" s="13" cm="1">
        <f t="array" ref="B21">B20*SUMPRODUCT($B$11:$B$15, $E$11:$E$15, ($C$11:$C$15*B$6+$D$11:$D$15*B$7))</f>
        <v>0.1061375</v>
      </c>
      <c r="C21" s="13" cm="1">
        <f t="array" ref="C21">C20*SUMPRODUCT($B$11:$B$15, $E$11:$E$15, ($C$11:$C$15*C$6+$D$11:$D$15*C$7))</f>
        <v>0.15162500000000001</v>
      </c>
      <c r="D21" s="13" cm="1">
        <f t="array" ref="D21">D20*SUMPRODUCT($B$11:$B$15, $E$11:$E$15, ($C$11:$C$15*D$6+$D$11:$D$15*D$7))</f>
        <v>0.14404375</v>
      </c>
      <c r="E21" s="13" cm="1">
        <f t="array" ref="E21">E20*SUMPRODUCT($B$11:$B$15, $E$11:$E$15, ($C$11:$C$15*D$6+$D$11:$D$15*D$7))</f>
        <v>0.12888125</v>
      </c>
      <c r="F21" s="13" cm="1">
        <f t="array" ref="F21">F20*SUMPRODUCT($B$11:$B$15, $E$11:$E$15, ($C$11:$C$15*D$6+$D$11:$D$15*D$7))</f>
        <v>0.1061375</v>
      </c>
      <c r="G21" s="13" cm="1">
        <f t="array" ref="G21">G20*SUMPRODUCT($B$11:$B$15, $E$11:$E$15, ($C$11:$C$15*D$6+$D$11:$D$15*D$7))</f>
        <v>8.3393750000000016E-2</v>
      </c>
      <c r="H21" s="13" cm="1">
        <f t="array" ref="H21">H20*SUMPRODUCT($B$11:$B$15, $E$11:$E$15, ($C$11:$C$15*D$6+$D$11:$D$15*D$7))</f>
        <v>6.0650000000000009E-2</v>
      </c>
      <c r="I21" s="13" cm="1">
        <f t="array" ref="I21">I20*SUMPRODUCT($B$11:$B$15, $E$11:$E$15, ($C$11:$C$15*D$6+$D$11:$D$15*D$7))</f>
        <v>4.54875E-2</v>
      </c>
      <c r="J21" s="13" cm="1">
        <f t="array" ref="J21">J20*SUMPRODUCT($B$11:$B$15, $E$11:$E$15, ($C$11:$C$15*D$6+$D$11:$D$15*D$7))</f>
        <v>4.54875E-2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12E5-4ABF-4FA8-88F3-5306967828C5}">
  <dimension ref="A1:J20"/>
  <sheetViews>
    <sheetView workbookViewId="0">
      <selection activeCell="A27" sqref="A27"/>
    </sheetView>
  </sheetViews>
  <sheetFormatPr defaultRowHeight="15"/>
  <sheetData>
    <row r="1" spans="1:6" ht="17.25">
      <c r="A1" s="7" t="s">
        <v>277</v>
      </c>
    </row>
    <row r="2" spans="1:6">
      <c r="A2" s="2" t="s">
        <v>229</v>
      </c>
    </row>
    <row r="4" spans="1:6">
      <c r="A4" s="8" t="s">
        <v>230</v>
      </c>
    </row>
    <row r="5" spans="1:6">
      <c r="A5" s="6" t="s">
        <v>186</v>
      </c>
      <c r="B5" s="6">
        <v>2025</v>
      </c>
      <c r="C5" s="6">
        <v>2026</v>
      </c>
      <c r="D5" s="6" t="s">
        <v>187</v>
      </c>
      <c r="E5" s="6" t="s">
        <v>231</v>
      </c>
    </row>
    <row r="6" spans="1:6">
      <c r="A6" t="s">
        <v>232</v>
      </c>
      <c r="B6" s="9">
        <v>0.5</v>
      </c>
      <c r="C6" s="9">
        <v>0.5</v>
      </c>
      <c r="D6" s="9">
        <v>0.5</v>
      </c>
      <c r="E6" t="s">
        <v>278</v>
      </c>
    </row>
    <row r="7" spans="1:6">
      <c r="A7" t="s">
        <v>279</v>
      </c>
      <c r="B7" s="9">
        <v>0.1</v>
      </c>
      <c r="C7" s="9">
        <v>0.1</v>
      </c>
      <c r="D7" s="9">
        <v>0.1</v>
      </c>
      <c r="E7" t="s">
        <v>280</v>
      </c>
    </row>
    <row r="9" spans="1:6">
      <c r="A9" s="8" t="s">
        <v>281</v>
      </c>
    </row>
    <row r="10" spans="1:6">
      <c r="A10" s="6" t="s">
        <v>239</v>
      </c>
      <c r="B10" s="6" t="s">
        <v>240</v>
      </c>
      <c r="C10" s="6" t="s">
        <v>264</v>
      </c>
      <c r="D10" s="6" t="s">
        <v>265</v>
      </c>
      <c r="E10" s="6" t="s">
        <v>206</v>
      </c>
      <c r="F10" s="6" t="s">
        <v>231</v>
      </c>
    </row>
    <row r="11" spans="1:6">
      <c r="A11" t="s">
        <v>282</v>
      </c>
      <c r="B11" s="9">
        <v>0.42</v>
      </c>
      <c r="C11" s="9">
        <v>0.3</v>
      </c>
      <c r="D11" s="9">
        <v>0.85</v>
      </c>
      <c r="E11" s="9">
        <v>0.85</v>
      </c>
      <c r="F11" t="s">
        <v>283</v>
      </c>
    </row>
    <row r="12" spans="1:6">
      <c r="A12" t="s">
        <v>284</v>
      </c>
      <c r="B12" s="9">
        <v>0.25</v>
      </c>
      <c r="C12" s="9">
        <v>0.7</v>
      </c>
      <c r="D12" s="9">
        <v>0.5</v>
      </c>
      <c r="E12" s="9">
        <v>0.85</v>
      </c>
      <c r="F12" t="s">
        <v>285</v>
      </c>
    </row>
    <row r="13" spans="1:6">
      <c r="A13" t="s">
        <v>286</v>
      </c>
      <c r="B13" s="9">
        <v>0.27</v>
      </c>
      <c r="C13" s="9">
        <v>0.15</v>
      </c>
      <c r="D13" s="9">
        <v>0.6</v>
      </c>
      <c r="E13" s="9">
        <v>0.5</v>
      </c>
      <c r="F13" t="s">
        <v>287</v>
      </c>
    </row>
    <row r="14" spans="1:6">
      <c r="A14" t="s">
        <v>288</v>
      </c>
      <c r="B14" s="9">
        <v>0.05</v>
      </c>
      <c r="C14" s="9">
        <v>0</v>
      </c>
      <c r="D14" s="9">
        <v>0.05</v>
      </c>
      <c r="E14" s="9">
        <v>0.2</v>
      </c>
      <c r="F14" t="s">
        <v>274</v>
      </c>
    </row>
    <row r="15" spans="1:6">
      <c r="A15" t="s">
        <v>253</v>
      </c>
      <c r="B15" s="4">
        <f>SUM(B11:B14)</f>
        <v>0.99</v>
      </c>
    </row>
    <row r="17" spans="1:10">
      <c r="A17" s="8" t="s">
        <v>275</v>
      </c>
    </row>
    <row r="18" spans="1:10">
      <c r="A18" s="6"/>
      <c r="B18" s="6">
        <v>2025</v>
      </c>
      <c r="C18" s="6">
        <v>2026</v>
      </c>
      <c r="D18" s="6">
        <v>2027</v>
      </c>
      <c r="E18" s="6">
        <v>2028</v>
      </c>
      <c r="F18" s="6">
        <v>2029</v>
      </c>
      <c r="G18" s="6">
        <v>2030</v>
      </c>
      <c r="H18" s="6">
        <v>2035</v>
      </c>
      <c r="I18" s="6">
        <v>2040</v>
      </c>
      <c r="J18" s="6">
        <v>2050</v>
      </c>
    </row>
    <row r="19" spans="1:10">
      <c r="A19" t="s">
        <v>289</v>
      </c>
      <c r="B19" s="11">
        <v>0.7</v>
      </c>
      <c r="C19" s="11">
        <v>1</v>
      </c>
      <c r="D19" s="11">
        <v>0.98</v>
      </c>
      <c r="E19" s="11">
        <v>0.92</v>
      </c>
      <c r="F19" s="11">
        <v>0.82</v>
      </c>
      <c r="G19" s="11">
        <v>0.7</v>
      </c>
      <c r="H19" s="11">
        <v>0.55000000000000004</v>
      </c>
      <c r="I19" s="11">
        <v>0.45</v>
      </c>
      <c r="J19" s="11">
        <v>0.4</v>
      </c>
    </row>
    <row r="20" spans="1:10">
      <c r="A20" s="12" t="s">
        <v>290</v>
      </c>
      <c r="B20" s="13" cm="1">
        <f t="array" ref="B20">B19*SUMPRODUCT($B$11:$B$14, $E$11:$E$14, ($C$11:$C$14*B$6+$D$11:$D$14*B$7))</f>
        <v>0.13101899999999997</v>
      </c>
      <c r="C20" s="13" cm="1">
        <f t="array" ref="C20">C19*SUMPRODUCT($B$11:$B$14, $E$11:$E$14, ($C$11:$C$14*C$6+$D$11:$D$14*C$7))</f>
        <v>0.18716999999999998</v>
      </c>
      <c r="D20" s="13" cm="1">
        <f t="array" ref="D20">D19*SUMPRODUCT($B$11:$B$14, $E$11:$E$14, ($C$11:$C$14*D$6+$D$11:$D$14*D$7))</f>
        <v>0.18342659999999997</v>
      </c>
      <c r="E20" s="13" cm="1">
        <f t="array" ref="E20">E19*SUMPRODUCT($B$11:$B$14, $E$11:$E$14, ($C$11:$C$14*D$6+$D$11:$D$14*D$7))</f>
        <v>0.17219639999999997</v>
      </c>
      <c r="F20" s="13" cm="1">
        <f t="array" ref="F20">F19*SUMPRODUCT($B$11:$B$14, $E$11:$E$14, ($C$11:$C$14*D$6+$D$11:$D$14*D$7))</f>
        <v>0.15347939999999996</v>
      </c>
      <c r="G20" s="13" cm="1">
        <f t="array" ref="G20">G19*SUMPRODUCT($B$11:$B$14, $E$11:$E$14, ($C$11:$C$14*D$6+$D$11:$D$14*D$7))</f>
        <v>0.13101899999999997</v>
      </c>
      <c r="H20" s="13" cm="1">
        <f t="array" ref="H20">H19*SUMPRODUCT($B$11:$B$14, $E$11:$E$14, ($C$11:$C$14*D$6+$D$11:$D$14*D$7))</f>
        <v>0.10294349999999999</v>
      </c>
      <c r="I20" s="13" cm="1">
        <f t="array" ref="I20">I19*SUMPRODUCT($B$11:$B$14, $E$11:$E$14, ($C$11:$C$14*D$6+$D$11:$D$14*D$7))</f>
        <v>8.4226499999999996E-2</v>
      </c>
      <c r="J20" s="13" cm="1">
        <f t="array" ref="J20">J19*SUMPRODUCT($B$11:$B$14, $E$11:$E$14, ($C$11:$C$14*D$6+$D$11:$D$14*D$7))</f>
        <v>7.486799999999999E-2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0896-0D19-4877-B534-93CC4CD57ACC}">
  <dimension ref="A1:J37"/>
  <sheetViews>
    <sheetView topLeftCell="A15" workbookViewId="0">
      <selection activeCell="A27" sqref="A27"/>
    </sheetView>
  </sheetViews>
  <sheetFormatPr defaultRowHeight="15"/>
  <sheetData>
    <row r="1" spans="1:6" ht="17.25">
      <c r="A1" s="7" t="s">
        <v>291</v>
      </c>
    </row>
    <row r="2" spans="1:6">
      <c r="A2" s="2" t="s">
        <v>292</v>
      </c>
    </row>
    <row r="4" spans="1:6">
      <c r="A4" s="8" t="s">
        <v>230</v>
      </c>
    </row>
    <row r="5" spans="1:6">
      <c r="A5" s="6" t="s">
        <v>186</v>
      </c>
      <c r="B5" s="6">
        <v>2025</v>
      </c>
      <c r="C5" s="6">
        <v>2026</v>
      </c>
      <c r="D5" s="6" t="s">
        <v>187</v>
      </c>
      <c r="E5" s="6" t="s">
        <v>231</v>
      </c>
    </row>
    <row r="6" spans="1:6">
      <c r="A6" t="s">
        <v>293</v>
      </c>
      <c r="B6" s="9">
        <v>0.25</v>
      </c>
      <c r="C6" s="9">
        <v>0.25</v>
      </c>
      <c r="D6" s="9">
        <v>0.25</v>
      </c>
      <c r="E6" t="s">
        <v>294</v>
      </c>
    </row>
    <row r="7" spans="1:6">
      <c r="A7" t="s">
        <v>295</v>
      </c>
      <c r="B7" s="9">
        <v>7.4999999999999997E-2</v>
      </c>
      <c r="C7" s="9">
        <v>0.25</v>
      </c>
      <c r="D7" s="9">
        <v>0.25</v>
      </c>
      <c r="E7" t="s">
        <v>296</v>
      </c>
    </row>
    <row r="8" spans="1:6">
      <c r="A8" t="s">
        <v>297</v>
      </c>
      <c r="B8" s="9">
        <v>0.5</v>
      </c>
      <c r="C8" s="9">
        <v>0.5</v>
      </c>
      <c r="D8" s="9">
        <v>0.5</v>
      </c>
      <c r="E8" t="s">
        <v>298</v>
      </c>
    </row>
    <row r="9" spans="1:6">
      <c r="A9" t="s">
        <v>299</v>
      </c>
      <c r="B9" s="9">
        <v>0.1</v>
      </c>
      <c r="C9" s="9">
        <v>0.1</v>
      </c>
      <c r="D9" s="9">
        <v>0.1</v>
      </c>
      <c r="E9" t="s">
        <v>300</v>
      </c>
    </row>
    <row r="11" spans="1:6">
      <c r="A11" s="8" t="s">
        <v>301</v>
      </c>
    </row>
    <row r="12" spans="1:6">
      <c r="A12" s="6" t="s">
        <v>239</v>
      </c>
      <c r="B12" s="6" t="s">
        <v>302</v>
      </c>
      <c r="C12" s="6" t="s">
        <v>303</v>
      </c>
      <c r="D12" s="6" t="s">
        <v>304</v>
      </c>
      <c r="E12" s="6" t="s">
        <v>206</v>
      </c>
      <c r="F12" s="6" t="s">
        <v>231</v>
      </c>
    </row>
    <row r="13" spans="1:6">
      <c r="A13" t="s">
        <v>305</v>
      </c>
      <c r="B13" s="9">
        <v>0.4</v>
      </c>
      <c r="C13" s="9">
        <v>0.8</v>
      </c>
      <c r="D13" s="9">
        <v>0.05</v>
      </c>
      <c r="E13" s="9">
        <v>0.9</v>
      </c>
      <c r="F13" t="s">
        <v>306</v>
      </c>
    </row>
    <row r="14" spans="1:6">
      <c r="A14" t="s">
        <v>307</v>
      </c>
      <c r="B14" s="9">
        <v>0.15</v>
      </c>
      <c r="C14" s="9">
        <v>0.3</v>
      </c>
      <c r="D14" s="9">
        <v>0.05</v>
      </c>
      <c r="E14" s="9">
        <v>0.8</v>
      </c>
      <c r="F14" t="s">
        <v>308</v>
      </c>
    </row>
    <row r="15" spans="1:6">
      <c r="A15" t="s">
        <v>309</v>
      </c>
      <c r="B15" s="9">
        <v>0.1</v>
      </c>
      <c r="C15" s="9">
        <v>0.1</v>
      </c>
      <c r="D15" s="9">
        <v>0.9</v>
      </c>
      <c r="E15" s="9">
        <v>0.9</v>
      </c>
      <c r="F15" t="s">
        <v>310</v>
      </c>
    </row>
    <row r="16" spans="1:6">
      <c r="A16" t="s">
        <v>311</v>
      </c>
      <c r="B16" s="9">
        <v>0.15</v>
      </c>
      <c r="C16" s="9">
        <v>0.3</v>
      </c>
      <c r="D16" s="9">
        <v>0.05</v>
      </c>
      <c r="E16" s="9">
        <v>0.7</v>
      </c>
      <c r="F16" t="s">
        <v>312</v>
      </c>
    </row>
    <row r="17" spans="1:10">
      <c r="A17" t="s">
        <v>313</v>
      </c>
      <c r="B17" s="9">
        <v>0.2</v>
      </c>
      <c r="C17" s="9">
        <v>0</v>
      </c>
      <c r="D17" s="9">
        <v>0.05</v>
      </c>
      <c r="E17" s="9">
        <v>0.2</v>
      </c>
      <c r="F17" t="s">
        <v>314</v>
      </c>
    </row>
    <row r="18" spans="1:10">
      <c r="A18" t="s">
        <v>253</v>
      </c>
      <c r="B18" s="4">
        <f>SUM(B13:B17)</f>
        <v>1</v>
      </c>
    </row>
    <row r="20" spans="1:10">
      <c r="A20" s="8" t="s">
        <v>315</v>
      </c>
    </row>
    <row r="21" spans="1:10">
      <c r="A21" s="6" t="s">
        <v>239</v>
      </c>
      <c r="B21" s="6" t="s">
        <v>316</v>
      </c>
      <c r="C21" s="6" t="s">
        <v>303</v>
      </c>
      <c r="D21" s="6" t="s">
        <v>304</v>
      </c>
      <c r="E21" s="6" t="s">
        <v>206</v>
      </c>
      <c r="F21" s="6" t="s">
        <v>231</v>
      </c>
    </row>
    <row r="22" spans="1:10">
      <c r="A22" t="s">
        <v>317</v>
      </c>
      <c r="B22" s="9">
        <v>0.8</v>
      </c>
      <c r="C22" s="9">
        <v>0.5</v>
      </c>
      <c r="D22" s="9">
        <v>0.05</v>
      </c>
      <c r="E22" s="9">
        <v>0.9</v>
      </c>
      <c r="F22" t="s">
        <v>318</v>
      </c>
    </row>
    <row r="23" spans="1:10">
      <c r="A23" t="s">
        <v>319</v>
      </c>
      <c r="B23" s="9">
        <v>0.15</v>
      </c>
      <c r="C23" s="9">
        <v>0.2</v>
      </c>
      <c r="D23" s="9">
        <v>0.4</v>
      </c>
      <c r="E23" s="9">
        <v>0.8</v>
      </c>
      <c r="F23" t="s">
        <v>320</v>
      </c>
    </row>
    <row r="24" spans="1:10">
      <c r="A24" t="s">
        <v>321</v>
      </c>
      <c r="B24" s="9">
        <v>0.05</v>
      </c>
      <c r="C24" s="9">
        <v>0</v>
      </c>
      <c r="D24" s="9">
        <v>0</v>
      </c>
      <c r="E24" s="9">
        <v>0.2</v>
      </c>
      <c r="F24" t="s">
        <v>322</v>
      </c>
    </row>
    <row r="25" spans="1:10">
      <c r="A25" t="s">
        <v>253</v>
      </c>
      <c r="B25" s="4">
        <f>SUM(B22:B24)</f>
        <v>1</v>
      </c>
    </row>
    <row r="27" spans="1:10">
      <c r="A27" s="8" t="s">
        <v>323</v>
      </c>
    </row>
    <row r="28" spans="1:10">
      <c r="A28" s="6"/>
      <c r="B28" s="6">
        <v>2025</v>
      </c>
      <c r="C28" s="6">
        <v>2026</v>
      </c>
      <c r="D28" s="6">
        <v>2027</v>
      </c>
      <c r="E28" s="6">
        <v>2028</v>
      </c>
      <c r="F28" s="6">
        <v>2029</v>
      </c>
      <c r="G28" s="6">
        <v>2030</v>
      </c>
      <c r="H28" s="6">
        <v>2035</v>
      </c>
      <c r="I28" s="6">
        <v>2040</v>
      </c>
      <c r="J28" s="6">
        <v>2050</v>
      </c>
    </row>
    <row r="29" spans="1:10">
      <c r="A29" t="s">
        <v>324</v>
      </c>
      <c r="B29" s="11">
        <v>0.7</v>
      </c>
      <c r="C29" s="11">
        <v>1</v>
      </c>
      <c r="D29" s="11">
        <v>0.85</v>
      </c>
      <c r="E29" s="11">
        <v>0.65</v>
      </c>
      <c r="F29" s="11">
        <v>0.5</v>
      </c>
      <c r="G29" s="11">
        <v>0.35</v>
      </c>
      <c r="H29" s="11">
        <v>0.2</v>
      </c>
      <c r="I29" s="11">
        <v>0.15</v>
      </c>
      <c r="J29" s="11">
        <v>0.15</v>
      </c>
    </row>
    <row r="30" spans="1:10">
      <c r="A30" s="12" t="s">
        <v>325</v>
      </c>
      <c r="B30" s="13" cm="1">
        <f t="array" ref="B30">B29*SUMPRODUCT($B$13:$B$17, $E$13:$E$17, ($C$13:$C$17*B$7+$D$13:$D$17*B$8))</f>
        <v>5.8423750000000003E-2</v>
      </c>
      <c r="C30" s="13" cm="1">
        <f t="array" ref="C30">C29*SUMPRODUCT($B$13:$B$17, $E$13:$E$17, ($C$13:$C$17*C$7+$D$13:$D$17*C$8))</f>
        <v>0.14725000000000005</v>
      </c>
      <c r="D30" s="13" cm="1">
        <f t="array" ref="D30">D29*SUMPRODUCT($B$13:$B$17, $E$13:$E$17, ($C$13:$C$17*D$7+$D$13:$D$17*D$8))</f>
        <v>0.12516250000000004</v>
      </c>
      <c r="E30" s="13" cm="1">
        <f t="array" ref="E30">E29*SUMPRODUCT($B$13:$B$17, $E$13:$E$17, ($C$13:$C$17*D$7+$D$13:$D$17*D$8))</f>
        <v>9.5712500000000034E-2</v>
      </c>
      <c r="F30" s="13" cm="1">
        <f t="array" ref="F30">F29*SUMPRODUCT($B$13:$B$17, $E$13:$E$17, ($C$13:$C$17*D$7+$D$13:$D$17*D$8))</f>
        <v>7.3625000000000024E-2</v>
      </c>
      <c r="G30" s="13" cm="1">
        <f t="array" ref="G30">G29*SUMPRODUCT($B$13:$B$17, $E$13:$E$17, ($C$13:$C$17*D$7+$D$13:$D$17*D$8))</f>
        <v>5.1537500000000014E-2</v>
      </c>
      <c r="H30" s="13" cm="1">
        <f t="array" ref="H30">H29*SUMPRODUCT($B$13:$B$17, $E$13:$E$17, ($C$13:$C$17*D$7+$D$13:$D$17*D$8))</f>
        <v>2.9450000000000011E-2</v>
      </c>
      <c r="I30" s="13" cm="1">
        <f t="array" ref="I30">I29*SUMPRODUCT($B$13:$B$17, $E$13:$E$17, ($C$13:$C$17*D$7+$D$13:$D$17*D$8))</f>
        <v>2.2087500000000006E-2</v>
      </c>
      <c r="J30" s="13" cm="1">
        <f t="array" ref="J30">J29*SUMPRODUCT($B$13:$B$17, $E$13:$E$17, ($C$13:$C$17*D$7+$D$13:$D$17*D$8))</f>
        <v>2.2087500000000006E-2</v>
      </c>
    </row>
    <row r="31" spans="1:10">
      <c r="A31" s="12" t="s">
        <v>326</v>
      </c>
      <c r="B31" s="13" cm="1">
        <f t="array" ref="B31">B29*SUMPRODUCT($B$22:$B$24, $E$22:$E$24, ($C$22:$C$24*B$6+$D$22:$D$24*B$8))</f>
        <v>9.6600000000000005E-2</v>
      </c>
      <c r="C31" s="13" cm="1">
        <f t="array" ref="C31">C29*SUMPRODUCT($B$22:$B$24, $E$22:$E$24, ($C$22:$C$24*C$6+$D$22:$D$24*C$8))</f>
        <v>0.13800000000000001</v>
      </c>
      <c r="D31" s="13" cm="1">
        <f t="array" ref="D31">D29*SUMPRODUCT($B$22:$B$24, $E$22:$E$24, ($C$22:$C$24*D$6+$D$22:$D$24*D$8))</f>
        <v>0.1173</v>
      </c>
      <c r="E31" s="13" cm="1">
        <f t="array" ref="E31">E29*SUMPRODUCT($B$22:$B$24, $E$22:$E$24, ($C$22:$C$24*D$6+$D$22:$D$24*D$8))</f>
        <v>8.9700000000000016E-2</v>
      </c>
      <c r="F31" s="13" cm="1">
        <f t="array" ref="F31">F29*SUMPRODUCT($B$22:$B$24, $E$22:$E$24, ($C$22:$C$24*D$6+$D$22:$D$24*D$8))</f>
        <v>6.9000000000000006E-2</v>
      </c>
      <c r="G31" s="13" cm="1">
        <f t="array" ref="G31">G29*SUMPRODUCT($B$22:$B$24, $E$22:$E$24, ($C$22:$C$24*D$6+$D$22:$D$24*D$8))</f>
        <v>4.8300000000000003E-2</v>
      </c>
      <c r="H31" s="13" cm="1">
        <f t="array" ref="H31">H29*SUMPRODUCT($B$22:$B$24, $E$22:$E$24, ($C$22:$C$24*D$6+$D$22:$D$24*D$8))</f>
        <v>2.7600000000000003E-2</v>
      </c>
      <c r="I31" s="13" cm="1">
        <f t="array" ref="I31">I29*SUMPRODUCT($B$22:$B$24, $E$22:$E$24, ($C$22:$C$24*D$6+$D$22:$D$24*D$8))</f>
        <v>2.07E-2</v>
      </c>
      <c r="J31" s="13" cm="1">
        <f t="array" ref="J31">J29*SUMPRODUCT($B$22:$B$24, $E$22:$E$24, ($C$22:$C$24*D$6+$D$22:$D$24*D$8))</f>
        <v>2.07E-2</v>
      </c>
    </row>
    <row r="32" spans="1:10">
      <c r="A32" t="s">
        <v>327</v>
      </c>
      <c r="B32" s="3">
        <f>B31*0.65</f>
        <v>6.2790000000000012E-2</v>
      </c>
      <c r="C32" s="3">
        <f>C31*0.65</f>
        <v>8.9700000000000016E-2</v>
      </c>
      <c r="D32" s="3">
        <f>D31*0.65</f>
        <v>7.6245000000000007E-2</v>
      </c>
      <c r="E32" s="3">
        <f>E31*0.65</f>
        <v>5.830500000000001E-2</v>
      </c>
      <c r="F32" s="3">
        <f>F31*0.65</f>
        <v>4.4850000000000008E-2</v>
      </c>
      <c r="G32" s="3">
        <f>G31*0.65</f>
        <v>3.1395000000000006E-2</v>
      </c>
      <c r="H32" s="3">
        <f>H31*0.65</f>
        <v>1.7940000000000001E-2</v>
      </c>
      <c r="I32" s="3">
        <f>I31*0.65</f>
        <v>1.3455E-2</v>
      </c>
      <c r="J32" s="3">
        <f>J31*0.65</f>
        <v>1.3455E-2</v>
      </c>
    </row>
    <row r="33" spans="1:10">
      <c r="A33" t="s">
        <v>328</v>
      </c>
      <c r="B33" s="3">
        <f>B31*0.3</f>
        <v>2.8979999999999999E-2</v>
      </c>
      <c r="C33" s="3">
        <f>C31*0.3</f>
        <v>4.1399999999999999E-2</v>
      </c>
      <c r="D33" s="3">
        <f>D31*0.3</f>
        <v>3.5189999999999999E-2</v>
      </c>
      <c r="E33" s="3">
        <f>E31*0.3</f>
        <v>2.6910000000000003E-2</v>
      </c>
      <c r="F33" s="3">
        <f>F31*0.3</f>
        <v>2.07E-2</v>
      </c>
      <c r="G33" s="3">
        <f>G31*0.3</f>
        <v>1.4489999999999999E-2</v>
      </c>
      <c r="H33" s="3">
        <f>H31*0.3</f>
        <v>8.2800000000000009E-3</v>
      </c>
      <c r="I33" s="3">
        <f>I31*0.3</f>
        <v>6.2099999999999994E-3</v>
      </c>
      <c r="J33" s="3">
        <f>J31*0.3</f>
        <v>6.2099999999999994E-3</v>
      </c>
    </row>
    <row r="35" spans="1:10">
      <c r="A35" s="12" t="s">
        <v>329</v>
      </c>
      <c r="B35" s="3">
        <f>B31*0.7</f>
        <v>6.762E-2</v>
      </c>
      <c r="C35" s="3">
        <f>C31*0.7</f>
        <v>9.6600000000000005E-2</v>
      </c>
      <c r="D35" s="3">
        <f>D31*0.7</f>
        <v>8.2110000000000002E-2</v>
      </c>
      <c r="E35" s="3">
        <f>E31*0.7</f>
        <v>6.2790000000000012E-2</v>
      </c>
      <c r="F35" s="3">
        <f>F31*0.7</f>
        <v>4.8300000000000003E-2</v>
      </c>
      <c r="G35" s="3">
        <f>G31*0.7</f>
        <v>3.381E-2</v>
      </c>
      <c r="H35" s="3">
        <f>H31*0.7</f>
        <v>1.932E-2</v>
      </c>
      <c r="I35" s="3">
        <f>I31*0.7</f>
        <v>1.4489999999999999E-2</v>
      </c>
      <c r="J35" s="3">
        <f>J31*0.7</f>
        <v>1.4489999999999999E-2</v>
      </c>
    </row>
    <row r="36" spans="1:10">
      <c r="A36" t="s">
        <v>330</v>
      </c>
      <c r="B36" s="3">
        <f>B35*0.65</f>
        <v>4.3952999999999999E-2</v>
      </c>
      <c r="C36" s="3">
        <f>C35*0.65</f>
        <v>6.2790000000000012E-2</v>
      </c>
      <c r="D36" s="3">
        <f>D35*0.65</f>
        <v>5.3371500000000002E-2</v>
      </c>
      <c r="E36" s="3">
        <f>E35*0.65</f>
        <v>4.0813500000000009E-2</v>
      </c>
      <c r="F36" s="3">
        <f>F35*0.65</f>
        <v>3.1395000000000006E-2</v>
      </c>
      <c r="G36" s="3">
        <f>G35*0.65</f>
        <v>2.19765E-2</v>
      </c>
      <c r="H36" s="3">
        <f>H35*0.65</f>
        <v>1.2558000000000001E-2</v>
      </c>
      <c r="I36" s="3">
        <f>I35*0.65</f>
        <v>9.4184999999999998E-3</v>
      </c>
      <c r="J36" s="3">
        <f>J35*0.65</f>
        <v>9.4184999999999998E-3</v>
      </c>
    </row>
    <row r="37" spans="1:10">
      <c r="A37" t="s">
        <v>331</v>
      </c>
      <c r="B37" s="3">
        <f>B35*0.3</f>
        <v>2.0285999999999998E-2</v>
      </c>
      <c r="C37" s="3">
        <f>C35*0.3</f>
        <v>2.8979999999999999E-2</v>
      </c>
      <c r="D37" s="3">
        <f>D35*0.3</f>
        <v>2.4632999999999999E-2</v>
      </c>
      <c r="E37" s="3">
        <f>E35*0.3</f>
        <v>1.8837000000000003E-2</v>
      </c>
      <c r="F37" s="3">
        <f>F35*0.3</f>
        <v>1.4489999999999999E-2</v>
      </c>
      <c r="G37" s="3">
        <f>G35*0.3</f>
        <v>1.0142999999999999E-2</v>
      </c>
      <c r="H37" s="3">
        <f>H35*0.3</f>
        <v>5.7959999999999999E-3</v>
      </c>
      <c r="I37" s="3">
        <f>I35*0.3</f>
        <v>4.3469999999999993E-3</v>
      </c>
      <c r="J37" s="3">
        <f>J35*0.3</f>
        <v>4.3469999999999993E-3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4427-BDA8-41C0-B622-75B9420DD0FD}">
  <dimension ref="A1:J23"/>
  <sheetViews>
    <sheetView workbookViewId="0">
      <selection activeCell="A27" sqref="A27"/>
    </sheetView>
  </sheetViews>
  <sheetFormatPr defaultRowHeight="15"/>
  <sheetData>
    <row r="1" spans="1:5" ht="17.25">
      <c r="A1" s="7" t="s">
        <v>332</v>
      </c>
    </row>
    <row r="2" spans="1:5">
      <c r="A2" s="2" t="s">
        <v>333</v>
      </c>
    </row>
    <row r="4" spans="1:5">
      <c r="A4" s="8" t="s">
        <v>334</v>
      </c>
    </row>
    <row r="5" spans="1:5">
      <c r="A5" s="6" t="s">
        <v>335</v>
      </c>
      <c r="B5" s="6" t="s">
        <v>231</v>
      </c>
    </row>
    <row r="6" spans="1:5">
      <c r="A6" t="s">
        <v>336</v>
      </c>
      <c r="B6" t="s">
        <v>337</v>
      </c>
    </row>
    <row r="7" spans="1:5">
      <c r="A7" t="s">
        <v>338</v>
      </c>
      <c r="B7" t="s">
        <v>339</v>
      </c>
    </row>
    <row r="8" spans="1:5">
      <c r="A8" t="s">
        <v>340</v>
      </c>
      <c r="B8" t="s">
        <v>341</v>
      </c>
    </row>
    <row r="9" spans="1:5">
      <c r="A9" t="s">
        <v>342</v>
      </c>
      <c r="B9" t="s">
        <v>343</v>
      </c>
    </row>
    <row r="11" spans="1:5">
      <c r="A11" s="8" t="s">
        <v>344</v>
      </c>
    </row>
    <row r="12" spans="1:5">
      <c r="A12" s="6" t="s">
        <v>239</v>
      </c>
      <c r="B12" s="6" t="s">
        <v>345</v>
      </c>
      <c r="C12" s="6" t="s">
        <v>346</v>
      </c>
      <c r="D12" s="6" t="s">
        <v>347</v>
      </c>
      <c r="E12" s="6" t="s">
        <v>206</v>
      </c>
    </row>
    <row r="13" spans="1:5">
      <c r="A13" t="s">
        <v>348</v>
      </c>
      <c r="B13" s="9">
        <v>0.2</v>
      </c>
      <c r="C13" s="9">
        <v>0.7</v>
      </c>
      <c r="D13" s="9">
        <v>0.5</v>
      </c>
      <c r="E13" s="9">
        <v>0.9</v>
      </c>
    </row>
    <row r="14" spans="1:5">
      <c r="A14" t="s">
        <v>349</v>
      </c>
      <c r="B14" s="9">
        <v>0.15</v>
      </c>
      <c r="C14" s="9">
        <v>1</v>
      </c>
      <c r="D14" s="9">
        <v>0.3</v>
      </c>
      <c r="E14" s="9">
        <v>0.9</v>
      </c>
    </row>
    <row r="15" spans="1:5">
      <c r="A15" t="s">
        <v>350</v>
      </c>
      <c r="B15" s="9">
        <v>0.15</v>
      </c>
      <c r="C15" s="9">
        <v>1</v>
      </c>
      <c r="D15" s="9">
        <v>0.5</v>
      </c>
      <c r="E15" s="9">
        <v>0.9</v>
      </c>
    </row>
    <row r="16" spans="1:5">
      <c r="A16" t="s">
        <v>351</v>
      </c>
      <c r="B16" s="9">
        <v>0.1</v>
      </c>
      <c r="C16" s="9">
        <v>0.6</v>
      </c>
      <c r="D16" s="9">
        <v>0.4</v>
      </c>
      <c r="E16" s="9">
        <v>0.8</v>
      </c>
    </row>
    <row r="17" spans="1:10">
      <c r="A17" t="s">
        <v>352</v>
      </c>
      <c r="B17" s="9">
        <v>0.4</v>
      </c>
      <c r="C17" s="9">
        <v>0</v>
      </c>
      <c r="D17" s="9">
        <v>0</v>
      </c>
      <c r="E17" s="9">
        <v>0.1</v>
      </c>
    </row>
    <row r="18" spans="1:10">
      <c r="A18" t="s">
        <v>253</v>
      </c>
      <c r="B18" s="4">
        <f>SUM(B13:B17)</f>
        <v>1</v>
      </c>
    </row>
    <row r="20" spans="1:10">
      <c r="A20" s="8" t="s">
        <v>275</v>
      </c>
    </row>
    <row r="21" spans="1:10">
      <c r="A21" s="6"/>
      <c r="B21" s="6">
        <v>2025</v>
      </c>
      <c r="C21" s="6">
        <v>2026</v>
      </c>
      <c r="D21" s="6">
        <v>2027</v>
      </c>
      <c r="E21" s="6">
        <v>2028</v>
      </c>
      <c r="F21" s="6">
        <v>2029</v>
      </c>
      <c r="G21" s="6">
        <v>2030</v>
      </c>
      <c r="H21" s="6">
        <v>2035</v>
      </c>
      <c r="I21" s="6">
        <v>2040</v>
      </c>
      <c r="J21" s="6">
        <v>2050</v>
      </c>
    </row>
    <row r="22" spans="1:10">
      <c r="A22" t="s">
        <v>353</v>
      </c>
      <c r="B22" s="11">
        <v>0.7</v>
      </c>
      <c r="C22" s="11">
        <v>1</v>
      </c>
      <c r="D22" s="11">
        <v>1</v>
      </c>
      <c r="E22" s="11">
        <v>1</v>
      </c>
      <c r="F22" s="11">
        <v>0.92</v>
      </c>
      <c r="G22" s="11">
        <v>0.83</v>
      </c>
      <c r="H22" s="11">
        <v>0.5</v>
      </c>
      <c r="I22" s="11">
        <v>0.33</v>
      </c>
      <c r="J22" s="11">
        <v>0.33</v>
      </c>
    </row>
    <row r="23" spans="1:10">
      <c r="A23" s="12" t="s">
        <v>354</v>
      </c>
      <c r="B23" s="13">
        <f>B22*SUMPRODUCT($B$13:$B$17, $C$13:$C$17, $D$13:$D$17, $E$13:$E$17)</f>
        <v>0.13314000000000001</v>
      </c>
      <c r="C23" s="13">
        <f>C22*SUMPRODUCT($B$13:$B$17, $C$13:$C$17, $D$13:$D$17, $E$13:$E$17)</f>
        <v>0.19020000000000001</v>
      </c>
      <c r="D23" s="13">
        <f>D22*SUMPRODUCT($B$13:$B$17, $C$13:$C$17, $D$13:$D$17, $E$13:$E$17)</f>
        <v>0.19020000000000001</v>
      </c>
      <c r="E23" s="13">
        <f>E22*SUMPRODUCT($B$13:$B$17, $C$13:$C$17, $D$13:$D$17, $E$13:$E$17)</f>
        <v>0.19020000000000001</v>
      </c>
      <c r="F23" s="13">
        <f>F22*SUMPRODUCT($B$13:$B$17, $C$13:$C$17, $D$13:$D$17, $E$13:$E$17)</f>
        <v>0.17498400000000003</v>
      </c>
      <c r="G23" s="13">
        <f>G22*SUMPRODUCT($B$13:$B$17, $C$13:$C$17, $D$13:$D$17, $E$13:$E$17)</f>
        <v>0.15786600000000001</v>
      </c>
      <c r="H23" s="13">
        <f>H22*SUMPRODUCT($B$13:$B$17, $C$13:$C$17, $D$13:$D$17, $E$13:$E$17)</f>
        <v>9.5100000000000004E-2</v>
      </c>
      <c r="I23" s="13">
        <f>I22*SUMPRODUCT($B$13:$B$17, $C$13:$C$17, $D$13:$D$17, $E$13:$E$17)</f>
        <v>6.2766000000000002E-2</v>
      </c>
      <c r="J23" s="13">
        <f>J22*SUMPRODUCT($B$13:$B$17, $C$13:$C$17, $D$13:$D$17, $E$13:$E$17)</f>
        <v>6.2766000000000002E-2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2287-3DA9-4623-9D93-358871DFFD2B}">
  <dimension ref="A1:J24"/>
  <sheetViews>
    <sheetView workbookViewId="0">
      <selection activeCell="A27" sqref="A27"/>
    </sheetView>
  </sheetViews>
  <sheetFormatPr defaultRowHeight="15"/>
  <sheetData>
    <row r="1" spans="1:5" ht="17.25">
      <c r="A1" s="7" t="s">
        <v>355</v>
      </c>
    </row>
    <row r="2" spans="1:5">
      <c r="A2" s="2" t="s">
        <v>356</v>
      </c>
    </row>
    <row r="4" spans="1:5">
      <c r="A4" s="8" t="s">
        <v>357</v>
      </c>
    </row>
    <row r="5" spans="1:5">
      <c r="A5" s="6" t="s">
        <v>358</v>
      </c>
      <c r="B5" s="6">
        <v>2025</v>
      </c>
      <c r="C5" s="6">
        <v>2026</v>
      </c>
      <c r="D5" s="6" t="s">
        <v>187</v>
      </c>
      <c r="E5" s="6" t="s">
        <v>231</v>
      </c>
    </row>
    <row r="6" spans="1:5">
      <c r="A6" t="s">
        <v>359</v>
      </c>
      <c r="B6" s="9">
        <v>0.25</v>
      </c>
      <c r="C6" s="9">
        <v>0.25</v>
      </c>
      <c r="D6" s="9">
        <v>0.25</v>
      </c>
      <c r="E6" t="s">
        <v>360</v>
      </c>
    </row>
    <row r="7" spans="1:5">
      <c r="A7" t="s">
        <v>361</v>
      </c>
      <c r="B7" s="9">
        <v>0.25</v>
      </c>
      <c r="C7" s="9">
        <v>0.25</v>
      </c>
      <c r="D7" s="9">
        <v>0.25</v>
      </c>
      <c r="E7" t="s">
        <v>362</v>
      </c>
    </row>
    <row r="8" spans="1:5">
      <c r="A8" t="s">
        <v>363</v>
      </c>
      <c r="B8" s="9">
        <v>0.25</v>
      </c>
      <c r="C8" s="9">
        <v>0.25</v>
      </c>
      <c r="D8" s="9">
        <v>0.25</v>
      </c>
      <c r="E8" t="s">
        <v>364</v>
      </c>
    </row>
    <row r="10" spans="1:5">
      <c r="A10" s="8" t="s">
        <v>365</v>
      </c>
    </row>
    <row r="11" spans="1:5">
      <c r="A11" s="6" t="s">
        <v>366</v>
      </c>
      <c r="B11" s="6" t="s">
        <v>367</v>
      </c>
      <c r="C11" s="6" t="s">
        <v>368</v>
      </c>
      <c r="D11" s="6" t="s">
        <v>369</v>
      </c>
      <c r="E11" s="6" t="s">
        <v>231</v>
      </c>
    </row>
    <row r="12" spans="1:5">
      <c r="A12" t="s">
        <v>370</v>
      </c>
      <c r="B12" s="9">
        <v>0.5</v>
      </c>
      <c r="C12" s="9">
        <v>0.6</v>
      </c>
      <c r="D12" s="9">
        <v>0.4</v>
      </c>
      <c r="E12" t="s">
        <v>371</v>
      </c>
    </row>
    <row r="13" spans="1:5">
      <c r="A13" t="s">
        <v>372</v>
      </c>
      <c r="B13" s="9">
        <v>0.2</v>
      </c>
      <c r="C13" s="9">
        <v>0.4</v>
      </c>
      <c r="D13" s="9">
        <v>0.3</v>
      </c>
      <c r="E13" t="s">
        <v>373</v>
      </c>
    </row>
    <row r="14" spans="1:5">
      <c r="A14" t="s">
        <v>374</v>
      </c>
      <c r="B14" s="9">
        <v>0.05</v>
      </c>
      <c r="C14" s="9">
        <v>0.3</v>
      </c>
      <c r="D14" s="9">
        <v>0.2</v>
      </c>
      <c r="E14" t="s">
        <v>375</v>
      </c>
    </row>
    <row r="15" spans="1:5">
      <c r="A15" t="s">
        <v>376</v>
      </c>
      <c r="B15" s="9">
        <v>0.3</v>
      </c>
      <c r="C15" s="9">
        <v>0.45</v>
      </c>
      <c r="D15" s="9">
        <v>0.3</v>
      </c>
      <c r="E15" t="s">
        <v>377</v>
      </c>
    </row>
    <row r="17" spans="1:10">
      <c r="A17" s="8" t="s">
        <v>275</v>
      </c>
    </row>
    <row r="18" spans="1:10">
      <c r="A18" s="10" t="s">
        <v>378</v>
      </c>
    </row>
    <row r="19" spans="1:10">
      <c r="A19" s="6"/>
      <c r="B19" s="6">
        <v>2025</v>
      </c>
      <c r="C19" s="6">
        <v>2026</v>
      </c>
      <c r="D19" s="6">
        <v>2027</v>
      </c>
      <c r="E19" s="6">
        <v>2028</v>
      </c>
      <c r="F19" s="6">
        <v>2029</v>
      </c>
      <c r="G19" s="6">
        <v>2030</v>
      </c>
      <c r="H19" s="6">
        <v>2035</v>
      </c>
      <c r="I19" s="6">
        <v>2040</v>
      </c>
      <c r="J19" s="6">
        <v>2050</v>
      </c>
    </row>
    <row r="20" spans="1:10">
      <c r="A20" t="s">
        <v>379</v>
      </c>
      <c r="B20" s="11">
        <v>0.7</v>
      </c>
      <c r="C20" s="11">
        <v>1</v>
      </c>
      <c r="D20" s="11">
        <v>0.95</v>
      </c>
      <c r="E20" s="11">
        <v>0.85</v>
      </c>
      <c r="F20" s="11">
        <v>0.75</v>
      </c>
      <c r="G20" s="11">
        <v>0.65</v>
      </c>
      <c r="H20" s="11">
        <v>0.4</v>
      </c>
      <c r="I20" s="11">
        <v>0.3</v>
      </c>
      <c r="J20" s="11">
        <v>0.3</v>
      </c>
    </row>
    <row r="21" spans="1:10">
      <c r="A21" s="12" t="s">
        <v>380</v>
      </c>
      <c r="B21" s="13">
        <f>B20*B$6*($B$12+(1-$B$12)*$C$12)*$D$12*0.85</f>
        <v>4.7599999999999996E-2</v>
      </c>
      <c r="C21" s="13">
        <f>C20*C$6*($B$12+(1-$B$12)*$C$12)*$D$12*0.85</f>
        <v>6.8000000000000005E-2</v>
      </c>
      <c r="D21" s="13">
        <f>D20*D$6*($B$12+(1-$B$12)*$C$12)*$D$12*0.85</f>
        <v>6.4600000000000005E-2</v>
      </c>
      <c r="E21" s="13">
        <f>E20*D$6*($B$12+(1-$B$12)*$C$12)*$D$12*0.85</f>
        <v>5.7800000000000004E-2</v>
      </c>
      <c r="F21" s="13">
        <f>F20*D$6*($B$12+(1-$B$12)*$C$12)*$D$12*0.85</f>
        <v>5.1000000000000011E-2</v>
      </c>
      <c r="G21" s="13">
        <f>G20*D$6*($B$12+(1-$B$12)*$C$12)*$D$12*0.85</f>
        <v>4.4200000000000003E-2</v>
      </c>
      <c r="H21" s="13">
        <f>H20*D$6*($B$12+(1-$B$12)*$C$12)*$D$12*0.85</f>
        <v>2.7200000000000005E-2</v>
      </c>
      <c r="I21" s="13">
        <f>I20*D$6*($B$12+(1-$B$12)*$C$12)*$D$12*0.85</f>
        <v>2.0400000000000001E-2</v>
      </c>
      <c r="J21" s="13">
        <f>J20*D$6*($B$12+(1-$B$12)*$C$12)*$D$12*0.85</f>
        <v>2.0400000000000001E-2</v>
      </c>
    </row>
    <row r="22" spans="1:10">
      <c r="A22" s="12" t="s">
        <v>381</v>
      </c>
      <c r="B22" s="13">
        <f>B20*B$6*($B$13+(1-$B$13)*$C$13)*$D$13*0.85</f>
        <v>2.3204999999999996E-2</v>
      </c>
      <c r="C22" s="13">
        <f>C20*C$6*($B$13+(1-$B$13)*$C$13)*$D$13*0.85</f>
        <v>3.3149999999999999E-2</v>
      </c>
      <c r="D22" s="13">
        <f>D20*D$6*($B$13+(1-$B$13)*$C$13)*$D$13*0.85</f>
        <v>3.14925E-2</v>
      </c>
      <c r="E22" s="13">
        <f>E20*D$6*($B$13+(1-$B$13)*$C$13)*$D$13*0.85</f>
        <v>2.8177499999999998E-2</v>
      </c>
      <c r="F22" s="13">
        <f>F20*D$6*($B$13+(1-$B$13)*$C$13)*$D$13*0.85</f>
        <v>2.4862499999999999E-2</v>
      </c>
      <c r="G22" s="13">
        <f>G20*D$6*($B$13+(1-$B$13)*$C$13)*$D$13*0.85</f>
        <v>2.1547500000000001E-2</v>
      </c>
      <c r="H22" s="13">
        <f>H20*D$6*($B$13+(1-$B$13)*$C$13)*$D$13*0.85</f>
        <v>1.3260000000000001E-2</v>
      </c>
      <c r="I22" s="13">
        <f>I20*D$6*($B$13+(1-$B$13)*$C$13)*$D$13*0.85</f>
        <v>9.9450000000000007E-3</v>
      </c>
      <c r="J22" s="13">
        <f>J20*D$6*($B$13+(1-$B$13)*$C$13)*$D$13*0.85</f>
        <v>9.9450000000000007E-3</v>
      </c>
    </row>
    <row r="23" spans="1:10">
      <c r="A23" s="12" t="s">
        <v>382</v>
      </c>
      <c r="B23" s="13">
        <f>B20*B$8*($B$14+(1-$B$14)*$C$14)*$D$14*0.85</f>
        <v>9.9662499999999994E-3</v>
      </c>
      <c r="C23" s="13">
        <f>C20*C$8*($B$14+(1-$B$14)*$C$14)*$D$14*0.85</f>
        <v>1.4237499999999997E-2</v>
      </c>
      <c r="D23" s="13">
        <f>D20*D$8*($B$14+(1-$B$14)*$C$14)*$D$14*0.85</f>
        <v>1.3525624999999999E-2</v>
      </c>
      <c r="E23" s="13">
        <f>E20*D$8*($B$14+(1-$B$14)*$C$14)*$D$14*0.85</f>
        <v>1.2101874999999998E-2</v>
      </c>
      <c r="F23" s="13">
        <f>F20*D$8*($B$14+(1-$B$14)*$C$14)*$D$14*0.85</f>
        <v>1.0678124999999998E-2</v>
      </c>
      <c r="G23" s="13">
        <f>G20*D$8*($B$14+(1-$B$14)*$C$14)*$D$14*0.85</f>
        <v>9.2543749999999987E-3</v>
      </c>
      <c r="H23" s="13">
        <f>H20*D$8*($B$14+(1-$B$14)*$C$14)*$D$14*0.85</f>
        <v>5.6949999999999995E-3</v>
      </c>
      <c r="I23" s="13">
        <f>I20*D$8*($B$14+(1-$B$14)*$C$14)*$D$14*0.85</f>
        <v>4.2712499999999999E-3</v>
      </c>
      <c r="J23" s="13">
        <f>J20*D$8*($B$14+(1-$B$14)*$C$14)*$D$14*0.85</f>
        <v>4.2712499999999999E-3</v>
      </c>
    </row>
    <row r="24" spans="1:10">
      <c r="A24" s="12" t="s">
        <v>383</v>
      </c>
      <c r="B24" s="13">
        <f>B20*B$8*($B$15+(1-$B$15)*$C$15)*$D$15*0.85</f>
        <v>2.7444374999999997E-2</v>
      </c>
      <c r="C24" s="13">
        <f>C20*C$8*($B$15+(1-$B$15)*$C$15)*$D$15*0.85</f>
        <v>3.9206249999999998E-2</v>
      </c>
      <c r="D24" s="13">
        <f>D20*D$8*($B$15+(1-$B$15)*$C$15)*$D$15*0.85</f>
        <v>3.72459375E-2</v>
      </c>
      <c r="E24" s="13">
        <f>E20*D$8*($B$15+(1-$B$15)*$C$15)*$D$15*0.85</f>
        <v>3.3325312499999989E-2</v>
      </c>
      <c r="F24" s="13">
        <f>F20*D$8*($B$15+(1-$B$15)*$C$15)*$D$15*0.85</f>
        <v>2.9404687499999999E-2</v>
      </c>
      <c r="G24" s="13">
        <f>G20*D$8*($B$15+(1-$B$15)*$C$15)*$D$15*0.85</f>
        <v>2.5484062499999998E-2</v>
      </c>
      <c r="H24" s="13">
        <f>H20*D$8*($B$15+(1-$B$15)*$C$15)*$D$15*0.85</f>
        <v>1.5682499999999999E-2</v>
      </c>
      <c r="I24" s="13">
        <f>I20*D$8*($B$15+(1-$B$15)*$C$15)*$D$15*0.85</f>
        <v>1.1761875E-2</v>
      </c>
      <c r="J24" s="13">
        <f>J20*D$8*($B$15+(1-$B$15)*$C$15)*$D$15*0.85</f>
        <v>1.1761875E-2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385-B70B-4E64-A78E-915176E71D90}">
  <dimension ref="A1:AA25"/>
  <sheetViews>
    <sheetView topLeftCell="A9" workbookViewId="0">
      <selection activeCell="D11" sqref="D11"/>
    </sheetView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>
      <c r="A3" t="s">
        <v>16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>
      <c r="A4" t="s">
        <v>17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>
      <c r="A5" t="s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>
      <c r="A7" t="s">
        <v>10</v>
      </c>
      <c r="B7" s="3" cm="1">
        <f t="array" ref="B7">_xlfn.LET(_xlpm.t,B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0.1061375</v>
      </c>
      <c r="C7" s="3" cm="1">
        <f t="array" ref="C7">_xlfn.LET(_xlpm.t,C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0.15162500000000001</v>
      </c>
      <c r="D7" s="3" cm="1">
        <f t="array" ref="D7">_xlfn.LET(_xlpm.t,D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0.14404375</v>
      </c>
      <c r="E7" s="3" cm="1">
        <f t="array" ref="E7">_xlfn.LET(_xlpm.t,E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0.12888125</v>
      </c>
      <c r="F7" s="3" cm="1">
        <f t="array" ref="F7">_xlfn.LET(_xlpm.t,F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0.1061375</v>
      </c>
      <c r="G7" s="3" cm="1">
        <f t="array" ref="G7">_xlfn.LET(_xlpm.t,G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8.3393750000000016E-2</v>
      </c>
      <c r="H7" s="3" cm="1">
        <f t="array" ref="H7">_xlfn.LET(_xlpm.t,H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7.8845000000000012E-2</v>
      </c>
      <c r="I7" s="3" cm="1">
        <f t="array" ref="I7">_xlfn.LET(_xlpm.t,I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7.4296250000000008E-2</v>
      </c>
      <c r="J7" s="3" cm="1">
        <f t="array" ref="J7">_xlfn.LET(_xlpm.t,J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6.9747500000000018E-2</v>
      </c>
      <c r="K7" s="3" cm="1">
        <f t="array" ref="K7">_xlfn.LET(_xlpm.t,K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6.5198750000000014E-2</v>
      </c>
      <c r="L7" s="3" cm="1">
        <f t="array" ref="L7">_xlfn.LET(_xlpm.t,L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6.0650000000000009E-2</v>
      </c>
      <c r="M7" s="3" cm="1">
        <f t="array" ref="M7">_xlfn.LET(_xlpm.t,M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5.7617500000000009E-2</v>
      </c>
      <c r="N7" s="3" cm="1">
        <f t="array" ref="N7">_xlfn.LET(_xlpm.t,N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5.4585000000000009E-2</v>
      </c>
      <c r="O7" s="3" cm="1">
        <f t="array" ref="O7">_xlfn.LET(_xlpm.t,O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5.1552500000000001E-2</v>
      </c>
      <c r="P7" s="3" cm="1">
        <f t="array" ref="P7">_xlfn.LET(_xlpm.t,P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4.8520000000000001E-2</v>
      </c>
      <c r="Q7" s="3" cm="1">
        <f t="array" ref="Q7">_xlfn.LET(_xlpm.t,Q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R7" s="3" cm="1">
        <f t="array" ref="R7">_xlfn.LET(_xlpm.t,R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S7" s="3" cm="1">
        <f t="array" ref="S7">_xlfn.LET(_xlpm.t,S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T7" s="3" cm="1">
        <f t="array" ref="T7">_xlfn.LET(_xlpm.t,T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U7" s="3" cm="1">
        <f t="array" ref="U7">_xlfn.LET(_xlpm.t,U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V7" s="3" cm="1">
        <f t="array" ref="V7">_xlfn.LET(_xlpm.t,V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W7" s="3" cm="1">
        <f t="array" ref="W7">_xlfn.LET(_xlpm.t,W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X7" s="3" cm="1">
        <f t="array" ref="X7">_xlfn.LET(_xlpm.t,X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Y7" s="3" cm="1">
        <f t="array" ref="Y7">_xlfn.LET(_xlpm.t,Y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Z7" s="3" cm="1">
        <f t="array" ref="Z7">_xlfn.LET(_xlpm.t,Z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  <c r="AA7" s="3" cm="1">
        <f t="array" ref="AA7">_xlfn.LET(_xlpm.t,AA$1,_xlpm.yrs,'Calc-Wind-Onshore'!$B$19:$J$19,_xlpm.vals,'Calc-Wind-Onshore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4.54875E-2</v>
      </c>
    </row>
    <row r="8" spans="1:27">
      <c r="A8" t="s">
        <v>2</v>
      </c>
      <c r="B8" s="3" cm="1">
        <f t="array" ref="B8">_xlfn.LET(_xlpm.t,B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0.106505</v>
      </c>
      <c r="C8" s="3" cm="1">
        <f t="array" ref="C8">_xlfn.LET(_xlpm.t,C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0.13150000000000001</v>
      </c>
      <c r="D8" s="3" cm="1">
        <f t="array" ref="D8">_xlfn.LET(_xlpm.t,D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0.11352499999999999</v>
      </c>
      <c r="E8" s="3" cm="1">
        <f t="array" ref="E8">_xlfn.LET(_xlpm.t,E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0.101575</v>
      </c>
      <c r="F8" s="3" cm="1">
        <f t="array" ref="F8">_xlfn.LET(_xlpm.t,F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8.3649999999999988E-2</v>
      </c>
      <c r="G8" s="3" cm="1">
        <f t="array" ref="G8">_xlfn.LET(_xlpm.t,G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6.5725000000000006E-2</v>
      </c>
      <c r="H8" s="3" cm="1">
        <f t="array" ref="H8">_xlfn.LET(_xlpm.t,H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6.2140000000000008E-2</v>
      </c>
      <c r="I8" s="3" cm="1">
        <f t="array" ref="I8">_xlfn.LET(_xlpm.t,I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5.8555000000000003E-2</v>
      </c>
      <c r="J8" s="3" cm="1">
        <f t="array" ref="J8">_xlfn.LET(_xlpm.t,J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5.4970000000000005E-2</v>
      </c>
      <c r="K8" s="3" cm="1">
        <f t="array" ref="K8">_xlfn.LET(_xlpm.t,K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5.1385E-2</v>
      </c>
      <c r="L8" s="3" cm="1">
        <f t="array" ref="L8">_xlfn.LET(_xlpm.t,L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4.7800000000000002E-2</v>
      </c>
      <c r="M8" s="3" cm="1">
        <f t="array" ref="M8">_xlfn.LET(_xlpm.t,M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4.5409999999999999E-2</v>
      </c>
      <c r="N8" s="3" cm="1">
        <f t="array" ref="N8">_xlfn.LET(_xlpm.t,N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4.3020000000000003E-2</v>
      </c>
      <c r="O8" s="3" cm="1">
        <f t="array" ref="O8">_xlfn.LET(_xlpm.t,O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4.0629999999999999E-2</v>
      </c>
      <c r="P8" s="3" cm="1">
        <f t="array" ref="P8">_xlfn.LET(_xlpm.t,P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3.8239999999999996E-2</v>
      </c>
      <c r="Q8" s="3" cm="1">
        <f t="array" ref="Q8">_xlfn.LET(_xlpm.t,Q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R8" s="3" cm="1">
        <f t="array" ref="R8">_xlfn.LET(_xlpm.t,R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S8" s="3" cm="1">
        <f t="array" ref="S8">_xlfn.LET(_xlpm.t,S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T8" s="3" cm="1">
        <f t="array" ref="T8">_xlfn.LET(_xlpm.t,T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U8" s="3" cm="1">
        <f t="array" ref="U8">_xlfn.LET(_xlpm.t,U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V8" s="3" cm="1">
        <f t="array" ref="V8">_xlfn.LET(_xlpm.t,V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W8" s="3" cm="1">
        <f t="array" ref="W8">_xlfn.LET(_xlpm.t,W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X8" s="3" cm="1">
        <f t="array" ref="X8">_xlfn.LET(_xlpm.t,X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Y8" s="3" cm="1">
        <f t="array" ref="Y8">_xlfn.LET(_xlpm.t,Y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Z8" s="3" cm="1">
        <f t="array" ref="Z8">_xlfn.LET(_xlpm.t,Z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  <c r="AA8" s="3" cm="1">
        <f t="array" ref="AA8">_xlfn.LET(_xlpm.t,AA$1,_xlpm.yrs,'Calc-Solar-PV'!$B$26:$J$26,_xlpm.vals,'Calc-Solar-PV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3.585E-2</v>
      </c>
    </row>
    <row r="9" spans="1:27">
      <c r="A9" t="s">
        <v>3</v>
      </c>
      <c r="B9" s="3" cm="1">
        <f t="array" ref="B9">_xlfn.LET(_xlpm.t,B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0.17543749999999997</v>
      </c>
      <c r="C9" s="3" cm="1">
        <f t="array" ref="C9">_xlfn.LET(_xlpm.t,C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0.25062499999999999</v>
      </c>
      <c r="D9" s="3" cm="1">
        <f t="array" ref="D9">_xlfn.LET(_xlpm.t,D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0.23809374999999997</v>
      </c>
      <c r="E9" s="3" cm="1">
        <f t="array" ref="E9">_xlfn.LET(_xlpm.t,E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0.21303124999999998</v>
      </c>
      <c r="F9" s="3" cm="1">
        <f t="array" ref="F9">_xlfn.LET(_xlpm.t,F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0.17543749999999997</v>
      </c>
      <c r="G9" s="3" cm="1">
        <f t="array" ref="G9">_xlfn.LET(_xlpm.t,G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0.13784375000000001</v>
      </c>
      <c r="H9" s="3" cm="1">
        <f t="array" ref="H9">_xlfn.LET(_xlpm.t,H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0.13032500000000002</v>
      </c>
      <c r="I9" s="3" cm="1">
        <f t="array" ref="I9">_xlfn.LET(_xlpm.t,I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0.12280625000000001</v>
      </c>
      <c r="J9" s="3" cm="1">
        <f t="array" ref="J9">_xlfn.LET(_xlpm.t,J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0.11528750000000001</v>
      </c>
      <c r="K9" s="3" cm="1">
        <f t="array" ref="K9">_xlfn.LET(_xlpm.t,K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0.10776875000000001</v>
      </c>
      <c r="L9" s="3" cm="1">
        <f t="array" ref="L9">_xlfn.LET(_xlpm.t,L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0.10025000000000001</v>
      </c>
      <c r="M9" s="3" cm="1">
        <f t="array" ref="M9">_xlfn.LET(_xlpm.t,M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9.5237500000000003E-2</v>
      </c>
      <c r="N9" s="3" cm="1">
        <f t="array" ref="N9">_xlfn.LET(_xlpm.t,N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9.0225E-2</v>
      </c>
      <c r="O9" s="3" cm="1">
        <f t="array" ref="O9">_xlfn.LET(_xlpm.t,O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8.5212499999999997E-2</v>
      </c>
      <c r="P9" s="3" cm="1">
        <f t="array" ref="P9">_xlfn.LET(_xlpm.t,P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8.0199999999999994E-2</v>
      </c>
      <c r="Q9" s="3" cm="1">
        <f t="array" ref="Q9">_xlfn.LET(_xlpm.t,Q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R9" s="3" cm="1">
        <f t="array" ref="R9">_xlfn.LET(_xlpm.t,R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S9" s="3" cm="1">
        <f t="array" ref="S9">_xlfn.LET(_xlpm.t,S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T9" s="3" cm="1">
        <f t="array" ref="T9">_xlfn.LET(_xlpm.t,T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U9" s="3" cm="1">
        <f t="array" ref="U9">_xlfn.LET(_xlpm.t,U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V9" s="3" cm="1">
        <f t="array" ref="V9">_xlfn.LET(_xlpm.t,V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W9" s="3" cm="1">
        <f t="array" ref="W9">_xlfn.LET(_xlpm.t,W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X9" s="3" cm="1">
        <f t="array" ref="X9">_xlfn.LET(_xlpm.t,X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Y9" s="3" cm="1">
        <f t="array" ref="Y9">_xlfn.LET(_xlpm.t,Y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Z9" s="3" cm="1">
        <f t="array" ref="Z9">_xlfn.LET(_xlpm.t,Z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  <c r="AA9" s="3" cm="1">
        <f t="array" ref="AA9">_xlfn.LET(_xlpm.t,AA$1,_xlpm.yrs,'Calc-Solar-Thermal'!$B$20:$J$20,_xlpm.vals,'Calc-Solar-Thermal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7.518749999999999E-2</v>
      </c>
    </row>
    <row r="10" spans="1:27">
      <c r="A10" t="s">
        <v>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1:27">
      <c r="A11" t="s">
        <v>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>
      <c r="A12" t="s">
        <v>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>
      <c r="A13" t="s">
        <v>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>
      <c r="A14" t="s">
        <v>11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>
      <c r="A15" t="s">
        <v>9</v>
      </c>
      <c r="B15" s="3" cm="1">
        <f t="array" ref="B15">_xlfn.LET(_xlpm.t,B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0.13101899999999997</v>
      </c>
      <c r="C15" s="3" cm="1">
        <f t="array" ref="C15">_xlfn.LET(_xlpm.t,C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0.18716999999999998</v>
      </c>
      <c r="D15" s="3" cm="1">
        <f t="array" ref="D15">_xlfn.LET(_xlpm.t,D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0.18342659999999997</v>
      </c>
      <c r="E15" s="3" cm="1">
        <f t="array" ref="E15">_xlfn.LET(_xlpm.t,E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0.17219639999999997</v>
      </c>
      <c r="F15" s="3" cm="1">
        <f t="array" ref="F15">_xlfn.LET(_xlpm.t,F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0.15347939999999996</v>
      </c>
      <c r="G15" s="3" cm="1">
        <f t="array" ref="G15">_xlfn.LET(_xlpm.t,G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0.13101899999999997</v>
      </c>
      <c r="H15" s="3" cm="1">
        <f t="array" ref="H15">_xlfn.LET(_xlpm.t,H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0.12540389999999998</v>
      </c>
      <c r="I15" s="3" cm="1">
        <f t="array" ref="I15">_xlfn.LET(_xlpm.t,I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0.11978879999999997</v>
      </c>
      <c r="J15" s="3" cm="1">
        <f t="array" ref="J15">_xlfn.LET(_xlpm.t,J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0.11417369999999999</v>
      </c>
      <c r="K15" s="3" cm="1">
        <f t="array" ref="K15">_xlfn.LET(_xlpm.t,K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0.10855859999999999</v>
      </c>
      <c r="L15" s="3" cm="1">
        <f t="array" ref="L15">_xlfn.LET(_xlpm.t,L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0.10294349999999999</v>
      </c>
      <c r="M15" s="3" cm="1">
        <f t="array" ref="M15">_xlfn.LET(_xlpm.t,M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9.9200099999999999E-2</v>
      </c>
      <c r="N15" s="3" cm="1">
        <f t="array" ref="N15">_xlfn.LET(_xlpm.t,N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9.5456699999999992E-2</v>
      </c>
      <c r="O15" s="3" cm="1">
        <f t="array" ref="O15">_xlfn.LET(_xlpm.t,O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9.1713299999999998E-2</v>
      </c>
      <c r="P15" s="3" cm="1">
        <f t="array" ref="P15">_xlfn.LET(_xlpm.t,P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8.796989999999999E-2</v>
      </c>
      <c r="Q15" s="3" cm="1">
        <f t="array" ref="Q15">_xlfn.LET(_xlpm.t,Q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8.4226499999999996E-2</v>
      </c>
      <c r="R15" s="3" cm="1">
        <f t="array" ref="R15">_xlfn.LET(_xlpm.t,R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8.3290649999999994E-2</v>
      </c>
      <c r="S15" s="3" cm="1">
        <f t="array" ref="S15">_xlfn.LET(_xlpm.t,S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8.2354799999999992E-2</v>
      </c>
      <c r="T15" s="3" cm="1">
        <f t="array" ref="T15">_xlfn.LET(_xlpm.t,T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8.141894999999999E-2</v>
      </c>
      <c r="U15" s="3" cm="1">
        <f t="array" ref="U15">_xlfn.LET(_xlpm.t,U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8.0483099999999988E-2</v>
      </c>
      <c r="V15" s="3" cm="1">
        <f t="array" ref="V15">_xlfn.LET(_xlpm.t,V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7.9547249999999986E-2</v>
      </c>
      <c r="W15" s="3" cm="1">
        <f t="array" ref="W15">_xlfn.LET(_xlpm.t,W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7.8611399999999998E-2</v>
      </c>
      <c r="X15" s="3" cm="1">
        <f t="array" ref="X15">_xlfn.LET(_xlpm.t,X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7.7675549999999996E-2</v>
      </c>
      <c r="Y15" s="3" cm="1">
        <f t="array" ref="Y15">_xlfn.LET(_xlpm.t,Y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7.6739699999999994E-2</v>
      </c>
      <c r="Z15" s="3" cm="1">
        <f t="array" ref="Z15">_xlfn.LET(_xlpm.t,Z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7.5803849999999992E-2</v>
      </c>
      <c r="AA15" s="3" cm="1">
        <f t="array" ref="AA15">_xlfn.LET(_xlpm.t,AA$1,_xlpm.yrs,'Calc-Wind-Offshore'!$B$18:$J$18,_xlpm.vals,'Calc-Wind-Offshore'!$B$20:$J$20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7.486799999999999E-2</v>
      </c>
    </row>
    <row r="16" spans="1:27">
      <c r="A16" t="s">
        <v>12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>
      <c r="A17" t="s">
        <v>13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>
      <c r="A18" t="s">
        <v>14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>
      <c r="A19" t="s">
        <v>19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>
      <c r="A20" t="s">
        <v>20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>
      <c r="A21" t="s">
        <v>21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  <row r="22" spans="1:27">
      <c r="A22" t="s">
        <v>22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1:27">
      <c r="A23" t="s">
        <v>23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1:27">
      <c r="A24" t="s">
        <v>24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1:27">
      <c r="A25" t="s">
        <v>25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7EE8-88E2-4A35-B601-7B136BED4BBA}">
  <dimension ref="A1:AA2"/>
  <sheetViews>
    <sheetView workbookViewId="0"/>
  </sheetViews>
  <sheetFormatPr defaultRowHeight="15"/>
  <cols>
    <col min="1" max="1" width="26.7109375" customWidth="1"/>
    <col min="2" max="2" width="24.710937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182</v>
      </c>
      <c r="B2" s="3" cm="1">
        <f t="array" ref="B2">_xlfn.LET(_xlpm.t,B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5.8423750000000003E-2</v>
      </c>
      <c r="C2" s="3" cm="1">
        <f t="array" ref="C2">_xlfn.LET(_xlpm.t,C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0.14725000000000005</v>
      </c>
      <c r="D2" s="3" cm="1">
        <f t="array" ref="D2">_xlfn.LET(_xlpm.t,D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0.12516250000000004</v>
      </c>
      <c r="E2" s="3" cm="1">
        <f t="array" ref="E2">_xlfn.LET(_xlpm.t,E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9.5712500000000034E-2</v>
      </c>
      <c r="F2" s="3" cm="1">
        <f t="array" ref="F2">_xlfn.LET(_xlpm.t,F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7.3625000000000024E-2</v>
      </c>
      <c r="G2" s="3" cm="1">
        <f t="array" ref="G2">_xlfn.LET(_xlpm.t,G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5.1537500000000014E-2</v>
      </c>
      <c r="H2" s="3" cm="1">
        <f t="array" ref="H2">_xlfn.LET(_xlpm.t,H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4.7120000000000016E-2</v>
      </c>
      <c r="I2" s="3" cm="1">
        <f t="array" ref="I2">_xlfn.LET(_xlpm.t,I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4.2702500000000011E-2</v>
      </c>
      <c r="J2" s="3" cm="1">
        <f t="array" ref="J2">_xlfn.LET(_xlpm.t,J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3.8285000000000013E-2</v>
      </c>
      <c r="K2" s="3" cm="1">
        <f t="array" ref="K2">_xlfn.LET(_xlpm.t,K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3.3867500000000009E-2</v>
      </c>
      <c r="L2" s="3" cm="1">
        <f t="array" ref="L2">_xlfn.LET(_xlpm.t,L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2.9450000000000011E-2</v>
      </c>
      <c r="M2" s="3" cm="1">
        <f t="array" ref="M2">_xlfn.LET(_xlpm.t,M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2.7977500000000009E-2</v>
      </c>
      <c r="N2" s="3" cm="1">
        <f t="array" ref="N2">_xlfn.LET(_xlpm.t,N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2.6505000000000008E-2</v>
      </c>
      <c r="O2" s="3" cm="1">
        <f t="array" ref="O2">_xlfn.LET(_xlpm.t,O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2.5032500000000006E-2</v>
      </c>
      <c r="P2" s="3" cm="1">
        <f t="array" ref="P2">_xlfn.LET(_xlpm.t,P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2.3560000000000008E-2</v>
      </c>
      <c r="Q2" s="3" cm="1">
        <f t="array" ref="Q2">_xlfn.LET(_xlpm.t,Q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R2" s="3" cm="1">
        <f t="array" ref="R2">_xlfn.LET(_xlpm.t,R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S2" s="3" cm="1">
        <f t="array" ref="S2">_xlfn.LET(_xlpm.t,S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T2" s="3" cm="1">
        <f t="array" ref="T2">_xlfn.LET(_xlpm.t,T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U2" s="3" cm="1">
        <f t="array" ref="U2">_xlfn.LET(_xlpm.t,U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V2" s="3" cm="1">
        <f t="array" ref="V2">_xlfn.LET(_xlpm.t,V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W2" s="3" cm="1">
        <f t="array" ref="W2">_xlfn.LET(_xlpm.t,W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X2" s="3" cm="1">
        <f t="array" ref="X2">_xlfn.LET(_xlpm.t,X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Y2" s="3" cm="1">
        <f t="array" ref="Y2">_xlfn.LET(_xlpm.t,Y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Z2" s="3" cm="1">
        <f t="array" ref="Z2">_xlfn.LET(_xlpm.t,Z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  <c r="AA2" s="3" cm="1">
        <f t="array" ref="AA2">_xlfn.LET(_xlpm.t,AA$1,_xlpm.yrs,'Calc-Battery'!$B$28:$J$28,_xlpm.vals,'Calc-Battery'!$B$30:$J$30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2.2087500000000006E-2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010D-814D-4813-AF1F-13E847859011}">
  <dimension ref="A1:AA8"/>
  <sheetViews>
    <sheetView workbookViewId="0"/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9.6600000000000005E-2</v>
      </c>
      <c r="C2" s="3" cm="1">
        <f t="array" ref="C2">_xlfn.LET(_xlpm.t,C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0.13800000000000001</v>
      </c>
      <c r="D2" s="3" cm="1">
        <f t="array" ref="D2">_xlfn.LET(_xlpm.t,D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0.1173</v>
      </c>
      <c r="E2" s="3" cm="1">
        <f t="array" ref="E2">_xlfn.LET(_xlpm.t,E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8.9700000000000016E-2</v>
      </c>
      <c r="F2" s="3" cm="1">
        <f t="array" ref="F2">_xlfn.LET(_xlpm.t,F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6.9000000000000006E-2</v>
      </c>
      <c r="G2" s="3" cm="1">
        <f t="array" ref="G2">_xlfn.LET(_xlpm.t,G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4.8300000000000003E-2</v>
      </c>
      <c r="H2" s="3" cm="1">
        <f t="array" ref="H2">_xlfn.LET(_xlpm.t,H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4.4160000000000005E-2</v>
      </c>
      <c r="I2" s="3" cm="1">
        <f t="array" ref="I2">_xlfn.LET(_xlpm.t,I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4.002E-2</v>
      </c>
      <c r="J2" s="3" cm="1">
        <f t="array" ref="J2">_xlfn.LET(_xlpm.t,J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3.5880000000000002E-2</v>
      </c>
      <c r="K2" s="3" cm="1">
        <f t="array" ref="K2">_xlfn.LET(_xlpm.t,K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3.1740000000000004E-2</v>
      </c>
      <c r="L2" s="3" cm="1">
        <f t="array" ref="L2">_xlfn.LET(_xlpm.t,L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2.7600000000000003E-2</v>
      </c>
      <c r="M2" s="3" cm="1">
        <f t="array" ref="M2">_xlfn.LET(_xlpm.t,M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2.6220000000000004E-2</v>
      </c>
      <c r="N2" s="3" cm="1">
        <f t="array" ref="N2">_xlfn.LET(_xlpm.t,N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2.4840000000000001E-2</v>
      </c>
      <c r="O2" s="3" cm="1">
        <f t="array" ref="O2">_xlfn.LET(_xlpm.t,O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2.3460000000000002E-2</v>
      </c>
      <c r="P2" s="3" cm="1">
        <f t="array" ref="P2">_xlfn.LET(_xlpm.t,P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2.2080000000000002E-2</v>
      </c>
      <c r="Q2" s="3" cm="1">
        <f t="array" ref="Q2">_xlfn.LET(_xlpm.t,Q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R2" s="3" cm="1">
        <f t="array" ref="R2">_xlfn.LET(_xlpm.t,R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S2" s="3" cm="1">
        <f t="array" ref="S2">_xlfn.LET(_xlpm.t,S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T2" s="3" cm="1">
        <f t="array" ref="T2">_xlfn.LET(_xlpm.t,T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U2" s="3" cm="1">
        <f t="array" ref="U2">_xlfn.LET(_xlpm.t,U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V2" s="3" cm="1">
        <f t="array" ref="V2">_xlfn.LET(_xlpm.t,V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W2" s="3" cm="1">
        <f t="array" ref="W2">_xlfn.LET(_xlpm.t,W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X2" s="3" cm="1">
        <f t="array" ref="X2">_xlfn.LET(_xlpm.t,X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Y2" s="3" cm="1">
        <f t="array" ref="Y2">_xlfn.LET(_xlpm.t,Y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Z2" s="3" cm="1">
        <f t="array" ref="Z2">_xlfn.LET(_xlpm.t,Z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AA2" s="3" cm="1">
        <f t="array" ref="AA2">_xlfn.LET(_xlpm.t,AA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</row>
    <row r="3" spans="1:27">
      <c r="A3" t="s">
        <v>27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>
      <c r="A4" t="s">
        <v>28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>
      <c r="A5" t="s">
        <v>29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>
      <c r="A6" t="s">
        <v>30</v>
      </c>
      <c r="B6" s="3" cm="1">
        <f t="array" ref="B6">_xlfn.LET(_xlpm.t,B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6.2790000000000012E-2</v>
      </c>
      <c r="C6" s="3" cm="1">
        <f t="array" ref="C6">_xlfn.LET(_xlpm.t,C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8.9700000000000016E-2</v>
      </c>
      <c r="D6" s="3" cm="1">
        <f t="array" ref="D6">_xlfn.LET(_xlpm.t,D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7.6245000000000007E-2</v>
      </c>
      <c r="E6" s="3" cm="1">
        <f t="array" ref="E6">_xlfn.LET(_xlpm.t,E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5.830500000000001E-2</v>
      </c>
      <c r="F6" s="3" cm="1">
        <f t="array" ref="F6">_xlfn.LET(_xlpm.t,F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4.4850000000000008E-2</v>
      </c>
      <c r="G6" s="3" cm="1">
        <f t="array" ref="G6">_xlfn.LET(_xlpm.t,G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3.1395000000000006E-2</v>
      </c>
      <c r="H6" s="3" cm="1">
        <f t="array" ref="H6">_xlfn.LET(_xlpm.t,H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2.8704000000000004E-2</v>
      </c>
      <c r="I6" s="3" cm="1">
        <f t="array" ref="I6">_xlfn.LET(_xlpm.t,I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2.6013000000000005E-2</v>
      </c>
      <c r="J6" s="3" cm="1">
        <f t="array" ref="J6">_xlfn.LET(_xlpm.t,J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2.3322000000000002E-2</v>
      </c>
      <c r="K6" s="3" cm="1">
        <f t="array" ref="K6">_xlfn.LET(_xlpm.t,K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2.0631000000000004E-2</v>
      </c>
      <c r="L6" s="3" cm="1">
        <f t="array" ref="L6">_xlfn.LET(_xlpm.t,L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1.7940000000000001E-2</v>
      </c>
      <c r="M6" s="3" cm="1">
        <f t="array" ref="M6">_xlfn.LET(_xlpm.t,M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1.7043000000000003E-2</v>
      </c>
      <c r="N6" s="3" cm="1">
        <f t="array" ref="N6">_xlfn.LET(_xlpm.t,N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1.6146000000000001E-2</v>
      </c>
      <c r="O6" s="3" cm="1">
        <f t="array" ref="O6">_xlfn.LET(_xlpm.t,O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1.5249E-2</v>
      </c>
      <c r="P6" s="3" cm="1">
        <f t="array" ref="P6">_xlfn.LET(_xlpm.t,P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1.4352E-2</v>
      </c>
      <c r="Q6" s="3" cm="1">
        <f t="array" ref="Q6">_xlfn.LET(_xlpm.t,Q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R6" s="3" cm="1">
        <f t="array" ref="R6">_xlfn.LET(_xlpm.t,R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S6" s="3" cm="1">
        <f t="array" ref="S6">_xlfn.LET(_xlpm.t,S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T6" s="3" cm="1">
        <f t="array" ref="T6">_xlfn.LET(_xlpm.t,T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U6" s="3" cm="1">
        <f t="array" ref="U6">_xlfn.LET(_xlpm.t,U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V6" s="3" cm="1">
        <f t="array" ref="V6">_xlfn.LET(_xlpm.t,V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W6" s="3" cm="1">
        <f t="array" ref="W6">_xlfn.LET(_xlpm.t,W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X6" s="3" cm="1">
        <f t="array" ref="X6">_xlfn.LET(_xlpm.t,X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Y6" s="3" cm="1">
        <f t="array" ref="Y6">_xlfn.LET(_xlpm.t,Y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Z6" s="3" cm="1">
        <f t="array" ref="Z6">_xlfn.LET(_xlpm.t,Z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AA6" s="3" cm="1">
        <f t="array" ref="AA6">_xlfn.LET(_xlpm.t,AA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</row>
    <row r="7" spans="1:27">
      <c r="A7" t="s">
        <v>31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>
      <c r="A8" t="s">
        <v>32</v>
      </c>
      <c r="B8" s="3" cm="1">
        <f t="array" ref="B8">_xlfn.LET(_xlpm.t,B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2.8979999999999999E-2</v>
      </c>
      <c r="C8" s="3" cm="1">
        <f t="array" ref="C8">_xlfn.LET(_xlpm.t,C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4.1399999999999999E-2</v>
      </c>
      <c r="D8" s="3" cm="1">
        <f t="array" ref="D8">_xlfn.LET(_xlpm.t,D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3.5189999999999999E-2</v>
      </c>
      <c r="E8" s="3" cm="1">
        <f t="array" ref="E8">_xlfn.LET(_xlpm.t,E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2.6910000000000003E-2</v>
      </c>
      <c r="F8" s="3" cm="1">
        <f t="array" ref="F8">_xlfn.LET(_xlpm.t,F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G8" s="3" cm="1">
        <f t="array" ref="G8">_xlfn.LET(_xlpm.t,G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H8" s="3" cm="1">
        <f t="array" ref="H8">_xlfn.LET(_xlpm.t,H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1.3247999999999999E-2</v>
      </c>
      <c r="I8" s="3" cm="1">
        <f t="array" ref="I8">_xlfn.LET(_xlpm.t,I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1.2005999999999999E-2</v>
      </c>
      <c r="J8" s="3" cm="1">
        <f t="array" ref="J8">_xlfn.LET(_xlpm.t,J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1.0764000000000001E-2</v>
      </c>
      <c r="K8" s="3" cm="1">
        <f t="array" ref="K8">_xlfn.LET(_xlpm.t,K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9.5220000000000009E-3</v>
      </c>
      <c r="L8" s="3" cm="1">
        <f t="array" ref="L8">_xlfn.LET(_xlpm.t,L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8.2800000000000009E-3</v>
      </c>
      <c r="M8" s="3" cm="1">
        <f t="array" ref="M8">_xlfn.LET(_xlpm.t,M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7.8660000000000015E-3</v>
      </c>
      <c r="N8" s="3" cm="1">
        <f t="array" ref="N8">_xlfn.LET(_xlpm.t,N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7.4520000000000003E-3</v>
      </c>
      <c r="O8" s="3" cm="1">
        <f t="array" ref="O8">_xlfn.LET(_xlpm.t,O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7.038E-3</v>
      </c>
      <c r="P8" s="3" cm="1">
        <f t="array" ref="P8">_xlfn.LET(_xlpm.t,P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6.6239999999999997E-3</v>
      </c>
      <c r="Q8" s="3" cm="1">
        <f t="array" ref="Q8">_xlfn.LET(_xlpm.t,Q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R8" s="3" cm="1">
        <f t="array" ref="R8">_xlfn.LET(_xlpm.t,R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S8" s="3" cm="1">
        <f t="array" ref="S8">_xlfn.LET(_xlpm.t,S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T8" s="3" cm="1">
        <f t="array" ref="T8">_xlfn.LET(_xlpm.t,T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U8" s="3" cm="1">
        <f t="array" ref="U8">_xlfn.LET(_xlpm.t,U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V8" s="3" cm="1">
        <f t="array" ref="V8">_xlfn.LET(_xlpm.t,V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W8" s="3" cm="1">
        <f t="array" ref="W8">_xlfn.LET(_xlpm.t,W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X8" s="3" cm="1">
        <f t="array" ref="X8">_xlfn.LET(_xlpm.t,X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Y8" s="3" cm="1">
        <f t="array" ref="Y8">_xlfn.LET(_xlpm.t,Y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Z8" s="3" cm="1">
        <f t="array" ref="Z8">_xlfn.LET(_xlpm.t,Z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AA8" s="3" cm="1">
        <f t="array" ref="AA8">_xlfn.LET(_xlpm.t,AA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2E2-3ADD-4477-889E-56C1FE70BB2F}">
  <dimension ref="A1:AA8"/>
  <sheetViews>
    <sheetView workbookViewId="0">
      <selection activeCell="C9" sqref="C9"/>
    </sheetView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9.6600000000000005E-2</v>
      </c>
      <c r="C2" s="3" cm="1">
        <f t="array" ref="C2">_xlfn.LET(_xlpm.t,C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0.13800000000000001</v>
      </c>
      <c r="D2" s="3" cm="1">
        <f t="array" ref="D2">_xlfn.LET(_xlpm.t,D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0.1173</v>
      </c>
      <c r="E2" s="3" cm="1">
        <f t="array" ref="E2">_xlfn.LET(_xlpm.t,E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8.9700000000000016E-2</v>
      </c>
      <c r="F2" s="3" cm="1">
        <f t="array" ref="F2">_xlfn.LET(_xlpm.t,F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6.9000000000000006E-2</v>
      </c>
      <c r="G2" s="3" cm="1">
        <f t="array" ref="G2">_xlfn.LET(_xlpm.t,G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4.8300000000000003E-2</v>
      </c>
      <c r="H2" s="3" cm="1">
        <f t="array" ref="H2">_xlfn.LET(_xlpm.t,H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4.4160000000000005E-2</v>
      </c>
      <c r="I2" s="3" cm="1">
        <f t="array" ref="I2">_xlfn.LET(_xlpm.t,I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4.002E-2</v>
      </c>
      <c r="J2" s="3" cm="1">
        <f t="array" ref="J2">_xlfn.LET(_xlpm.t,J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3.5880000000000002E-2</v>
      </c>
      <c r="K2" s="3" cm="1">
        <f t="array" ref="K2">_xlfn.LET(_xlpm.t,K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3.1740000000000004E-2</v>
      </c>
      <c r="L2" s="3" cm="1">
        <f t="array" ref="L2">_xlfn.LET(_xlpm.t,L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2.7600000000000003E-2</v>
      </c>
      <c r="M2" s="3" cm="1">
        <f t="array" ref="M2">_xlfn.LET(_xlpm.t,M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2.6220000000000004E-2</v>
      </c>
      <c r="N2" s="3" cm="1">
        <f t="array" ref="N2">_xlfn.LET(_xlpm.t,N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2.4840000000000001E-2</v>
      </c>
      <c r="O2" s="3" cm="1">
        <f t="array" ref="O2">_xlfn.LET(_xlpm.t,O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2.3460000000000002E-2</v>
      </c>
      <c r="P2" s="3" cm="1">
        <f t="array" ref="P2">_xlfn.LET(_xlpm.t,P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2.2080000000000002E-2</v>
      </c>
      <c r="Q2" s="3" cm="1">
        <f t="array" ref="Q2">_xlfn.LET(_xlpm.t,Q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R2" s="3" cm="1">
        <f t="array" ref="R2">_xlfn.LET(_xlpm.t,R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S2" s="3" cm="1">
        <f t="array" ref="S2">_xlfn.LET(_xlpm.t,S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T2" s="3" cm="1">
        <f t="array" ref="T2">_xlfn.LET(_xlpm.t,T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U2" s="3" cm="1">
        <f t="array" ref="U2">_xlfn.LET(_xlpm.t,U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V2" s="3" cm="1">
        <f t="array" ref="V2">_xlfn.LET(_xlpm.t,V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W2" s="3" cm="1">
        <f t="array" ref="W2">_xlfn.LET(_xlpm.t,W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X2" s="3" cm="1">
        <f t="array" ref="X2">_xlfn.LET(_xlpm.t,X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Y2" s="3" cm="1">
        <f t="array" ref="Y2">_xlfn.LET(_xlpm.t,Y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Z2" s="3" cm="1">
        <f t="array" ref="Z2">_xlfn.LET(_xlpm.t,Z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AA2" s="3" cm="1">
        <f t="array" ref="AA2">_xlfn.LET(_xlpm.t,AA$1,_xlpm.yrs,'Calc-Battery'!$B$28:$J$28,_xlpm.vals,'Calc-Battery'!$B$31:$J$31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</row>
    <row r="3" spans="1:27">
      <c r="A3" t="s">
        <v>27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>
      <c r="A4" t="s">
        <v>28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>
      <c r="A5" t="s">
        <v>29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>
      <c r="A6" t="s">
        <v>30</v>
      </c>
      <c r="B6" s="3" cm="1">
        <f t="array" ref="B6">_xlfn.LET(_xlpm.t,B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6.2790000000000012E-2</v>
      </c>
      <c r="C6" s="3" cm="1">
        <f t="array" ref="C6">_xlfn.LET(_xlpm.t,C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8.9700000000000016E-2</v>
      </c>
      <c r="D6" s="3" cm="1">
        <f t="array" ref="D6">_xlfn.LET(_xlpm.t,D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7.6245000000000007E-2</v>
      </c>
      <c r="E6" s="3" cm="1">
        <f t="array" ref="E6">_xlfn.LET(_xlpm.t,E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5.830500000000001E-2</v>
      </c>
      <c r="F6" s="3" cm="1">
        <f t="array" ref="F6">_xlfn.LET(_xlpm.t,F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4.4850000000000008E-2</v>
      </c>
      <c r="G6" s="3" cm="1">
        <f t="array" ref="G6">_xlfn.LET(_xlpm.t,G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3.1395000000000006E-2</v>
      </c>
      <c r="H6" s="3" cm="1">
        <f t="array" ref="H6">_xlfn.LET(_xlpm.t,H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2.8704000000000004E-2</v>
      </c>
      <c r="I6" s="3" cm="1">
        <f t="array" ref="I6">_xlfn.LET(_xlpm.t,I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2.6013000000000005E-2</v>
      </c>
      <c r="J6" s="3" cm="1">
        <f t="array" ref="J6">_xlfn.LET(_xlpm.t,J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2.3322000000000002E-2</v>
      </c>
      <c r="K6" s="3" cm="1">
        <f t="array" ref="K6">_xlfn.LET(_xlpm.t,K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2.0631000000000004E-2</v>
      </c>
      <c r="L6" s="3" cm="1">
        <f t="array" ref="L6">_xlfn.LET(_xlpm.t,L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1.7940000000000001E-2</v>
      </c>
      <c r="M6" s="3" cm="1">
        <f t="array" ref="M6">_xlfn.LET(_xlpm.t,M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1.7043000000000003E-2</v>
      </c>
      <c r="N6" s="3" cm="1">
        <f t="array" ref="N6">_xlfn.LET(_xlpm.t,N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1.6146000000000001E-2</v>
      </c>
      <c r="O6" s="3" cm="1">
        <f t="array" ref="O6">_xlfn.LET(_xlpm.t,O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1.5249E-2</v>
      </c>
      <c r="P6" s="3" cm="1">
        <f t="array" ref="P6">_xlfn.LET(_xlpm.t,P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1.4352E-2</v>
      </c>
      <c r="Q6" s="3" cm="1">
        <f t="array" ref="Q6">_xlfn.LET(_xlpm.t,Q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R6" s="3" cm="1">
        <f t="array" ref="R6">_xlfn.LET(_xlpm.t,R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S6" s="3" cm="1">
        <f t="array" ref="S6">_xlfn.LET(_xlpm.t,S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T6" s="3" cm="1">
        <f t="array" ref="T6">_xlfn.LET(_xlpm.t,T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U6" s="3" cm="1">
        <f t="array" ref="U6">_xlfn.LET(_xlpm.t,U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V6" s="3" cm="1">
        <f t="array" ref="V6">_xlfn.LET(_xlpm.t,V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W6" s="3" cm="1">
        <f t="array" ref="W6">_xlfn.LET(_xlpm.t,W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X6" s="3" cm="1">
        <f t="array" ref="X6">_xlfn.LET(_xlpm.t,X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Y6" s="3" cm="1">
        <f t="array" ref="Y6">_xlfn.LET(_xlpm.t,Y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Z6" s="3" cm="1">
        <f t="array" ref="Z6">_xlfn.LET(_xlpm.t,Z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  <c r="AA6" s="3" cm="1">
        <f t="array" ref="AA6">_xlfn.LET(_xlpm.t,AA$1,_xlpm.yrs,'Calc-Battery'!$B$28:$J$28,_xlpm.vals,'Calc-Battery'!$B$32:$J$32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1.3455E-2</v>
      </c>
    </row>
    <row r="7" spans="1:27">
      <c r="A7" t="s">
        <v>31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>
      <c r="A8" t="s">
        <v>32</v>
      </c>
      <c r="B8" s="3" cm="1">
        <f t="array" ref="B8">_xlfn.LET(_xlpm.t,B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2.8979999999999999E-2</v>
      </c>
      <c r="C8" s="3" cm="1">
        <f t="array" ref="C8">_xlfn.LET(_xlpm.t,C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4.1399999999999999E-2</v>
      </c>
      <c r="D8" s="3" cm="1">
        <f t="array" ref="D8">_xlfn.LET(_xlpm.t,D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3.5189999999999999E-2</v>
      </c>
      <c r="E8" s="3" cm="1">
        <f t="array" ref="E8">_xlfn.LET(_xlpm.t,E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2.6910000000000003E-2</v>
      </c>
      <c r="F8" s="3" cm="1">
        <f t="array" ref="F8">_xlfn.LET(_xlpm.t,F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2.07E-2</v>
      </c>
      <c r="G8" s="3" cm="1">
        <f t="array" ref="G8">_xlfn.LET(_xlpm.t,G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H8" s="3" cm="1">
        <f t="array" ref="H8">_xlfn.LET(_xlpm.t,H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1.3247999999999999E-2</v>
      </c>
      <c r="I8" s="3" cm="1">
        <f t="array" ref="I8">_xlfn.LET(_xlpm.t,I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1.2005999999999999E-2</v>
      </c>
      <c r="J8" s="3" cm="1">
        <f t="array" ref="J8">_xlfn.LET(_xlpm.t,J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1.0764000000000001E-2</v>
      </c>
      <c r="K8" s="3" cm="1">
        <f t="array" ref="K8">_xlfn.LET(_xlpm.t,K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9.5220000000000009E-3</v>
      </c>
      <c r="L8" s="3" cm="1">
        <f t="array" ref="L8">_xlfn.LET(_xlpm.t,L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8.2800000000000009E-3</v>
      </c>
      <c r="M8" s="3" cm="1">
        <f t="array" ref="M8">_xlfn.LET(_xlpm.t,M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7.8660000000000015E-3</v>
      </c>
      <c r="N8" s="3" cm="1">
        <f t="array" ref="N8">_xlfn.LET(_xlpm.t,N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7.4520000000000003E-3</v>
      </c>
      <c r="O8" s="3" cm="1">
        <f t="array" ref="O8">_xlfn.LET(_xlpm.t,O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7.038E-3</v>
      </c>
      <c r="P8" s="3" cm="1">
        <f t="array" ref="P8">_xlfn.LET(_xlpm.t,P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6.6239999999999997E-3</v>
      </c>
      <c r="Q8" s="3" cm="1">
        <f t="array" ref="Q8">_xlfn.LET(_xlpm.t,Q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R8" s="3" cm="1">
        <f t="array" ref="R8">_xlfn.LET(_xlpm.t,R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S8" s="3" cm="1">
        <f t="array" ref="S8">_xlfn.LET(_xlpm.t,S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T8" s="3" cm="1">
        <f t="array" ref="T8">_xlfn.LET(_xlpm.t,T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U8" s="3" cm="1">
        <f t="array" ref="U8">_xlfn.LET(_xlpm.t,U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V8" s="3" cm="1">
        <f t="array" ref="V8">_xlfn.LET(_xlpm.t,V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W8" s="3" cm="1">
        <f t="array" ref="W8">_xlfn.LET(_xlpm.t,W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X8" s="3" cm="1">
        <f t="array" ref="X8">_xlfn.LET(_xlpm.t,X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Y8" s="3" cm="1">
        <f t="array" ref="Y8">_xlfn.LET(_xlpm.t,Y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Z8" s="3" cm="1">
        <f t="array" ref="Z8">_xlfn.LET(_xlpm.t,Z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  <c r="AA8" s="3" cm="1">
        <f t="array" ref="AA8">_xlfn.LET(_xlpm.t,AA$1,_xlpm.yrs,'Calc-Battery'!$B$28:$J$28,_xlpm.vals,'Calc-Battery'!$B$33:$J$33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6.2099999999999994E-3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AD00-394A-448F-BDEC-EA4FFA8EB97B}">
  <dimension ref="A1:AA8"/>
  <sheetViews>
    <sheetView workbookViewId="0"/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6.762E-2</v>
      </c>
      <c r="C2" s="3" cm="1">
        <f t="array" ref="C2">_xlfn.LET(_xlpm.t,C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9.6600000000000005E-2</v>
      </c>
      <c r="D2" s="3" cm="1">
        <f t="array" ref="D2">_xlfn.LET(_xlpm.t,D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8.2110000000000002E-2</v>
      </c>
      <c r="E2" s="3" cm="1">
        <f t="array" ref="E2">_xlfn.LET(_xlpm.t,E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6.2790000000000012E-2</v>
      </c>
      <c r="F2" s="3" cm="1">
        <f t="array" ref="F2">_xlfn.LET(_xlpm.t,F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4.8300000000000003E-2</v>
      </c>
      <c r="G2" s="3" cm="1">
        <f t="array" ref="G2">_xlfn.LET(_xlpm.t,G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3.381E-2</v>
      </c>
      <c r="H2" s="3" cm="1">
        <f t="array" ref="H2">_xlfn.LET(_xlpm.t,H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3.0911999999999999E-2</v>
      </c>
      <c r="I2" s="3" cm="1">
        <f t="array" ref="I2">_xlfn.LET(_xlpm.t,I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2.8014000000000001E-2</v>
      </c>
      <c r="J2" s="3" cm="1">
        <f t="array" ref="J2">_xlfn.LET(_xlpm.t,J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2.5115999999999999E-2</v>
      </c>
      <c r="K2" s="3" cm="1">
        <f t="array" ref="K2">_xlfn.LET(_xlpm.t,K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2.2218000000000002E-2</v>
      </c>
      <c r="L2" s="3" cm="1">
        <f t="array" ref="L2">_xlfn.LET(_xlpm.t,L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1.932E-2</v>
      </c>
      <c r="M2" s="3" cm="1">
        <f t="array" ref="M2">_xlfn.LET(_xlpm.t,M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1.8353999999999999E-2</v>
      </c>
      <c r="N2" s="3" cm="1">
        <f t="array" ref="N2">_xlfn.LET(_xlpm.t,N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1.7388000000000001E-2</v>
      </c>
      <c r="O2" s="3" cm="1">
        <f t="array" ref="O2">_xlfn.LET(_xlpm.t,O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1.6421999999999999E-2</v>
      </c>
      <c r="P2" s="3" cm="1">
        <f t="array" ref="P2">_xlfn.LET(_xlpm.t,P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1.5455999999999999E-2</v>
      </c>
      <c r="Q2" s="3" cm="1">
        <f t="array" ref="Q2">_xlfn.LET(_xlpm.t,Q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R2" s="3" cm="1">
        <f t="array" ref="R2">_xlfn.LET(_xlpm.t,R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S2" s="3" cm="1">
        <f t="array" ref="S2">_xlfn.LET(_xlpm.t,S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T2" s="3" cm="1">
        <f t="array" ref="T2">_xlfn.LET(_xlpm.t,T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U2" s="3" cm="1">
        <f t="array" ref="U2">_xlfn.LET(_xlpm.t,U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V2" s="3" cm="1">
        <f t="array" ref="V2">_xlfn.LET(_xlpm.t,V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W2" s="3" cm="1">
        <f t="array" ref="W2">_xlfn.LET(_xlpm.t,W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X2" s="3" cm="1">
        <f t="array" ref="X2">_xlfn.LET(_xlpm.t,X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Y2" s="3" cm="1">
        <f t="array" ref="Y2">_xlfn.LET(_xlpm.t,Y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Z2" s="3" cm="1">
        <f t="array" ref="Z2">_xlfn.LET(_xlpm.t,Z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AA2" s="3" cm="1">
        <f t="array" ref="AA2">_xlfn.LET(_xlpm.t,AA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</row>
    <row r="3" spans="1:27">
      <c r="A3" t="s">
        <v>27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>
      <c r="A4" t="s">
        <v>28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>
      <c r="A5" t="s">
        <v>29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>
      <c r="A6" t="s">
        <v>30</v>
      </c>
      <c r="B6" s="3" cm="1">
        <f t="array" ref="B6">_xlfn.LET(_xlpm.t,B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4.3952999999999999E-2</v>
      </c>
      <c r="C6" s="3" cm="1">
        <f t="array" ref="C6">_xlfn.LET(_xlpm.t,C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6.2790000000000012E-2</v>
      </c>
      <c r="D6" s="3" cm="1">
        <f t="array" ref="D6">_xlfn.LET(_xlpm.t,D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5.3371500000000002E-2</v>
      </c>
      <c r="E6" s="3" cm="1">
        <f t="array" ref="E6">_xlfn.LET(_xlpm.t,E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4.0813500000000009E-2</v>
      </c>
      <c r="F6" s="3" cm="1">
        <f t="array" ref="F6">_xlfn.LET(_xlpm.t,F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3.1395000000000006E-2</v>
      </c>
      <c r="G6" s="3" cm="1">
        <f t="array" ref="G6">_xlfn.LET(_xlpm.t,G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2.19765E-2</v>
      </c>
      <c r="H6" s="3" cm="1">
        <f t="array" ref="H6">_xlfn.LET(_xlpm.t,H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2.0092800000000001E-2</v>
      </c>
      <c r="I6" s="3" cm="1">
        <f t="array" ref="I6">_xlfn.LET(_xlpm.t,I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1.8209099999999999E-2</v>
      </c>
      <c r="J6" s="3" cm="1">
        <f t="array" ref="J6">_xlfn.LET(_xlpm.t,J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1.63254E-2</v>
      </c>
      <c r="K6" s="3" cm="1">
        <f t="array" ref="K6">_xlfn.LET(_xlpm.t,K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1.4441700000000002E-2</v>
      </c>
      <c r="L6" s="3" cm="1">
        <f t="array" ref="L6">_xlfn.LET(_xlpm.t,L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1.2558000000000001E-2</v>
      </c>
      <c r="M6" s="3" cm="1">
        <f t="array" ref="M6">_xlfn.LET(_xlpm.t,M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1.1930100000000001E-2</v>
      </c>
      <c r="N6" s="3" cm="1">
        <f t="array" ref="N6">_xlfn.LET(_xlpm.t,N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1.13022E-2</v>
      </c>
      <c r="O6" s="3" cm="1">
        <f t="array" ref="O6">_xlfn.LET(_xlpm.t,O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1.0674300000000001E-2</v>
      </c>
      <c r="P6" s="3" cm="1">
        <f t="array" ref="P6">_xlfn.LET(_xlpm.t,P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1.00464E-2</v>
      </c>
      <c r="Q6" s="3" cm="1">
        <f t="array" ref="Q6">_xlfn.LET(_xlpm.t,Q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R6" s="3" cm="1">
        <f t="array" ref="R6">_xlfn.LET(_xlpm.t,R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S6" s="3" cm="1">
        <f t="array" ref="S6">_xlfn.LET(_xlpm.t,S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T6" s="3" cm="1">
        <f t="array" ref="T6">_xlfn.LET(_xlpm.t,T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U6" s="3" cm="1">
        <f t="array" ref="U6">_xlfn.LET(_xlpm.t,U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V6" s="3" cm="1">
        <f t="array" ref="V6">_xlfn.LET(_xlpm.t,V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W6" s="3" cm="1">
        <f t="array" ref="W6">_xlfn.LET(_xlpm.t,W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X6" s="3" cm="1">
        <f t="array" ref="X6">_xlfn.LET(_xlpm.t,X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Y6" s="3" cm="1">
        <f t="array" ref="Y6">_xlfn.LET(_xlpm.t,Y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Z6" s="3" cm="1">
        <f t="array" ref="Z6">_xlfn.LET(_xlpm.t,Z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AA6" s="3" cm="1">
        <f t="array" ref="AA6">_xlfn.LET(_xlpm.t,AA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</row>
    <row r="7" spans="1:27">
      <c r="A7" t="s">
        <v>31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>
      <c r="A8" t="s">
        <v>32</v>
      </c>
      <c r="B8" s="3" cm="1">
        <f t="array" ref="B8">_xlfn.LET(_xlpm.t,B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2.0285999999999998E-2</v>
      </c>
      <c r="C8" s="3" cm="1">
        <f t="array" ref="C8">_xlfn.LET(_xlpm.t,C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2.8979999999999999E-2</v>
      </c>
      <c r="D8" s="3" cm="1">
        <f t="array" ref="D8">_xlfn.LET(_xlpm.t,D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2.4632999999999999E-2</v>
      </c>
      <c r="E8" s="3" cm="1">
        <f t="array" ref="E8">_xlfn.LET(_xlpm.t,E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1.8837000000000003E-2</v>
      </c>
      <c r="F8" s="3" cm="1">
        <f t="array" ref="F8">_xlfn.LET(_xlpm.t,F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G8" s="3" cm="1">
        <f t="array" ref="G8">_xlfn.LET(_xlpm.t,G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1.0142999999999999E-2</v>
      </c>
      <c r="H8" s="3" cm="1">
        <f t="array" ref="H8">_xlfn.LET(_xlpm.t,H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9.2735999999999999E-3</v>
      </c>
      <c r="I8" s="3" cm="1">
        <f t="array" ref="I8">_xlfn.LET(_xlpm.t,I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8.4041999999999988E-3</v>
      </c>
      <c r="J8" s="3" cm="1">
        <f t="array" ref="J8">_xlfn.LET(_xlpm.t,J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7.5347999999999995E-3</v>
      </c>
      <c r="K8" s="3" cm="1">
        <f t="array" ref="K8">_xlfn.LET(_xlpm.t,K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6.6654000000000001E-3</v>
      </c>
      <c r="L8" s="3" cm="1">
        <f t="array" ref="L8">_xlfn.LET(_xlpm.t,L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5.7959999999999999E-3</v>
      </c>
      <c r="M8" s="3" cm="1">
        <f t="array" ref="M8">_xlfn.LET(_xlpm.t,M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5.5062000000000002E-3</v>
      </c>
      <c r="N8" s="3" cm="1">
        <f t="array" ref="N8">_xlfn.LET(_xlpm.t,N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5.2163999999999995E-3</v>
      </c>
      <c r="O8" s="3" cm="1">
        <f t="array" ref="O8">_xlfn.LET(_xlpm.t,O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4.9265999999999997E-3</v>
      </c>
      <c r="P8" s="3" cm="1">
        <f t="array" ref="P8">_xlfn.LET(_xlpm.t,P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4.6367999999999999E-3</v>
      </c>
      <c r="Q8" s="3" cm="1">
        <f t="array" ref="Q8">_xlfn.LET(_xlpm.t,Q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R8" s="3" cm="1">
        <f t="array" ref="R8">_xlfn.LET(_xlpm.t,R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S8" s="3" cm="1">
        <f t="array" ref="S8">_xlfn.LET(_xlpm.t,S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T8" s="3" cm="1">
        <f t="array" ref="T8">_xlfn.LET(_xlpm.t,T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U8" s="3" cm="1">
        <f t="array" ref="U8">_xlfn.LET(_xlpm.t,U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V8" s="3" cm="1">
        <f t="array" ref="V8">_xlfn.LET(_xlpm.t,V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W8" s="3" cm="1">
        <f t="array" ref="W8">_xlfn.LET(_xlpm.t,W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X8" s="3" cm="1">
        <f t="array" ref="X8">_xlfn.LET(_xlpm.t,X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Y8" s="3" cm="1">
        <f t="array" ref="Y8">_xlfn.LET(_xlpm.t,Y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Z8" s="3" cm="1">
        <f t="array" ref="Z8">_xlfn.LET(_xlpm.t,Z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AA8" s="3" cm="1">
        <f t="array" ref="AA8">_xlfn.LET(_xlpm.t,AA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1A02-D5A3-491F-8A67-D9DDCBC61F01}">
  <dimension ref="A1:AA8"/>
  <sheetViews>
    <sheetView workbookViewId="0"/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6.762E-2</v>
      </c>
      <c r="C2" s="3" cm="1">
        <f t="array" ref="C2">_xlfn.LET(_xlpm.t,C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9.6600000000000005E-2</v>
      </c>
      <c r="D2" s="3" cm="1">
        <f t="array" ref="D2">_xlfn.LET(_xlpm.t,D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8.2110000000000002E-2</v>
      </c>
      <c r="E2" s="3" cm="1">
        <f t="array" ref="E2">_xlfn.LET(_xlpm.t,E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6.2790000000000012E-2</v>
      </c>
      <c r="F2" s="3" cm="1">
        <f t="array" ref="F2">_xlfn.LET(_xlpm.t,F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4.8300000000000003E-2</v>
      </c>
      <c r="G2" s="3" cm="1">
        <f t="array" ref="G2">_xlfn.LET(_xlpm.t,G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3.381E-2</v>
      </c>
      <c r="H2" s="3" cm="1">
        <f t="array" ref="H2">_xlfn.LET(_xlpm.t,H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3.0911999999999999E-2</v>
      </c>
      <c r="I2" s="3" cm="1">
        <f t="array" ref="I2">_xlfn.LET(_xlpm.t,I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2.8014000000000001E-2</v>
      </c>
      <c r="J2" s="3" cm="1">
        <f t="array" ref="J2">_xlfn.LET(_xlpm.t,J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2.5115999999999999E-2</v>
      </c>
      <c r="K2" s="3" cm="1">
        <f t="array" ref="K2">_xlfn.LET(_xlpm.t,K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2.2218000000000002E-2</v>
      </c>
      <c r="L2" s="3" cm="1">
        <f t="array" ref="L2">_xlfn.LET(_xlpm.t,L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1.932E-2</v>
      </c>
      <c r="M2" s="3" cm="1">
        <f t="array" ref="M2">_xlfn.LET(_xlpm.t,M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1.8353999999999999E-2</v>
      </c>
      <c r="N2" s="3" cm="1">
        <f t="array" ref="N2">_xlfn.LET(_xlpm.t,N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1.7388000000000001E-2</v>
      </c>
      <c r="O2" s="3" cm="1">
        <f t="array" ref="O2">_xlfn.LET(_xlpm.t,O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1.6421999999999999E-2</v>
      </c>
      <c r="P2" s="3" cm="1">
        <f t="array" ref="P2">_xlfn.LET(_xlpm.t,P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1.5455999999999999E-2</v>
      </c>
      <c r="Q2" s="3" cm="1">
        <f t="array" ref="Q2">_xlfn.LET(_xlpm.t,Q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R2" s="3" cm="1">
        <f t="array" ref="R2">_xlfn.LET(_xlpm.t,R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S2" s="3" cm="1">
        <f t="array" ref="S2">_xlfn.LET(_xlpm.t,S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T2" s="3" cm="1">
        <f t="array" ref="T2">_xlfn.LET(_xlpm.t,T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U2" s="3" cm="1">
        <f t="array" ref="U2">_xlfn.LET(_xlpm.t,U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V2" s="3" cm="1">
        <f t="array" ref="V2">_xlfn.LET(_xlpm.t,V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W2" s="3" cm="1">
        <f t="array" ref="W2">_xlfn.LET(_xlpm.t,W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X2" s="3" cm="1">
        <f t="array" ref="X2">_xlfn.LET(_xlpm.t,X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Y2" s="3" cm="1">
        <f t="array" ref="Y2">_xlfn.LET(_xlpm.t,Y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Z2" s="3" cm="1">
        <f t="array" ref="Z2">_xlfn.LET(_xlpm.t,Z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AA2" s="3" cm="1">
        <f t="array" ref="AA2">_xlfn.LET(_xlpm.t,AA$1,_xlpm.yrs,'Calc-Battery'!$B$28:$J$28,_xlpm.vals,'Calc-Battery'!$B$35:$J$35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</row>
    <row r="3" spans="1:27">
      <c r="A3" t="s">
        <v>27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>
      <c r="A4" t="s">
        <v>28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>
      <c r="A5" t="s">
        <v>29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>
      <c r="A6" t="s">
        <v>30</v>
      </c>
      <c r="B6" s="3" cm="1">
        <f t="array" ref="B6">_xlfn.LET(_xlpm.t,B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4.3952999999999999E-2</v>
      </c>
      <c r="C6" s="3" cm="1">
        <f t="array" ref="C6">_xlfn.LET(_xlpm.t,C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6.2790000000000012E-2</v>
      </c>
      <c r="D6" s="3" cm="1">
        <f t="array" ref="D6">_xlfn.LET(_xlpm.t,D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5.3371500000000002E-2</v>
      </c>
      <c r="E6" s="3" cm="1">
        <f t="array" ref="E6">_xlfn.LET(_xlpm.t,E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4.0813500000000009E-2</v>
      </c>
      <c r="F6" s="3" cm="1">
        <f t="array" ref="F6">_xlfn.LET(_xlpm.t,F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3.1395000000000006E-2</v>
      </c>
      <c r="G6" s="3" cm="1">
        <f t="array" ref="G6">_xlfn.LET(_xlpm.t,G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2.19765E-2</v>
      </c>
      <c r="H6" s="3" cm="1">
        <f t="array" ref="H6">_xlfn.LET(_xlpm.t,H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2.0092800000000001E-2</v>
      </c>
      <c r="I6" s="3" cm="1">
        <f t="array" ref="I6">_xlfn.LET(_xlpm.t,I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1.8209099999999999E-2</v>
      </c>
      <c r="J6" s="3" cm="1">
        <f t="array" ref="J6">_xlfn.LET(_xlpm.t,J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1.63254E-2</v>
      </c>
      <c r="K6" s="3" cm="1">
        <f t="array" ref="K6">_xlfn.LET(_xlpm.t,K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1.4441700000000002E-2</v>
      </c>
      <c r="L6" s="3" cm="1">
        <f t="array" ref="L6">_xlfn.LET(_xlpm.t,L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1.2558000000000001E-2</v>
      </c>
      <c r="M6" s="3" cm="1">
        <f t="array" ref="M6">_xlfn.LET(_xlpm.t,M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1.1930100000000001E-2</v>
      </c>
      <c r="N6" s="3" cm="1">
        <f t="array" ref="N6">_xlfn.LET(_xlpm.t,N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1.13022E-2</v>
      </c>
      <c r="O6" s="3" cm="1">
        <f t="array" ref="O6">_xlfn.LET(_xlpm.t,O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1.0674300000000001E-2</v>
      </c>
      <c r="P6" s="3" cm="1">
        <f t="array" ref="P6">_xlfn.LET(_xlpm.t,P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1.00464E-2</v>
      </c>
      <c r="Q6" s="3" cm="1">
        <f t="array" ref="Q6">_xlfn.LET(_xlpm.t,Q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R6" s="3" cm="1">
        <f t="array" ref="R6">_xlfn.LET(_xlpm.t,R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S6" s="3" cm="1">
        <f t="array" ref="S6">_xlfn.LET(_xlpm.t,S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T6" s="3" cm="1">
        <f t="array" ref="T6">_xlfn.LET(_xlpm.t,T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U6" s="3" cm="1">
        <f t="array" ref="U6">_xlfn.LET(_xlpm.t,U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V6" s="3" cm="1">
        <f t="array" ref="V6">_xlfn.LET(_xlpm.t,V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W6" s="3" cm="1">
        <f t="array" ref="W6">_xlfn.LET(_xlpm.t,W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X6" s="3" cm="1">
        <f t="array" ref="X6">_xlfn.LET(_xlpm.t,X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Y6" s="3" cm="1">
        <f t="array" ref="Y6">_xlfn.LET(_xlpm.t,Y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Z6" s="3" cm="1">
        <f t="array" ref="Z6">_xlfn.LET(_xlpm.t,Z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  <c r="AA6" s="3" cm="1">
        <f t="array" ref="AA6">_xlfn.LET(_xlpm.t,AA$1,_xlpm.yrs,'Calc-Battery'!$B$28:$J$28,_xlpm.vals,'Calc-Battery'!$B$36:$J$36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9.4184999999999998E-3</v>
      </c>
    </row>
    <row r="7" spans="1:27">
      <c r="A7" t="s">
        <v>31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>
      <c r="A8" t="s">
        <v>32</v>
      </c>
      <c r="B8" s="3" cm="1">
        <f t="array" ref="B8">_xlfn.LET(_xlpm.t,B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2.0285999999999998E-2</v>
      </c>
      <c r="C8" s="3" cm="1">
        <f t="array" ref="C8">_xlfn.LET(_xlpm.t,C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2.8979999999999999E-2</v>
      </c>
      <c r="D8" s="3" cm="1">
        <f t="array" ref="D8">_xlfn.LET(_xlpm.t,D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2.4632999999999999E-2</v>
      </c>
      <c r="E8" s="3" cm="1">
        <f t="array" ref="E8">_xlfn.LET(_xlpm.t,E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1.8837000000000003E-2</v>
      </c>
      <c r="F8" s="3" cm="1">
        <f t="array" ref="F8">_xlfn.LET(_xlpm.t,F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1.4489999999999999E-2</v>
      </c>
      <c r="G8" s="3" cm="1">
        <f t="array" ref="G8">_xlfn.LET(_xlpm.t,G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1.0142999999999999E-2</v>
      </c>
      <c r="H8" s="3" cm="1">
        <f t="array" ref="H8">_xlfn.LET(_xlpm.t,H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9.2735999999999999E-3</v>
      </c>
      <c r="I8" s="3" cm="1">
        <f t="array" ref="I8">_xlfn.LET(_xlpm.t,I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8.4041999999999988E-3</v>
      </c>
      <c r="J8" s="3" cm="1">
        <f t="array" ref="J8">_xlfn.LET(_xlpm.t,J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7.5347999999999995E-3</v>
      </c>
      <c r="K8" s="3" cm="1">
        <f t="array" ref="K8">_xlfn.LET(_xlpm.t,K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6.6654000000000001E-3</v>
      </c>
      <c r="L8" s="3" cm="1">
        <f t="array" ref="L8">_xlfn.LET(_xlpm.t,L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5.7959999999999999E-3</v>
      </c>
      <c r="M8" s="3" cm="1">
        <f t="array" ref="M8">_xlfn.LET(_xlpm.t,M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5.5062000000000002E-3</v>
      </c>
      <c r="N8" s="3" cm="1">
        <f t="array" ref="N8">_xlfn.LET(_xlpm.t,N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5.2163999999999995E-3</v>
      </c>
      <c r="O8" s="3" cm="1">
        <f t="array" ref="O8">_xlfn.LET(_xlpm.t,O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4.9265999999999997E-3</v>
      </c>
      <c r="P8" s="3" cm="1">
        <f t="array" ref="P8">_xlfn.LET(_xlpm.t,P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4.6367999999999999E-3</v>
      </c>
      <c r="Q8" s="3" cm="1">
        <f t="array" ref="Q8">_xlfn.LET(_xlpm.t,Q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R8" s="3" cm="1">
        <f t="array" ref="R8">_xlfn.LET(_xlpm.t,R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S8" s="3" cm="1">
        <f t="array" ref="S8">_xlfn.LET(_xlpm.t,S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T8" s="3" cm="1">
        <f t="array" ref="T8">_xlfn.LET(_xlpm.t,T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U8" s="3" cm="1">
        <f t="array" ref="U8">_xlfn.LET(_xlpm.t,U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V8" s="3" cm="1">
        <f t="array" ref="V8">_xlfn.LET(_xlpm.t,V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W8" s="3" cm="1">
        <f t="array" ref="W8">_xlfn.LET(_xlpm.t,W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X8" s="3" cm="1">
        <f t="array" ref="X8">_xlfn.LET(_xlpm.t,X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Y8" s="3" cm="1">
        <f t="array" ref="Y8">_xlfn.LET(_xlpm.t,Y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Z8" s="3" cm="1">
        <f t="array" ref="Z8">_xlfn.LET(_xlpm.t,Z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  <c r="AA8" s="3" cm="1">
        <f t="array" ref="AA8">_xlfn.LET(_xlpm.t,AA$1,_xlpm.yrs,'Calc-Battery'!$B$28:$J$28,_xlpm.vals,'Calc-Battery'!$B$37:$J$37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4.3469999999999993E-3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BAAC-2FA7-4603-96C1-CB629679EB4B}">
  <dimension ref="A1:AA8"/>
  <sheetViews>
    <sheetView workbookViewId="0"/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4.7599999999999996E-2</v>
      </c>
      <c r="C2" s="3" cm="1">
        <f t="array" ref="C2">_xlfn.LET(_xlpm.t,C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6.8000000000000005E-2</v>
      </c>
      <c r="D2" s="3" cm="1">
        <f t="array" ref="D2">_xlfn.LET(_xlpm.t,D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6.4600000000000005E-2</v>
      </c>
      <c r="E2" s="3" cm="1">
        <f t="array" ref="E2">_xlfn.LET(_xlpm.t,E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5.7800000000000004E-2</v>
      </c>
      <c r="F2" s="3" cm="1">
        <f t="array" ref="F2">_xlfn.LET(_xlpm.t,F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5.1000000000000011E-2</v>
      </c>
      <c r="G2" s="3" cm="1">
        <f t="array" ref="G2">_xlfn.LET(_xlpm.t,G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4.4200000000000003E-2</v>
      </c>
      <c r="H2" s="3" cm="1">
        <f t="array" ref="H2">_xlfn.LET(_xlpm.t,H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4.0800000000000003E-2</v>
      </c>
      <c r="I2" s="3" cm="1">
        <f t="array" ref="I2">_xlfn.LET(_xlpm.t,I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3.7400000000000003E-2</v>
      </c>
      <c r="J2" s="3" cm="1">
        <f t="array" ref="J2">_xlfn.LET(_xlpm.t,J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3.4000000000000002E-2</v>
      </c>
      <c r="K2" s="3" cm="1">
        <f t="array" ref="K2">_xlfn.LET(_xlpm.t,K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3.0600000000000006E-2</v>
      </c>
      <c r="L2" s="3" cm="1">
        <f t="array" ref="L2">_xlfn.LET(_xlpm.t,L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2.7200000000000005E-2</v>
      </c>
      <c r="M2" s="3" cm="1">
        <f t="array" ref="M2">_xlfn.LET(_xlpm.t,M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2.5840000000000005E-2</v>
      </c>
      <c r="N2" s="3" cm="1">
        <f t="array" ref="N2">_xlfn.LET(_xlpm.t,N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2.4480000000000005E-2</v>
      </c>
      <c r="O2" s="3" cm="1">
        <f t="array" ref="O2">_xlfn.LET(_xlpm.t,O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2.3120000000000002E-2</v>
      </c>
      <c r="P2" s="3" cm="1">
        <f t="array" ref="P2">_xlfn.LET(_xlpm.t,P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2.1760000000000002E-2</v>
      </c>
      <c r="Q2" s="3" cm="1">
        <f t="array" ref="Q2">_xlfn.LET(_xlpm.t,Q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R2" s="3" cm="1">
        <f t="array" ref="R2">_xlfn.LET(_xlpm.t,R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S2" s="3" cm="1">
        <f t="array" ref="S2">_xlfn.LET(_xlpm.t,S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T2" s="3" cm="1">
        <f t="array" ref="T2">_xlfn.LET(_xlpm.t,T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U2" s="3" cm="1">
        <f t="array" ref="U2">_xlfn.LET(_xlpm.t,U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V2" s="3" cm="1">
        <f t="array" ref="V2">_xlfn.LET(_xlpm.t,V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W2" s="3" cm="1">
        <f t="array" ref="W2">_xlfn.LET(_xlpm.t,W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X2" s="3" cm="1">
        <f t="array" ref="X2">_xlfn.LET(_xlpm.t,X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Y2" s="3" cm="1">
        <f t="array" ref="Y2">_xlfn.LET(_xlpm.t,Y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Z2" s="3" cm="1">
        <f t="array" ref="Z2">_xlfn.LET(_xlpm.t,Z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AA2" s="3" cm="1">
        <f t="array" ref="AA2">_xlfn.LET(_xlpm.t,AA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</row>
    <row r="3" spans="1:27">
      <c r="A3" t="s">
        <v>27</v>
      </c>
      <c r="B3" s="3" cm="1">
        <f t="array" ref="B3">_xlfn.LET(_xlpm.t,B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4.7599999999999996E-2</v>
      </c>
      <c r="C3" s="3" cm="1">
        <f t="array" ref="C3">_xlfn.LET(_xlpm.t,C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6.8000000000000005E-2</v>
      </c>
      <c r="D3" s="3" cm="1">
        <f t="array" ref="D3">_xlfn.LET(_xlpm.t,D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6.4600000000000005E-2</v>
      </c>
      <c r="E3" s="3" cm="1">
        <f t="array" ref="E3">_xlfn.LET(_xlpm.t,E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5.7800000000000004E-2</v>
      </c>
      <c r="F3" s="3" cm="1">
        <f t="array" ref="F3">_xlfn.LET(_xlpm.t,F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5.1000000000000011E-2</v>
      </c>
      <c r="G3" s="3" cm="1">
        <f t="array" ref="G3">_xlfn.LET(_xlpm.t,G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4.4200000000000003E-2</v>
      </c>
      <c r="H3" s="3" cm="1">
        <f t="array" ref="H3">_xlfn.LET(_xlpm.t,H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4.0800000000000003E-2</v>
      </c>
      <c r="I3" s="3" cm="1">
        <f t="array" ref="I3">_xlfn.LET(_xlpm.t,I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3.7400000000000003E-2</v>
      </c>
      <c r="J3" s="3" cm="1">
        <f t="array" ref="J3">_xlfn.LET(_xlpm.t,J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3.4000000000000002E-2</v>
      </c>
      <c r="K3" s="3" cm="1">
        <f t="array" ref="K3">_xlfn.LET(_xlpm.t,K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3.0600000000000006E-2</v>
      </c>
      <c r="L3" s="3" cm="1">
        <f t="array" ref="L3">_xlfn.LET(_xlpm.t,L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2.7200000000000005E-2</v>
      </c>
      <c r="M3" s="3" cm="1">
        <f t="array" ref="M3">_xlfn.LET(_xlpm.t,M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2.5840000000000005E-2</v>
      </c>
      <c r="N3" s="3" cm="1">
        <f t="array" ref="N3">_xlfn.LET(_xlpm.t,N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2.4480000000000005E-2</v>
      </c>
      <c r="O3" s="3" cm="1">
        <f t="array" ref="O3">_xlfn.LET(_xlpm.t,O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2.3120000000000002E-2</v>
      </c>
      <c r="P3" s="3" cm="1">
        <f t="array" ref="P3">_xlfn.LET(_xlpm.t,P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2.1760000000000002E-2</v>
      </c>
      <c r="Q3" s="3" cm="1">
        <f t="array" ref="Q3">_xlfn.LET(_xlpm.t,Q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R3" s="3" cm="1">
        <f t="array" ref="R3">_xlfn.LET(_xlpm.t,R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S3" s="3" cm="1">
        <f t="array" ref="S3">_xlfn.LET(_xlpm.t,S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T3" s="3" cm="1">
        <f t="array" ref="T3">_xlfn.LET(_xlpm.t,T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U3" s="3" cm="1">
        <f t="array" ref="U3">_xlfn.LET(_xlpm.t,U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V3" s="3" cm="1">
        <f t="array" ref="V3">_xlfn.LET(_xlpm.t,V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W3" s="3" cm="1">
        <f t="array" ref="W3">_xlfn.LET(_xlpm.t,W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X3" s="3" cm="1">
        <f t="array" ref="X3">_xlfn.LET(_xlpm.t,X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Y3" s="3" cm="1">
        <f t="array" ref="Y3">_xlfn.LET(_xlpm.t,Y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Z3" s="3" cm="1">
        <f t="array" ref="Z3">_xlfn.LET(_xlpm.t,Z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AA3" s="3" cm="1">
        <f t="array" ref="AA3">_xlfn.LET(_xlpm.t,AA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</row>
    <row r="4" spans="1:27">
      <c r="A4" t="s">
        <v>28</v>
      </c>
      <c r="B4" s="3" cm="1">
        <f t="array" ref="B4">_xlfn.LET(_xlpm.t,B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4.7599999999999996E-2</v>
      </c>
      <c r="C4" s="3" cm="1">
        <f t="array" ref="C4">_xlfn.LET(_xlpm.t,C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6.8000000000000005E-2</v>
      </c>
      <c r="D4" s="3" cm="1">
        <f t="array" ref="D4">_xlfn.LET(_xlpm.t,D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6.4600000000000005E-2</v>
      </c>
      <c r="E4" s="3" cm="1">
        <f t="array" ref="E4">_xlfn.LET(_xlpm.t,E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5.7800000000000004E-2</v>
      </c>
      <c r="F4" s="3" cm="1">
        <f t="array" ref="F4">_xlfn.LET(_xlpm.t,F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5.1000000000000011E-2</v>
      </c>
      <c r="G4" s="3" cm="1">
        <f t="array" ref="G4">_xlfn.LET(_xlpm.t,G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4.4200000000000003E-2</v>
      </c>
      <c r="H4" s="3" cm="1">
        <f t="array" ref="H4">_xlfn.LET(_xlpm.t,H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4.0800000000000003E-2</v>
      </c>
      <c r="I4" s="3" cm="1">
        <f t="array" ref="I4">_xlfn.LET(_xlpm.t,I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3.7400000000000003E-2</v>
      </c>
      <c r="J4" s="3" cm="1">
        <f t="array" ref="J4">_xlfn.LET(_xlpm.t,J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3.4000000000000002E-2</v>
      </c>
      <c r="K4" s="3" cm="1">
        <f t="array" ref="K4">_xlfn.LET(_xlpm.t,K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3.0600000000000006E-2</v>
      </c>
      <c r="L4" s="3" cm="1">
        <f t="array" ref="L4">_xlfn.LET(_xlpm.t,L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2.7200000000000005E-2</v>
      </c>
      <c r="M4" s="3" cm="1">
        <f t="array" ref="M4">_xlfn.LET(_xlpm.t,M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2.5840000000000005E-2</v>
      </c>
      <c r="N4" s="3" cm="1">
        <f t="array" ref="N4">_xlfn.LET(_xlpm.t,N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2.4480000000000005E-2</v>
      </c>
      <c r="O4" s="3" cm="1">
        <f t="array" ref="O4">_xlfn.LET(_xlpm.t,O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2.3120000000000002E-2</v>
      </c>
      <c r="P4" s="3" cm="1">
        <f t="array" ref="P4">_xlfn.LET(_xlpm.t,P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2.1760000000000002E-2</v>
      </c>
      <c r="Q4" s="3" cm="1">
        <f t="array" ref="Q4">_xlfn.LET(_xlpm.t,Q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R4" s="3" cm="1">
        <f t="array" ref="R4">_xlfn.LET(_xlpm.t,R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S4" s="3" cm="1">
        <f t="array" ref="S4">_xlfn.LET(_xlpm.t,S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T4" s="3" cm="1">
        <f t="array" ref="T4">_xlfn.LET(_xlpm.t,T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U4" s="3" cm="1">
        <f t="array" ref="U4">_xlfn.LET(_xlpm.t,U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V4" s="3" cm="1">
        <f t="array" ref="V4">_xlfn.LET(_xlpm.t,V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W4" s="3" cm="1">
        <f t="array" ref="W4">_xlfn.LET(_xlpm.t,W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X4" s="3" cm="1">
        <f t="array" ref="X4">_xlfn.LET(_xlpm.t,X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Y4" s="3" cm="1">
        <f t="array" ref="Y4">_xlfn.LET(_xlpm.t,Y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Z4" s="3" cm="1">
        <f t="array" ref="Z4">_xlfn.LET(_xlpm.t,Z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AA4" s="3" cm="1">
        <f t="array" ref="AA4">_xlfn.LET(_xlpm.t,AA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</row>
    <row r="5" spans="1:27">
      <c r="A5" t="s">
        <v>29</v>
      </c>
      <c r="B5" s="3" cm="1">
        <f t="array" ref="B5">_xlfn.LET(_xlpm.t,B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4.7599999999999996E-2</v>
      </c>
      <c r="C5" s="3" cm="1">
        <f t="array" ref="C5">_xlfn.LET(_xlpm.t,C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6.8000000000000005E-2</v>
      </c>
      <c r="D5" s="3" cm="1">
        <f t="array" ref="D5">_xlfn.LET(_xlpm.t,D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6.4600000000000005E-2</v>
      </c>
      <c r="E5" s="3" cm="1">
        <f t="array" ref="E5">_xlfn.LET(_xlpm.t,E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5.7800000000000004E-2</v>
      </c>
      <c r="F5" s="3" cm="1">
        <f t="array" ref="F5">_xlfn.LET(_xlpm.t,F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5.1000000000000011E-2</v>
      </c>
      <c r="G5" s="3" cm="1">
        <f t="array" ref="G5">_xlfn.LET(_xlpm.t,G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4.4200000000000003E-2</v>
      </c>
      <c r="H5" s="3" cm="1">
        <f t="array" ref="H5">_xlfn.LET(_xlpm.t,H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4.0800000000000003E-2</v>
      </c>
      <c r="I5" s="3" cm="1">
        <f t="array" ref="I5">_xlfn.LET(_xlpm.t,I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3.7400000000000003E-2</v>
      </c>
      <c r="J5" s="3" cm="1">
        <f t="array" ref="J5">_xlfn.LET(_xlpm.t,J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3.4000000000000002E-2</v>
      </c>
      <c r="K5" s="3" cm="1">
        <f t="array" ref="K5">_xlfn.LET(_xlpm.t,K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3.0600000000000006E-2</v>
      </c>
      <c r="L5" s="3" cm="1">
        <f t="array" ref="L5">_xlfn.LET(_xlpm.t,L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2.7200000000000005E-2</v>
      </c>
      <c r="M5" s="3" cm="1">
        <f t="array" ref="M5">_xlfn.LET(_xlpm.t,M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2.5840000000000005E-2</v>
      </c>
      <c r="N5" s="3" cm="1">
        <f t="array" ref="N5">_xlfn.LET(_xlpm.t,N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2.4480000000000005E-2</v>
      </c>
      <c r="O5" s="3" cm="1">
        <f t="array" ref="O5">_xlfn.LET(_xlpm.t,O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2.3120000000000002E-2</v>
      </c>
      <c r="P5" s="3" cm="1">
        <f t="array" ref="P5">_xlfn.LET(_xlpm.t,P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2.1760000000000002E-2</v>
      </c>
      <c r="Q5" s="3" cm="1">
        <f t="array" ref="Q5">_xlfn.LET(_xlpm.t,Q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R5" s="3" cm="1">
        <f t="array" ref="R5">_xlfn.LET(_xlpm.t,R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S5" s="3" cm="1">
        <f t="array" ref="S5">_xlfn.LET(_xlpm.t,S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T5" s="3" cm="1">
        <f t="array" ref="T5">_xlfn.LET(_xlpm.t,T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U5" s="3" cm="1">
        <f t="array" ref="U5">_xlfn.LET(_xlpm.t,U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V5" s="3" cm="1">
        <f t="array" ref="V5">_xlfn.LET(_xlpm.t,V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W5" s="3" cm="1">
        <f t="array" ref="W5">_xlfn.LET(_xlpm.t,W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X5" s="3" cm="1">
        <f t="array" ref="X5">_xlfn.LET(_xlpm.t,X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Y5" s="3" cm="1">
        <f t="array" ref="Y5">_xlfn.LET(_xlpm.t,Y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Z5" s="3" cm="1">
        <f t="array" ref="Z5">_xlfn.LET(_xlpm.t,Z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AA5" s="3" cm="1">
        <f t="array" ref="AA5">_xlfn.LET(_xlpm.t,AA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</row>
    <row r="6" spans="1:27">
      <c r="A6" t="s">
        <v>30</v>
      </c>
      <c r="B6" s="3" cm="1">
        <f t="array" ref="B6">_xlfn.LET(_xlpm.t,B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4.7599999999999996E-2</v>
      </c>
      <c r="C6" s="3" cm="1">
        <f t="array" ref="C6">_xlfn.LET(_xlpm.t,C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6.8000000000000005E-2</v>
      </c>
      <c r="D6" s="3" cm="1">
        <f t="array" ref="D6">_xlfn.LET(_xlpm.t,D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6.4600000000000005E-2</v>
      </c>
      <c r="E6" s="3" cm="1">
        <f t="array" ref="E6">_xlfn.LET(_xlpm.t,E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5.7800000000000004E-2</v>
      </c>
      <c r="F6" s="3" cm="1">
        <f t="array" ref="F6">_xlfn.LET(_xlpm.t,F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5.1000000000000011E-2</v>
      </c>
      <c r="G6" s="3" cm="1">
        <f t="array" ref="G6">_xlfn.LET(_xlpm.t,G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4.4200000000000003E-2</v>
      </c>
      <c r="H6" s="3" cm="1">
        <f t="array" ref="H6">_xlfn.LET(_xlpm.t,H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4.0800000000000003E-2</v>
      </c>
      <c r="I6" s="3" cm="1">
        <f t="array" ref="I6">_xlfn.LET(_xlpm.t,I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3.7400000000000003E-2</v>
      </c>
      <c r="J6" s="3" cm="1">
        <f t="array" ref="J6">_xlfn.LET(_xlpm.t,J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3.4000000000000002E-2</v>
      </c>
      <c r="K6" s="3" cm="1">
        <f t="array" ref="K6">_xlfn.LET(_xlpm.t,K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3.0600000000000006E-2</v>
      </c>
      <c r="L6" s="3" cm="1">
        <f t="array" ref="L6">_xlfn.LET(_xlpm.t,L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2.7200000000000005E-2</v>
      </c>
      <c r="M6" s="3" cm="1">
        <f t="array" ref="M6">_xlfn.LET(_xlpm.t,M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2.5840000000000005E-2</v>
      </c>
      <c r="N6" s="3" cm="1">
        <f t="array" ref="N6">_xlfn.LET(_xlpm.t,N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2.4480000000000005E-2</v>
      </c>
      <c r="O6" s="3" cm="1">
        <f t="array" ref="O6">_xlfn.LET(_xlpm.t,O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2.3120000000000002E-2</v>
      </c>
      <c r="P6" s="3" cm="1">
        <f t="array" ref="P6">_xlfn.LET(_xlpm.t,P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2.1760000000000002E-2</v>
      </c>
      <c r="Q6" s="3" cm="1">
        <f t="array" ref="Q6">_xlfn.LET(_xlpm.t,Q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R6" s="3" cm="1">
        <f t="array" ref="R6">_xlfn.LET(_xlpm.t,R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S6" s="3" cm="1">
        <f t="array" ref="S6">_xlfn.LET(_xlpm.t,S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T6" s="3" cm="1">
        <f t="array" ref="T6">_xlfn.LET(_xlpm.t,T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U6" s="3" cm="1">
        <f t="array" ref="U6">_xlfn.LET(_xlpm.t,U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V6" s="3" cm="1">
        <f t="array" ref="V6">_xlfn.LET(_xlpm.t,V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W6" s="3" cm="1">
        <f t="array" ref="W6">_xlfn.LET(_xlpm.t,W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X6" s="3" cm="1">
        <f t="array" ref="X6">_xlfn.LET(_xlpm.t,X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Y6" s="3" cm="1">
        <f t="array" ref="Y6">_xlfn.LET(_xlpm.t,Y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Z6" s="3" cm="1">
        <f t="array" ref="Z6">_xlfn.LET(_xlpm.t,Z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AA6" s="3" cm="1">
        <f t="array" ref="AA6">_xlfn.LET(_xlpm.t,AA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</row>
    <row r="7" spans="1:27">
      <c r="A7" t="s">
        <v>31</v>
      </c>
      <c r="B7" s="3" cm="1">
        <f t="array" ref="B7">_xlfn.LET(_xlpm.t,B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4.7599999999999996E-2</v>
      </c>
      <c r="C7" s="3" cm="1">
        <f t="array" ref="C7">_xlfn.LET(_xlpm.t,C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6.8000000000000005E-2</v>
      </c>
      <c r="D7" s="3" cm="1">
        <f t="array" ref="D7">_xlfn.LET(_xlpm.t,D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6.4600000000000005E-2</v>
      </c>
      <c r="E7" s="3" cm="1">
        <f t="array" ref="E7">_xlfn.LET(_xlpm.t,E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5.7800000000000004E-2</v>
      </c>
      <c r="F7" s="3" cm="1">
        <f t="array" ref="F7">_xlfn.LET(_xlpm.t,F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5.1000000000000011E-2</v>
      </c>
      <c r="G7" s="3" cm="1">
        <f t="array" ref="G7">_xlfn.LET(_xlpm.t,G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4.4200000000000003E-2</v>
      </c>
      <c r="H7" s="3" cm="1">
        <f t="array" ref="H7">_xlfn.LET(_xlpm.t,H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4.0800000000000003E-2</v>
      </c>
      <c r="I7" s="3" cm="1">
        <f t="array" ref="I7">_xlfn.LET(_xlpm.t,I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3.7400000000000003E-2</v>
      </c>
      <c r="J7" s="3" cm="1">
        <f t="array" ref="J7">_xlfn.LET(_xlpm.t,J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3.4000000000000002E-2</v>
      </c>
      <c r="K7" s="3" cm="1">
        <f t="array" ref="K7">_xlfn.LET(_xlpm.t,K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3.0600000000000006E-2</v>
      </c>
      <c r="L7" s="3" cm="1">
        <f t="array" ref="L7">_xlfn.LET(_xlpm.t,L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2.7200000000000005E-2</v>
      </c>
      <c r="M7" s="3" cm="1">
        <f t="array" ref="M7">_xlfn.LET(_xlpm.t,M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2.5840000000000005E-2</v>
      </c>
      <c r="N7" s="3" cm="1">
        <f t="array" ref="N7">_xlfn.LET(_xlpm.t,N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2.4480000000000005E-2</v>
      </c>
      <c r="O7" s="3" cm="1">
        <f t="array" ref="O7">_xlfn.LET(_xlpm.t,O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2.3120000000000002E-2</v>
      </c>
      <c r="P7" s="3" cm="1">
        <f t="array" ref="P7">_xlfn.LET(_xlpm.t,P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2.1760000000000002E-2</v>
      </c>
      <c r="Q7" s="3" cm="1">
        <f t="array" ref="Q7">_xlfn.LET(_xlpm.t,Q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R7" s="3" cm="1">
        <f t="array" ref="R7">_xlfn.LET(_xlpm.t,R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S7" s="3" cm="1">
        <f t="array" ref="S7">_xlfn.LET(_xlpm.t,S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T7" s="3" cm="1">
        <f t="array" ref="T7">_xlfn.LET(_xlpm.t,T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U7" s="3" cm="1">
        <f t="array" ref="U7">_xlfn.LET(_xlpm.t,U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V7" s="3" cm="1">
        <f t="array" ref="V7">_xlfn.LET(_xlpm.t,V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W7" s="3" cm="1">
        <f t="array" ref="W7">_xlfn.LET(_xlpm.t,W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X7" s="3" cm="1">
        <f t="array" ref="X7">_xlfn.LET(_xlpm.t,X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Y7" s="3" cm="1">
        <f t="array" ref="Y7">_xlfn.LET(_xlpm.t,Y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Z7" s="3" cm="1">
        <f t="array" ref="Z7">_xlfn.LET(_xlpm.t,Z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AA7" s="3" cm="1">
        <f t="array" ref="AA7">_xlfn.LET(_xlpm.t,AA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</row>
    <row r="8" spans="1:27">
      <c r="A8" t="s">
        <v>32</v>
      </c>
      <c r="B8" s="3" cm="1">
        <f t="array" ref="B8">_xlfn.LET(_xlpm.t,B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4.7599999999999996E-2</v>
      </c>
      <c r="C8" s="3" cm="1">
        <f t="array" ref="C8">_xlfn.LET(_xlpm.t,C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6.8000000000000005E-2</v>
      </c>
      <c r="D8" s="3" cm="1">
        <f t="array" ref="D8">_xlfn.LET(_xlpm.t,D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6.4600000000000005E-2</v>
      </c>
      <c r="E8" s="3" cm="1">
        <f t="array" ref="E8">_xlfn.LET(_xlpm.t,E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5.7800000000000004E-2</v>
      </c>
      <c r="F8" s="3" cm="1">
        <f t="array" ref="F8">_xlfn.LET(_xlpm.t,F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5.1000000000000011E-2</v>
      </c>
      <c r="G8" s="3" cm="1">
        <f t="array" ref="G8">_xlfn.LET(_xlpm.t,G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4.4200000000000003E-2</v>
      </c>
      <c r="H8" s="3" cm="1">
        <f t="array" ref="H8">_xlfn.LET(_xlpm.t,H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4.0800000000000003E-2</v>
      </c>
      <c r="I8" s="3" cm="1">
        <f t="array" ref="I8">_xlfn.LET(_xlpm.t,I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3.7400000000000003E-2</v>
      </c>
      <c r="J8" s="3" cm="1">
        <f t="array" ref="J8">_xlfn.LET(_xlpm.t,J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3.4000000000000002E-2</v>
      </c>
      <c r="K8" s="3" cm="1">
        <f t="array" ref="K8">_xlfn.LET(_xlpm.t,K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3.0600000000000006E-2</v>
      </c>
      <c r="L8" s="3" cm="1">
        <f t="array" ref="L8">_xlfn.LET(_xlpm.t,L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2.7200000000000005E-2</v>
      </c>
      <c r="M8" s="3" cm="1">
        <f t="array" ref="M8">_xlfn.LET(_xlpm.t,M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2.5840000000000005E-2</v>
      </c>
      <c r="N8" s="3" cm="1">
        <f t="array" ref="N8">_xlfn.LET(_xlpm.t,N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2.4480000000000005E-2</v>
      </c>
      <c r="O8" s="3" cm="1">
        <f t="array" ref="O8">_xlfn.LET(_xlpm.t,O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2.3120000000000002E-2</v>
      </c>
      <c r="P8" s="3" cm="1">
        <f t="array" ref="P8">_xlfn.LET(_xlpm.t,P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2.1760000000000002E-2</v>
      </c>
      <c r="Q8" s="3" cm="1">
        <f t="array" ref="Q8">_xlfn.LET(_xlpm.t,Q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R8" s="3" cm="1">
        <f t="array" ref="R8">_xlfn.LET(_xlpm.t,R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S8" s="3" cm="1">
        <f t="array" ref="S8">_xlfn.LET(_xlpm.t,S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T8" s="3" cm="1">
        <f t="array" ref="T8">_xlfn.LET(_xlpm.t,T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U8" s="3" cm="1">
        <f t="array" ref="U8">_xlfn.LET(_xlpm.t,U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V8" s="3" cm="1">
        <f t="array" ref="V8">_xlfn.LET(_xlpm.t,V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W8" s="3" cm="1">
        <f t="array" ref="W8">_xlfn.LET(_xlpm.t,W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X8" s="3" cm="1">
        <f t="array" ref="X8">_xlfn.LET(_xlpm.t,X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Y8" s="3" cm="1">
        <f t="array" ref="Y8">_xlfn.LET(_xlpm.t,Y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Z8" s="3" cm="1">
        <f t="array" ref="Z8">_xlfn.LET(_xlpm.t,Z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  <c r="AA8" s="3" cm="1">
        <f t="array" ref="AA8">_xlfn.LET(_xlpm.t,AA$1,_xlpm.yrs,'Calc-Vehicle-NonBattery'!$B$19:$J$19,_xlpm.vals,'Calc-Vehicle-NonBattery'!$B$21:$J$21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2.0400000000000001E-2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0B76-45FE-400A-9175-747F731BA6B4}">
  <dimension ref="A1:AA8"/>
  <sheetViews>
    <sheetView workbookViewId="0"/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2.3204999999999996E-2</v>
      </c>
      <c r="C2" s="3" cm="1">
        <f t="array" ref="C2">_xlfn.LET(_xlpm.t,C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3.3149999999999999E-2</v>
      </c>
      <c r="D2" s="3" cm="1">
        <f t="array" ref="D2">_xlfn.LET(_xlpm.t,D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3.14925E-2</v>
      </c>
      <c r="E2" s="3" cm="1">
        <f t="array" ref="E2">_xlfn.LET(_xlpm.t,E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2.8177499999999998E-2</v>
      </c>
      <c r="F2" s="3" cm="1">
        <f t="array" ref="F2">_xlfn.LET(_xlpm.t,F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2.4862499999999999E-2</v>
      </c>
      <c r="G2" s="3" cm="1">
        <f t="array" ref="G2">_xlfn.LET(_xlpm.t,G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2.1547500000000001E-2</v>
      </c>
      <c r="H2" s="3" cm="1">
        <f t="array" ref="H2">_xlfn.LET(_xlpm.t,H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1.9890000000000001E-2</v>
      </c>
      <c r="I2" s="3" cm="1">
        <f t="array" ref="I2">_xlfn.LET(_xlpm.t,I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1.8232500000000002E-2</v>
      </c>
      <c r="J2" s="3" cm="1">
        <f t="array" ref="J2">_xlfn.LET(_xlpm.t,J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1.6574999999999999E-2</v>
      </c>
      <c r="K2" s="3" cm="1">
        <f t="array" ref="K2">_xlfn.LET(_xlpm.t,K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1.49175E-2</v>
      </c>
      <c r="L2" s="3" cm="1">
        <f t="array" ref="L2">_xlfn.LET(_xlpm.t,L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1.3260000000000001E-2</v>
      </c>
      <c r="M2" s="3" cm="1">
        <f t="array" ref="M2">_xlfn.LET(_xlpm.t,M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1.2597000000000001E-2</v>
      </c>
      <c r="N2" s="3" cm="1">
        <f t="array" ref="N2">_xlfn.LET(_xlpm.t,N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1.1934E-2</v>
      </c>
      <c r="O2" s="3" cm="1">
        <f t="array" ref="O2">_xlfn.LET(_xlpm.t,O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1.1271E-2</v>
      </c>
      <c r="P2" s="3" cm="1">
        <f t="array" ref="P2">_xlfn.LET(_xlpm.t,P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1.0608000000000001E-2</v>
      </c>
      <c r="Q2" s="3" cm="1">
        <f t="array" ref="Q2">_xlfn.LET(_xlpm.t,Q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R2" s="3" cm="1">
        <f t="array" ref="R2">_xlfn.LET(_xlpm.t,R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S2" s="3" cm="1">
        <f t="array" ref="S2">_xlfn.LET(_xlpm.t,S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T2" s="3" cm="1">
        <f t="array" ref="T2">_xlfn.LET(_xlpm.t,T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U2" s="3" cm="1">
        <f t="array" ref="U2">_xlfn.LET(_xlpm.t,U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V2" s="3" cm="1">
        <f t="array" ref="V2">_xlfn.LET(_xlpm.t,V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W2" s="3" cm="1">
        <f t="array" ref="W2">_xlfn.LET(_xlpm.t,W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X2" s="3" cm="1">
        <f t="array" ref="X2">_xlfn.LET(_xlpm.t,X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Y2" s="3" cm="1">
        <f t="array" ref="Y2">_xlfn.LET(_xlpm.t,Y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Z2" s="3" cm="1">
        <f t="array" ref="Z2">_xlfn.LET(_xlpm.t,Z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AA2" s="3" cm="1">
        <f t="array" ref="AA2">_xlfn.LET(_xlpm.t,AA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</row>
    <row r="3" spans="1:27">
      <c r="A3" t="s">
        <v>27</v>
      </c>
      <c r="B3" s="3" cm="1">
        <f t="array" ref="B3">_xlfn.LET(_xlpm.t,B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2.3204999999999996E-2</v>
      </c>
      <c r="C3" s="3" cm="1">
        <f t="array" ref="C3">_xlfn.LET(_xlpm.t,C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3.3149999999999999E-2</v>
      </c>
      <c r="D3" s="3" cm="1">
        <f t="array" ref="D3">_xlfn.LET(_xlpm.t,D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3.14925E-2</v>
      </c>
      <c r="E3" s="3" cm="1">
        <f t="array" ref="E3">_xlfn.LET(_xlpm.t,E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2.8177499999999998E-2</v>
      </c>
      <c r="F3" s="3" cm="1">
        <f t="array" ref="F3">_xlfn.LET(_xlpm.t,F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2.4862499999999999E-2</v>
      </c>
      <c r="G3" s="3" cm="1">
        <f t="array" ref="G3">_xlfn.LET(_xlpm.t,G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2.1547500000000001E-2</v>
      </c>
      <c r="H3" s="3" cm="1">
        <f t="array" ref="H3">_xlfn.LET(_xlpm.t,H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1.9890000000000001E-2</v>
      </c>
      <c r="I3" s="3" cm="1">
        <f t="array" ref="I3">_xlfn.LET(_xlpm.t,I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1.8232500000000002E-2</v>
      </c>
      <c r="J3" s="3" cm="1">
        <f t="array" ref="J3">_xlfn.LET(_xlpm.t,J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1.6574999999999999E-2</v>
      </c>
      <c r="K3" s="3" cm="1">
        <f t="array" ref="K3">_xlfn.LET(_xlpm.t,K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1.49175E-2</v>
      </c>
      <c r="L3" s="3" cm="1">
        <f t="array" ref="L3">_xlfn.LET(_xlpm.t,L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1.3260000000000001E-2</v>
      </c>
      <c r="M3" s="3" cm="1">
        <f t="array" ref="M3">_xlfn.LET(_xlpm.t,M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1.2597000000000001E-2</v>
      </c>
      <c r="N3" s="3" cm="1">
        <f t="array" ref="N3">_xlfn.LET(_xlpm.t,N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1.1934E-2</v>
      </c>
      <c r="O3" s="3" cm="1">
        <f t="array" ref="O3">_xlfn.LET(_xlpm.t,O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1.1271E-2</v>
      </c>
      <c r="P3" s="3" cm="1">
        <f t="array" ref="P3">_xlfn.LET(_xlpm.t,P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1.0608000000000001E-2</v>
      </c>
      <c r="Q3" s="3" cm="1">
        <f t="array" ref="Q3">_xlfn.LET(_xlpm.t,Q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R3" s="3" cm="1">
        <f t="array" ref="R3">_xlfn.LET(_xlpm.t,R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S3" s="3" cm="1">
        <f t="array" ref="S3">_xlfn.LET(_xlpm.t,S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T3" s="3" cm="1">
        <f t="array" ref="T3">_xlfn.LET(_xlpm.t,T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U3" s="3" cm="1">
        <f t="array" ref="U3">_xlfn.LET(_xlpm.t,U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V3" s="3" cm="1">
        <f t="array" ref="V3">_xlfn.LET(_xlpm.t,V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W3" s="3" cm="1">
        <f t="array" ref="W3">_xlfn.LET(_xlpm.t,W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X3" s="3" cm="1">
        <f t="array" ref="X3">_xlfn.LET(_xlpm.t,X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Y3" s="3" cm="1">
        <f t="array" ref="Y3">_xlfn.LET(_xlpm.t,Y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Z3" s="3" cm="1">
        <f t="array" ref="Z3">_xlfn.LET(_xlpm.t,Z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AA3" s="3" cm="1">
        <f t="array" ref="AA3">_xlfn.LET(_xlpm.t,AA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</row>
    <row r="4" spans="1:27">
      <c r="A4" t="s">
        <v>28</v>
      </c>
      <c r="B4" s="3" cm="1">
        <f t="array" ref="B4">_xlfn.LET(_xlpm.t,B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2.3204999999999996E-2</v>
      </c>
      <c r="C4" s="3" cm="1">
        <f t="array" ref="C4">_xlfn.LET(_xlpm.t,C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3.3149999999999999E-2</v>
      </c>
      <c r="D4" s="3" cm="1">
        <f t="array" ref="D4">_xlfn.LET(_xlpm.t,D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3.14925E-2</v>
      </c>
      <c r="E4" s="3" cm="1">
        <f t="array" ref="E4">_xlfn.LET(_xlpm.t,E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2.8177499999999998E-2</v>
      </c>
      <c r="F4" s="3" cm="1">
        <f t="array" ref="F4">_xlfn.LET(_xlpm.t,F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2.4862499999999999E-2</v>
      </c>
      <c r="G4" s="3" cm="1">
        <f t="array" ref="G4">_xlfn.LET(_xlpm.t,G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2.1547500000000001E-2</v>
      </c>
      <c r="H4" s="3" cm="1">
        <f t="array" ref="H4">_xlfn.LET(_xlpm.t,H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1.9890000000000001E-2</v>
      </c>
      <c r="I4" s="3" cm="1">
        <f t="array" ref="I4">_xlfn.LET(_xlpm.t,I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1.8232500000000002E-2</v>
      </c>
      <c r="J4" s="3" cm="1">
        <f t="array" ref="J4">_xlfn.LET(_xlpm.t,J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1.6574999999999999E-2</v>
      </c>
      <c r="K4" s="3" cm="1">
        <f t="array" ref="K4">_xlfn.LET(_xlpm.t,K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1.49175E-2</v>
      </c>
      <c r="L4" s="3" cm="1">
        <f t="array" ref="L4">_xlfn.LET(_xlpm.t,L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1.3260000000000001E-2</v>
      </c>
      <c r="M4" s="3" cm="1">
        <f t="array" ref="M4">_xlfn.LET(_xlpm.t,M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1.2597000000000001E-2</v>
      </c>
      <c r="N4" s="3" cm="1">
        <f t="array" ref="N4">_xlfn.LET(_xlpm.t,N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1.1934E-2</v>
      </c>
      <c r="O4" s="3" cm="1">
        <f t="array" ref="O4">_xlfn.LET(_xlpm.t,O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1.1271E-2</v>
      </c>
      <c r="P4" s="3" cm="1">
        <f t="array" ref="P4">_xlfn.LET(_xlpm.t,P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1.0608000000000001E-2</v>
      </c>
      <c r="Q4" s="3" cm="1">
        <f t="array" ref="Q4">_xlfn.LET(_xlpm.t,Q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R4" s="3" cm="1">
        <f t="array" ref="R4">_xlfn.LET(_xlpm.t,R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S4" s="3" cm="1">
        <f t="array" ref="S4">_xlfn.LET(_xlpm.t,S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T4" s="3" cm="1">
        <f t="array" ref="T4">_xlfn.LET(_xlpm.t,T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U4" s="3" cm="1">
        <f t="array" ref="U4">_xlfn.LET(_xlpm.t,U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V4" s="3" cm="1">
        <f t="array" ref="V4">_xlfn.LET(_xlpm.t,V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W4" s="3" cm="1">
        <f t="array" ref="W4">_xlfn.LET(_xlpm.t,W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X4" s="3" cm="1">
        <f t="array" ref="X4">_xlfn.LET(_xlpm.t,X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Y4" s="3" cm="1">
        <f t="array" ref="Y4">_xlfn.LET(_xlpm.t,Y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Z4" s="3" cm="1">
        <f t="array" ref="Z4">_xlfn.LET(_xlpm.t,Z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AA4" s="3" cm="1">
        <f t="array" ref="AA4">_xlfn.LET(_xlpm.t,AA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</row>
    <row r="5" spans="1:27">
      <c r="A5" t="s">
        <v>29</v>
      </c>
      <c r="B5" s="3" cm="1">
        <f t="array" ref="B5">_xlfn.LET(_xlpm.t,B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2.3204999999999996E-2</v>
      </c>
      <c r="C5" s="3" cm="1">
        <f t="array" ref="C5">_xlfn.LET(_xlpm.t,C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3.3149999999999999E-2</v>
      </c>
      <c r="D5" s="3" cm="1">
        <f t="array" ref="D5">_xlfn.LET(_xlpm.t,D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3.14925E-2</v>
      </c>
      <c r="E5" s="3" cm="1">
        <f t="array" ref="E5">_xlfn.LET(_xlpm.t,E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2.8177499999999998E-2</v>
      </c>
      <c r="F5" s="3" cm="1">
        <f t="array" ref="F5">_xlfn.LET(_xlpm.t,F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2.4862499999999999E-2</v>
      </c>
      <c r="G5" s="3" cm="1">
        <f t="array" ref="G5">_xlfn.LET(_xlpm.t,G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2.1547500000000001E-2</v>
      </c>
      <c r="H5" s="3" cm="1">
        <f t="array" ref="H5">_xlfn.LET(_xlpm.t,H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1.9890000000000001E-2</v>
      </c>
      <c r="I5" s="3" cm="1">
        <f t="array" ref="I5">_xlfn.LET(_xlpm.t,I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1.8232500000000002E-2</v>
      </c>
      <c r="J5" s="3" cm="1">
        <f t="array" ref="J5">_xlfn.LET(_xlpm.t,J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1.6574999999999999E-2</v>
      </c>
      <c r="K5" s="3" cm="1">
        <f t="array" ref="K5">_xlfn.LET(_xlpm.t,K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1.49175E-2</v>
      </c>
      <c r="L5" s="3" cm="1">
        <f t="array" ref="L5">_xlfn.LET(_xlpm.t,L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1.3260000000000001E-2</v>
      </c>
      <c r="M5" s="3" cm="1">
        <f t="array" ref="M5">_xlfn.LET(_xlpm.t,M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1.2597000000000001E-2</v>
      </c>
      <c r="N5" s="3" cm="1">
        <f t="array" ref="N5">_xlfn.LET(_xlpm.t,N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1.1934E-2</v>
      </c>
      <c r="O5" s="3" cm="1">
        <f t="array" ref="O5">_xlfn.LET(_xlpm.t,O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1.1271E-2</v>
      </c>
      <c r="P5" s="3" cm="1">
        <f t="array" ref="P5">_xlfn.LET(_xlpm.t,P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1.0608000000000001E-2</v>
      </c>
      <c r="Q5" s="3" cm="1">
        <f t="array" ref="Q5">_xlfn.LET(_xlpm.t,Q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R5" s="3" cm="1">
        <f t="array" ref="R5">_xlfn.LET(_xlpm.t,R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S5" s="3" cm="1">
        <f t="array" ref="S5">_xlfn.LET(_xlpm.t,S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T5" s="3" cm="1">
        <f t="array" ref="T5">_xlfn.LET(_xlpm.t,T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U5" s="3" cm="1">
        <f t="array" ref="U5">_xlfn.LET(_xlpm.t,U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V5" s="3" cm="1">
        <f t="array" ref="V5">_xlfn.LET(_xlpm.t,V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W5" s="3" cm="1">
        <f t="array" ref="W5">_xlfn.LET(_xlpm.t,W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X5" s="3" cm="1">
        <f t="array" ref="X5">_xlfn.LET(_xlpm.t,X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Y5" s="3" cm="1">
        <f t="array" ref="Y5">_xlfn.LET(_xlpm.t,Y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Z5" s="3" cm="1">
        <f t="array" ref="Z5">_xlfn.LET(_xlpm.t,Z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AA5" s="3" cm="1">
        <f t="array" ref="AA5">_xlfn.LET(_xlpm.t,AA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</row>
    <row r="6" spans="1:27">
      <c r="A6" t="s">
        <v>30</v>
      </c>
      <c r="B6" s="3" cm="1">
        <f t="array" ref="B6">_xlfn.LET(_xlpm.t,B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2.3204999999999996E-2</v>
      </c>
      <c r="C6" s="3" cm="1">
        <f t="array" ref="C6">_xlfn.LET(_xlpm.t,C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3.3149999999999999E-2</v>
      </c>
      <c r="D6" s="3" cm="1">
        <f t="array" ref="D6">_xlfn.LET(_xlpm.t,D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3.14925E-2</v>
      </c>
      <c r="E6" s="3" cm="1">
        <f t="array" ref="E6">_xlfn.LET(_xlpm.t,E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2.8177499999999998E-2</v>
      </c>
      <c r="F6" s="3" cm="1">
        <f t="array" ref="F6">_xlfn.LET(_xlpm.t,F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2.4862499999999999E-2</v>
      </c>
      <c r="G6" s="3" cm="1">
        <f t="array" ref="G6">_xlfn.LET(_xlpm.t,G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2.1547500000000001E-2</v>
      </c>
      <c r="H6" s="3" cm="1">
        <f t="array" ref="H6">_xlfn.LET(_xlpm.t,H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1.9890000000000001E-2</v>
      </c>
      <c r="I6" s="3" cm="1">
        <f t="array" ref="I6">_xlfn.LET(_xlpm.t,I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1.8232500000000002E-2</v>
      </c>
      <c r="J6" s="3" cm="1">
        <f t="array" ref="J6">_xlfn.LET(_xlpm.t,J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1.6574999999999999E-2</v>
      </c>
      <c r="K6" s="3" cm="1">
        <f t="array" ref="K6">_xlfn.LET(_xlpm.t,K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1.49175E-2</v>
      </c>
      <c r="L6" s="3" cm="1">
        <f t="array" ref="L6">_xlfn.LET(_xlpm.t,L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1.3260000000000001E-2</v>
      </c>
      <c r="M6" s="3" cm="1">
        <f t="array" ref="M6">_xlfn.LET(_xlpm.t,M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1.2597000000000001E-2</v>
      </c>
      <c r="N6" s="3" cm="1">
        <f t="array" ref="N6">_xlfn.LET(_xlpm.t,N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1.1934E-2</v>
      </c>
      <c r="O6" s="3" cm="1">
        <f t="array" ref="O6">_xlfn.LET(_xlpm.t,O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1.1271E-2</v>
      </c>
      <c r="P6" s="3" cm="1">
        <f t="array" ref="P6">_xlfn.LET(_xlpm.t,P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1.0608000000000001E-2</v>
      </c>
      <c r="Q6" s="3" cm="1">
        <f t="array" ref="Q6">_xlfn.LET(_xlpm.t,Q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R6" s="3" cm="1">
        <f t="array" ref="R6">_xlfn.LET(_xlpm.t,R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S6" s="3" cm="1">
        <f t="array" ref="S6">_xlfn.LET(_xlpm.t,S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T6" s="3" cm="1">
        <f t="array" ref="T6">_xlfn.LET(_xlpm.t,T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U6" s="3" cm="1">
        <f t="array" ref="U6">_xlfn.LET(_xlpm.t,U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V6" s="3" cm="1">
        <f t="array" ref="V6">_xlfn.LET(_xlpm.t,V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W6" s="3" cm="1">
        <f t="array" ref="W6">_xlfn.LET(_xlpm.t,W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X6" s="3" cm="1">
        <f t="array" ref="X6">_xlfn.LET(_xlpm.t,X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Y6" s="3" cm="1">
        <f t="array" ref="Y6">_xlfn.LET(_xlpm.t,Y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Z6" s="3" cm="1">
        <f t="array" ref="Z6">_xlfn.LET(_xlpm.t,Z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AA6" s="3" cm="1">
        <f t="array" ref="AA6">_xlfn.LET(_xlpm.t,AA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</row>
    <row r="7" spans="1:27">
      <c r="A7" t="s">
        <v>31</v>
      </c>
      <c r="B7" s="3" cm="1">
        <f t="array" ref="B7">_xlfn.LET(_xlpm.t,B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2.3204999999999996E-2</v>
      </c>
      <c r="C7" s="3" cm="1">
        <f t="array" ref="C7">_xlfn.LET(_xlpm.t,C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3.3149999999999999E-2</v>
      </c>
      <c r="D7" s="3" cm="1">
        <f t="array" ref="D7">_xlfn.LET(_xlpm.t,D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3.14925E-2</v>
      </c>
      <c r="E7" s="3" cm="1">
        <f t="array" ref="E7">_xlfn.LET(_xlpm.t,E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2.8177499999999998E-2</v>
      </c>
      <c r="F7" s="3" cm="1">
        <f t="array" ref="F7">_xlfn.LET(_xlpm.t,F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2.4862499999999999E-2</v>
      </c>
      <c r="G7" s="3" cm="1">
        <f t="array" ref="G7">_xlfn.LET(_xlpm.t,G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2.1547500000000001E-2</v>
      </c>
      <c r="H7" s="3" cm="1">
        <f t="array" ref="H7">_xlfn.LET(_xlpm.t,H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1.9890000000000001E-2</v>
      </c>
      <c r="I7" s="3" cm="1">
        <f t="array" ref="I7">_xlfn.LET(_xlpm.t,I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1.8232500000000002E-2</v>
      </c>
      <c r="J7" s="3" cm="1">
        <f t="array" ref="J7">_xlfn.LET(_xlpm.t,J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1.6574999999999999E-2</v>
      </c>
      <c r="K7" s="3" cm="1">
        <f t="array" ref="K7">_xlfn.LET(_xlpm.t,K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1.49175E-2</v>
      </c>
      <c r="L7" s="3" cm="1">
        <f t="array" ref="L7">_xlfn.LET(_xlpm.t,L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1.3260000000000001E-2</v>
      </c>
      <c r="M7" s="3" cm="1">
        <f t="array" ref="M7">_xlfn.LET(_xlpm.t,M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1.2597000000000001E-2</v>
      </c>
      <c r="N7" s="3" cm="1">
        <f t="array" ref="N7">_xlfn.LET(_xlpm.t,N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1.1934E-2</v>
      </c>
      <c r="O7" s="3" cm="1">
        <f t="array" ref="O7">_xlfn.LET(_xlpm.t,O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1.1271E-2</v>
      </c>
      <c r="P7" s="3" cm="1">
        <f t="array" ref="P7">_xlfn.LET(_xlpm.t,P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1.0608000000000001E-2</v>
      </c>
      <c r="Q7" s="3" cm="1">
        <f t="array" ref="Q7">_xlfn.LET(_xlpm.t,Q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R7" s="3" cm="1">
        <f t="array" ref="R7">_xlfn.LET(_xlpm.t,R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S7" s="3" cm="1">
        <f t="array" ref="S7">_xlfn.LET(_xlpm.t,S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T7" s="3" cm="1">
        <f t="array" ref="T7">_xlfn.LET(_xlpm.t,T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U7" s="3" cm="1">
        <f t="array" ref="U7">_xlfn.LET(_xlpm.t,U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V7" s="3" cm="1">
        <f t="array" ref="V7">_xlfn.LET(_xlpm.t,V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W7" s="3" cm="1">
        <f t="array" ref="W7">_xlfn.LET(_xlpm.t,W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X7" s="3" cm="1">
        <f t="array" ref="X7">_xlfn.LET(_xlpm.t,X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Y7" s="3" cm="1">
        <f t="array" ref="Y7">_xlfn.LET(_xlpm.t,Y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Z7" s="3" cm="1">
        <f t="array" ref="Z7">_xlfn.LET(_xlpm.t,Z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AA7" s="3" cm="1">
        <f t="array" ref="AA7">_xlfn.LET(_xlpm.t,AA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</row>
    <row r="8" spans="1:27">
      <c r="A8" t="s">
        <v>32</v>
      </c>
      <c r="B8" s="3" cm="1">
        <f t="array" ref="B8">_xlfn.LET(_xlpm.t,B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2.3204999999999996E-2</v>
      </c>
      <c r="C8" s="3" cm="1">
        <f t="array" ref="C8">_xlfn.LET(_xlpm.t,C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3.3149999999999999E-2</v>
      </c>
      <c r="D8" s="3" cm="1">
        <f t="array" ref="D8">_xlfn.LET(_xlpm.t,D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3.14925E-2</v>
      </c>
      <c r="E8" s="3" cm="1">
        <f t="array" ref="E8">_xlfn.LET(_xlpm.t,E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2.8177499999999998E-2</v>
      </c>
      <c r="F8" s="3" cm="1">
        <f t="array" ref="F8">_xlfn.LET(_xlpm.t,F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2.4862499999999999E-2</v>
      </c>
      <c r="G8" s="3" cm="1">
        <f t="array" ref="G8">_xlfn.LET(_xlpm.t,G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2.1547500000000001E-2</v>
      </c>
      <c r="H8" s="3" cm="1">
        <f t="array" ref="H8">_xlfn.LET(_xlpm.t,H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1.9890000000000001E-2</v>
      </c>
      <c r="I8" s="3" cm="1">
        <f t="array" ref="I8">_xlfn.LET(_xlpm.t,I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1.8232500000000002E-2</v>
      </c>
      <c r="J8" s="3" cm="1">
        <f t="array" ref="J8">_xlfn.LET(_xlpm.t,J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1.6574999999999999E-2</v>
      </c>
      <c r="K8" s="3" cm="1">
        <f t="array" ref="K8">_xlfn.LET(_xlpm.t,K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1.49175E-2</v>
      </c>
      <c r="L8" s="3" cm="1">
        <f t="array" ref="L8">_xlfn.LET(_xlpm.t,L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1.3260000000000001E-2</v>
      </c>
      <c r="M8" s="3" cm="1">
        <f t="array" ref="M8">_xlfn.LET(_xlpm.t,M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1.2597000000000001E-2</v>
      </c>
      <c r="N8" s="3" cm="1">
        <f t="array" ref="N8">_xlfn.LET(_xlpm.t,N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1.1934E-2</v>
      </c>
      <c r="O8" s="3" cm="1">
        <f t="array" ref="O8">_xlfn.LET(_xlpm.t,O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1.1271E-2</v>
      </c>
      <c r="P8" s="3" cm="1">
        <f t="array" ref="P8">_xlfn.LET(_xlpm.t,P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1.0608000000000001E-2</v>
      </c>
      <c r="Q8" s="3" cm="1">
        <f t="array" ref="Q8">_xlfn.LET(_xlpm.t,Q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R8" s="3" cm="1">
        <f t="array" ref="R8">_xlfn.LET(_xlpm.t,R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S8" s="3" cm="1">
        <f t="array" ref="S8">_xlfn.LET(_xlpm.t,S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T8" s="3" cm="1">
        <f t="array" ref="T8">_xlfn.LET(_xlpm.t,T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U8" s="3" cm="1">
        <f t="array" ref="U8">_xlfn.LET(_xlpm.t,U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V8" s="3" cm="1">
        <f t="array" ref="V8">_xlfn.LET(_xlpm.t,V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W8" s="3" cm="1">
        <f t="array" ref="W8">_xlfn.LET(_xlpm.t,W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X8" s="3" cm="1">
        <f t="array" ref="X8">_xlfn.LET(_xlpm.t,X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Y8" s="3" cm="1">
        <f t="array" ref="Y8">_xlfn.LET(_xlpm.t,Y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Z8" s="3" cm="1">
        <f t="array" ref="Z8">_xlfn.LET(_xlpm.t,Z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  <c r="AA8" s="3" cm="1">
        <f t="array" ref="AA8">_xlfn.LET(_xlpm.t,AA$1,_xlpm.yrs,'Calc-Vehicle-NonBattery'!$B$19:$J$19,_xlpm.vals,'Calc-Vehicle-NonBattery'!$B$22:$J$22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9.9450000000000007E-3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F0CA-C2F5-48CA-8F2C-AD93D0053884}">
  <dimension ref="A1:AA8"/>
  <sheetViews>
    <sheetView workbookViewId="0"/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9.9662499999999994E-3</v>
      </c>
      <c r="C2" s="3" cm="1">
        <f t="array" ref="C2">_xlfn.LET(_xlpm.t,C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1.4237499999999997E-2</v>
      </c>
      <c r="D2" s="3" cm="1">
        <f t="array" ref="D2">_xlfn.LET(_xlpm.t,D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1.3525624999999999E-2</v>
      </c>
      <c r="E2" s="3" cm="1">
        <f t="array" ref="E2">_xlfn.LET(_xlpm.t,E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1.2101874999999998E-2</v>
      </c>
      <c r="F2" s="3" cm="1">
        <f t="array" ref="F2">_xlfn.LET(_xlpm.t,F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1.0678124999999998E-2</v>
      </c>
      <c r="G2" s="3" cm="1">
        <f t="array" ref="G2">_xlfn.LET(_xlpm.t,G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9.2543749999999987E-3</v>
      </c>
      <c r="H2" s="3" cm="1">
        <f t="array" ref="H2">_xlfn.LET(_xlpm.t,H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8.542499999999998E-3</v>
      </c>
      <c r="I2" s="3" cm="1">
        <f t="array" ref="I2">_xlfn.LET(_xlpm.t,I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7.830624999999999E-3</v>
      </c>
      <c r="J2" s="3" cm="1">
        <f t="array" ref="J2">_xlfn.LET(_xlpm.t,J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7.1187499999999992E-3</v>
      </c>
      <c r="K2" s="3" cm="1">
        <f t="array" ref="K2">_xlfn.LET(_xlpm.t,K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6.4068749999999994E-3</v>
      </c>
      <c r="L2" s="3" cm="1">
        <f t="array" ref="L2">_xlfn.LET(_xlpm.t,L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5.6949999999999995E-3</v>
      </c>
      <c r="M2" s="3" cm="1">
        <f t="array" ref="M2">_xlfn.LET(_xlpm.t,M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5.4102499999999993E-3</v>
      </c>
      <c r="N2" s="3" cm="1">
        <f t="array" ref="N2">_xlfn.LET(_xlpm.t,N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5.1254999999999998E-3</v>
      </c>
      <c r="O2" s="3" cm="1">
        <f t="array" ref="O2">_xlfn.LET(_xlpm.t,O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4.8407499999999996E-3</v>
      </c>
      <c r="P2" s="3" cm="1">
        <f t="array" ref="P2">_xlfn.LET(_xlpm.t,P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4.5559999999999993E-3</v>
      </c>
      <c r="Q2" s="3" cm="1">
        <f t="array" ref="Q2">_xlfn.LET(_xlpm.t,Q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R2" s="3" cm="1">
        <f t="array" ref="R2">_xlfn.LET(_xlpm.t,R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S2" s="3" cm="1">
        <f t="array" ref="S2">_xlfn.LET(_xlpm.t,S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T2" s="3" cm="1">
        <f t="array" ref="T2">_xlfn.LET(_xlpm.t,T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U2" s="3" cm="1">
        <f t="array" ref="U2">_xlfn.LET(_xlpm.t,U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V2" s="3" cm="1">
        <f t="array" ref="V2">_xlfn.LET(_xlpm.t,V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W2" s="3" cm="1">
        <f t="array" ref="W2">_xlfn.LET(_xlpm.t,W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X2" s="3" cm="1">
        <f t="array" ref="X2">_xlfn.LET(_xlpm.t,X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Y2" s="3" cm="1">
        <f t="array" ref="Y2">_xlfn.LET(_xlpm.t,Y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Z2" s="3" cm="1">
        <f t="array" ref="Z2">_xlfn.LET(_xlpm.t,Z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AA2" s="3" cm="1">
        <f t="array" ref="AA2">_xlfn.LET(_xlpm.t,AA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</row>
    <row r="3" spans="1:27">
      <c r="A3" t="s">
        <v>27</v>
      </c>
      <c r="B3" s="3" cm="1">
        <f t="array" ref="B3">_xlfn.LET(_xlpm.t,B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9.9662499999999994E-3</v>
      </c>
      <c r="C3" s="3" cm="1">
        <f t="array" ref="C3">_xlfn.LET(_xlpm.t,C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1.4237499999999997E-2</v>
      </c>
      <c r="D3" s="3" cm="1">
        <f t="array" ref="D3">_xlfn.LET(_xlpm.t,D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1.3525624999999999E-2</v>
      </c>
      <c r="E3" s="3" cm="1">
        <f t="array" ref="E3">_xlfn.LET(_xlpm.t,E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1.2101874999999998E-2</v>
      </c>
      <c r="F3" s="3" cm="1">
        <f t="array" ref="F3">_xlfn.LET(_xlpm.t,F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1.0678124999999998E-2</v>
      </c>
      <c r="G3" s="3" cm="1">
        <f t="array" ref="G3">_xlfn.LET(_xlpm.t,G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9.2543749999999987E-3</v>
      </c>
      <c r="H3" s="3" cm="1">
        <f t="array" ref="H3">_xlfn.LET(_xlpm.t,H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8.542499999999998E-3</v>
      </c>
      <c r="I3" s="3" cm="1">
        <f t="array" ref="I3">_xlfn.LET(_xlpm.t,I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7.830624999999999E-3</v>
      </c>
      <c r="J3" s="3" cm="1">
        <f t="array" ref="J3">_xlfn.LET(_xlpm.t,J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7.1187499999999992E-3</v>
      </c>
      <c r="K3" s="3" cm="1">
        <f t="array" ref="K3">_xlfn.LET(_xlpm.t,K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6.4068749999999994E-3</v>
      </c>
      <c r="L3" s="3" cm="1">
        <f t="array" ref="L3">_xlfn.LET(_xlpm.t,L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5.6949999999999995E-3</v>
      </c>
      <c r="M3" s="3" cm="1">
        <f t="array" ref="M3">_xlfn.LET(_xlpm.t,M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5.4102499999999993E-3</v>
      </c>
      <c r="N3" s="3" cm="1">
        <f t="array" ref="N3">_xlfn.LET(_xlpm.t,N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5.1254999999999998E-3</v>
      </c>
      <c r="O3" s="3" cm="1">
        <f t="array" ref="O3">_xlfn.LET(_xlpm.t,O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4.8407499999999996E-3</v>
      </c>
      <c r="P3" s="3" cm="1">
        <f t="array" ref="P3">_xlfn.LET(_xlpm.t,P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4.5559999999999993E-3</v>
      </c>
      <c r="Q3" s="3" cm="1">
        <f t="array" ref="Q3">_xlfn.LET(_xlpm.t,Q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R3" s="3" cm="1">
        <f t="array" ref="R3">_xlfn.LET(_xlpm.t,R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S3" s="3" cm="1">
        <f t="array" ref="S3">_xlfn.LET(_xlpm.t,S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T3" s="3" cm="1">
        <f t="array" ref="T3">_xlfn.LET(_xlpm.t,T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U3" s="3" cm="1">
        <f t="array" ref="U3">_xlfn.LET(_xlpm.t,U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V3" s="3" cm="1">
        <f t="array" ref="V3">_xlfn.LET(_xlpm.t,V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W3" s="3" cm="1">
        <f t="array" ref="W3">_xlfn.LET(_xlpm.t,W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X3" s="3" cm="1">
        <f t="array" ref="X3">_xlfn.LET(_xlpm.t,X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Y3" s="3" cm="1">
        <f t="array" ref="Y3">_xlfn.LET(_xlpm.t,Y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Z3" s="3" cm="1">
        <f t="array" ref="Z3">_xlfn.LET(_xlpm.t,Z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AA3" s="3" cm="1">
        <f t="array" ref="AA3">_xlfn.LET(_xlpm.t,AA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</row>
    <row r="4" spans="1:27">
      <c r="A4" t="s">
        <v>28</v>
      </c>
      <c r="B4" s="3" cm="1">
        <f t="array" ref="B4">_xlfn.LET(_xlpm.t,B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9.9662499999999994E-3</v>
      </c>
      <c r="C4" s="3" cm="1">
        <f t="array" ref="C4">_xlfn.LET(_xlpm.t,C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1.4237499999999997E-2</v>
      </c>
      <c r="D4" s="3" cm="1">
        <f t="array" ref="D4">_xlfn.LET(_xlpm.t,D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1.3525624999999999E-2</v>
      </c>
      <c r="E4" s="3" cm="1">
        <f t="array" ref="E4">_xlfn.LET(_xlpm.t,E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1.2101874999999998E-2</v>
      </c>
      <c r="F4" s="3" cm="1">
        <f t="array" ref="F4">_xlfn.LET(_xlpm.t,F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1.0678124999999998E-2</v>
      </c>
      <c r="G4" s="3" cm="1">
        <f t="array" ref="G4">_xlfn.LET(_xlpm.t,G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9.2543749999999987E-3</v>
      </c>
      <c r="H4" s="3" cm="1">
        <f t="array" ref="H4">_xlfn.LET(_xlpm.t,H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8.542499999999998E-3</v>
      </c>
      <c r="I4" s="3" cm="1">
        <f t="array" ref="I4">_xlfn.LET(_xlpm.t,I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7.830624999999999E-3</v>
      </c>
      <c r="J4" s="3" cm="1">
        <f t="array" ref="J4">_xlfn.LET(_xlpm.t,J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7.1187499999999992E-3</v>
      </c>
      <c r="K4" s="3" cm="1">
        <f t="array" ref="K4">_xlfn.LET(_xlpm.t,K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6.4068749999999994E-3</v>
      </c>
      <c r="L4" s="3" cm="1">
        <f t="array" ref="L4">_xlfn.LET(_xlpm.t,L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5.6949999999999995E-3</v>
      </c>
      <c r="M4" s="3" cm="1">
        <f t="array" ref="M4">_xlfn.LET(_xlpm.t,M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5.4102499999999993E-3</v>
      </c>
      <c r="N4" s="3" cm="1">
        <f t="array" ref="N4">_xlfn.LET(_xlpm.t,N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5.1254999999999998E-3</v>
      </c>
      <c r="O4" s="3" cm="1">
        <f t="array" ref="O4">_xlfn.LET(_xlpm.t,O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4.8407499999999996E-3</v>
      </c>
      <c r="P4" s="3" cm="1">
        <f t="array" ref="P4">_xlfn.LET(_xlpm.t,P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4.5559999999999993E-3</v>
      </c>
      <c r="Q4" s="3" cm="1">
        <f t="array" ref="Q4">_xlfn.LET(_xlpm.t,Q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R4" s="3" cm="1">
        <f t="array" ref="R4">_xlfn.LET(_xlpm.t,R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S4" s="3" cm="1">
        <f t="array" ref="S4">_xlfn.LET(_xlpm.t,S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T4" s="3" cm="1">
        <f t="array" ref="T4">_xlfn.LET(_xlpm.t,T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U4" s="3" cm="1">
        <f t="array" ref="U4">_xlfn.LET(_xlpm.t,U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V4" s="3" cm="1">
        <f t="array" ref="V4">_xlfn.LET(_xlpm.t,V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W4" s="3" cm="1">
        <f t="array" ref="W4">_xlfn.LET(_xlpm.t,W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X4" s="3" cm="1">
        <f t="array" ref="X4">_xlfn.LET(_xlpm.t,X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Y4" s="3" cm="1">
        <f t="array" ref="Y4">_xlfn.LET(_xlpm.t,Y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Z4" s="3" cm="1">
        <f t="array" ref="Z4">_xlfn.LET(_xlpm.t,Z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AA4" s="3" cm="1">
        <f t="array" ref="AA4">_xlfn.LET(_xlpm.t,AA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</row>
    <row r="5" spans="1:27">
      <c r="A5" t="s">
        <v>29</v>
      </c>
      <c r="B5" s="3" cm="1">
        <f t="array" ref="B5">_xlfn.LET(_xlpm.t,B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9.9662499999999994E-3</v>
      </c>
      <c r="C5" s="3" cm="1">
        <f t="array" ref="C5">_xlfn.LET(_xlpm.t,C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1.4237499999999997E-2</v>
      </c>
      <c r="D5" s="3" cm="1">
        <f t="array" ref="D5">_xlfn.LET(_xlpm.t,D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1.3525624999999999E-2</v>
      </c>
      <c r="E5" s="3" cm="1">
        <f t="array" ref="E5">_xlfn.LET(_xlpm.t,E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1.2101874999999998E-2</v>
      </c>
      <c r="F5" s="3" cm="1">
        <f t="array" ref="F5">_xlfn.LET(_xlpm.t,F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1.0678124999999998E-2</v>
      </c>
      <c r="G5" s="3" cm="1">
        <f t="array" ref="G5">_xlfn.LET(_xlpm.t,G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9.2543749999999987E-3</v>
      </c>
      <c r="H5" s="3" cm="1">
        <f t="array" ref="H5">_xlfn.LET(_xlpm.t,H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8.542499999999998E-3</v>
      </c>
      <c r="I5" s="3" cm="1">
        <f t="array" ref="I5">_xlfn.LET(_xlpm.t,I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7.830624999999999E-3</v>
      </c>
      <c r="J5" s="3" cm="1">
        <f t="array" ref="J5">_xlfn.LET(_xlpm.t,J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7.1187499999999992E-3</v>
      </c>
      <c r="K5" s="3" cm="1">
        <f t="array" ref="K5">_xlfn.LET(_xlpm.t,K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6.4068749999999994E-3</v>
      </c>
      <c r="L5" s="3" cm="1">
        <f t="array" ref="L5">_xlfn.LET(_xlpm.t,L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5.6949999999999995E-3</v>
      </c>
      <c r="M5" s="3" cm="1">
        <f t="array" ref="M5">_xlfn.LET(_xlpm.t,M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5.4102499999999993E-3</v>
      </c>
      <c r="N5" s="3" cm="1">
        <f t="array" ref="N5">_xlfn.LET(_xlpm.t,N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5.1254999999999998E-3</v>
      </c>
      <c r="O5" s="3" cm="1">
        <f t="array" ref="O5">_xlfn.LET(_xlpm.t,O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4.8407499999999996E-3</v>
      </c>
      <c r="P5" s="3" cm="1">
        <f t="array" ref="P5">_xlfn.LET(_xlpm.t,P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4.5559999999999993E-3</v>
      </c>
      <c r="Q5" s="3" cm="1">
        <f t="array" ref="Q5">_xlfn.LET(_xlpm.t,Q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R5" s="3" cm="1">
        <f t="array" ref="R5">_xlfn.LET(_xlpm.t,R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S5" s="3" cm="1">
        <f t="array" ref="S5">_xlfn.LET(_xlpm.t,S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T5" s="3" cm="1">
        <f t="array" ref="T5">_xlfn.LET(_xlpm.t,T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U5" s="3" cm="1">
        <f t="array" ref="U5">_xlfn.LET(_xlpm.t,U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V5" s="3" cm="1">
        <f t="array" ref="V5">_xlfn.LET(_xlpm.t,V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W5" s="3" cm="1">
        <f t="array" ref="W5">_xlfn.LET(_xlpm.t,W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X5" s="3" cm="1">
        <f t="array" ref="X5">_xlfn.LET(_xlpm.t,X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Y5" s="3" cm="1">
        <f t="array" ref="Y5">_xlfn.LET(_xlpm.t,Y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Z5" s="3" cm="1">
        <f t="array" ref="Z5">_xlfn.LET(_xlpm.t,Z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AA5" s="3" cm="1">
        <f t="array" ref="AA5">_xlfn.LET(_xlpm.t,AA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</row>
    <row r="6" spans="1:27">
      <c r="A6" t="s">
        <v>30</v>
      </c>
      <c r="B6" s="3" cm="1">
        <f t="array" ref="B6">_xlfn.LET(_xlpm.t,B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9.9662499999999994E-3</v>
      </c>
      <c r="C6" s="3" cm="1">
        <f t="array" ref="C6">_xlfn.LET(_xlpm.t,C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1.4237499999999997E-2</v>
      </c>
      <c r="D6" s="3" cm="1">
        <f t="array" ref="D6">_xlfn.LET(_xlpm.t,D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1.3525624999999999E-2</v>
      </c>
      <c r="E6" s="3" cm="1">
        <f t="array" ref="E6">_xlfn.LET(_xlpm.t,E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1.2101874999999998E-2</v>
      </c>
      <c r="F6" s="3" cm="1">
        <f t="array" ref="F6">_xlfn.LET(_xlpm.t,F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1.0678124999999998E-2</v>
      </c>
      <c r="G6" s="3" cm="1">
        <f t="array" ref="G6">_xlfn.LET(_xlpm.t,G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9.2543749999999987E-3</v>
      </c>
      <c r="H6" s="3" cm="1">
        <f t="array" ref="H6">_xlfn.LET(_xlpm.t,H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8.542499999999998E-3</v>
      </c>
      <c r="I6" s="3" cm="1">
        <f t="array" ref="I6">_xlfn.LET(_xlpm.t,I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7.830624999999999E-3</v>
      </c>
      <c r="J6" s="3" cm="1">
        <f t="array" ref="J6">_xlfn.LET(_xlpm.t,J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7.1187499999999992E-3</v>
      </c>
      <c r="K6" s="3" cm="1">
        <f t="array" ref="K6">_xlfn.LET(_xlpm.t,K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6.4068749999999994E-3</v>
      </c>
      <c r="L6" s="3" cm="1">
        <f t="array" ref="L6">_xlfn.LET(_xlpm.t,L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5.6949999999999995E-3</v>
      </c>
      <c r="M6" s="3" cm="1">
        <f t="array" ref="M6">_xlfn.LET(_xlpm.t,M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5.4102499999999993E-3</v>
      </c>
      <c r="N6" s="3" cm="1">
        <f t="array" ref="N6">_xlfn.LET(_xlpm.t,N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5.1254999999999998E-3</v>
      </c>
      <c r="O6" s="3" cm="1">
        <f t="array" ref="O6">_xlfn.LET(_xlpm.t,O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4.8407499999999996E-3</v>
      </c>
      <c r="P6" s="3" cm="1">
        <f t="array" ref="P6">_xlfn.LET(_xlpm.t,P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4.5559999999999993E-3</v>
      </c>
      <c r="Q6" s="3" cm="1">
        <f t="array" ref="Q6">_xlfn.LET(_xlpm.t,Q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R6" s="3" cm="1">
        <f t="array" ref="R6">_xlfn.LET(_xlpm.t,R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S6" s="3" cm="1">
        <f t="array" ref="S6">_xlfn.LET(_xlpm.t,S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T6" s="3" cm="1">
        <f t="array" ref="T6">_xlfn.LET(_xlpm.t,T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U6" s="3" cm="1">
        <f t="array" ref="U6">_xlfn.LET(_xlpm.t,U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V6" s="3" cm="1">
        <f t="array" ref="V6">_xlfn.LET(_xlpm.t,V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W6" s="3" cm="1">
        <f t="array" ref="W6">_xlfn.LET(_xlpm.t,W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X6" s="3" cm="1">
        <f t="array" ref="X6">_xlfn.LET(_xlpm.t,X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Y6" s="3" cm="1">
        <f t="array" ref="Y6">_xlfn.LET(_xlpm.t,Y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Z6" s="3" cm="1">
        <f t="array" ref="Z6">_xlfn.LET(_xlpm.t,Z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AA6" s="3" cm="1">
        <f t="array" ref="AA6">_xlfn.LET(_xlpm.t,AA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</row>
    <row r="7" spans="1:27">
      <c r="A7" t="s">
        <v>31</v>
      </c>
      <c r="B7" s="3" cm="1">
        <f t="array" ref="B7">_xlfn.LET(_xlpm.t,B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9.9662499999999994E-3</v>
      </c>
      <c r="C7" s="3" cm="1">
        <f t="array" ref="C7">_xlfn.LET(_xlpm.t,C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1.4237499999999997E-2</v>
      </c>
      <c r="D7" s="3" cm="1">
        <f t="array" ref="D7">_xlfn.LET(_xlpm.t,D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1.3525624999999999E-2</v>
      </c>
      <c r="E7" s="3" cm="1">
        <f t="array" ref="E7">_xlfn.LET(_xlpm.t,E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1.2101874999999998E-2</v>
      </c>
      <c r="F7" s="3" cm="1">
        <f t="array" ref="F7">_xlfn.LET(_xlpm.t,F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1.0678124999999998E-2</v>
      </c>
      <c r="G7" s="3" cm="1">
        <f t="array" ref="G7">_xlfn.LET(_xlpm.t,G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9.2543749999999987E-3</v>
      </c>
      <c r="H7" s="3" cm="1">
        <f t="array" ref="H7">_xlfn.LET(_xlpm.t,H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8.542499999999998E-3</v>
      </c>
      <c r="I7" s="3" cm="1">
        <f t="array" ref="I7">_xlfn.LET(_xlpm.t,I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7.830624999999999E-3</v>
      </c>
      <c r="J7" s="3" cm="1">
        <f t="array" ref="J7">_xlfn.LET(_xlpm.t,J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7.1187499999999992E-3</v>
      </c>
      <c r="K7" s="3" cm="1">
        <f t="array" ref="K7">_xlfn.LET(_xlpm.t,K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6.4068749999999994E-3</v>
      </c>
      <c r="L7" s="3" cm="1">
        <f t="array" ref="L7">_xlfn.LET(_xlpm.t,L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5.6949999999999995E-3</v>
      </c>
      <c r="M7" s="3" cm="1">
        <f t="array" ref="M7">_xlfn.LET(_xlpm.t,M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5.4102499999999993E-3</v>
      </c>
      <c r="N7" s="3" cm="1">
        <f t="array" ref="N7">_xlfn.LET(_xlpm.t,N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5.1254999999999998E-3</v>
      </c>
      <c r="O7" s="3" cm="1">
        <f t="array" ref="O7">_xlfn.LET(_xlpm.t,O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4.8407499999999996E-3</v>
      </c>
      <c r="P7" s="3" cm="1">
        <f t="array" ref="P7">_xlfn.LET(_xlpm.t,P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4.5559999999999993E-3</v>
      </c>
      <c r="Q7" s="3" cm="1">
        <f t="array" ref="Q7">_xlfn.LET(_xlpm.t,Q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R7" s="3" cm="1">
        <f t="array" ref="R7">_xlfn.LET(_xlpm.t,R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S7" s="3" cm="1">
        <f t="array" ref="S7">_xlfn.LET(_xlpm.t,S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T7" s="3" cm="1">
        <f t="array" ref="T7">_xlfn.LET(_xlpm.t,T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U7" s="3" cm="1">
        <f t="array" ref="U7">_xlfn.LET(_xlpm.t,U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V7" s="3" cm="1">
        <f t="array" ref="V7">_xlfn.LET(_xlpm.t,V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W7" s="3" cm="1">
        <f t="array" ref="W7">_xlfn.LET(_xlpm.t,W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X7" s="3" cm="1">
        <f t="array" ref="X7">_xlfn.LET(_xlpm.t,X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Y7" s="3" cm="1">
        <f t="array" ref="Y7">_xlfn.LET(_xlpm.t,Y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Z7" s="3" cm="1">
        <f t="array" ref="Z7">_xlfn.LET(_xlpm.t,Z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AA7" s="3" cm="1">
        <f t="array" ref="AA7">_xlfn.LET(_xlpm.t,AA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</row>
    <row r="8" spans="1:27">
      <c r="A8" t="s">
        <v>32</v>
      </c>
      <c r="B8" s="3" cm="1">
        <f t="array" ref="B8">_xlfn.LET(_xlpm.t,B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9.9662499999999994E-3</v>
      </c>
      <c r="C8" s="3" cm="1">
        <f t="array" ref="C8">_xlfn.LET(_xlpm.t,C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1.4237499999999997E-2</v>
      </c>
      <c r="D8" s="3" cm="1">
        <f t="array" ref="D8">_xlfn.LET(_xlpm.t,D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1.3525624999999999E-2</v>
      </c>
      <c r="E8" s="3" cm="1">
        <f t="array" ref="E8">_xlfn.LET(_xlpm.t,E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1.2101874999999998E-2</v>
      </c>
      <c r="F8" s="3" cm="1">
        <f t="array" ref="F8">_xlfn.LET(_xlpm.t,F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1.0678124999999998E-2</v>
      </c>
      <c r="G8" s="3" cm="1">
        <f t="array" ref="G8">_xlfn.LET(_xlpm.t,G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9.2543749999999987E-3</v>
      </c>
      <c r="H8" s="3" cm="1">
        <f t="array" ref="H8">_xlfn.LET(_xlpm.t,H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8.542499999999998E-3</v>
      </c>
      <c r="I8" s="3" cm="1">
        <f t="array" ref="I8">_xlfn.LET(_xlpm.t,I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7.830624999999999E-3</v>
      </c>
      <c r="J8" s="3" cm="1">
        <f t="array" ref="J8">_xlfn.LET(_xlpm.t,J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7.1187499999999992E-3</v>
      </c>
      <c r="K8" s="3" cm="1">
        <f t="array" ref="K8">_xlfn.LET(_xlpm.t,K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6.4068749999999994E-3</v>
      </c>
      <c r="L8" s="3" cm="1">
        <f t="array" ref="L8">_xlfn.LET(_xlpm.t,L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5.6949999999999995E-3</v>
      </c>
      <c r="M8" s="3" cm="1">
        <f t="array" ref="M8">_xlfn.LET(_xlpm.t,M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5.4102499999999993E-3</v>
      </c>
      <c r="N8" s="3" cm="1">
        <f t="array" ref="N8">_xlfn.LET(_xlpm.t,N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5.1254999999999998E-3</v>
      </c>
      <c r="O8" s="3" cm="1">
        <f t="array" ref="O8">_xlfn.LET(_xlpm.t,O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4.8407499999999996E-3</v>
      </c>
      <c r="P8" s="3" cm="1">
        <f t="array" ref="P8">_xlfn.LET(_xlpm.t,P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4.5559999999999993E-3</v>
      </c>
      <c r="Q8" s="3" cm="1">
        <f t="array" ref="Q8">_xlfn.LET(_xlpm.t,Q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R8" s="3" cm="1">
        <f t="array" ref="R8">_xlfn.LET(_xlpm.t,R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S8" s="3" cm="1">
        <f t="array" ref="S8">_xlfn.LET(_xlpm.t,S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T8" s="3" cm="1">
        <f t="array" ref="T8">_xlfn.LET(_xlpm.t,T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U8" s="3" cm="1">
        <f t="array" ref="U8">_xlfn.LET(_xlpm.t,U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V8" s="3" cm="1">
        <f t="array" ref="V8">_xlfn.LET(_xlpm.t,V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W8" s="3" cm="1">
        <f t="array" ref="W8">_xlfn.LET(_xlpm.t,W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X8" s="3" cm="1">
        <f t="array" ref="X8">_xlfn.LET(_xlpm.t,X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Y8" s="3" cm="1">
        <f t="array" ref="Y8">_xlfn.LET(_xlpm.t,Y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Z8" s="3" cm="1">
        <f t="array" ref="Z8">_xlfn.LET(_xlpm.t,Z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  <c r="AA8" s="3" cm="1">
        <f t="array" ref="AA8">_xlfn.LET(_xlpm.t,AA$1,_xlpm.yrs,'Calc-Vehicle-NonBattery'!$B$19:$J$19,_xlpm.vals,'Calc-Vehicle-NonBattery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4.2712499999999999E-3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D043-3BC6-41CD-A0F4-F183BBA8D50D}">
  <dimension ref="A1:AA8"/>
  <sheetViews>
    <sheetView workbookViewId="0"/>
  </sheetViews>
  <sheetFormatPr defaultRowHeight="15"/>
  <cols>
    <col min="1" max="1" width="38.14062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26</v>
      </c>
      <c r="B2" s="3" cm="1">
        <f t="array" ref="B2">_xlfn.LET(_xlpm.t,B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2.7444374999999997E-2</v>
      </c>
      <c r="C2" s="3" cm="1">
        <f t="array" ref="C2">_xlfn.LET(_xlpm.t,C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3.9206249999999998E-2</v>
      </c>
      <c r="D2" s="3" cm="1">
        <f t="array" ref="D2">_xlfn.LET(_xlpm.t,D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3.72459375E-2</v>
      </c>
      <c r="E2" s="3" cm="1">
        <f t="array" ref="E2">_xlfn.LET(_xlpm.t,E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3.3325312499999989E-2</v>
      </c>
      <c r="F2" s="3" cm="1">
        <f t="array" ref="F2">_xlfn.LET(_xlpm.t,F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2.9404687499999999E-2</v>
      </c>
      <c r="G2" s="3" cm="1">
        <f t="array" ref="G2">_xlfn.LET(_xlpm.t,G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2.5484062499999998E-2</v>
      </c>
      <c r="H2" s="3" cm="1">
        <f t="array" ref="H2">_xlfn.LET(_xlpm.t,H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2.352375E-2</v>
      </c>
      <c r="I2" s="3" cm="1">
        <f t="array" ref="I2">_xlfn.LET(_xlpm.t,I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2.1563437499999998E-2</v>
      </c>
      <c r="J2" s="3" cm="1">
        <f t="array" ref="J2">_xlfn.LET(_xlpm.t,J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1.9603124999999999E-2</v>
      </c>
      <c r="K2" s="3" cm="1">
        <f t="array" ref="K2">_xlfn.LET(_xlpm.t,K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1.7642812500000001E-2</v>
      </c>
      <c r="L2" s="3" cm="1">
        <f t="array" ref="L2">_xlfn.LET(_xlpm.t,L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1.5682499999999999E-2</v>
      </c>
      <c r="M2" s="3" cm="1">
        <f t="array" ref="M2">_xlfn.LET(_xlpm.t,M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1.4898374999999998E-2</v>
      </c>
      <c r="N2" s="3" cm="1">
        <f t="array" ref="N2">_xlfn.LET(_xlpm.t,N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1.4114249999999998E-2</v>
      </c>
      <c r="O2" s="3" cm="1">
        <f t="array" ref="O2">_xlfn.LET(_xlpm.t,O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1.3330124999999998E-2</v>
      </c>
      <c r="P2" s="3" cm="1">
        <f t="array" ref="P2">_xlfn.LET(_xlpm.t,P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1.2546E-2</v>
      </c>
      <c r="Q2" s="3" cm="1">
        <f t="array" ref="Q2">_xlfn.LET(_xlpm.t,Q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R2" s="3" cm="1">
        <f t="array" ref="R2">_xlfn.LET(_xlpm.t,R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S2" s="3" cm="1">
        <f t="array" ref="S2">_xlfn.LET(_xlpm.t,S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T2" s="3" cm="1">
        <f t="array" ref="T2">_xlfn.LET(_xlpm.t,T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U2" s="3" cm="1">
        <f t="array" ref="U2">_xlfn.LET(_xlpm.t,U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V2" s="3" cm="1">
        <f t="array" ref="V2">_xlfn.LET(_xlpm.t,V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W2" s="3" cm="1">
        <f t="array" ref="W2">_xlfn.LET(_xlpm.t,W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X2" s="3" cm="1">
        <f t="array" ref="X2">_xlfn.LET(_xlpm.t,X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Y2" s="3" cm="1">
        <f t="array" ref="Y2">_xlfn.LET(_xlpm.t,Y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Z2" s="3" cm="1">
        <f t="array" ref="Z2">_xlfn.LET(_xlpm.t,Z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AA2" s="3" cm="1">
        <f t="array" ref="AA2">_xlfn.LET(_xlpm.t,AA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</row>
    <row r="3" spans="1:27">
      <c r="A3" t="s">
        <v>27</v>
      </c>
      <c r="B3" s="3" cm="1">
        <f t="array" ref="B3">_xlfn.LET(_xlpm.t,B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2.7444374999999997E-2</v>
      </c>
      <c r="C3" s="3" cm="1">
        <f t="array" ref="C3">_xlfn.LET(_xlpm.t,C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3.9206249999999998E-2</v>
      </c>
      <c r="D3" s="3" cm="1">
        <f t="array" ref="D3">_xlfn.LET(_xlpm.t,D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3.72459375E-2</v>
      </c>
      <c r="E3" s="3" cm="1">
        <f t="array" ref="E3">_xlfn.LET(_xlpm.t,E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3.3325312499999989E-2</v>
      </c>
      <c r="F3" s="3" cm="1">
        <f t="array" ref="F3">_xlfn.LET(_xlpm.t,F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2.9404687499999999E-2</v>
      </c>
      <c r="G3" s="3" cm="1">
        <f t="array" ref="G3">_xlfn.LET(_xlpm.t,G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2.5484062499999998E-2</v>
      </c>
      <c r="H3" s="3" cm="1">
        <f t="array" ref="H3">_xlfn.LET(_xlpm.t,H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2.352375E-2</v>
      </c>
      <c r="I3" s="3" cm="1">
        <f t="array" ref="I3">_xlfn.LET(_xlpm.t,I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2.1563437499999998E-2</v>
      </c>
      <c r="J3" s="3" cm="1">
        <f t="array" ref="J3">_xlfn.LET(_xlpm.t,J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1.9603124999999999E-2</v>
      </c>
      <c r="K3" s="3" cm="1">
        <f t="array" ref="K3">_xlfn.LET(_xlpm.t,K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1.7642812500000001E-2</v>
      </c>
      <c r="L3" s="3" cm="1">
        <f t="array" ref="L3">_xlfn.LET(_xlpm.t,L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1.5682499999999999E-2</v>
      </c>
      <c r="M3" s="3" cm="1">
        <f t="array" ref="M3">_xlfn.LET(_xlpm.t,M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1.4898374999999998E-2</v>
      </c>
      <c r="N3" s="3" cm="1">
        <f t="array" ref="N3">_xlfn.LET(_xlpm.t,N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1.4114249999999998E-2</v>
      </c>
      <c r="O3" s="3" cm="1">
        <f t="array" ref="O3">_xlfn.LET(_xlpm.t,O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1.3330124999999998E-2</v>
      </c>
      <c r="P3" s="3" cm="1">
        <f t="array" ref="P3">_xlfn.LET(_xlpm.t,P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1.2546E-2</v>
      </c>
      <c r="Q3" s="3" cm="1">
        <f t="array" ref="Q3">_xlfn.LET(_xlpm.t,Q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R3" s="3" cm="1">
        <f t="array" ref="R3">_xlfn.LET(_xlpm.t,R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S3" s="3" cm="1">
        <f t="array" ref="S3">_xlfn.LET(_xlpm.t,S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T3" s="3" cm="1">
        <f t="array" ref="T3">_xlfn.LET(_xlpm.t,T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U3" s="3" cm="1">
        <f t="array" ref="U3">_xlfn.LET(_xlpm.t,U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V3" s="3" cm="1">
        <f t="array" ref="V3">_xlfn.LET(_xlpm.t,V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W3" s="3" cm="1">
        <f t="array" ref="W3">_xlfn.LET(_xlpm.t,W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X3" s="3" cm="1">
        <f t="array" ref="X3">_xlfn.LET(_xlpm.t,X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Y3" s="3" cm="1">
        <f t="array" ref="Y3">_xlfn.LET(_xlpm.t,Y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Z3" s="3" cm="1">
        <f t="array" ref="Z3">_xlfn.LET(_xlpm.t,Z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AA3" s="3" cm="1">
        <f t="array" ref="AA3">_xlfn.LET(_xlpm.t,AA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</row>
    <row r="4" spans="1:27">
      <c r="A4" t="s">
        <v>28</v>
      </c>
      <c r="B4" s="3" cm="1">
        <f t="array" ref="B4">_xlfn.LET(_xlpm.t,B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2.7444374999999997E-2</v>
      </c>
      <c r="C4" s="3" cm="1">
        <f t="array" ref="C4">_xlfn.LET(_xlpm.t,C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3.9206249999999998E-2</v>
      </c>
      <c r="D4" s="3" cm="1">
        <f t="array" ref="D4">_xlfn.LET(_xlpm.t,D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3.72459375E-2</v>
      </c>
      <c r="E4" s="3" cm="1">
        <f t="array" ref="E4">_xlfn.LET(_xlpm.t,E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3.3325312499999989E-2</v>
      </c>
      <c r="F4" s="3" cm="1">
        <f t="array" ref="F4">_xlfn.LET(_xlpm.t,F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2.9404687499999999E-2</v>
      </c>
      <c r="G4" s="3" cm="1">
        <f t="array" ref="G4">_xlfn.LET(_xlpm.t,G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2.5484062499999998E-2</v>
      </c>
      <c r="H4" s="3" cm="1">
        <f t="array" ref="H4">_xlfn.LET(_xlpm.t,H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2.352375E-2</v>
      </c>
      <c r="I4" s="3" cm="1">
        <f t="array" ref="I4">_xlfn.LET(_xlpm.t,I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2.1563437499999998E-2</v>
      </c>
      <c r="J4" s="3" cm="1">
        <f t="array" ref="J4">_xlfn.LET(_xlpm.t,J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1.9603124999999999E-2</v>
      </c>
      <c r="K4" s="3" cm="1">
        <f t="array" ref="K4">_xlfn.LET(_xlpm.t,K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1.7642812500000001E-2</v>
      </c>
      <c r="L4" s="3" cm="1">
        <f t="array" ref="L4">_xlfn.LET(_xlpm.t,L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1.5682499999999999E-2</v>
      </c>
      <c r="M4" s="3" cm="1">
        <f t="array" ref="M4">_xlfn.LET(_xlpm.t,M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1.4898374999999998E-2</v>
      </c>
      <c r="N4" s="3" cm="1">
        <f t="array" ref="N4">_xlfn.LET(_xlpm.t,N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1.4114249999999998E-2</v>
      </c>
      <c r="O4" s="3" cm="1">
        <f t="array" ref="O4">_xlfn.LET(_xlpm.t,O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1.3330124999999998E-2</v>
      </c>
      <c r="P4" s="3" cm="1">
        <f t="array" ref="P4">_xlfn.LET(_xlpm.t,P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1.2546E-2</v>
      </c>
      <c r="Q4" s="3" cm="1">
        <f t="array" ref="Q4">_xlfn.LET(_xlpm.t,Q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R4" s="3" cm="1">
        <f t="array" ref="R4">_xlfn.LET(_xlpm.t,R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S4" s="3" cm="1">
        <f t="array" ref="S4">_xlfn.LET(_xlpm.t,S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T4" s="3" cm="1">
        <f t="array" ref="T4">_xlfn.LET(_xlpm.t,T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U4" s="3" cm="1">
        <f t="array" ref="U4">_xlfn.LET(_xlpm.t,U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V4" s="3" cm="1">
        <f t="array" ref="V4">_xlfn.LET(_xlpm.t,V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W4" s="3" cm="1">
        <f t="array" ref="W4">_xlfn.LET(_xlpm.t,W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X4" s="3" cm="1">
        <f t="array" ref="X4">_xlfn.LET(_xlpm.t,X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Y4" s="3" cm="1">
        <f t="array" ref="Y4">_xlfn.LET(_xlpm.t,Y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Z4" s="3" cm="1">
        <f t="array" ref="Z4">_xlfn.LET(_xlpm.t,Z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AA4" s="3" cm="1">
        <f t="array" ref="AA4">_xlfn.LET(_xlpm.t,AA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</row>
    <row r="5" spans="1:27">
      <c r="A5" t="s">
        <v>29</v>
      </c>
      <c r="B5" s="3" cm="1">
        <f t="array" ref="B5">_xlfn.LET(_xlpm.t,B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2.7444374999999997E-2</v>
      </c>
      <c r="C5" s="3" cm="1">
        <f t="array" ref="C5">_xlfn.LET(_xlpm.t,C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3.9206249999999998E-2</v>
      </c>
      <c r="D5" s="3" cm="1">
        <f t="array" ref="D5">_xlfn.LET(_xlpm.t,D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3.72459375E-2</v>
      </c>
      <c r="E5" s="3" cm="1">
        <f t="array" ref="E5">_xlfn.LET(_xlpm.t,E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3.3325312499999989E-2</v>
      </c>
      <c r="F5" s="3" cm="1">
        <f t="array" ref="F5">_xlfn.LET(_xlpm.t,F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2.9404687499999999E-2</v>
      </c>
      <c r="G5" s="3" cm="1">
        <f t="array" ref="G5">_xlfn.LET(_xlpm.t,G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2.5484062499999998E-2</v>
      </c>
      <c r="H5" s="3" cm="1">
        <f t="array" ref="H5">_xlfn.LET(_xlpm.t,H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2.352375E-2</v>
      </c>
      <c r="I5" s="3" cm="1">
        <f t="array" ref="I5">_xlfn.LET(_xlpm.t,I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2.1563437499999998E-2</v>
      </c>
      <c r="J5" s="3" cm="1">
        <f t="array" ref="J5">_xlfn.LET(_xlpm.t,J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1.9603124999999999E-2</v>
      </c>
      <c r="K5" s="3" cm="1">
        <f t="array" ref="K5">_xlfn.LET(_xlpm.t,K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1.7642812500000001E-2</v>
      </c>
      <c r="L5" s="3" cm="1">
        <f t="array" ref="L5">_xlfn.LET(_xlpm.t,L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1.5682499999999999E-2</v>
      </c>
      <c r="M5" s="3" cm="1">
        <f t="array" ref="M5">_xlfn.LET(_xlpm.t,M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1.4898374999999998E-2</v>
      </c>
      <c r="N5" s="3" cm="1">
        <f t="array" ref="N5">_xlfn.LET(_xlpm.t,N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1.4114249999999998E-2</v>
      </c>
      <c r="O5" s="3" cm="1">
        <f t="array" ref="O5">_xlfn.LET(_xlpm.t,O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1.3330124999999998E-2</v>
      </c>
      <c r="P5" s="3" cm="1">
        <f t="array" ref="P5">_xlfn.LET(_xlpm.t,P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1.2546E-2</v>
      </c>
      <c r="Q5" s="3" cm="1">
        <f t="array" ref="Q5">_xlfn.LET(_xlpm.t,Q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R5" s="3" cm="1">
        <f t="array" ref="R5">_xlfn.LET(_xlpm.t,R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S5" s="3" cm="1">
        <f t="array" ref="S5">_xlfn.LET(_xlpm.t,S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T5" s="3" cm="1">
        <f t="array" ref="T5">_xlfn.LET(_xlpm.t,T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U5" s="3" cm="1">
        <f t="array" ref="U5">_xlfn.LET(_xlpm.t,U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V5" s="3" cm="1">
        <f t="array" ref="V5">_xlfn.LET(_xlpm.t,V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W5" s="3" cm="1">
        <f t="array" ref="W5">_xlfn.LET(_xlpm.t,W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X5" s="3" cm="1">
        <f t="array" ref="X5">_xlfn.LET(_xlpm.t,X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Y5" s="3" cm="1">
        <f t="array" ref="Y5">_xlfn.LET(_xlpm.t,Y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Z5" s="3" cm="1">
        <f t="array" ref="Z5">_xlfn.LET(_xlpm.t,Z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AA5" s="3" cm="1">
        <f t="array" ref="AA5">_xlfn.LET(_xlpm.t,AA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</row>
    <row r="6" spans="1:27">
      <c r="A6" t="s">
        <v>30</v>
      </c>
      <c r="B6" s="3" cm="1">
        <f t="array" ref="B6">_xlfn.LET(_xlpm.t,B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2.7444374999999997E-2</v>
      </c>
      <c r="C6" s="3" cm="1">
        <f t="array" ref="C6">_xlfn.LET(_xlpm.t,C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3.9206249999999998E-2</v>
      </c>
      <c r="D6" s="3" cm="1">
        <f t="array" ref="D6">_xlfn.LET(_xlpm.t,D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3.72459375E-2</v>
      </c>
      <c r="E6" s="3" cm="1">
        <f t="array" ref="E6">_xlfn.LET(_xlpm.t,E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3.3325312499999989E-2</v>
      </c>
      <c r="F6" s="3" cm="1">
        <f t="array" ref="F6">_xlfn.LET(_xlpm.t,F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2.9404687499999999E-2</v>
      </c>
      <c r="G6" s="3" cm="1">
        <f t="array" ref="G6">_xlfn.LET(_xlpm.t,G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2.5484062499999998E-2</v>
      </c>
      <c r="H6" s="3" cm="1">
        <f t="array" ref="H6">_xlfn.LET(_xlpm.t,H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2.352375E-2</v>
      </c>
      <c r="I6" s="3" cm="1">
        <f t="array" ref="I6">_xlfn.LET(_xlpm.t,I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2.1563437499999998E-2</v>
      </c>
      <c r="J6" s="3" cm="1">
        <f t="array" ref="J6">_xlfn.LET(_xlpm.t,J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1.9603124999999999E-2</v>
      </c>
      <c r="K6" s="3" cm="1">
        <f t="array" ref="K6">_xlfn.LET(_xlpm.t,K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1.7642812500000001E-2</v>
      </c>
      <c r="L6" s="3" cm="1">
        <f t="array" ref="L6">_xlfn.LET(_xlpm.t,L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1.5682499999999999E-2</v>
      </c>
      <c r="M6" s="3" cm="1">
        <f t="array" ref="M6">_xlfn.LET(_xlpm.t,M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1.4898374999999998E-2</v>
      </c>
      <c r="N6" s="3" cm="1">
        <f t="array" ref="N6">_xlfn.LET(_xlpm.t,N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1.4114249999999998E-2</v>
      </c>
      <c r="O6" s="3" cm="1">
        <f t="array" ref="O6">_xlfn.LET(_xlpm.t,O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1.3330124999999998E-2</v>
      </c>
      <c r="P6" s="3" cm="1">
        <f t="array" ref="P6">_xlfn.LET(_xlpm.t,P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1.2546E-2</v>
      </c>
      <c r="Q6" s="3" cm="1">
        <f t="array" ref="Q6">_xlfn.LET(_xlpm.t,Q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R6" s="3" cm="1">
        <f t="array" ref="R6">_xlfn.LET(_xlpm.t,R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S6" s="3" cm="1">
        <f t="array" ref="S6">_xlfn.LET(_xlpm.t,S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T6" s="3" cm="1">
        <f t="array" ref="T6">_xlfn.LET(_xlpm.t,T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U6" s="3" cm="1">
        <f t="array" ref="U6">_xlfn.LET(_xlpm.t,U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V6" s="3" cm="1">
        <f t="array" ref="V6">_xlfn.LET(_xlpm.t,V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W6" s="3" cm="1">
        <f t="array" ref="W6">_xlfn.LET(_xlpm.t,W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X6" s="3" cm="1">
        <f t="array" ref="X6">_xlfn.LET(_xlpm.t,X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Y6" s="3" cm="1">
        <f t="array" ref="Y6">_xlfn.LET(_xlpm.t,Y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Z6" s="3" cm="1">
        <f t="array" ref="Z6">_xlfn.LET(_xlpm.t,Z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AA6" s="3" cm="1">
        <f t="array" ref="AA6">_xlfn.LET(_xlpm.t,AA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</row>
    <row r="7" spans="1:27">
      <c r="A7" t="s">
        <v>31</v>
      </c>
      <c r="B7" s="3" cm="1">
        <f t="array" ref="B7">_xlfn.LET(_xlpm.t,B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2.7444374999999997E-2</v>
      </c>
      <c r="C7" s="3" cm="1">
        <f t="array" ref="C7">_xlfn.LET(_xlpm.t,C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3.9206249999999998E-2</v>
      </c>
      <c r="D7" s="3" cm="1">
        <f t="array" ref="D7">_xlfn.LET(_xlpm.t,D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3.72459375E-2</v>
      </c>
      <c r="E7" s="3" cm="1">
        <f t="array" ref="E7">_xlfn.LET(_xlpm.t,E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3.3325312499999989E-2</v>
      </c>
      <c r="F7" s="3" cm="1">
        <f t="array" ref="F7">_xlfn.LET(_xlpm.t,F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2.9404687499999999E-2</v>
      </c>
      <c r="G7" s="3" cm="1">
        <f t="array" ref="G7">_xlfn.LET(_xlpm.t,G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2.5484062499999998E-2</v>
      </c>
      <c r="H7" s="3" cm="1">
        <f t="array" ref="H7">_xlfn.LET(_xlpm.t,H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2.352375E-2</v>
      </c>
      <c r="I7" s="3" cm="1">
        <f t="array" ref="I7">_xlfn.LET(_xlpm.t,I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2.1563437499999998E-2</v>
      </c>
      <c r="J7" s="3" cm="1">
        <f t="array" ref="J7">_xlfn.LET(_xlpm.t,J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1.9603124999999999E-2</v>
      </c>
      <c r="K7" s="3" cm="1">
        <f t="array" ref="K7">_xlfn.LET(_xlpm.t,K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1.7642812500000001E-2</v>
      </c>
      <c r="L7" s="3" cm="1">
        <f t="array" ref="L7">_xlfn.LET(_xlpm.t,L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1.5682499999999999E-2</v>
      </c>
      <c r="M7" s="3" cm="1">
        <f t="array" ref="M7">_xlfn.LET(_xlpm.t,M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1.4898374999999998E-2</v>
      </c>
      <c r="N7" s="3" cm="1">
        <f t="array" ref="N7">_xlfn.LET(_xlpm.t,N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1.4114249999999998E-2</v>
      </c>
      <c r="O7" s="3" cm="1">
        <f t="array" ref="O7">_xlfn.LET(_xlpm.t,O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1.3330124999999998E-2</v>
      </c>
      <c r="P7" s="3" cm="1">
        <f t="array" ref="P7">_xlfn.LET(_xlpm.t,P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1.2546E-2</v>
      </c>
      <c r="Q7" s="3" cm="1">
        <f t="array" ref="Q7">_xlfn.LET(_xlpm.t,Q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R7" s="3" cm="1">
        <f t="array" ref="R7">_xlfn.LET(_xlpm.t,R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S7" s="3" cm="1">
        <f t="array" ref="S7">_xlfn.LET(_xlpm.t,S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T7" s="3" cm="1">
        <f t="array" ref="T7">_xlfn.LET(_xlpm.t,T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U7" s="3" cm="1">
        <f t="array" ref="U7">_xlfn.LET(_xlpm.t,U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V7" s="3" cm="1">
        <f t="array" ref="V7">_xlfn.LET(_xlpm.t,V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W7" s="3" cm="1">
        <f t="array" ref="W7">_xlfn.LET(_xlpm.t,W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X7" s="3" cm="1">
        <f t="array" ref="X7">_xlfn.LET(_xlpm.t,X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Y7" s="3" cm="1">
        <f t="array" ref="Y7">_xlfn.LET(_xlpm.t,Y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Z7" s="3" cm="1">
        <f t="array" ref="Z7">_xlfn.LET(_xlpm.t,Z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AA7" s="3" cm="1">
        <f t="array" ref="AA7">_xlfn.LET(_xlpm.t,AA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</row>
    <row r="8" spans="1:27">
      <c r="A8" t="s">
        <v>32</v>
      </c>
      <c r="B8" s="3" cm="1">
        <f t="array" ref="B8">_xlfn.LET(_xlpm.t,B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2.7444374999999997E-2</v>
      </c>
      <c r="C8" s="3" cm="1">
        <f t="array" ref="C8">_xlfn.LET(_xlpm.t,C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3.9206249999999998E-2</v>
      </c>
      <c r="D8" s="3" cm="1">
        <f t="array" ref="D8">_xlfn.LET(_xlpm.t,D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3.72459375E-2</v>
      </c>
      <c r="E8" s="3" cm="1">
        <f t="array" ref="E8">_xlfn.LET(_xlpm.t,E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3.3325312499999989E-2</v>
      </c>
      <c r="F8" s="3" cm="1">
        <f t="array" ref="F8">_xlfn.LET(_xlpm.t,F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2.9404687499999999E-2</v>
      </c>
      <c r="G8" s="3" cm="1">
        <f t="array" ref="G8">_xlfn.LET(_xlpm.t,G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2.5484062499999998E-2</v>
      </c>
      <c r="H8" s="3" cm="1">
        <f t="array" ref="H8">_xlfn.LET(_xlpm.t,H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2.352375E-2</v>
      </c>
      <c r="I8" s="3" cm="1">
        <f t="array" ref="I8">_xlfn.LET(_xlpm.t,I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2.1563437499999998E-2</v>
      </c>
      <c r="J8" s="3" cm="1">
        <f t="array" ref="J8">_xlfn.LET(_xlpm.t,J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1.9603124999999999E-2</v>
      </c>
      <c r="K8" s="3" cm="1">
        <f t="array" ref="K8">_xlfn.LET(_xlpm.t,K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1.7642812500000001E-2</v>
      </c>
      <c r="L8" s="3" cm="1">
        <f t="array" ref="L8">_xlfn.LET(_xlpm.t,L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1.5682499999999999E-2</v>
      </c>
      <c r="M8" s="3" cm="1">
        <f t="array" ref="M8">_xlfn.LET(_xlpm.t,M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1.4898374999999998E-2</v>
      </c>
      <c r="N8" s="3" cm="1">
        <f t="array" ref="N8">_xlfn.LET(_xlpm.t,N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1.4114249999999998E-2</v>
      </c>
      <c r="O8" s="3" cm="1">
        <f t="array" ref="O8">_xlfn.LET(_xlpm.t,O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1.3330124999999998E-2</v>
      </c>
      <c r="P8" s="3" cm="1">
        <f t="array" ref="P8">_xlfn.LET(_xlpm.t,P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1.2546E-2</v>
      </c>
      <c r="Q8" s="3" cm="1">
        <f t="array" ref="Q8">_xlfn.LET(_xlpm.t,Q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R8" s="3" cm="1">
        <f t="array" ref="R8">_xlfn.LET(_xlpm.t,R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S8" s="3" cm="1">
        <f t="array" ref="S8">_xlfn.LET(_xlpm.t,S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T8" s="3" cm="1">
        <f t="array" ref="T8">_xlfn.LET(_xlpm.t,T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U8" s="3" cm="1">
        <f t="array" ref="U8">_xlfn.LET(_xlpm.t,U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V8" s="3" cm="1">
        <f t="array" ref="V8">_xlfn.LET(_xlpm.t,V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W8" s="3" cm="1">
        <f t="array" ref="W8">_xlfn.LET(_xlpm.t,W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X8" s="3" cm="1">
        <f t="array" ref="X8">_xlfn.LET(_xlpm.t,X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Y8" s="3" cm="1">
        <f t="array" ref="Y8">_xlfn.LET(_xlpm.t,Y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Z8" s="3" cm="1">
        <f t="array" ref="Z8">_xlfn.LET(_xlpm.t,Z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  <c r="AA8" s="3" cm="1">
        <f t="array" ref="AA8">_xlfn.LET(_xlpm.t,AA$1,_xlpm.yrs,'Calc-Vehicle-NonBattery'!$B$19:$J$19,_xlpm.vals,'Calc-Vehicle-NonBattery'!$B$24:$J$24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1.1761875E-2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3529-4612-4B0F-A7FC-707B3FC36727}">
  <dimension ref="A1:AA2"/>
  <sheetViews>
    <sheetView workbookViewId="0">
      <selection activeCell="R24" sqref="R24"/>
    </sheetView>
  </sheetViews>
  <sheetFormatPr defaultRowHeight="15"/>
  <cols>
    <col min="1" max="1" width="26.7109375" customWidth="1"/>
    <col min="2" max="2" width="24.710937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182</v>
      </c>
      <c r="B2" s="3" cm="1">
        <f t="array" ref="B2">_xlfn.LET(_xlpm.t,B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0.13314000000000001</v>
      </c>
      <c r="C2" s="3" cm="1">
        <f t="array" ref="C2">_xlfn.LET(_xlpm.t,C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0.19020000000000001</v>
      </c>
      <c r="D2" s="3" cm="1">
        <f t="array" ref="D2">_xlfn.LET(_xlpm.t,D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0.19020000000000001</v>
      </c>
      <c r="E2" s="3" cm="1">
        <f t="array" ref="E2">_xlfn.LET(_xlpm.t,E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0.19020000000000001</v>
      </c>
      <c r="F2" s="3" cm="1">
        <f t="array" ref="F2">_xlfn.LET(_xlpm.t,F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0.17498400000000003</v>
      </c>
      <c r="G2" s="3" cm="1">
        <f t="array" ref="G2">_xlfn.LET(_xlpm.t,G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0.15786600000000001</v>
      </c>
      <c r="H2" s="3" cm="1">
        <f t="array" ref="H2">_xlfn.LET(_xlpm.t,H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0.14531280000000002</v>
      </c>
      <c r="I2" s="3" cm="1">
        <f t="array" ref="I2">_xlfn.LET(_xlpm.t,I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0.13275960000000001</v>
      </c>
      <c r="J2" s="3" cm="1">
        <f t="array" ref="J2">_xlfn.LET(_xlpm.t,J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0.1202064</v>
      </c>
      <c r="K2" s="3" cm="1">
        <f t="array" ref="K2">_xlfn.LET(_xlpm.t,K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0.1076532</v>
      </c>
      <c r="L2" s="3" cm="1">
        <f t="array" ref="L2">_xlfn.LET(_xlpm.t,L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9.5100000000000004E-2</v>
      </c>
      <c r="M2" s="3" cm="1">
        <f t="array" ref="M2">_xlfn.LET(_xlpm.t,M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8.8633200000000009E-2</v>
      </c>
      <c r="N2" s="3" cm="1">
        <f t="array" ref="N2">_xlfn.LET(_xlpm.t,N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8.2166400000000001E-2</v>
      </c>
      <c r="O2" s="3" cm="1">
        <f t="array" ref="O2">_xlfn.LET(_xlpm.t,O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7.5699600000000006E-2</v>
      </c>
      <c r="P2" s="3" cm="1">
        <f t="array" ref="P2">_xlfn.LET(_xlpm.t,P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6.9232800000000011E-2</v>
      </c>
      <c r="Q2" s="3" cm="1">
        <f t="array" ref="Q2">_xlfn.LET(_xlpm.t,Q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R2" s="3" cm="1">
        <f t="array" ref="R2">_xlfn.LET(_xlpm.t,R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S2" s="3" cm="1">
        <f t="array" ref="S2">_xlfn.LET(_xlpm.t,S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T2" s="3" cm="1">
        <f t="array" ref="T2">_xlfn.LET(_xlpm.t,T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U2" s="3" cm="1">
        <f t="array" ref="U2">_xlfn.LET(_xlpm.t,U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V2" s="3" cm="1">
        <f t="array" ref="V2">_xlfn.LET(_xlpm.t,V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W2" s="3" cm="1">
        <f t="array" ref="W2">_xlfn.LET(_xlpm.t,W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X2" s="3" cm="1">
        <f t="array" ref="X2">_xlfn.LET(_xlpm.t,X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Y2" s="3" cm="1">
        <f t="array" ref="Y2">_xlfn.LET(_xlpm.t,Y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Z2" s="3" cm="1">
        <f t="array" ref="Z2">_xlfn.LET(_xlpm.t,Z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AA2" s="3" cm="1">
        <f t="array" ref="AA2">_xlfn.LET(_xlpm.t,AA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2EC1-997D-4167-BDA9-93C1868898B2}">
  <dimension ref="A1:AA2"/>
  <sheetViews>
    <sheetView workbookViewId="0"/>
  </sheetViews>
  <sheetFormatPr defaultRowHeight="15"/>
  <cols>
    <col min="1" max="1" width="26.7109375" customWidth="1"/>
    <col min="2" max="2" width="24.7109375" customWidth="1"/>
  </cols>
  <sheetData>
    <row r="1" spans="1:27">
      <c r="A1" s="6" t="s">
        <v>181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  <c r="M1" s="6">
        <v>2036</v>
      </c>
      <c r="N1" s="6">
        <v>2037</v>
      </c>
      <c r="O1" s="6">
        <v>2038</v>
      </c>
      <c r="P1" s="6">
        <v>2039</v>
      </c>
      <c r="Q1" s="6">
        <v>2040</v>
      </c>
      <c r="R1" s="6">
        <v>2041</v>
      </c>
      <c r="S1" s="6">
        <v>2042</v>
      </c>
      <c r="T1" s="6">
        <v>2043</v>
      </c>
      <c r="U1" s="6">
        <v>2044</v>
      </c>
      <c r="V1" s="6">
        <v>2045</v>
      </c>
      <c r="W1" s="6">
        <v>2046</v>
      </c>
      <c r="X1" s="6">
        <v>2047</v>
      </c>
      <c r="Y1" s="6">
        <v>2048</v>
      </c>
      <c r="Z1" s="6">
        <v>2049</v>
      </c>
      <c r="AA1" s="6">
        <v>2050</v>
      </c>
    </row>
    <row r="2" spans="1:27">
      <c r="A2" t="s">
        <v>182</v>
      </c>
      <c r="B2" s="3" cm="1">
        <f t="array" ref="B2">_xlfn.LET(_xlpm.t,B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0.13314000000000001</v>
      </c>
      <c r="C2" s="3" cm="1">
        <f t="array" ref="C2">_xlfn.LET(_xlpm.t,C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0.19020000000000001</v>
      </c>
      <c r="D2" s="3" cm="1">
        <f t="array" ref="D2">_xlfn.LET(_xlpm.t,D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0.19020000000000001</v>
      </c>
      <c r="E2" s="3" cm="1">
        <f t="array" ref="E2">_xlfn.LET(_xlpm.t,E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0.19020000000000001</v>
      </c>
      <c r="F2" s="3" cm="1">
        <f t="array" ref="F2">_xlfn.LET(_xlpm.t,F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0.17498400000000003</v>
      </c>
      <c r="G2" s="3" cm="1">
        <f t="array" ref="G2">_xlfn.LET(_xlpm.t,G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0.15786600000000001</v>
      </c>
      <c r="H2" s="3" cm="1">
        <f t="array" ref="H2">_xlfn.LET(_xlpm.t,H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0.14531280000000002</v>
      </c>
      <c r="I2" s="3" cm="1">
        <f t="array" ref="I2">_xlfn.LET(_xlpm.t,I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0.13275960000000001</v>
      </c>
      <c r="J2" s="3" cm="1">
        <f t="array" ref="J2">_xlfn.LET(_xlpm.t,J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0.1202064</v>
      </c>
      <c r="K2" s="3" cm="1">
        <f t="array" ref="K2">_xlfn.LET(_xlpm.t,K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0.1076532</v>
      </c>
      <c r="L2" s="3" cm="1">
        <f t="array" ref="L2">_xlfn.LET(_xlpm.t,L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9.5100000000000004E-2</v>
      </c>
      <c r="M2" s="3" cm="1">
        <f t="array" ref="M2">_xlfn.LET(_xlpm.t,M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8.8633200000000009E-2</v>
      </c>
      <c r="N2" s="3" cm="1">
        <f t="array" ref="N2">_xlfn.LET(_xlpm.t,N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8.2166400000000001E-2</v>
      </c>
      <c r="O2" s="3" cm="1">
        <f t="array" ref="O2">_xlfn.LET(_xlpm.t,O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7.5699600000000006E-2</v>
      </c>
      <c r="P2" s="3" cm="1">
        <f t="array" ref="P2">_xlfn.LET(_xlpm.t,P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6.9232800000000011E-2</v>
      </c>
      <c r="Q2" s="3" cm="1">
        <f t="array" ref="Q2">_xlfn.LET(_xlpm.t,Q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R2" s="3" cm="1">
        <f t="array" ref="R2">_xlfn.LET(_xlpm.t,R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S2" s="3" cm="1">
        <f t="array" ref="S2">_xlfn.LET(_xlpm.t,S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T2" s="3" cm="1">
        <f t="array" ref="T2">_xlfn.LET(_xlpm.t,T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U2" s="3" cm="1">
        <f t="array" ref="U2">_xlfn.LET(_xlpm.t,U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V2" s="3" cm="1">
        <f t="array" ref="V2">_xlfn.LET(_xlpm.t,V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W2" s="3" cm="1">
        <f t="array" ref="W2">_xlfn.LET(_xlpm.t,W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X2" s="3" cm="1">
        <f t="array" ref="X2">_xlfn.LET(_xlpm.t,X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Y2" s="3" cm="1">
        <f t="array" ref="Y2">_xlfn.LET(_xlpm.t,Y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Z2" s="3" cm="1">
        <f t="array" ref="Z2">_xlfn.LET(_xlpm.t,Z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  <c r="AA2" s="3" cm="1">
        <f t="array" ref="AA2">_xlfn.LET(_xlpm.t,AA$1,_xlpm.yrs,'Calc-T-and-D'!$B$21:$J$21,_xlpm.vals,'Calc-T-and-D'!$B$23:$J$23,_xlpm.lo,MATCH(_xlpm.t,_xlpm.yrs,1),_xlpm.hi,MIN(_xlpm.lo+1,COLUMNS(_xlpm.yrs)),_xlpm.loYr,INDEX(_xlpm.yrs,1,_xlpm.lo),_xlpm.hiYr,INDEX(_xlpm.yrs,1,_xlpm.hi),_xlpm.loV,INDEX(_xlpm.vals,1,_xlpm.lo),_xlpm.hiV,INDEX(_xlpm.vals,1,_xlpm.hi),IF(_xlpm.loYr=_xlpm.hiYr,_xlpm.loV,_xlpm.loV+(_xlpm.t-_xlpm.loYr)*(_xlpm.hiV-_xlpm.loV)/(_xlpm.hiYr-_xlpm.loYr)))</f>
        <v>6.2766000000000002E-2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Calc-Solar-PV</vt:lpstr>
      <vt:lpstr>Calc-Solar-Thermal</vt:lpstr>
      <vt:lpstr>Calc-Wind-Onshore</vt:lpstr>
      <vt:lpstr>Calc-Wind-Offshore</vt:lpstr>
      <vt:lpstr>Calc-Battery</vt:lpstr>
      <vt:lpstr>Calc-T-and-D</vt:lpstr>
      <vt:lpstr>Calc-Vehicle-NonBattery</vt:lpstr>
      <vt:lpstr>BTCM-EC</vt:lpstr>
      <vt:lpstr>BTCM-GB</vt:lpstr>
      <vt:lpstr>BTCM-EVB-LDVs-psgr</vt:lpstr>
      <vt:lpstr>BTCM-EVB-LDVs-frgt</vt:lpstr>
      <vt:lpstr>BTCM-EVB-HDVs-psgr</vt:lpstr>
      <vt:lpstr>BTCM-EVB-HDVs-frgt</vt:lpstr>
      <vt:lpstr>BTCM-VNB-LDVs-psgr</vt:lpstr>
      <vt:lpstr>BTCM-VNB-LDVs-frgt</vt:lpstr>
      <vt:lpstr>BTCM-VNB-HDVs-psgr</vt:lpstr>
      <vt:lpstr>BTCM-VNB-HDVs-frgt</vt:lpstr>
      <vt:lpstr>BTCM-T</vt:lpstr>
      <vt:lpstr>BTCM-D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2014-02-14T06:19:38Z</dcterms:created>
  <dcterms:modified xsi:type="dcterms:W3CDTF">2026-05-19T17:57:58Z</dcterms:modified>
</cp:coreProperties>
</file>