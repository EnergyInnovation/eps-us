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elec\BPHC\"/>
    </mc:Choice>
  </mc:AlternateContent>
  <xr:revisionPtr revIDLastSave="0" documentId="13_ncr:1_{47BFB341-3FCD-4887-9A1E-B86F694A35D6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About" sheetId="1" r:id="rId1"/>
    <sheet name="AEO 2026 Table 9" sheetId="7" r:id="rId2"/>
    <sheet name="BPHC" sheetId="6" r:id="rId3"/>
  </sheets>
  <definedNames>
    <definedName name="gigawatts_to_megawatts">About!$A$46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6" l="1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</calcChain>
</file>

<file path=xl/sharedStrings.xml><?xml version="1.0" encoding="utf-8"?>
<sst xmlns="http://schemas.openxmlformats.org/spreadsheetml/2006/main" count="349" uniqueCount="206">
  <si>
    <t>BPHC BAU Pumped Hydro Capacity</t>
  </si>
  <si>
    <t>BPHC Pumped Hydro Charging and Discharging Hours per Day</t>
  </si>
  <si>
    <t>Source:</t>
  </si>
  <si>
    <t>Pumped Hydro Capacity</t>
  </si>
  <si>
    <t>U.S. Energy Information Administration</t>
  </si>
  <si>
    <t>https://www.eia.gov/outlooks/aeo/tables_side_xls.php</t>
  </si>
  <si>
    <t>Hours per Day Charging and Discharging</t>
  </si>
  <si>
    <t>Several sources provide similar values:</t>
  </si>
  <si>
    <t>Braun and Hoffmann</t>
  </si>
  <si>
    <t>Intraday Optimization of Pumped Hydro Power Plants in the German Electricity Market</t>
  </si>
  <si>
    <t>https://pdf.sciencedirectassets.com/277910/1-s2.0-S1876610216X00033/1-s2.0-S1876610215030453/main.pdf</t>
  </si>
  <si>
    <t>7-9 hours: Page 2, last paragraph</t>
  </si>
  <si>
    <t>National Hydropower Association</t>
  </si>
  <si>
    <t>2021 Pumped Storage Report</t>
  </si>
  <si>
    <t>https://www.hydro.org/wp-content/uploads/2021/09/2021-Pumped-Storage-Report-NHA.pdf</t>
  </si>
  <si>
    <t>8 hours: Page 30, column 2, first paragraph</t>
  </si>
  <si>
    <t>6 hours: Page 9, figure 3</t>
  </si>
  <si>
    <t>Notes:</t>
  </si>
  <si>
    <t>"Pumped Hydro Charging and Discharging Hours per Day" refers to the number of hours per day,</t>
  </si>
  <si>
    <t>typically, a pumped hydro plant my charge (by pumping water) or discharge (by releasing water)</t>
  </si>
  <si>
    <t>at its full capacity (rated in MW).  For example, if a pumped hydro plant can charge and discharge</t>
  </si>
  <si>
    <t>for 8 hours per day, it does so at its full MW rating in all 16 of those hours.  It does not divide up its</t>
  </si>
  <si>
    <t>megawatts among those hours.  Keep this in mind when specifying pumped hydro MW capacities</t>
  </si>
  <si>
    <t>in this variable.  (Essentially, this assumes that within a given day, pumped hydro is limited by</t>
  </si>
  <si>
    <t>its maximum possible pumping or generating rate, not by the quantity of water in its upper or lower reservoir.)</t>
  </si>
  <si>
    <t>In the real world, pumped hydro plants may chage for slightly more hours and at a</t>
  </si>
  <si>
    <t>slightly lower MW rating than they discharge, but we simplify this to represent it as the same number</t>
  </si>
  <si>
    <t>of hours charging and discharging and the same MW rating when charging and discharging.</t>
  </si>
  <si>
    <t>Unit Conversion</t>
  </si>
  <si>
    <t>gigawatts to megawatts</t>
  </si>
  <si>
    <t>Total Electric Power Sector Capacity</t>
  </si>
  <si>
    <t>- -</t>
  </si>
  <si>
    <t>Table 9.  Electricity Generating Capacity</t>
  </si>
  <si>
    <t>Source: U.S. Energy Information Administration</t>
  </si>
  <si>
    <t>full name</t>
  </si>
  <si>
    <t>api key</t>
  </si>
  <si>
    <t>units</t>
  </si>
  <si>
    <t>Electric Power Sector</t>
  </si>
  <si>
    <t>Power Only</t>
  </si>
  <si>
    <t>Coal</t>
  </si>
  <si>
    <t>GW</t>
  </si>
  <si>
    <t>Fossil Steam</t>
  </si>
  <si>
    <t>Combined Cycle</t>
  </si>
  <si>
    <t>Combustion Turbine/Diesel</t>
  </si>
  <si>
    <t>Nuclear Power</t>
  </si>
  <si>
    <t>Pumped Storage</t>
  </si>
  <si>
    <t>Diurnal Storage</t>
  </si>
  <si>
    <t>Hydrogen</t>
  </si>
  <si>
    <t>Fuel Cells</t>
  </si>
  <si>
    <t>Renewable Sources</t>
  </si>
  <si>
    <t>Total</t>
  </si>
  <si>
    <t>Combined Heat and Power</t>
  </si>
  <si>
    <t>Cumulative Planned Additions</t>
  </si>
  <si>
    <t>Cumulative Unplanned Additions</t>
  </si>
  <si>
    <t>Cumulative Electric Power Sector Additions</t>
  </si>
  <si>
    <t>Cumulative Retirements</t>
  </si>
  <si>
    <t>End-Use Generators</t>
  </si>
  <si>
    <t>Petroleum</t>
  </si>
  <si>
    <t>Natural Gas</t>
  </si>
  <si>
    <t>Other Gaseous Fuels</t>
  </si>
  <si>
    <t>Other</t>
  </si>
  <si>
    <t>Cumulative Capacity Additions</t>
  </si>
  <si>
    <t>Year</t>
  </si>
  <si>
    <t>Pumped Storage Capacity (MW)</t>
  </si>
  <si>
    <t>https://www.eia.gov/outlooks/aeo/data/browser/#/?id=9-AEO2026&amp;cases=electrnp&amp;sourcekey=0</t>
  </si>
  <si>
    <t>Thu Apr 23 2026 14:58:20 GMT-0700 (Pacific Daylight Time)</t>
  </si>
  <si>
    <t>Growth (2025-2050)</t>
  </si>
  <si>
    <t>Electricity Capacity: Electric Power Sector: Power Only: Coal: Alternative Electricity and Transportation</t>
  </si>
  <si>
    <t>AEO.2026.ELECTRNP.CAP_NA_ELEP_POW_CL_NA_USA_GW.A</t>
  </si>
  <si>
    <t>-3.2%</t>
  </si>
  <si>
    <t>Electricity Capacity: Electric Power Sector: Power Only: Fossil Steam: Alternative Electricity and Transportation</t>
  </si>
  <si>
    <t>AEO.2026.ELECTRNP.CAP_NA_ELEP_POW_ONG_NA_USA_GW.A</t>
  </si>
  <si>
    <t>-0.6%</t>
  </si>
  <si>
    <t>Electricity Capacity: Electric Power Sector: Power Only: Combined Cycle: Alternative Electricity and Transportation</t>
  </si>
  <si>
    <t>AEO.2026.ELECTRNP.CAP_NA_ELEP_POW_CMC_NA_USA_GW.A</t>
  </si>
  <si>
    <t>2.3%</t>
  </si>
  <si>
    <t>Electricity Capacity: Electric Power Sector: Power Only: Combustion Turbine/Diesel: Alternative Electricity and Transportation</t>
  </si>
  <si>
    <t>AEO.2026.ELECTRNP.CAP_NA_ELEP_POW_CTD_NA_USA_GW.A</t>
  </si>
  <si>
    <t>1.6%</t>
  </si>
  <si>
    <t>Electricity Capacity: Electric Power Sector: Power Only: Nuclear: Alternative Electricity and Transportation</t>
  </si>
  <si>
    <t>AEO.2026.ELECTRNP.CAP_NA_ELEP_POW_NUP_NA_USA_GW.A</t>
  </si>
  <si>
    <t>0.1%</t>
  </si>
  <si>
    <t>Electricity Capacity: Electric Power Sector: Power Only: Pumped Storage: Alternative Electricity and Transportation</t>
  </si>
  <si>
    <t>AEO.2026.ELECTRNP.CAP_NA_ELEP_POW_PPS_NA_USA_GW.A</t>
  </si>
  <si>
    <t>0.0%</t>
  </si>
  <si>
    <t>Electricity Capacity: Electric Power Sector: Power Only: Diurnal Storage: Alternative Electricity and Transportation</t>
  </si>
  <si>
    <t>AEO.2026.ELECTRNP.CAP_NA_ELEP_POW_DIURN_NA_USA_GW.A</t>
  </si>
  <si>
    <t>3.0%</t>
  </si>
  <si>
    <t>Electricity Capacity: Electric Power Sector: Power Only: Hydrogen: Alternative Electricity and Transportation</t>
  </si>
  <si>
    <t>AEO.2026.ELECTRNP.CAP_NA_ELEP_POW_HDG_NA_USA_GW.A</t>
  </si>
  <si>
    <t>Electricity Capacity: Electric Power Sector: Power Only: Fuel Cells: Alternative Electricity and Transportation</t>
  </si>
  <si>
    <t>AEO.2026.ELECTRNP.CAP_NA_ELEP_POW_FCL_NA_USA_GW.A</t>
  </si>
  <si>
    <t>-0.1%</t>
  </si>
  <si>
    <t>Electricity Capacity: Electric Power Sector: Power Only: Renewable Sources: Alternative Electricity and Transportation</t>
  </si>
  <si>
    <t>AEO.2026.ELECTRNP.CAP_NA_ELEP_POW_RNWBSRC_NA_USA_GW.A</t>
  </si>
  <si>
    <t>2.1%</t>
  </si>
  <si>
    <t>Electricity Capacity: Electric Power Sector: Power Only: Total: Alternative Electricity and Transportation</t>
  </si>
  <si>
    <t>AEO.2026.ELECTRNP.CAP_NA_ELEP_POW_TOT_NA_USA_GW.A</t>
  </si>
  <si>
    <t>1.4%</t>
  </si>
  <si>
    <t>Electricity Capacity: Electric Power Sector: Combined Heat and Power: Coal: Alternative Electricity and Transportation</t>
  </si>
  <si>
    <t>AEO.2026.ELECTRNP.CAP_NA_ELEP_CHP_CL_NA_USA_GW.A</t>
  </si>
  <si>
    <t>Electricity Capacity: Electric Power Sector: Combined Heat and Power: Fossil Steam: Alternative Electricity and Transportation</t>
  </si>
  <si>
    <t>AEO.2026.ELECTRNP.CAP_NA_ELEP_CHP_ONG_NA_USA_GW.A</t>
  </si>
  <si>
    <t>Electricity Capacity: Electric Power Sector: Combined Heat and Power: Combined Cycle: Alternative Electricity and Transportation</t>
  </si>
  <si>
    <t>AEO.2026.ELECTRNP.CAP_NA_ELEP_CHP_CMC_NA_USA_GW.A</t>
  </si>
  <si>
    <t>Electricity Capacity: Electric Power Sector: Combined Heat and Power: Combustion Turbine/Diesel: Alternative Electricity and Transportation</t>
  </si>
  <si>
    <t>AEO.2026.ELECTRNP.CAP_NA_ELEP_CHP_CTD_NA_USA_GW.A</t>
  </si>
  <si>
    <t>Electricity Capacity: Electric Power Sector: Combined Heat and Power: Renewable Sources: Alternative Electricity and Transportation</t>
  </si>
  <si>
    <t>AEO.2026.ELECTRNP.CAP_NA_ELEP_CHP_RNWBSRC_NA_USA_GW.A</t>
  </si>
  <si>
    <t>Electricity Capacity: Electric Power Sector: Combined Heat and Power: Total: Alternative Electricity and Transportation</t>
  </si>
  <si>
    <t>AEO.2026.ELECTRNP.CAP_NA_ELEP_CHP_TOT_NA_USA_GW.A</t>
  </si>
  <si>
    <t>-0.0%</t>
  </si>
  <si>
    <t>Electricity Capacity: Cumulative Planned Additions: Coal: Alternative Electricity and Transportation</t>
  </si>
  <si>
    <t>AEO.2026.ELECTRNP.CAP_NA_ELEP_CPA_CL_NA_USA_GW.A</t>
  </si>
  <si>
    <t>Electricity Capacity: Cumulative Planned Additions: Fossil Steam: Alternative Electricity and Transportation</t>
  </si>
  <si>
    <t>AEO.2026.ELECTRNP.CAP_NA_ELEP_CPA_ONG_NA_USA_GW.A</t>
  </si>
  <si>
    <t>Electricity Capacity: Cumulative Planned Additions: Combined Cycle: Alternative Electricity and Transportation</t>
  </si>
  <si>
    <t>AEO.2026.ELECTRNP.CAP_NA_ELEP_CPA_CMC_NA_USA_GW.A</t>
  </si>
  <si>
    <t>Electricity Capacity: Cumulative Planned Additions: Combustion Turbine/Diesel: Alternative Electricity and Transportation</t>
  </si>
  <si>
    <t>AEO.2026.ELECTRNP.CAP_NA_ELEP_CPA_CTD_NA_USA_GW.A</t>
  </si>
  <si>
    <t>Electricity Capacity: Cumulative Planned Additions: Nuclear: Alternative Electricity and Transportation</t>
  </si>
  <si>
    <t>AEO.2026.ELECTRNP.CAP_NA_ELEP_CPA_NUP_NA_USA_GW.A</t>
  </si>
  <si>
    <t>Electricity Capacity: Cumulative Planned Additions: Pumped Storage: Alternative Electricity and Transportation</t>
  </si>
  <si>
    <t>AEO.2026.ELECTRNP.CAP_NA_ELEP_CPA_PPS_NA_USA_GW.A</t>
  </si>
  <si>
    <t>Electricity Capacity: Cumulative Planned Additions: Diurnal Storage: Alternative Electricity and Transportation</t>
  </si>
  <si>
    <t>AEO.2026.ELECTRNP.CAP_NA_ELEP_CPA_DIURN_NA_USA_GW.A</t>
  </si>
  <si>
    <t>Electricity Capacity: Cumulative Planned Additions: Fuel Cells: Alternative Electricity and Transportation</t>
  </si>
  <si>
    <t>AEO.2026.ELECTRNP.CAP_NA_ELEP_CPA_FCL_NA_USA_GW.A</t>
  </si>
  <si>
    <t>Electricity Capacity: Cumulative Planned Additions: Hydrogen: Alternative Electricity and Transportation</t>
  </si>
  <si>
    <t>AEO.2026.ELECTRNP.CAP_NA_ELEP_CPA_HDG_NA_USA_GW.A</t>
  </si>
  <si>
    <t>Electricity Capacity: Cumulative Planned Additions: Renewable Sources: Alternative Electricity and Transportation</t>
  </si>
  <si>
    <t>AEO.2026.ELECTRNP.CAP_NA_ELEP_CPA_RNWBSRC_NA_USA_GW.A</t>
  </si>
  <si>
    <t>Electricity Capacity: Cumulative Planned Additions: Total: Alternative Electricity and Transportation</t>
  </si>
  <si>
    <t>AEO.2026.ELECTRNP.CAP_NA_ELEP_CPA_TOT_NA_USA_GW.A</t>
  </si>
  <si>
    <t>Electricity Capacity: Cumulative Unplanned Additions: Coal: Alternative Electricity and Transportation</t>
  </si>
  <si>
    <t>AEO.2026.ELECTRNP.CAP_NA_ELEP_CUNA_CL_NA_USA_GW.A</t>
  </si>
  <si>
    <t>Electricity Capacity: Cumulative Unplanned Additions: Fossil Steam: Alternative Electricity and Transportation</t>
  </si>
  <si>
    <t>AEO.2026.ELECTRNP.CAP_NA_ELEP_CUNA_ONG_NA_USA_GW.A</t>
  </si>
  <si>
    <t>Electricity Capacity: Cumulative Unplanned Additions: Combined Cycle: Alternative Electricity and Transportation</t>
  </si>
  <si>
    <t>AEO.2026.ELECTRNP.CAP_NA_ELEP_CUNA_CMC_NA_USA_GW.A</t>
  </si>
  <si>
    <t>Electricity Capacity: Cumulative Unplanned Additions: Combustion Turbine/Diesel: Alternative Electricity and Transportation</t>
  </si>
  <si>
    <t>AEO.2026.ELECTRNP.CAP_NA_ELEP_CUNA_CTD_NA_USA_GW.A</t>
  </si>
  <si>
    <t>Electricity Capacity: Cumulative Unplanned Additions: Nuclear: Alternative Electricity and Transportation</t>
  </si>
  <si>
    <t>AEO.2026.ELECTRNP.CAP_NA_ELEP_CUNA_NUP_NA_USA_GW.A</t>
  </si>
  <si>
    <t>Electricity Capacity: Cumulative Unplanned Additions: Pumped Storage: Alternative Electricity and Transportation</t>
  </si>
  <si>
    <t>AEO.2026.ELECTRNP.CAP_NA_ELEP_CUNA_PPS_NA_USA_GW.A</t>
  </si>
  <si>
    <t>Electricity Capacity: Cumulative Unplanned Additions: Diurnal Storage: Alternative Electricity and Transportation</t>
  </si>
  <si>
    <t>AEO.2026.ELECTRNP.CAP_NA_ELEP_CUNA_DIURN_NA_USA_GW.A</t>
  </si>
  <si>
    <t>Electricity Capacity: Cumulative Unplanned Additions: Hydrogen: Alternative Electricity and Transportation</t>
  </si>
  <si>
    <t>AEO.2026.ELECTRNP.CAP_NA_ELEP_CUNA_HDG_NA_USA_GW.A</t>
  </si>
  <si>
    <t>Electricity Capacity: Cumulative Unplanned Additions: Fuel Cells: Alternative Electricity and Transportation</t>
  </si>
  <si>
    <t>AEO.2026.ELECTRNP.CAP_NA_ELEP_CUNA_FCL_NA_USA_GW.A</t>
  </si>
  <si>
    <t>Electricity Capacity: Cumulative Unplanned Additions: Renewable Sources: Alternative Electricity and Transportation</t>
  </si>
  <si>
    <t>AEO.2026.ELECTRNP.CAP_NA_ELEP_CUNA_RNWBSRC_NA_USA_GW.A</t>
  </si>
  <si>
    <t>Electricity Capacity: Cumulative Unplanned Additions: Total: Alternative Electricity and Transportation</t>
  </si>
  <si>
    <t>AEO.2026.ELECTRNP.CAP_NA_ELEP_CUNA_TOT_NA_USA_GW.A</t>
  </si>
  <si>
    <t>Electricity Capacity: Cumulative Electric Power Sector Additions: Alternative Electricity and Transportation</t>
  </si>
  <si>
    <t>AEO.2026.ELECTRNP.CAP_NA_ELEP_CUNA_CEP_NA_USA_GW.A</t>
  </si>
  <si>
    <t>Electricity Capacity: Cumulative Retirements: Coal: Alternative Electricity and Transportation</t>
  </si>
  <si>
    <t>AEO.2026.ELECTRNP.CAP_NA_ELEP_CRE_CL_NA_USA_GW.A</t>
  </si>
  <si>
    <t>Electricity Capacity: Cumulative Retirements: Fossil Steam: Alternative Electricity and Transportation</t>
  </si>
  <si>
    <t>AEO.2026.ELECTRNP.CAP_NA_ELEP_CRE_ONG_NA_USA_GW.A</t>
  </si>
  <si>
    <t>Electricity Capacity: Cumulative Retirements: Combined Cycle: Alternative Electricity and Transportation</t>
  </si>
  <si>
    <t>AEO.2026.ELECTRNP.CAP_NA_ELEP_CRE_CMC_NA_USA_GW.A</t>
  </si>
  <si>
    <t>Electricity Capacity: Cumulative Retirements: Combustion Turbine/Diesel: Alternative Electricity and Transportation</t>
  </si>
  <si>
    <t>AEO.2026.ELECTRNP.CAP_NA_ELEP_CRE_CTD_NA_USA_GW.A</t>
  </si>
  <si>
    <t>Electricity Capacity: Cumulative Retirements: Nuclear: Alternative Electricity and Transportation</t>
  </si>
  <si>
    <t>AEO.2026.ELECTRNP.CAP_NA_ELEP_CRE_NUP_NA_USA_GW.A</t>
  </si>
  <si>
    <t>Electricity Capacity: Cumulative Retirements: Pumped Storage: Alternative Electricity and Transportation</t>
  </si>
  <si>
    <t>AEO.2026.ELECTRNP.CAP_NA_ELEP_CRE_PPS_NA_USA_GW.A</t>
  </si>
  <si>
    <t>Electricity Capacity: Cumulative Retirements: Diurnal Storage: Alternative Electricity and Transportation</t>
  </si>
  <si>
    <t>AEO.2026.ELECTRNP.CAP_NA_ELEP_CRE_DIURN_NA_USA_GW.A</t>
  </si>
  <si>
    <t>Electricity Capacity: Cumulative Retirements: Hydrogen: Alternative Electricity and Transportation</t>
  </si>
  <si>
    <t>AEO.2026.ELECTRNP.CAP_NA_ELEP_CRE_HDG_NA_USA_GW.A</t>
  </si>
  <si>
    <t>Electricity Capacity: Cumulative Retirements: Fuel Cells: Alternative Electricity and Transportation</t>
  </si>
  <si>
    <t>AEO.2026.ELECTRNP.CAP_NA_ELEP_CRE_FCL_NA_USA_GW.A</t>
  </si>
  <si>
    <t>Electricity Capacity: Cumulative Retirements: Renewable Sources: Alternative Electricity and Transportation</t>
  </si>
  <si>
    <t>AEO.2026.ELECTRNP.CAP_NA_ELEP_CRE_RNWBSRC_NA_USA_GW.A</t>
  </si>
  <si>
    <t>Electricity Capacity: Cumulative Retirements: Total: Alternative Electricity and Transportation</t>
  </si>
  <si>
    <t>AEO.2026.ELECTRNP.CAP_NA_ELEP_CRE_TOT_NA_USA_GW.A</t>
  </si>
  <si>
    <t>Electricity Capacity: Total Electric Power Sector Capacity: Alternative Electricity and Transportation</t>
  </si>
  <si>
    <t>AEO.2026.ELECTRNP.CAP_NA_ELEP_NA_TEP_NA_USA_GW.A</t>
  </si>
  <si>
    <t>1.3%</t>
  </si>
  <si>
    <t>Electricity Capacity: End-Use Generators: Coal: Alternative Electricity and Transportation</t>
  </si>
  <si>
    <t>AEO.2026.ELECTRNP.CAP_NA_ELEP_EUG_CL_NA_USA_GW.A</t>
  </si>
  <si>
    <t>-0.3%</t>
  </si>
  <si>
    <t>Electricity Capacity: End-Use Generators: Petroleum: Alternative Electricity and Transportation</t>
  </si>
  <si>
    <t>AEO.2026.ELECTRNP.CAP_NA_ELEP_EUG_PET_NA_USA_GW.A</t>
  </si>
  <si>
    <t>Electricity Capacity: End-Use Generators: Natural Gas: Alternative Electricity and Transportation</t>
  </si>
  <si>
    <t>AEO.2026.ELECTRNP.CAP_NA_ELEP_EUG_NG_NA_USA_GW.A</t>
  </si>
  <si>
    <t>0.6%</t>
  </si>
  <si>
    <t>Electricity Capacity: End-Use Generators: Other Gaseous Fuels: Alternative Electricity and Transportation</t>
  </si>
  <si>
    <t>AEO.2026.ELECTRNP.CAP_NA_ELEP_EUG_OGF_NA_USA_GW.A</t>
  </si>
  <si>
    <t>Electricity Capacity: End-Use Generators: Renewable Sources: Alternative Electricity and Transportation</t>
  </si>
  <si>
    <t>AEO.2026.ELECTRNP.CAP_NA_ELEP_EUG_RNWBSRC_NA_USA_GW.A</t>
  </si>
  <si>
    <t>4.2%</t>
  </si>
  <si>
    <t>Electricity Capacity: End-Use Generators: Other: Alternative Electricity and Transportation</t>
  </si>
  <si>
    <t>AEO.2026.ELECTRNP.CAP_NA_ELEP_EUG_OTH_NA_USA_GW.A</t>
  </si>
  <si>
    <t>0.9%</t>
  </si>
  <si>
    <t>Electricity Capacity: End-Use Generators: Total: Alternative Electricity and Transportation</t>
  </si>
  <si>
    <t>AEO.2026.ELECTRNP.CAP_NA_ELEP_EUG_TOT_NA_USA_GW.A</t>
  </si>
  <si>
    <t>3.7%</t>
  </si>
  <si>
    <t>Electricity Capacity: End-Use Generators: Cumulative Capacity Additions: Alternative Electricity and Transportation</t>
  </si>
  <si>
    <t>AEO.2026.ELECTRNP.CAP_NA_ELEP_NA_CUC_NA_USA_GW.A</t>
  </si>
  <si>
    <t>Annual Energy Outlook 2026</t>
  </si>
  <si>
    <t>Alternative electricity and transportation: Table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</si>
</sst>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2" fillId="0" borderId="0"/>
    <xf numFmtId="0" fontId="3" fillId="0" borderId="0"/>
    <xf numFmtId="0" fontId="4" fillId="0" borderId="1">
      <alignment wrapText="1"/>
    </xf>
    <xf numFmtId="0" fontId="5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wrapText="1"/>
    </xf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7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7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1" fillId="2" borderId="0" xfId="0" applyFont="1" applyFill="1"/>
    <xf numFmtId="0" fontId="6" fillId="0" borderId="0" xfId="0" applyFont="1"/>
  </cellXfs>
  <cellStyles count="30">
    <cellStyle name="Body: normal cell" xfId="6" xr:uid="{00000000-0005-0000-0000-000006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Font: Calibri, 9pt regular" xfId="2" xr:uid="{00000000-0005-0000-0000-000002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7" xr:uid="{00000000-0005-0000-0000-000007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3" xr:uid="{00000000-0005-0000-0000-000003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1" builtinId="8"/>
    <cellStyle name="Normal" xfId="0" builtinId="0"/>
    <cellStyle name="Normal 2" xfId="8" xr:uid="{00000000-0005-0000-0000-000008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Parent row" xfId="5" xr:uid="{00000000-0005-0000-0000-000005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Table title" xfId="4" xr:uid="{00000000-0005-0000-0000-000004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hydro.org/wp-content/uploads/2021/09/2021-Pumped-Storage-Report-NHA.pdf" TargetMode="External"/><Relationship Id="rId1" Type="http://schemas.openxmlformats.org/officeDocument/2006/relationships/hyperlink" Target="https://pdf.sciencedirectassets.com/277910/1-s2.0-S1876610216X00033/1-s2.0-S1876610215030453/mai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6"/>
  <sheetViews>
    <sheetView workbookViewId="0">
      <selection activeCell="B9" sqref="B9"/>
    </sheetView>
  </sheetViews>
  <sheetFormatPr defaultRowHeight="14.25" x14ac:dyDescent="0.45"/>
  <cols>
    <col min="2" max="2" width="50.73046875" customWidth="1"/>
  </cols>
  <sheetData>
    <row r="1" spans="1:2" x14ac:dyDescent="0.45">
      <c r="A1" s="1" t="s">
        <v>0</v>
      </c>
    </row>
    <row r="2" spans="1:2" x14ac:dyDescent="0.45">
      <c r="A2" s="1" t="s">
        <v>1</v>
      </c>
    </row>
    <row r="4" spans="1:2" x14ac:dyDescent="0.45">
      <c r="A4" s="1" t="s">
        <v>2</v>
      </c>
      <c r="B4" s="5" t="s">
        <v>3</v>
      </c>
    </row>
    <row r="5" spans="1:2" x14ac:dyDescent="0.45">
      <c r="B5" t="s">
        <v>4</v>
      </c>
    </row>
    <row r="6" spans="1:2" x14ac:dyDescent="0.45">
      <c r="B6" s="2">
        <v>2026</v>
      </c>
    </row>
    <row r="7" spans="1:2" x14ac:dyDescent="0.45">
      <c r="B7" t="s">
        <v>204</v>
      </c>
    </row>
    <row r="8" spans="1:2" x14ac:dyDescent="0.45">
      <c r="B8" t="s">
        <v>205</v>
      </c>
    </row>
    <row r="9" spans="1:2" x14ac:dyDescent="0.45">
      <c r="B9" t="s">
        <v>5</v>
      </c>
    </row>
    <row r="13" spans="1:2" x14ac:dyDescent="0.45">
      <c r="B13" s="5" t="s">
        <v>6</v>
      </c>
    </row>
    <row r="15" spans="1:2" x14ac:dyDescent="0.45">
      <c r="B15" s="6" t="s">
        <v>7</v>
      </c>
    </row>
    <row r="17" spans="1:2" x14ac:dyDescent="0.45">
      <c r="B17" t="s">
        <v>8</v>
      </c>
    </row>
    <row r="18" spans="1:2" x14ac:dyDescent="0.45">
      <c r="B18" s="2">
        <v>2016</v>
      </c>
    </row>
    <row r="19" spans="1:2" x14ac:dyDescent="0.45">
      <c r="B19" t="s">
        <v>9</v>
      </c>
    </row>
    <row r="20" spans="1:2" x14ac:dyDescent="0.45">
      <c r="B20" s="3" t="s">
        <v>10</v>
      </c>
    </row>
    <row r="21" spans="1:2" x14ac:dyDescent="0.45">
      <c r="B21" t="s">
        <v>11</v>
      </c>
    </row>
    <row r="23" spans="1:2" x14ac:dyDescent="0.45">
      <c r="B23" t="s">
        <v>12</v>
      </c>
    </row>
    <row r="24" spans="1:2" x14ac:dyDescent="0.45">
      <c r="B24" s="2">
        <v>2021</v>
      </c>
    </row>
    <row r="25" spans="1:2" x14ac:dyDescent="0.45">
      <c r="B25" t="s">
        <v>13</v>
      </c>
    </row>
    <row r="26" spans="1:2" x14ac:dyDescent="0.45">
      <c r="B26" s="3" t="s">
        <v>14</v>
      </c>
    </row>
    <row r="27" spans="1:2" x14ac:dyDescent="0.45">
      <c r="B27" t="s">
        <v>15</v>
      </c>
    </row>
    <row r="28" spans="1:2" x14ac:dyDescent="0.45">
      <c r="B28" t="s">
        <v>16</v>
      </c>
    </row>
    <row r="30" spans="1:2" x14ac:dyDescent="0.45">
      <c r="A30" s="1" t="s">
        <v>17</v>
      </c>
    </row>
    <row r="31" spans="1:2" x14ac:dyDescent="0.45">
      <c r="A31" t="s">
        <v>18</v>
      </c>
    </row>
    <row r="32" spans="1:2" x14ac:dyDescent="0.45">
      <c r="A32" t="s">
        <v>19</v>
      </c>
    </row>
    <row r="33" spans="1:1" x14ac:dyDescent="0.45">
      <c r="A33" t="s">
        <v>20</v>
      </c>
    </row>
    <row r="34" spans="1:1" x14ac:dyDescent="0.45">
      <c r="A34" t="s">
        <v>21</v>
      </c>
    </row>
    <row r="35" spans="1:1" x14ac:dyDescent="0.45">
      <c r="A35" t="s">
        <v>22</v>
      </c>
    </row>
    <row r="36" spans="1:1" x14ac:dyDescent="0.45">
      <c r="A36" t="s">
        <v>23</v>
      </c>
    </row>
    <row r="37" spans="1:1" x14ac:dyDescent="0.45">
      <c r="A37" t="s">
        <v>24</v>
      </c>
    </row>
    <row r="39" spans="1:1" x14ac:dyDescent="0.45">
      <c r="A39" t="s">
        <v>25</v>
      </c>
    </row>
    <row r="40" spans="1:1" x14ac:dyDescent="0.45">
      <c r="A40" t="s">
        <v>26</v>
      </c>
    </row>
    <row r="41" spans="1:1" x14ac:dyDescent="0.45">
      <c r="A41" t="s">
        <v>27</v>
      </c>
    </row>
    <row r="44" spans="1:1" x14ac:dyDescent="0.45">
      <c r="A44" s="1" t="s">
        <v>28</v>
      </c>
    </row>
    <row r="45" spans="1:1" x14ac:dyDescent="0.45">
      <c r="A45" t="s">
        <v>29</v>
      </c>
    </row>
    <row r="46" spans="1:1" x14ac:dyDescent="0.45">
      <c r="A46" s="2">
        <v>1000</v>
      </c>
    </row>
  </sheetData>
  <hyperlinks>
    <hyperlink ref="B20" r:id="rId1" xr:uid="{00000000-0004-0000-0000-000000000000}"/>
    <hyperlink ref="B26" r:id="rId2" xr:uid="{00000000-0004-0000-0000-000001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72"/>
  <sheetViews>
    <sheetView workbookViewId="0">
      <selection activeCell="E13" sqref="E13"/>
    </sheetView>
  </sheetViews>
  <sheetFormatPr defaultRowHeight="14.25" x14ac:dyDescent="0.45"/>
  <cols>
    <col min="1" max="1" width="17.73046875" customWidth="1"/>
    <col min="2" max="2" width="112.6640625" bestFit="1" customWidth="1"/>
  </cols>
  <sheetData>
    <row r="1" spans="1:31" x14ac:dyDescent="0.45">
      <c r="A1" t="s">
        <v>32</v>
      </c>
    </row>
    <row r="2" spans="1:31" x14ac:dyDescent="0.45">
      <c r="A2" t="s">
        <v>64</v>
      </c>
    </row>
    <row r="3" spans="1:31" x14ac:dyDescent="0.45">
      <c r="A3" t="s">
        <v>65</v>
      </c>
    </row>
    <row r="4" spans="1:31" x14ac:dyDescent="0.45">
      <c r="A4" t="s">
        <v>33</v>
      </c>
    </row>
    <row r="5" spans="1:31" x14ac:dyDescent="0.45">
      <c r="B5" t="s">
        <v>34</v>
      </c>
      <c r="C5" t="s">
        <v>35</v>
      </c>
      <c r="D5" t="s">
        <v>36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66</v>
      </c>
    </row>
    <row r="6" spans="1:31" x14ac:dyDescent="0.45">
      <c r="A6" t="s">
        <v>37</v>
      </c>
    </row>
    <row r="7" spans="1:31" x14ac:dyDescent="0.45">
      <c r="A7" t="s">
        <v>38</v>
      </c>
    </row>
    <row r="8" spans="1:31" x14ac:dyDescent="0.45">
      <c r="A8" t="s">
        <v>39</v>
      </c>
      <c r="B8" t="s">
        <v>67</v>
      </c>
      <c r="C8" t="s">
        <v>68</v>
      </c>
      <c r="D8" t="s">
        <v>40</v>
      </c>
      <c r="E8">
        <v>158.502319</v>
      </c>
      <c r="F8">
        <v>155.784424</v>
      </c>
      <c r="G8">
        <v>152.516434</v>
      </c>
      <c r="H8">
        <v>139.330017</v>
      </c>
      <c r="I8">
        <v>122.024292</v>
      </c>
      <c r="J8">
        <v>112.934212</v>
      </c>
      <c r="K8">
        <v>95.141197000000005</v>
      </c>
      <c r="L8">
        <v>87.010895000000005</v>
      </c>
      <c r="M8">
        <v>84.328896</v>
      </c>
      <c r="N8">
        <v>83.519515999999996</v>
      </c>
      <c r="O8">
        <v>82.563522000000006</v>
      </c>
      <c r="P8">
        <v>81.703522000000007</v>
      </c>
      <c r="Q8">
        <v>81.703522000000007</v>
      </c>
      <c r="R8">
        <v>81.356521999999998</v>
      </c>
      <c r="S8">
        <v>80.570518000000007</v>
      </c>
      <c r="T8">
        <v>78.310516000000007</v>
      </c>
      <c r="U8">
        <v>75.870529000000005</v>
      </c>
      <c r="V8">
        <v>74.220534999999998</v>
      </c>
      <c r="W8">
        <v>74.220534999999998</v>
      </c>
      <c r="X8">
        <v>73.510529000000005</v>
      </c>
      <c r="Y8">
        <v>72.660529999999994</v>
      </c>
      <c r="Z8">
        <v>72.054526999999993</v>
      </c>
      <c r="AA8">
        <v>72.054526999999993</v>
      </c>
      <c r="AB8">
        <v>72.014533999999998</v>
      </c>
      <c r="AC8">
        <v>70.934532000000004</v>
      </c>
      <c r="AD8">
        <v>70.837029000000001</v>
      </c>
      <c r="AE8" t="s">
        <v>69</v>
      </c>
    </row>
    <row r="9" spans="1:31" x14ac:dyDescent="0.45">
      <c r="A9" t="s">
        <v>41</v>
      </c>
      <c r="B9" t="s">
        <v>70</v>
      </c>
      <c r="C9" t="s">
        <v>71</v>
      </c>
      <c r="D9" t="s">
        <v>40</v>
      </c>
      <c r="E9">
        <v>87.299605999999997</v>
      </c>
      <c r="F9">
        <v>86.191604999999996</v>
      </c>
      <c r="G9">
        <v>79.632606999999993</v>
      </c>
      <c r="H9">
        <v>77.748199</v>
      </c>
      <c r="I9">
        <v>81.326796999999999</v>
      </c>
      <c r="J9">
        <v>82.245093999999995</v>
      </c>
      <c r="K9">
        <v>83.445801000000003</v>
      </c>
      <c r="L9">
        <v>79.917404000000005</v>
      </c>
      <c r="M9">
        <v>78.903198000000003</v>
      </c>
      <c r="N9">
        <v>78.004195999999993</v>
      </c>
      <c r="O9">
        <v>76.247101000000001</v>
      </c>
      <c r="P9">
        <v>76.247101000000001</v>
      </c>
      <c r="Q9">
        <v>75.676102</v>
      </c>
      <c r="R9">
        <v>75.676102</v>
      </c>
      <c r="S9">
        <v>76.123092999999997</v>
      </c>
      <c r="T9">
        <v>75.686096000000006</v>
      </c>
      <c r="U9">
        <v>75.686096000000006</v>
      </c>
      <c r="V9">
        <v>75.686096000000006</v>
      </c>
      <c r="W9">
        <v>75.686096000000006</v>
      </c>
      <c r="X9">
        <v>75.686096000000006</v>
      </c>
      <c r="Y9">
        <v>75.686096000000006</v>
      </c>
      <c r="Z9">
        <v>75.686096000000006</v>
      </c>
      <c r="AA9">
        <v>75.493392999999998</v>
      </c>
      <c r="AB9">
        <v>75.493392999999998</v>
      </c>
      <c r="AC9">
        <v>75.493392999999998</v>
      </c>
      <c r="AD9">
        <v>75.493392999999998</v>
      </c>
      <c r="AE9" t="s">
        <v>72</v>
      </c>
    </row>
    <row r="10" spans="1:31" x14ac:dyDescent="0.45">
      <c r="A10" t="s">
        <v>42</v>
      </c>
      <c r="B10" t="s">
        <v>73</v>
      </c>
      <c r="C10" t="s">
        <v>74</v>
      </c>
      <c r="D10" t="s">
        <v>40</v>
      </c>
      <c r="E10">
        <v>265.21856700000001</v>
      </c>
      <c r="F10">
        <v>268.501282</v>
      </c>
      <c r="G10">
        <v>268.696259</v>
      </c>
      <c r="H10">
        <v>273.29229700000002</v>
      </c>
      <c r="I10">
        <v>283.88842799999998</v>
      </c>
      <c r="J10">
        <v>292.40176400000001</v>
      </c>
      <c r="K10">
        <v>301.91918900000002</v>
      </c>
      <c r="L10">
        <v>314.95678700000002</v>
      </c>
      <c r="M10">
        <v>321.65356400000002</v>
      </c>
      <c r="N10">
        <v>327.19576999999998</v>
      </c>
      <c r="O10">
        <v>335.01422100000002</v>
      </c>
      <c r="P10">
        <v>342.67156999999997</v>
      </c>
      <c r="Q10">
        <v>350.423157</v>
      </c>
      <c r="R10">
        <v>355.99279799999999</v>
      </c>
      <c r="S10">
        <v>362.24279799999999</v>
      </c>
      <c r="T10">
        <v>370.05529799999999</v>
      </c>
      <c r="U10">
        <v>379.82092299999999</v>
      </c>
      <c r="V10">
        <v>392.02795400000002</v>
      </c>
      <c r="W10">
        <v>403.55545000000001</v>
      </c>
      <c r="X10">
        <v>414.84497099999999</v>
      </c>
      <c r="Y10">
        <v>427.09368899999998</v>
      </c>
      <c r="Z10">
        <v>436.00402800000001</v>
      </c>
      <c r="AA10">
        <v>443.675049</v>
      </c>
      <c r="AB10">
        <v>451.68273900000003</v>
      </c>
      <c r="AC10">
        <v>458.912781</v>
      </c>
      <c r="AD10">
        <v>467.950378</v>
      </c>
      <c r="AE10" t="s">
        <v>75</v>
      </c>
    </row>
    <row r="11" spans="1:31" x14ac:dyDescent="0.45">
      <c r="A11" t="s">
        <v>43</v>
      </c>
      <c r="B11" t="s">
        <v>76</v>
      </c>
      <c r="C11" t="s">
        <v>77</v>
      </c>
      <c r="D11" t="s">
        <v>40</v>
      </c>
      <c r="E11">
        <v>147.67004399999999</v>
      </c>
      <c r="F11">
        <v>148.74195900000001</v>
      </c>
      <c r="G11">
        <v>154.339371</v>
      </c>
      <c r="H11">
        <v>159.44485499999999</v>
      </c>
      <c r="I11">
        <v>162.83000200000001</v>
      </c>
      <c r="J11">
        <v>165.595383</v>
      </c>
      <c r="K11">
        <v>168.794647</v>
      </c>
      <c r="L11">
        <v>168.211456</v>
      </c>
      <c r="M11">
        <v>168.42297400000001</v>
      </c>
      <c r="N11">
        <v>169.09359699999999</v>
      </c>
      <c r="O11">
        <v>170.72082499999999</v>
      </c>
      <c r="P11">
        <v>171.834473</v>
      </c>
      <c r="Q11">
        <v>174.21345500000001</v>
      </c>
      <c r="R11">
        <v>179.09732099999999</v>
      </c>
      <c r="S11">
        <v>182.665436</v>
      </c>
      <c r="T11">
        <v>187.85896299999999</v>
      </c>
      <c r="U11">
        <v>192.06759600000001</v>
      </c>
      <c r="V11">
        <v>194.88064600000001</v>
      </c>
      <c r="W11">
        <v>196.128006</v>
      </c>
      <c r="X11">
        <v>197.335419</v>
      </c>
      <c r="Y11">
        <v>199.00862100000001</v>
      </c>
      <c r="Z11">
        <v>201.45936599999999</v>
      </c>
      <c r="AA11">
        <v>205.33277899999999</v>
      </c>
      <c r="AB11">
        <v>208.84509299999999</v>
      </c>
      <c r="AC11">
        <v>213.84509299999999</v>
      </c>
      <c r="AD11">
        <v>216.94255100000001</v>
      </c>
      <c r="AE11" t="s">
        <v>78</v>
      </c>
    </row>
    <row r="12" spans="1:31" x14ac:dyDescent="0.45">
      <c r="A12" t="s">
        <v>44</v>
      </c>
      <c r="B12" t="s">
        <v>79</v>
      </c>
      <c r="C12" t="s">
        <v>80</v>
      </c>
      <c r="D12" t="s">
        <v>40</v>
      </c>
      <c r="E12">
        <v>96.864913999999999</v>
      </c>
      <c r="F12">
        <v>97.633414999999999</v>
      </c>
      <c r="G12">
        <v>97.633414999999999</v>
      </c>
      <c r="H12">
        <v>98.436217999999997</v>
      </c>
      <c r="I12">
        <v>98.546310000000005</v>
      </c>
      <c r="J12">
        <v>98.632919000000001</v>
      </c>
      <c r="K12">
        <v>98.632919000000001</v>
      </c>
      <c r="L12">
        <v>98.632919000000001</v>
      </c>
      <c r="M12">
        <v>98.632919000000001</v>
      </c>
      <c r="N12">
        <v>98.632919000000001</v>
      </c>
      <c r="O12">
        <v>98.632919000000001</v>
      </c>
      <c r="P12">
        <v>98.632919000000001</v>
      </c>
      <c r="Q12">
        <v>98.632919000000001</v>
      </c>
      <c r="R12">
        <v>98.632919000000001</v>
      </c>
      <c r="S12">
        <v>98.632919000000001</v>
      </c>
      <c r="T12">
        <v>98.632919000000001</v>
      </c>
      <c r="U12">
        <v>98.632919000000001</v>
      </c>
      <c r="V12">
        <v>98.632919000000001</v>
      </c>
      <c r="W12">
        <v>98.632919000000001</v>
      </c>
      <c r="X12">
        <v>98.632919000000001</v>
      </c>
      <c r="Y12">
        <v>98.632919000000001</v>
      </c>
      <c r="Z12">
        <v>98.632919000000001</v>
      </c>
      <c r="AA12">
        <v>98.632919000000001</v>
      </c>
      <c r="AB12">
        <v>98.632919000000001</v>
      </c>
      <c r="AC12">
        <v>98.632919000000001</v>
      </c>
      <c r="AD12">
        <v>98.632919000000001</v>
      </c>
      <c r="AE12" t="s">
        <v>81</v>
      </c>
    </row>
    <row r="13" spans="1:31" x14ac:dyDescent="0.45">
      <c r="A13" t="s">
        <v>45</v>
      </c>
      <c r="B13" t="s">
        <v>82</v>
      </c>
      <c r="C13" t="s">
        <v>83</v>
      </c>
      <c r="D13" t="s">
        <v>40</v>
      </c>
      <c r="E13">
        <v>23.156604999999999</v>
      </c>
      <c r="F13">
        <v>23.156604999999999</v>
      </c>
      <c r="G13">
        <v>23.156604999999999</v>
      </c>
      <c r="H13">
        <v>23.156604999999999</v>
      </c>
      <c r="I13">
        <v>23.156604999999999</v>
      </c>
      <c r="J13">
        <v>23.156604999999999</v>
      </c>
      <c r="K13">
        <v>23.156604999999999</v>
      </c>
      <c r="L13">
        <v>23.156604999999999</v>
      </c>
      <c r="M13">
        <v>23.156604999999999</v>
      </c>
      <c r="N13">
        <v>23.156604999999999</v>
      </c>
      <c r="O13">
        <v>23.156604999999999</v>
      </c>
      <c r="P13">
        <v>23.156604999999999</v>
      </c>
      <c r="Q13">
        <v>23.156604999999999</v>
      </c>
      <c r="R13">
        <v>23.156604999999999</v>
      </c>
      <c r="S13">
        <v>23.156604999999999</v>
      </c>
      <c r="T13">
        <v>23.156604999999999</v>
      </c>
      <c r="U13">
        <v>23.156604999999999</v>
      </c>
      <c r="V13">
        <v>23.156604999999999</v>
      </c>
      <c r="W13">
        <v>23.156604999999999</v>
      </c>
      <c r="X13">
        <v>23.156604999999999</v>
      </c>
      <c r="Y13">
        <v>23.156604999999999</v>
      </c>
      <c r="Z13">
        <v>23.156604999999999</v>
      </c>
      <c r="AA13">
        <v>23.156604999999999</v>
      </c>
      <c r="AB13">
        <v>23.156604999999999</v>
      </c>
      <c r="AC13">
        <v>23.156604999999999</v>
      </c>
      <c r="AD13">
        <v>23.156604999999999</v>
      </c>
      <c r="AE13" t="s">
        <v>84</v>
      </c>
    </row>
    <row r="14" spans="1:31" x14ac:dyDescent="0.45">
      <c r="A14" t="s">
        <v>46</v>
      </c>
      <c r="B14" t="s">
        <v>85</v>
      </c>
      <c r="C14" t="s">
        <v>86</v>
      </c>
      <c r="D14" t="s">
        <v>40</v>
      </c>
      <c r="E14">
        <v>43.676307999999999</v>
      </c>
      <c r="F14">
        <v>65.164116000000007</v>
      </c>
      <c r="G14">
        <v>78.406020999999996</v>
      </c>
      <c r="H14">
        <v>81.969604000000004</v>
      </c>
      <c r="I14">
        <v>85.258201999999997</v>
      </c>
      <c r="J14">
        <v>88.030608999999998</v>
      </c>
      <c r="K14">
        <v>88.754210999999998</v>
      </c>
      <c r="L14">
        <v>89.467911000000001</v>
      </c>
      <c r="M14">
        <v>90.191513</v>
      </c>
      <c r="N14">
        <v>90.466506999999993</v>
      </c>
      <c r="O14">
        <v>90.741516000000004</v>
      </c>
      <c r="P14">
        <v>90.741012999999995</v>
      </c>
      <c r="Q14">
        <v>90.741012999999995</v>
      </c>
      <c r="R14">
        <v>90.741012999999995</v>
      </c>
      <c r="S14">
        <v>90.741012999999995</v>
      </c>
      <c r="T14">
        <v>90.760895000000005</v>
      </c>
      <c r="U14">
        <v>90.772521999999995</v>
      </c>
      <c r="V14">
        <v>90.572524999999999</v>
      </c>
      <c r="W14">
        <v>90.616318000000007</v>
      </c>
      <c r="X14">
        <v>90.639174999999994</v>
      </c>
      <c r="Y14">
        <v>90.695496000000006</v>
      </c>
      <c r="Z14">
        <v>90.721999999999994</v>
      </c>
      <c r="AA14">
        <v>90.766814999999994</v>
      </c>
      <c r="AB14">
        <v>90.794631999999993</v>
      </c>
      <c r="AC14">
        <v>90.794631999999993</v>
      </c>
      <c r="AD14">
        <v>90.833327999999995</v>
      </c>
      <c r="AE14" t="s">
        <v>87</v>
      </c>
    </row>
    <row r="15" spans="1:31" x14ac:dyDescent="0.45">
      <c r="A15" t="s">
        <v>47</v>
      </c>
      <c r="B15" t="s">
        <v>88</v>
      </c>
      <c r="C15" t="s">
        <v>89</v>
      </c>
      <c r="D15" t="s">
        <v>40</v>
      </c>
      <c r="E15">
        <v>0</v>
      </c>
      <c r="F15">
        <v>0</v>
      </c>
      <c r="G15">
        <v>1.5</v>
      </c>
      <c r="H15">
        <v>1.5</v>
      </c>
      <c r="I15">
        <v>1.5</v>
      </c>
      <c r="J15">
        <v>1.5</v>
      </c>
      <c r="K15">
        <v>1.5</v>
      </c>
      <c r="L15">
        <v>1.5</v>
      </c>
      <c r="M15">
        <v>1.5</v>
      </c>
      <c r="N15">
        <v>1.5</v>
      </c>
      <c r="O15">
        <v>1.5</v>
      </c>
      <c r="P15">
        <v>1.5</v>
      </c>
      <c r="Q15">
        <v>1.5</v>
      </c>
      <c r="R15">
        <v>1.5</v>
      </c>
      <c r="S15">
        <v>1.5</v>
      </c>
      <c r="T15">
        <v>1.5</v>
      </c>
      <c r="U15">
        <v>1.5</v>
      </c>
      <c r="V15">
        <v>1.5</v>
      </c>
      <c r="W15">
        <v>1.5</v>
      </c>
      <c r="X15">
        <v>1.5</v>
      </c>
      <c r="Y15">
        <v>1.5</v>
      </c>
      <c r="Z15">
        <v>1.5</v>
      </c>
      <c r="AA15">
        <v>1.5</v>
      </c>
      <c r="AB15">
        <v>1.5</v>
      </c>
      <c r="AC15">
        <v>1.5230509999999999</v>
      </c>
      <c r="AD15">
        <v>1.5230509999999999</v>
      </c>
      <c r="AE15" t="s">
        <v>31</v>
      </c>
    </row>
    <row r="16" spans="1:31" x14ac:dyDescent="0.45">
      <c r="A16" t="s">
        <v>48</v>
      </c>
      <c r="B16" t="s">
        <v>90</v>
      </c>
      <c r="C16" t="s">
        <v>91</v>
      </c>
      <c r="D16" t="s">
        <v>40</v>
      </c>
      <c r="E16">
        <v>0.30370000000000003</v>
      </c>
      <c r="F16">
        <v>0.30370000000000003</v>
      </c>
      <c r="G16">
        <v>0.30370000000000003</v>
      </c>
      <c r="H16">
        <v>0.30370000000000003</v>
      </c>
      <c r="I16">
        <v>0.30370000000000003</v>
      </c>
      <c r="J16">
        <v>0.30370000000000003</v>
      </c>
      <c r="K16">
        <v>0.30259999999999998</v>
      </c>
      <c r="L16">
        <v>0.30259999999999998</v>
      </c>
      <c r="M16">
        <v>0.30259999999999998</v>
      </c>
      <c r="N16">
        <v>0.30259999999999998</v>
      </c>
      <c r="O16">
        <v>0.29759999999999998</v>
      </c>
      <c r="P16">
        <v>0.29509999999999997</v>
      </c>
      <c r="Q16">
        <v>0.29289999999999999</v>
      </c>
      <c r="R16">
        <v>0.29289999999999999</v>
      </c>
      <c r="S16">
        <v>0.29289999999999999</v>
      </c>
      <c r="T16">
        <v>0.29289999999999999</v>
      </c>
      <c r="U16">
        <v>0.29289999999999999</v>
      </c>
      <c r="V16">
        <v>0.29289999999999999</v>
      </c>
      <c r="W16">
        <v>0.29289999999999999</v>
      </c>
      <c r="X16">
        <v>0.29289999999999999</v>
      </c>
      <c r="Y16">
        <v>0.29289999999999999</v>
      </c>
      <c r="Z16">
        <v>0.29289999999999999</v>
      </c>
      <c r="AA16">
        <v>0.29289999999999999</v>
      </c>
      <c r="AB16">
        <v>0.29289999999999999</v>
      </c>
      <c r="AC16">
        <v>0.29289999999999999</v>
      </c>
      <c r="AD16">
        <v>0.29289999999999999</v>
      </c>
      <c r="AE16" t="s">
        <v>92</v>
      </c>
    </row>
    <row r="17" spans="1:31" x14ac:dyDescent="0.45">
      <c r="A17" t="s">
        <v>49</v>
      </c>
      <c r="B17" t="s">
        <v>93</v>
      </c>
      <c r="C17" t="s">
        <v>94</v>
      </c>
      <c r="D17" t="s">
        <v>40</v>
      </c>
      <c r="E17">
        <v>399.42904700000003</v>
      </c>
      <c r="F17">
        <v>446.69091800000001</v>
      </c>
      <c r="G17">
        <v>485.38009599999998</v>
      </c>
      <c r="H17">
        <v>513.59155299999998</v>
      </c>
      <c r="I17">
        <v>529.65924099999995</v>
      </c>
      <c r="J17">
        <v>541.16418499999997</v>
      </c>
      <c r="K17">
        <v>553.49542199999996</v>
      </c>
      <c r="L17">
        <v>559.71069299999999</v>
      </c>
      <c r="M17">
        <v>569.67443800000001</v>
      </c>
      <c r="N17">
        <v>583.76824999999997</v>
      </c>
      <c r="O17">
        <v>599.95935099999997</v>
      </c>
      <c r="P17">
        <v>616.13641399999995</v>
      </c>
      <c r="Q17">
        <v>625.75286900000003</v>
      </c>
      <c r="R17">
        <v>634.752747</v>
      </c>
      <c r="S17">
        <v>644.48083499999996</v>
      </c>
      <c r="T17">
        <v>654.08093299999996</v>
      </c>
      <c r="U17">
        <v>661.56939699999998</v>
      </c>
      <c r="V17">
        <v>663.337219</v>
      </c>
      <c r="W17">
        <v>663.73584000000005</v>
      </c>
      <c r="X17">
        <v>664.06561299999998</v>
      </c>
      <c r="Y17">
        <v>664.43573000000004</v>
      </c>
      <c r="Z17">
        <v>665.51745600000004</v>
      </c>
      <c r="AA17">
        <v>667.11816399999998</v>
      </c>
      <c r="AB17">
        <v>667.49078399999996</v>
      </c>
      <c r="AC17">
        <v>669.30718999999999</v>
      </c>
      <c r="AD17">
        <v>671.52337599999998</v>
      </c>
      <c r="AE17" t="s">
        <v>95</v>
      </c>
    </row>
    <row r="18" spans="1:31" x14ac:dyDescent="0.45">
      <c r="A18" t="s">
        <v>50</v>
      </c>
      <c r="B18" t="s">
        <v>96</v>
      </c>
      <c r="C18" t="s">
        <v>97</v>
      </c>
      <c r="D18" t="s">
        <v>40</v>
      </c>
      <c r="E18">
        <v>1222.1210940000001</v>
      </c>
      <c r="F18">
        <v>1292.1679690000001</v>
      </c>
      <c r="G18">
        <v>1341.5645750000001</v>
      </c>
      <c r="H18">
        <v>1368.7730710000001</v>
      </c>
      <c r="I18">
        <v>1388.49353</v>
      </c>
      <c r="J18">
        <v>1405.9644780000001</v>
      </c>
      <c r="K18">
        <v>1415.142578</v>
      </c>
      <c r="L18">
        <v>1422.8673100000001</v>
      </c>
      <c r="M18">
        <v>1436.7667240000001</v>
      </c>
      <c r="N18">
        <v>1455.6401370000001</v>
      </c>
      <c r="O18">
        <v>1478.83374</v>
      </c>
      <c r="P18">
        <v>1502.9187010000001</v>
      </c>
      <c r="Q18">
        <v>1522.092529</v>
      </c>
      <c r="R18">
        <v>1541.1988530000001</v>
      </c>
      <c r="S18">
        <v>1560.4060059999999</v>
      </c>
      <c r="T18">
        <v>1580.3350829999999</v>
      </c>
      <c r="U18">
        <v>1599.369629</v>
      </c>
      <c r="V18">
        <v>1614.3073730000001</v>
      </c>
      <c r="W18">
        <v>1627.52478</v>
      </c>
      <c r="X18">
        <v>1639.664307</v>
      </c>
      <c r="Y18">
        <v>1653.1625979999999</v>
      </c>
      <c r="Z18">
        <v>1665.026001</v>
      </c>
      <c r="AA18">
        <v>1678.023193</v>
      </c>
      <c r="AB18">
        <v>1689.903687</v>
      </c>
      <c r="AC18">
        <v>1702.893188</v>
      </c>
      <c r="AD18">
        <v>1717.185547</v>
      </c>
      <c r="AE18" t="s">
        <v>98</v>
      </c>
    </row>
    <row r="19" spans="1:31" x14ac:dyDescent="0.45">
      <c r="A19" t="s">
        <v>51</v>
      </c>
    </row>
    <row r="20" spans="1:31" x14ac:dyDescent="0.45">
      <c r="A20" t="s">
        <v>39</v>
      </c>
      <c r="B20" t="s">
        <v>99</v>
      </c>
      <c r="C20" t="s">
        <v>100</v>
      </c>
      <c r="D20" t="s">
        <v>40</v>
      </c>
      <c r="E20">
        <v>1.0301</v>
      </c>
      <c r="F20">
        <v>1.0301</v>
      </c>
      <c r="G20">
        <v>1.0301</v>
      </c>
      <c r="H20">
        <v>1.0301</v>
      </c>
      <c r="I20">
        <v>1.0301</v>
      </c>
      <c r="J20">
        <v>1.0301</v>
      </c>
      <c r="K20">
        <v>1.0301</v>
      </c>
      <c r="L20">
        <v>1.0301</v>
      </c>
      <c r="M20">
        <v>1.0301</v>
      </c>
      <c r="N20">
        <v>1.0301</v>
      </c>
      <c r="O20">
        <v>1.0301</v>
      </c>
      <c r="P20">
        <v>1.0301</v>
      </c>
      <c r="Q20">
        <v>1.0301</v>
      </c>
      <c r="R20">
        <v>1.0301</v>
      </c>
      <c r="S20">
        <v>1.0301</v>
      </c>
      <c r="T20">
        <v>1.0301</v>
      </c>
      <c r="U20">
        <v>1.0301</v>
      </c>
      <c r="V20">
        <v>1.0301</v>
      </c>
      <c r="W20">
        <v>1.0301</v>
      </c>
      <c r="X20">
        <v>1.0301</v>
      </c>
      <c r="Y20">
        <v>1.0301</v>
      </c>
      <c r="Z20">
        <v>1.0301</v>
      </c>
      <c r="AA20">
        <v>1.0301</v>
      </c>
      <c r="AB20">
        <v>1.0301</v>
      </c>
      <c r="AC20">
        <v>1.0301</v>
      </c>
      <c r="AD20">
        <v>1.0301</v>
      </c>
      <c r="AE20" t="s">
        <v>84</v>
      </c>
    </row>
    <row r="21" spans="1:31" x14ac:dyDescent="0.45">
      <c r="A21" t="s">
        <v>41</v>
      </c>
      <c r="B21" t="s">
        <v>101</v>
      </c>
      <c r="C21" t="s">
        <v>102</v>
      </c>
      <c r="D21" t="s">
        <v>40</v>
      </c>
      <c r="E21">
        <v>0.4249</v>
      </c>
      <c r="F21">
        <v>0.4249</v>
      </c>
      <c r="G21">
        <v>0.4249</v>
      </c>
      <c r="H21">
        <v>0.4249</v>
      </c>
      <c r="I21">
        <v>0.4249</v>
      </c>
      <c r="J21">
        <v>0.4249</v>
      </c>
      <c r="K21">
        <v>0.4249</v>
      </c>
      <c r="L21">
        <v>0.4249</v>
      </c>
      <c r="M21">
        <v>0.4249</v>
      </c>
      <c r="N21">
        <v>0.4249</v>
      </c>
      <c r="O21">
        <v>0.4249</v>
      </c>
      <c r="P21">
        <v>0.4249</v>
      </c>
      <c r="Q21">
        <v>0.4249</v>
      </c>
      <c r="R21">
        <v>0.4249</v>
      </c>
      <c r="S21">
        <v>0.4249</v>
      </c>
      <c r="T21">
        <v>0.4249</v>
      </c>
      <c r="U21">
        <v>0.4249</v>
      </c>
      <c r="V21">
        <v>0.4249</v>
      </c>
      <c r="W21">
        <v>0.4249</v>
      </c>
      <c r="X21">
        <v>0.4249</v>
      </c>
      <c r="Y21">
        <v>0.4249</v>
      </c>
      <c r="Z21">
        <v>0.4249</v>
      </c>
      <c r="AA21">
        <v>0.4249</v>
      </c>
      <c r="AB21">
        <v>0.4249</v>
      </c>
      <c r="AC21">
        <v>0.4249</v>
      </c>
      <c r="AD21">
        <v>0.4249</v>
      </c>
      <c r="AE21" t="s">
        <v>84</v>
      </c>
    </row>
    <row r="22" spans="1:31" x14ac:dyDescent="0.45">
      <c r="A22" t="s">
        <v>42</v>
      </c>
      <c r="B22" t="s">
        <v>103</v>
      </c>
      <c r="C22" t="s">
        <v>104</v>
      </c>
      <c r="D22" t="s">
        <v>40</v>
      </c>
      <c r="E22">
        <v>20.520299999999999</v>
      </c>
      <c r="F22">
        <v>20.520299999999999</v>
      </c>
      <c r="G22">
        <v>20.520299999999999</v>
      </c>
      <c r="H22">
        <v>20.520299999999999</v>
      </c>
      <c r="I22">
        <v>20.520299999999999</v>
      </c>
      <c r="J22">
        <v>20.427199999999999</v>
      </c>
      <c r="K22">
        <v>20.427199999999999</v>
      </c>
      <c r="L22">
        <v>20.427199999999999</v>
      </c>
      <c r="M22">
        <v>20.2407</v>
      </c>
      <c r="N22">
        <v>20.2407</v>
      </c>
      <c r="O22">
        <v>20.2407</v>
      </c>
      <c r="P22">
        <v>20.2407</v>
      </c>
      <c r="Q22">
        <v>20.2407</v>
      </c>
      <c r="R22">
        <v>20.2407</v>
      </c>
      <c r="S22">
        <v>20.2407</v>
      </c>
      <c r="T22">
        <v>20.2407</v>
      </c>
      <c r="U22">
        <v>20.2407</v>
      </c>
      <c r="V22">
        <v>20.2407</v>
      </c>
      <c r="W22">
        <v>20.2407</v>
      </c>
      <c r="X22">
        <v>20.2407</v>
      </c>
      <c r="Y22">
        <v>20.2407</v>
      </c>
      <c r="Z22">
        <v>20.2407</v>
      </c>
      <c r="AA22">
        <v>20.2407</v>
      </c>
      <c r="AB22">
        <v>20.2407</v>
      </c>
      <c r="AC22">
        <v>20.2407</v>
      </c>
      <c r="AD22">
        <v>20.2407</v>
      </c>
      <c r="AE22" t="s">
        <v>92</v>
      </c>
    </row>
    <row r="23" spans="1:31" x14ac:dyDescent="0.45">
      <c r="A23" t="s">
        <v>43</v>
      </c>
      <c r="B23" t="s">
        <v>105</v>
      </c>
      <c r="C23" t="s">
        <v>106</v>
      </c>
      <c r="D23" t="s">
        <v>40</v>
      </c>
      <c r="E23">
        <v>2.7258</v>
      </c>
      <c r="F23">
        <v>2.7258</v>
      </c>
      <c r="G23">
        <v>2.7258</v>
      </c>
      <c r="H23">
        <v>2.7258</v>
      </c>
      <c r="I23">
        <v>2.7258</v>
      </c>
      <c r="J23">
        <v>2.7258</v>
      </c>
      <c r="K23">
        <v>2.7258</v>
      </c>
      <c r="L23">
        <v>2.7258</v>
      </c>
      <c r="M23">
        <v>2.7258</v>
      </c>
      <c r="N23">
        <v>2.7258</v>
      </c>
      <c r="O23">
        <v>2.7258</v>
      </c>
      <c r="P23">
        <v>2.7258</v>
      </c>
      <c r="Q23">
        <v>2.7258</v>
      </c>
      <c r="R23">
        <v>2.7258</v>
      </c>
      <c r="S23">
        <v>2.7258</v>
      </c>
      <c r="T23">
        <v>2.7258</v>
      </c>
      <c r="U23">
        <v>2.7258</v>
      </c>
      <c r="V23">
        <v>2.7258</v>
      </c>
      <c r="W23">
        <v>2.7258</v>
      </c>
      <c r="X23">
        <v>2.7258</v>
      </c>
      <c r="Y23">
        <v>2.7258</v>
      </c>
      <c r="Z23">
        <v>2.7258</v>
      </c>
      <c r="AA23">
        <v>2.7258</v>
      </c>
      <c r="AB23">
        <v>2.7258</v>
      </c>
      <c r="AC23">
        <v>2.7258</v>
      </c>
      <c r="AD23">
        <v>2.7258</v>
      </c>
      <c r="AE23" t="s">
        <v>84</v>
      </c>
    </row>
    <row r="24" spans="1:31" x14ac:dyDescent="0.45">
      <c r="A24" t="s">
        <v>49</v>
      </c>
      <c r="B24" t="s">
        <v>107</v>
      </c>
      <c r="C24" t="s">
        <v>108</v>
      </c>
      <c r="D24" t="s">
        <v>40</v>
      </c>
      <c r="E24">
        <v>0.77339999999999998</v>
      </c>
      <c r="F24">
        <v>0.77339999999999998</v>
      </c>
      <c r="G24">
        <v>0.77339999999999998</v>
      </c>
      <c r="H24">
        <v>0.7752</v>
      </c>
      <c r="I24">
        <v>0.7752</v>
      </c>
      <c r="J24">
        <v>0.7752</v>
      </c>
      <c r="K24">
        <v>0.7752</v>
      </c>
      <c r="L24">
        <v>0.7752</v>
      </c>
      <c r="M24">
        <v>0.7752</v>
      </c>
      <c r="N24">
        <v>0.7752</v>
      </c>
      <c r="O24">
        <v>0.7752</v>
      </c>
      <c r="P24">
        <v>0.7752</v>
      </c>
      <c r="Q24">
        <v>0.7752</v>
      </c>
      <c r="R24">
        <v>0.7752</v>
      </c>
      <c r="S24">
        <v>0.7752</v>
      </c>
      <c r="T24">
        <v>0.7752</v>
      </c>
      <c r="U24">
        <v>0.7752</v>
      </c>
      <c r="V24">
        <v>0.7752</v>
      </c>
      <c r="W24">
        <v>0.7752</v>
      </c>
      <c r="X24">
        <v>0.7752</v>
      </c>
      <c r="Y24">
        <v>0.7752</v>
      </c>
      <c r="Z24">
        <v>0.7752</v>
      </c>
      <c r="AA24">
        <v>0.7752</v>
      </c>
      <c r="AB24">
        <v>0.7752</v>
      </c>
      <c r="AC24">
        <v>0.7752</v>
      </c>
      <c r="AD24">
        <v>0.7752</v>
      </c>
      <c r="AE24" t="s">
        <v>84</v>
      </c>
    </row>
    <row r="25" spans="1:31" x14ac:dyDescent="0.45">
      <c r="A25" t="s">
        <v>50</v>
      </c>
      <c r="B25" t="s">
        <v>109</v>
      </c>
      <c r="C25" t="s">
        <v>110</v>
      </c>
      <c r="D25" t="s">
        <v>40</v>
      </c>
      <c r="E25">
        <v>25.474499000000002</v>
      </c>
      <c r="F25">
        <v>25.474499000000002</v>
      </c>
      <c r="G25">
        <v>25.474499000000002</v>
      </c>
      <c r="H25">
        <v>25.476299000000001</v>
      </c>
      <c r="I25">
        <v>25.476299000000001</v>
      </c>
      <c r="J25">
        <v>25.383199999999999</v>
      </c>
      <c r="K25">
        <v>25.383199999999999</v>
      </c>
      <c r="L25">
        <v>25.383199999999999</v>
      </c>
      <c r="M25">
        <v>25.196698999999999</v>
      </c>
      <c r="N25">
        <v>25.196698999999999</v>
      </c>
      <c r="O25">
        <v>25.196698999999999</v>
      </c>
      <c r="P25">
        <v>25.196698999999999</v>
      </c>
      <c r="Q25">
        <v>25.196698999999999</v>
      </c>
      <c r="R25">
        <v>25.196698999999999</v>
      </c>
      <c r="S25">
        <v>25.196698999999999</v>
      </c>
      <c r="T25">
        <v>25.196698999999999</v>
      </c>
      <c r="U25">
        <v>25.196698999999999</v>
      </c>
      <c r="V25">
        <v>25.196698999999999</v>
      </c>
      <c r="W25">
        <v>25.196698999999999</v>
      </c>
      <c r="X25">
        <v>25.196698999999999</v>
      </c>
      <c r="Y25">
        <v>25.196698999999999</v>
      </c>
      <c r="Z25">
        <v>25.196698999999999</v>
      </c>
      <c r="AA25">
        <v>25.196698999999999</v>
      </c>
      <c r="AB25">
        <v>25.196698999999999</v>
      </c>
      <c r="AC25">
        <v>25.196698999999999</v>
      </c>
      <c r="AD25">
        <v>25.196698999999999</v>
      </c>
      <c r="AE25" t="s">
        <v>111</v>
      </c>
    </row>
    <row r="26" spans="1:31" x14ac:dyDescent="0.45">
      <c r="A26" t="s">
        <v>52</v>
      </c>
    </row>
    <row r="27" spans="1:31" x14ac:dyDescent="0.45">
      <c r="A27" t="s">
        <v>39</v>
      </c>
      <c r="B27" t="s">
        <v>112</v>
      </c>
      <c r="C27" t="s">
        <v>113</v>
      </c>
      <c r="D27" t="s">
        <v>40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t="s">
        <v>31</v>
      </c>
    </row>
    <row r="28" spans="1:31" x14ac:dyDescent="0.45">
      <c r="A28" t="s">
        <v>41</v>
      </c>
      <c r="B28" t="s">
        <v>114</v>
      </c>
      <c r="C28" t="s">
        <v>115</v>
      </c>
      <c r="D28" t="s">
        <v>40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31</v>
      </c>
    </row>
    <row r="29" spans="1:31" x14ac:dyDescent="0.45">
      <c r="A29" t="s">
        <v>42</v>
      </c>
      <c r="B29" t="s">
        <v>116</v>
      </c>
      <c r="C29" t="s">
        <v>117</v>
      </c>
      <c r="D29" t="s">
        <v>40</v>
      </c>
      <c r="E29">
        <v>0</v>
      </c>
      <c r="F29">
        <v>3.2827009999999999</v>
      </c>
      <c r="G29">
        <v>3.9277009999999999</v>
      </c>
      <c r="H29">
        <v>3.9277009999999999</v>
      </c>
      <c r="I29">
        <v>3.9277009999999999</v>
      </c>
      <c r="J29">
        <v>3.9277009999999999</v>
      </c>
      <c r="K29">
        <v>3.9277009999999999</v>
      </c>
      <c r="L29">
        <v>3.9277009999999999</v>
      </c>
      <c r="M29">
        <v>3.9277009999999999</v>
      </c>
      <c r="N29">
        <v>3.9277009999999999</v>
      </c>
      <c r="O29">
        <v>3.9277009999999999</v>
      </c>
      <c r="P29">
        <v>3.9277009999999999</v>
      </c>
      <c r="Q29">
        <v>3.9277009999999999</v>
      </c>
      <c r="R29">
        <v>3.9277009999999999</v>
      </c>
      <c r="S29">
        <v>3.9277009999999999</v>
      </c>
      <c r="T29">
        <v>3.9277009999999999</v>
      </c>
      <c r="U29">
        <v>3.9277009999999999</v>
      </c>
      <c r="V29">
        <v>3.9277009999999999</v>
      </c>
      <c r="W29">
        <v>3.9277009999999999</v>
      </c>
      <c r="X29">
        <v>3.9277009999999999</v>
      </c>
      <c r="Y29">
        <v>3.9277009999999999</v>
      </c>
      <c r="Z29">
        <v>3.9277009999999999</v>
      </c>
      <c r="AA29">
        <v>3.9277009999999999</v>
      </c>
      <c r="AB29">
        <v>3.9277009999999999</v>
      </c>
      <c r="AC29">
        <v>3.9277009999999999</v>
      </c>
      <c r="AD29">
        <v>3.9277009999999999</v>
      </c>
      <c r="AE29" t="s">
        <v>31</v>
      </c>
    </row>
    <row r="30" spans="1:31" x14ac:dyDescent="0.45">
      <c r="A30" t="s">
        <v>43</v>
      </c>
      <c r="B30" t="s">
        <v>118</v>
      </c>
      <c r="C30" t="s">
        <v>119</v>
      </c>
      <c r="D30" t="s">
        <v>40</v>
      </c>
      <c r="E30">
        <v>0</v>
      </c>
      <c r="F30">
        <v>2.6664029999999999</v>
      </c>
      <c r="G30">
        <v>3.8364039999999999</v>
      </c>
      <c r="H30">
        <v>3.8364039999999999</v>
      </c>
      <c r="I30">
        <v>3.8364039999999999</v>
      </c>
      <c r="J30">
        <v>3.8364039999999999</v>
      </c>
      <c r="K30">
        <v>3.8364039999999999</v>
      </c>
      <c r="L30">
        <v>3.8364039999999999</v>
      </c>
      <c r="M30">
        <v>3.8364039999999999</v>
      </c>
      <c r="N30">
        <v>3.8364039999999999</v>
      </c>
      <c r="O30">
        <v>3.8364039999999999</v>
      </c>
      <c r="P30">
        <v>3.8364039999999999</v>
      </c>
      <c r="Q30">
        <v>3.8364039999999999</v>
      </c>
      <c r="R30">
        <v>3.8364039999999999</v>
      </c>
      <c r="S30">
        <v>3.8364039999999999</v>
      </c>
      <c r="T30">
        <v>3.8364039999999999</v>
      </c>
      <c r="U30">
        <v>3.8364039999999999</v>
      </c>
      <c r="V30">
        <v>3.8364039999999999</v>
      </c>
      <c r="W30">
        <v>3.8364039999999999</v>
      </c>
      <c r="X30">
        <v>3.8364039999999999</v>
      </c>
      <c r="Y30">
        <v>3.8364039999999999</v>
      </c>
      <c r="Z30">
        <v>3.8364039999999999</v>
      </c>
      <c r="AA30">
        <v>3.8364039999999999</v>
      </c>
      <c r="AB30">
        <v>3.8364039999999999</v>
      </c>
      <c r="AC30">
        <v>3.8364039999999999</v>
      </c>
      <c r="AD30">
        <v>3.8364039999999999</v>
      </c>
      <c r="AE30" t="s">
        <v>31</v>
      </c>
    </row>
    <row r="31" spans="1:31" x14ac:dyDescent="0.45">
      <c r="A31" t="s">
        <v>44</v>
      </c>
      <c r="B31" t="s">
        <v>120</v>
      </c>
      <c r="C31" t="s">
        <v>121</v>
      </c>
      <c r="D31" t="s">
        <v>40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t="s">
        <v>31</v>
      </c>
    </row>
    <row r="32" spans="1:31" x14ac:dyDescent="0.45">
      <c r="A32" t="s">
        <v>45</v>
      </c>
      <c r="B32" t="s">
        <v>122</v>
      </c>
      <c r="C32" t="s">
        <v>123</v>
      </c>
      <c r="D32" t="s">
        <v>40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 t="s">
        <v>31</v>
      </c>
    </row>
    <row r="33" spans="1:31" x14ac:dyDescent="0.45">
      <c r="A33" t="s">
        <v>46</v>
      </c>
      <c r="B33" t="s">
        <v>124</v>
      </c>
      <c r="C33" t="s">
        <v>125</v>
      </c>
      <c r="D33" t="s">
        <v>40</v>
      </c>
      <c r="E33">
        <v>0</v>
      </c>
      <c r="F33">
        <v>21.494802</v>
      </c>
      <c r="G33">
        <v>34.736705999999998</v>
      </c>
      <c r="H33">
        <v>38.300300999999997</v>
      </c>
      <c r="I33">
        <v>41.588901999999997</v>
      </c>
      <c r="J33">
        <v>44.361297999999998</v>
      </c>
      <c r="K33">
        <v>45.084899999999998</v>
      </c>
      <c r="L33">
        <v>45.808501999999997</v>
      </c>
      <c r="M33">
        <v>46.532097</v>
      </c>
      <c r="N33">
        <v>46.807098000000003</v>
      </c>
      <c r="O33">
        <v>47.082099999999997</v>
      </c>
      <c r="P33">
        <v>47.082099999999997</v>
      </c>
      <c r="Q33">
        <v>47.082099999999997</v>
      </c>
      <c r="R33">
        <v>47.082099999999997</v>
      </c>
      <c r="S33">
        <v>47.082099999999997</v>
      </c>
      <c r="T33">
        <v>47.082099999999997</v>
      </c>
      <c r="U33">
        <v>47.082099999999997</v>
      </c>
      <c r="V33">
        <v>47.082099999999997</v>
      </c>
      <c r="W33">
        <v>47.082099999999997</v>
      </c>
      <c r="X33">
        <v>47.082099999999997</v>
      </c>
      <c r="Y33">
        <v>47.082099999999997</v>
      </c>
      <c r="Z33">
        <v>47.082099999999997</v>
      </c>
      <c r="AA33">
        <v>47.082099999999997</v>
      </c>
      <c r="AB33">
        <v>47.082099999999997</v>
      </c>
      <c r="AC33">
        <v>47.082099999999997</v>
      </c>
      <c r="AD33">
        <v>47.082099999999997</v>
      </c>
      <c r="AE33" t="s">
        <v>31</v>
      </c>
    </row>
    <row r="34" spans="1:31" x14ac:dyDescent="0.45">
      <c r="A34" t="s">
        <v>48</v>
      </c>
      <c r="B34" t="s">
        <v>126</v>
      </c>
      <c r="C34" t="s">
        <v>127</v>
      </c>
      <c r="D34" t="s">
        <v>40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 t="s">
        <v>31</v>
      </c>
    </row>
    <row r="35" spans="1:31" x14ac:dyDescent="0.45">
      <c r="A35" t="s">
        <v>47</v>
      </c>
      <c r="B35" t="s">
        <v>128</v>
      </c>
      <c r="C35" t="s">
        <v>129</v>
      </c>
      <c r="D35" t="s">
        <v>40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</v>
      </c>
    </row>
    <row r="36" spans="1:31" x14ac:dyDescent="0.45">
      <c r="A36" t="s">
        <v>49</v>
      </c>
      <c r="B36" t="s">
        <v>130</v>
      </c>
      <c r="C36" t="s">
        <v>131</v>
      </c>
      <c r="D36" t="s">
        <v>40</v>
      </c>
      <c r="E36">
        <v>0</v>
      </c>
      <c r="F36">
        <v>47.159660000000002</v>
      </c>
      <c r="G36">
        <v>78.650452000000001</v>
      </c>
      <c r="H36">
        <v>79.145256000000003</v>
      </c>
      <c r="I36">
        <v>80.839057999999994</v>
      </c>
      <c r="J36">
        <v>85.442161999999996</v>
      </c>
      <c r="K36">
        <v>89.295546999999999</v>
      </c>
      <c r="L36">
        <v>92.595450999999997</v>
      </c>
      <c r="M36">
        <v>95.895354999999995</v>
      </c>
      <c r="N36">
        <v>99.195250999999999</v>
      </c>
      <c r="O36">
        <v>102.09515399999999</v>
      </c>
      <c r="P36">
        <v>103.955963</v>
      </c>
      <c r="Q36">
        <v>105.452759</v>
      </c>
      <c r="R36">
        <v>106.94955400000001</v>
      </c>
      <c r="S36">
        <v>108.465363</v>
      </c>
      <c r="T36">
        <v>109.962158</v>
      </c>
      <c r="U36">
        <v>110.190758</v>
      </c>
      <c r="V36">
        <v>110.41935700000001</v>
      </c>
      <c r="W36">
        <v>110.64795700000001</v>
      </c>
      <c r="X36">
        <v>110.87655599999999</v>
      </c>
      <c r="Y36">
        <v>111.10515599999999</v>
      </c>
      <c r="Z36">
        <v>111.333755</v>
      </c>
      <c r="AA36">
        <v>111.562355</v>
      </c>
      <c r="AB36">
        <v>111.790955</v>
      </c>
      <c r="AC36">
        <v>112.01956199999999</v>
      </c>
      <c r="AD36">
        <v>112.248154</v>
      </c>
      <c r="AE36" t="s">
        <v>31</v>
      </c>
    </row>
    <row r="37" spans="1:31" x14ac:dyDescent="0.45">
      <c r="A37" t="s">
        <v>50</v>
      </c>
      <c r="B37" t="s">
        <v>132</v>
      </c>
      <c r="C37" t="s">
        <v>133</v>
      </c>
      <c r="D37" t="s">
        <v>40</v>
      </c>
      <c r="E37">
        <v>0</v>
      </c>
      <c r="F37">
        <v>74.603568999999993</v>
      </c>
      <c r="G37">
        <v>121.15123699999999</v>
      </c>
      <c r="H37">
        <v>125.209656</v>
      </c>
      <c r="I37">
        <v>130.192047</v>
      </c>
      <c r="J37">
        <v>137.56755100000001</v>
      </c>
      <c r="K37">
        <v>142.14456200000001</v>
      </c>
      <c r="L37">
        <v>146.16806</v>
      </c>
      <c r="M37">
        <v>150.19155900000001</v>
      </c>
      <c r="N37">
        <v>153.76646400000001</v>
      </c>
      <c r="O37">
        <v>156.94136</v>
      </c>
      <c r="P37">
        <v>158.802155</v>
      </c>
      <c r="Q37">
        <v>160.29894999999999</v>
      </c>
      <c r="R37">
        <v>161.79574600000001</v>
      </c>
      <c r="S37">
        <v>163.311554</v>
      </c>
      <c r="T37">
        <v>164.80834999999999</v>
      </c>
      <c r="U37">
        <v>165.036957</v>
      </c>
      <c r="V37">
        <v>165.265533</v>
      </c>
      <c r="W37">
        <v>165.49414100000001</v>
      </c>
      <c r="X37">
        <v>165.722748</v>
      </c>
      <c r="Y37">
        <v>165.95135500000001</v>
      </c>
      <c r="Z37">
        <v>166.17993200000001</v>
      </c>
      <c r="AA37">
        <v>166.40853899999999</v>
      </c>
      <c r="AB37">
        <v>166.637146</v>
      </c>
      <c r="AC37">
        <v>166.86575300000001</v>
      </c>
      <c r="AD37">
        <v>167.09433000000001</v>
      </c>
      <c r="AE37" t="s">
        <v>31</v>
      </c>
    </row>
    <row r="38" spans="1:31" x14ac:dyDescent="0.45">
      <c r="A38" t="s">
        <v>53</v>
      </c>
    </row>
    <row r="39" spans="1:31" x14ac:dyDescent="0.45">
      <c r="A39" t="s">
        <v>39</v>
      </c>
      <c r="B39" t="s">
        <v>134</v>
      </c>
      <c r="C39" t="s">
        <v>135</v>
      </c>
      <c r="D39" t="s">
        <v>40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1.621E-3</v>
      </c>
      <c r="O39">
        <v>1.621E-3</v>
      </c>
      <c r="P39">
        <v>1.621E-3</v>
      </c>
      <c r="Q39">
        <v>1.621E-3</v>
      </c>
      <c r="R39">
        <v>1.621E-3</v>
      </c>
      <c r="S39">
        <v>1.621E-3</v>
      </c>
      <c r="T39">
        <v>1.621E-3</v>
      </c>
      <c r="U39">
        <v>1.621E-3</v>
      </c>
      <c r="V39">
        <v>1.621E-3</v>
      </c>
      <c r="W39">
        <v>1.621E-3</v>
      </c>
      <c r="X39">
        <v>1.621E-3</v>
      </c>
      <c r="Y39">
        <v>1.621E-3</v>
      </c>
      <c r="Z39">
        <v>1.621E-3</v>
      </c>
      <c r="AA39">
        <v>1.621E-3</v>
      </c>
      <c r="AB39">
        <v>1.621E-3</v>
      </c>
      <c r="AC39">
        <v>1.621E-3</v>
      </c>
      <c r="AD39">
        <v>1.621E-3</v>
      </c>
      <c r="AE39" t="s">
        <v>31</v>
      </c>
    </row>
    <row r="40" spans="1:31" x14ac:dyDescent="0.45">
      <c r="A40" t="s">
        <v>41</v>
      </c>
      <c r="B40" t="s">
        <v>136</v>
      </c>
      <c r="C40" t="s">
        <v>137</v>
      </c>
      <c r="D40" t="s">
        <v>40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31</v>
      </c>
    </row>
    <row r="41" spans="1:31" x14ac:dyDescent="0.45">
      <c r="A41" t="s">
        <v>42</v>
      </c>
      <c r="B41" t="s">
        <v>138</v>
      </c>
      <c r="C41" t="s">
        <v>139</v>
      </c>
      <c r="D41" t="s">
        <v>40</v>
      </c>
      <c r="E41">
        <v>0</v>
      </c>
      <c r="F41">
        <v>0</v>
      </c>
      <c r="G41">
        <v>0</v>
      </c>
      <c r="H41">
        <v>5</v>
      </c>
      <c r="I41">
        <v>15.596173</v>
      </c>
      <c r="J41">
        <v>24.380009000000001</v>
      </c>
      <c r="K41">
        <v>35.457954000000001</v>
      </c>
      <c r="L41">
        <v>49.305377999999997</v>
      </c>
      <c r="M41">
        <v>56.146552999999997</v>
      </c>
      <c r="N41">
        <v>61.987552999999998</v>
      </c>
      <c r="O41">
        <v>71.198882999999995</v>
      </c>
      <c r="P41">
        <v>78.856178</v>
      </c>
      <c r="Q41">
        <v>86.670608999999999</v>
      </c>
      <c r="R41">
        <v>92.240273000000002</v>
      </c>
      <c r="S41">
        <v>98.490279999999998</v>
      </c>
      <c r="T41">
        <v>106.302773</v>
      </c>
      <c r="U41">
        <v>116.068382</v>
      </c>
      <c r="V41">
        <v>128.27543600000001</v>
      </c>
      <c r="W41">
        <v>139.80296300000001</v>
      </c>
      <c r="X41">
        <v>151.56950399999999</v>
      </c>
      <c r="Y41">
        <v>163.81817599999999</v>
      </c>
      <c r="Z41">
        <v>172.728577</v>
      </c>
      <c r="AA41">
        <v>180.399551</v>
      </c>
      <c r="AB41">
        <v>188.40722700000001</v>
      </c>
      <c r="AC41">
        <v>195.637283</v>
      </c>
      <c r="AD41">
        <v>204.674835</v>
      </c>
      <c r="AE41" t="s">
        <v>31</v>
      </c>
    </row>
    <row r="42" spans="1:31" x14ac:dyDescent="0.45">
      <c r="A42" t="s">
        <v>43</v>
      </c>
      <c r="B42" t="s">
        <v>140</v>
      </c>
      <c r="C42" t="s">
        <v>141</v>
      </c>
      <c r="D42" t="s">
        <v>40</v>
      </c>
      <c r="E42">
        <v>0</v>
      </c>
      <c r="F42">
        <v>0</v>
      </c>
      <c r="G42">
        <v>5</v>
      </c>
      <c r="H42">
        <v>10.16028</v>
      </c>
      <c r="I42">
        <v>14.024336999999999</v>
      </c>
      <c r="J42">
        <v>17.020330000000001</v>
      </c>
      <c r="K42">
        <v>20.353808999999998</v>
      </c>
      <c r="L42">
        <v>20.353808999999998</v>
      </c>
      <c r="M42">
        <v>20.681425000000001</v>
      </c>
      <c r="N42">
        <v>21.509041</v>
      </c>
      <c r="O42">
        <v>23.153272999999999</v>
      </c>
      <c r="P42">
        <v>24.473932000000001</v>
      </c>
      <c r="Q42">
        <v>26.852896000000001</v>
      </c>
      <c r="R42">
        <v>31.736754999999999</v>
      </c>
      <c r="S42">
        <v>35.30489</v>
      </c>
      <c r="T42">
        <v>40.501102000000003</v>
      </c>
      <c r="U42">
        <v>45.112743000000002</v>
      </c>
      <c r="V42">
        <v>47.925812000000001</v>
      </c>
      <c r="W42">
        <v>49.173149000000002</v>
      </c>
      <c r="X42">
        <v>50.380566000000002</v>
      </c>
      <c r="Y42">
        <v>52.071174999999997</v>
      </c>
      <c r="Z42">
        <v>54.521915</v>
      </c>
      <c r="AA42">
        <v>58.397326999999997</v>
      </c>
      <c r="AB42">
        <v>61.909644999999998</v>
      </c>
      <c r="AC42">
        <v>66.909644999999998</v>
      </c>
      <c r="AD42">
        <v>70.017120000000006</v>
      </c>
      <c r="AE42" t="s">
        <v>31</v>
      </c>
    </row>
    <row r="43" spans="1:31" x14ac:dyDescent="0.45">
      <c r="A43" t="s">
        <v>44</v>
      </c>
      <c r="B43" t="s">
        <v>142</v>
      </c>
      <c r="C43" t="s">
        <v>143</v>
      </c>
      <c r="D43" t="s">
        <v>40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31</v>
      </c>
    </row>
    <row r="44" spans="1:31" x14ac:dyDescent="0.45">
      <c r="A44" t="s">
        <v>45</v>
      </c>
      <c r="B44" t="s">
        <v>144</v>
      </c>
      <c r="C44" t="s">
        <v>145</v>
      </c>
      <c r="D44" t="s">
        <v>40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31</v>
      </c>
    </row>
    <row r="45" spans="1:31" x14ac:dyDescent="0.45">
      <c r="A45" t="s">
        <v>46</v>
      </c>
      <c r="B45" t="s">
        <v>146</v>
      </c>
      <c r="C45" t="s">
        <v>147</v>
      </c>
      <c r="D45" t="s">
        <v>40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1.9879000000000001E-2</v>
      </c>
      <c r="U45">
        <v>4.2505000000000001E-2</v>
      </c>
      <c r="V45">
        <v>4.2505000000000001E-2</v>
      </c>
      <c r="W45">
        <v>8.6295999999999998E-2</v>
      </c>
      <c r="X45">
        <v>0.109152</v>
      </c>
      <c r="Y45">
        <v>0.16548199999999999</v>
      </c>
      <c r="Z45">
        <v>0.19198299999999999</v>
      </c>
      <c r="AA45">
        <v>0.23680100000000001</v>
      </c>
      <c r="AB45">
        <v>0.26461699999999999</v>
      </c>
      <c r="AC45">
        <v>0.26461699999999999</v>
      </c>
      <c r="AD45">
        <v>0.303315</v>
      </c>
      <c r="AE45" t="s">
        <v>31</v>
      </c>
    </row>
    <row r="46" spans="1:31" x14ac:dyDescent="0.45">
      <c r="A46" t="s">
        <v>47</v>
      </c>
      <c r="B46" t="s">
        <v>148</v>
      </c>
      <c r="C46" t="s">
        <v>149</v>
      </c>
      <c r="D46" t="s">
        <v>40</v>
      </c>
      <c r="E46">
        <v>0</v>
      </c>
      <c r="F46">
        <v>0</v>
      </c>
      <c r="G46">
        <v>1.5</v>
      </c>
      <c r="H46">
        <v>1.5</v>
      </c>
      <c r="I46">
        <v>1.5</v>
      </c>
      <c r="J46">
        <v>1.5</v>
      </c>
      <c r="K46">
        <v>1.5</v>
      </c>
      <c r="L46">
        <v>1.5</v>
      </c>
      <c r="M46">
        <v>1.5</v>
      </c>
      <c r="N46">
        <v>1.5</v>
      </c>
      <c r="O46">
        <v>1.5</v>
      </c>
      <c r="P46">
        <v>1.5</v>
      </c>
      <c r="Q46">
        <v>1.5</v>
      </c>
      <c r="R46">
        <v>1.5</v>
      </c>
      <c r="S46">
        <v>1.5</v>
      </c>
      <c r="T46">
        <v>1.5</v>
      </c>
      <c r="U46">
        <v>1.5</v>
      </c>
      <c r="V46">
        <v>1.5</v>
      </c>
      <c r="W46">
        <v>1.5</v>
      </c>
      <c r="X46">
        <v>1.5</v>
      </c>
      <c r="Y46">
        <v>1.5</v>
      </c>
      <c r="Z46">
        <v>1.5</v>
      </c>
      <c r="AA46">
        <v>1.5</v>
      </c>
      <c r="AB46">
        <v>1.5</v>
      </c>
      <c r="AC46">
        <v>1.5230509999999999</v>
      </c>
      <c r="AD46">
        <v>1.5230509999999999</v>
      </c>
      <c r="AE46" t="s">
        <v>31</v>
      </c>
    </row>
    <row r="47" spans="1:31" x14ac:dyDescent="0.45">
      <c r="A47" t="s">
        <v>48</v>
      </c>
      <c r="B47" t="s">
        <v>150</v>
      </c>
      <c r="C47" t="s">
        <v>151</v>
      </c>
      <c r="D47" t="s">
        <v>40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31</v>
      </c>
    </row>
    <row r="48" spans="1:31" x14ac:dyDescent="0.45">
      <c r="A48" t="s">
        <v>49</v>
      </c>
      <c r="B48" t="s">
        <v>152</v>
      </c>
      <c r="C48" t="s">
        <v>153</v>
      </c>
      <c r="D48" t="s">
        <v>40</v>
      </c>
      <c r="E48">
        <v>0</v>
      </c>
      <c r="F48">
        <v>0.111717</v>
      </c>
      <c r="G48">
        <v>7.4035209999999996</v>
      </c>
      <c r="H48">
        <v>35.272559999999999</v>
      </c>
      <c r="I48">
        <v>49.764674999999997</v>
      </c>
      <c r="J48">
        <v>57.041176</v>
      </c>
      <c r="K48">
        <v>65.911445999999998</v>
      </c>
      <c r="L48">
        <v>68.875572000000005</v>
      </c>
      <c r="M48">
        <v>75.711913999999993</v>
      </c>
      <c r="N48">
        <v>86.747566000000006</v>
      </c>
      <c r="O48">
        <v>100.491501</v>
      </c>
      <c r="P48">
        <v>114.83891300000001</v>
      </c>
      <c r="Q48">
        <v>122.958664</v>
      </c>
      <c r="R48">
        <v>130.461761</v>
      </c>
      <c r="S48">
        <v>138.67408800000001</v>
      </c>
      <c r="T48">
        <v>146.77731299999999</v>
      </c>
      <c r="U48">
        <v>154.03718599999999</v>
      </c>
      <c r="V48">
        <v>155.576401</v>
      </c>
      <c r="W48">
        <v>155.77040099999999</v>
      </c>
      <c r="X48">
        <v>155.951447</v>
      </c>
      <c r="Y48">
        <v>156.09428399999999</v>
      </c>
      <c r="Z48">
        <v>156.95507799999999</v>
      </c>
      <c r="AA48">
        <v>158.33012400000001</v>
      </c>
      <c r="AB48">
        <v>158.47416699999999</v>
      </c>
      <c r="AC48">
        <v>160.07704200000001</v>
      </c>
      <c r="AD48">
        <v>162.06452899999999</v>
      </c>
      <c r="AE48" t="s">
        <v>31</v>
      </c>
    </row>
    <row r="49" spans="1:31" x14ac:dyDescent="0.45">
      <c r="A49" t="s">
        <v>50</v>
      </c>
      <c r="B49" t="s">
        <v>154</v>
      </c>
      <c r="C49" t="s">
        <v>155</v>
      </c>
      <c r="D49" t="s">
        <v>40</v>
      </c>
      <c r="E49">
        <v>0</v>
      </c>
      <c r="F49">
        <v>0.111717</v>
      </c>
      <c r="G49">
        <v>13.903521</v>
      </c>
      <c r="H49">
        <v>51.932842000000001</v>
      </c>
      <c r="I49">
        <v>80.885161999999994</v>
      </c>
      <c r="J49">
        <v>99.941520999999995</v>
      </c>
      <c r="K49">
        <v>123.22318300000001</v>
      </c>
      <c r="L49">
        <v>140.03474399999999</v>
      </c>
      <c r="M49">
        <v>154.03990200000001</v>
      </c>
      <c r="N49">
        <v>171.745743</v>
      </c>
      <c r="O49">
        <v>196.345215</v>
      </c>
      <c r="P49">
        <v>219.670624</v>
      </c>
      <c r="Q49">
        <v>237.98378</v>
      </c>
      <c r="R49">
        <v>255.94039900000001</v>
      </c>
      <c r="S49">
        <v>273.97079500000001</v>
      </c>
      <c r="T49">
        <v>295.10253899999998</v>
      </c>
      <c r="U49">
        <v>316.762451</v>
      </c>
      <c r="V49">
        <v>333.32174700000002</v>
      </c>
      <c r="W49">
        <v>346.33431999999999</v>
      </c>
      <c r="X49">
        <v>359.51220699999999</v>
      </c>
      <c r="Y49">
        <v>373.65072600000002</v>
      </c>
      <c r="Z49">
        <v>385.899292</v>
      </c>
      <c r="AA49">
        <v>398.865387</v>
      </c>
      <c r="AB49">
        <v>410.55728099999999</v>
      </c>
      <c r="AC49">
        <v>424.41317700000002</v>
      </c>
      <c r="AD49">
        <v>438.58429000000001</v>
      </c>
      <c r="AE49" t="s">
        <v>31</v>
      </c>
    </row>
    <row r="50" spans="1:31" x14ac:dyDescent="0.45">
      <c r="A50" t="s">
        <v>54</v>
      </c>
      <c r="B50" t="s">
        <v>156</v>
      </c>
      <c r="C50" t="s">
        <v>157</v>
      </c>
      <c r="D50" t="s">
        <v>40</v>
      </c>
      <c r="E50">
        <v>0</v>
      </c>
      <c r="F50">
        <v>74.715286000000006</v>
      </c>
      <c r="G50">
        <v>135.05476400000001</v>
      </c>
      <c r="H50">
        <v>177.14250200000001</v>
      </c>
      <c r="I50">
        <v>211.07720900000001</v>
      </c>
      <c r="J50">
        <v>237.509064</v>
      </c>
      <c r="K50">
        <v>265.36773699999998</v>
      </c>
      <c r="L50">
        <v>286.20281999999997</v>
      </c>
      <c r="M50">
        <v>304.23144500000001</v>
      </c>
      <c r="N50">
        <v>325.51220699999999</v>
      </c>
      <c r="O50">
        <v>353.28656000000001</v>
      </c>
      <c r="P50">
        <v>378.47277800000001</v>
      </c>
      <c r="Q50">
        <v>398.282715</v>
      </c>
      <c r="R50">
        <v>417.73614500000002</v>
      </c>
      <c r="S50">
        <v>437.28234900000001</v>
      </c>
      <c r="T50">
        <v>459.910889</v>
      </c>
      <c r="U50">
        <v>481.79940800000003</v>
      </c>
      <c r="V50">
        <v>498.58728000000002</v>
      </c>
      <c r="W50">
        <v>511.828461</v>
      </c>
      <c r="X50">
        <v>525.23498500000005</v>
      </c>
      <c r="Y50">
        <v>539.60205099999996</v>
      </c>
      <c r="Z50">
        <v>552.07922399999995</v>
      </c>
      <c r="AA50">
        <v>565.27392599999996</v>
      </c>
      <c r="AB50">
        <v>577.19445800000005</v>
      </c>
      <c r="AC50">
        <v>591.27893099999994</v>
      </c>
      <c r="AD50">
        <v>605.67858899999999</v>
      </c>
      <c r="AE50" t="s">
        <v>31</v>
      </c>
    </row>
    <row r="51" spans="1:31" x14ac:dyDescent="0.45">
      <c r="A51" t="s">
        <v>55</v>
      </c>
    </row>
    <row r="52" spans="1:31" x14ac:dyDescent="0.45">
      <c r="A52" t="s">
        <v>39</v>
      </c>
      <c r="B52" t="s">
        <v>158</v>
      </c>
      <c r="C52" t="s">
        <v>159</v>
      </c>
      <c r="D52" t="s">
        <v>40</v>
      </c>
      <c r="E52">
        <v>0</v>
      </c>
      <c r="F52">
        <v>2.7179000000000002</v>
      </c>
      <c r="G52">
        <v>5.9859</v>
      </c>
      <c r="H52">
        <v>18.268598999999998</v>
      </c>
      <c r="I52">
        <v>29.063601999999999</v>
      </c>
      <c r="J52">
        <v>35.695003999999997</v>
      </c>
      <c r="K52">
        <v>48.526401999999997</v>
      </c>
      <c r="L52">
        <v>56.656711999999999</v>
      </c>
      <c r="M52">
        <v>58.72871</v>
      </c>
      <c r="N52">
        <v>59.539715000000001</v>
      </c>
      <c r="O52">
        <v>60.495719999999999</v>
      </c>
      <c r="P52">
        <v>61.355713000000002</v>
      </c>
      <c r="Q52">
        <v>61.355713000000002</v>
      </c>
      <c r="R52">
        <v>61.702713000000003</v>
      </c>
      <c r="S52">
        <v>62.041710000000002</v>
      </c>
      <c r="T52">
        <v>64.301704000000001</v>
      </c>
      <c r="U52">
        <v>66.741707000000005</v>
      </c>
      <c r="V52">
        <v>68.391707999999994</v>
      </c>
      <c r="W52">
        <v>68.391707999999994</v>
      </c>
      <c r="X52">
        <v>68.932075999999995</v>
      </c>
      <c r="Y52">
        <v>69.782073999999994</v>
      </c>
      <c r="Z52">
        <v>70.388076999999996</v>
      </c>
      <c r="AA52">
        <v>70.388076999999996</v>
      </c>
      <c r="AB52">
        <v>70.428077999999999</v>
      </c>
      <c r="AC52">
        <v>71.508080000000007</v>
      </c>
      <c r="AD52">
        <v>71.605575999999999</v>
      </c>
      <c r="AE52" t="s">
        <v>31</v>
      </c>
    </row>
    <row r="53" spans="1:31" x14ac:dyDescent="0.45">
      <c r="A53" t="s">
        <v>41</v>
      </c>
      <c r="B53" t="s">
        <v>160</v>
      </c>
      <c r="C53" t="s">
        <v>161</v>
      </c>
      <c r="D53" t="s">
        <v>40</v>
      </c>
      <c r="E53">
        <v>0</v>
      </c>
      <c r="F53">
        <v>1.1080000000000001</v>
      </c>
      <c r="G53">
        <v>7.6669999999999998</v>
      </c>
      <c r="H53">
        <v>10.455101000000001</v>
      </c>
      <c r="I53">
        <v>13.3872</v>
      </c>
      <c r="J53">
        <v>14.927600999999999</v>
      </c>
      <c r="K53">
        <v>18.688500999999999</v>
      </c>
      <c r="L53">
        <v>22.216906000000002</v>
      </c>
      <c r="M53">
        <v>23.841103</v>
      </c>
      <c r="N53">
        <v>24.740105</v>
      </c>
      <c r="O53">
        <v>26.497202000000001</v>
      </c>
      <c r="P53">
        <v>26.497202000000001</v>
      </c>
      <c r="Q53">
        <v>27.068203</v>
      </c>
      <c r="R53">
        <v>27.068203</v>
      </c>
      <c r="S53">
        <v>27.068203</v>
      </c>
      <c r="T53">
        <v>27.505203000000002</v>
      </c>
      <c r="U53">
        <v>27.505203000000002</v>
      </c>
      <c r="V53">
        <v>27.505203000000002</v>
      </c>
      <c r="W53">
        <v>27.505203000000002</v>
      </c>
      <c r="X53">
        <v>27.505203000000002</v>
      </c>
      <c r="Y53">
        <v>27.505203000000002</v>
      </c>
      <c r="Z53">
        <v>27.505203000000002</v>
      </c>
      <c r="AA53">
        <v>27.697903</v>
      </c>
      <c r="AB53">
        <v>27.697903</v>
      </c>
      <c r="AC53">
        <v>27.697903</v>
      </c>
      <c r="AD53">
        <v>27.697903</v>
      </c>
      <c r="AE53" t="s">
        <v>31</v>
      </c>
    </row>
    <row r="54" spans="1:31" x14ac:dyDescent="0.45">
      <c r="A54" t="s">
        <v>42</v>
      </c>
      <c r="B54" t="s">
        <v>162</v>
      </c>
      <c r="C54" t="s">
        <v>163</v>
      </c>
      <c r="D54" t="s">
        <v>40</v>
      </c>
      <c r="E54">
        <v>0</v>
      </c>
      <c r="F54">
        <v>0</v>
      </c>
      <c r="G54">
        <v>0.45</v>
      </c>
      <c r="H54">
        <v>0.85399999999999998</v>
      </c>
      <c r="I54">
        <v>0.85399999999999998</v>
      </c>
      <c r="J54">
        <v>1.2176</v>
      </c>
      <c r="K54">
        <v>2.7781039999999999</v>
      </c>
      <c r="L54">
        <v>3.587904</v>
      </c>
      <c r="M54">
        <v>3.9188040000000002</v>
      </c>
      <c r="N54">
        <v>4.2176039999999997</v>
      </c>
      <c r="O54">
        <v>5.6104039999999999</v>
      </c>
      <c r="P54">
        <v>5.6104039999999999</v>
      </c>
      <c r="Q54">
        <v>5.6733039999999999</v>
      </c>
      <c r="R54">
        <v>5.6733039999999999</v>
      </c>
      <c r="S54">
        <v>5.6733039999999999</v>
      </c>
      <c r="T54">
        <v>5.6733039999999999</v>
      </c>
      <c r="U54">
        <v>5.6733039999999999</v>
      </c>
      <c r="V54">
        <v>5.6733039999999999</v>
      </c>
      <c r="W54">
        <v>5.6733039999999999</v>
      </c>
      <c r="X54">
        <v>6.1503040000000002</v>
      </c>
      <c r="Y54">
        <v>6.1503040000000002</v>
      </c>
      <c r="Z54">
        <v>6.1503040000000002</v>
      </c>
      <c r="AA54">
        <v>6.1503040000000002</v>
      </c>
      <c r="AB54">
        <v>6.1503040000000002</v>
      </c>
      <c r="AC54">
        <v>6.1503040000000002</v>
      </c>
      <c r="AD54">
        <v>6.1503040000000002</v>
      </c>
      <c r="AE54" t="s">
        <v>31</v>
      </c>
    </row>
    <row r="55" spans="1:31" x14ac:dyDescent="0.45">
      <c r="A55" t="s">
        <v>43</v>
      </c>
      <c r="B55" t="s">
        <v>164</v>
      </c>
      <c r="C55" t="s">
        <v>165</v>
      </c>
      <c r="D55" t="s">
        <v>40</v>
      </c>
      <c r="E55">
        <v>0</v>
      </c>
      <c r="F55">
        <v>1.5945</v>
      </c>
      <c r="G55">
        <v>2.1671</v>
      </c>
      <c r="H55">
        <v>2.2219000000000002</v>
      </c>
      <c r="I55">
        <v>2.7008000000000001</v>
      </c>
      <c r="J55">
        <v>2.9314</v>
      </c>
      <c r="K55">
        <v>3.0655999999999999</v>
      </c>
      <c r="L55">
        <v>3.6488</v>
      </c>
      <c r="M55">
        <v>3.7648999999999999</v>
      </c>
      <c r="N55">
        <v>3.9218999999999999</v>
      </c>
      <c r="O55">
        <v>3.9388999999999998</v>
      </c>
      <c r="P55">
        <v>4.1459010000000003</v>
      </c>
      <c r="Q55">
        <v>4.1459010000000003</v>
      </c>
      <c r="R55">
        <v>4.1459010000000003</v>
      </c>
      <c r="S55">
        <v>4.1459010000000003</v>
      </c>
      <c r="T55">
        <v>4.1486010000000002</v>
      </c>
      <c r="U55">
        <v>4.5515999999999996</v>
      </c>
      <c r="V55">
        <v>4.5515999999999996</v>
      </c>
      <c r="W55">
        <v>4.5515999999999996</v>
      </c>
      <c r="X55">
        <v>4.5515999999999996</v>
      </c>
      <c r="Y55">
        <v>4.569</v>
      </c>
      <c r="Z55">
        <v>4.569</v>
      </c>
      <c r="AA55">
        <v>4.5709999999999997</v>
      </c>
      <c r="AB55">
        <v>4.5709999999999997</v>
      </c>
      <c r="AC55">
        <v>4.5709999999999997</v>
      </c>
      <c r="AD55">
        <v>4.5810000000000004</v>
      </c>
      <c r="AE55" t="s">
        <v>31</v>
      </c>
    </row>
    <row r="56" spans="1:31" x14ac:dyDescent="0.45">
      <c r="A56" t="s">
        <v>44</v>
      </c>
      <c r="B56" t="s">
        <v>166</v>
      </c>
      <c r="C56" t="s">
        <v>167</v>
      </c>
      <c r="D56" t="s">
        <v>40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 t="s">
        <v>31</v>
      </c>
    </row>
    <row r="57" spans="1:31" x14ac:dyDescent="0.45">
      <c r="A57" t="s">
        <v>45</v>
      </c>
      <c r="B57" t="s">
        <v>168</v>
      </c>
      <c r="C57" t="s">
        <v>169</v>
      </c>
      <c r="D57" t="s">
        <v>40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 t="s">
        <v>31</v>
      </c>
    </row>
    <row r="58" spans="1:31" x14ac:dyDescent="0.45">
      <c r="A58" t="s">
        <v>46</v>
      </c>
      <c r="B58" t="s">
        <v>170</v>
      </c>
      <c r="C58" t="s">
        <v>171</v>
      </c>
      <c r="D58" t="s">
        <v>40</v>
      </c>
      <c r="E58">
        <v>0</v>
      </c>
      <c r="F58">
        <v>7.0000000000000001E-3</v>
      </c>
      <c r="G58">
        <v>7.0000000000000001E-3</v>
      </c>
      <c r="H58">
        <v>7.0000000000000001E-3</v>
      </c>
      <c r="I58">
        <v>7.0000000000000001E-3</v>
      </c>
      <c r="J58">
        <v>7.0000000000000001E-3</v>
      </c>
      <c r="K58">
        <v>7.0000000000000001E-3</v>
      </c>
      <c r="L58">
        <v>1.6899999999999998E-2</v>
      </c>
      <c r="M58">
        <v>1.6899999999999998E-2</v>
      </c>
      <c r="N58">
        <v>1.6899999999999998E-2</v>
      </c>
      <c r="O58">
        <v>1.6899999999999998E-2</v>
      </c>
      <c r="P58">
        <v>1.7399999999999999E-2</v>
      </c>
      <c r="Q58">
        <v>1.7399999999999999E-2</v>
      </c>
      <c r="R58">
        <v>1.7399999999999999E-2</v>
      </c>
      <c r="S58">
        <v>1.7399999999999999E-2</v>
      </c>
      <c r="T58">
        <v>1.7399999999999999E-2</v>
      </c>
      <c r="U58">
        <v>2.8400000000000002E-2</v>
      </c>
      <c r="V58">
        <v>0.22839999999999999</v>
      </c>
      <c r="W58">
        <v>0.22839999999999999</v>
      </c>
      <c r="X58">
        <v>0.22839999999999999</v>
      </c>
      <c r="Y58">
        <v>0.22839999999999999</v>
      </c>
      <c r="Z58">
        <v>0.22839999999999999</v>
      </c>
      <c r="AA58">
        <v>0.22839999999999999</v>
      </c>
      <c r="AB58">
        <v>0.22839999999999999</v>
      </c>
      <c r="AC58">
        <v>0.22839999999999999</v>
      </c>
      <c r="AD58">
        <v>0.22839999999999999</v>
      </c>
      <c r="AE58" t="s">
        <v>31</v>
      </c>
    </row>
    <row r="59" spans="1:31" x14ac:dyDescent="0.45">
      <c r="A59" t="s">
        <v>47</v>
      </c>
      <c r="B59" t="s">
        <v>172</v>
      </c>
      <c r="C59" t="s">
        <v>173</v>
      </c>
      <c r="D59" t="s">
        <v>40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 t="s">
        <v>31</v>
      </c>
    </row>
    <row r="60" spans="1:31" x14ac:dyDescent="0.45">
      <c r="A60" t="s">
        <v>48</v>
      </c>
      <c r="B60" t="s">
        <v>174</v>
      </c>
      <c r="C60" t="s">
        <v>175</v>
      </c>
      <c r="D60" t="s">
        <v>40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1.1000000000000001E-3</v>
      </c>
      <c r="L60">
        <v>1.1000000000000001E-3</v>
      </c>
      <c r="M60">
        <v>1.1000000000000001E-3</v>
      </c>
      <c r="N60">
        <v>1.1000000000000001E-3</v>
      </c>
      <c r="O60">
        <v>6.1000000000000004E-3</v>
      </c>
      <c r="P60">
        <v>8.6E-3</v>
      </c>
      <c r="Q60">
        <v>1.0800000000000001E-2</v>
      </c>
      <c r="R60">
        <v>1.0800000000000001E-2</v>
      </c>
      <c r="S60">
        <v>1.0800000000000001E-2</v>
      </c>
      <c r="T60">
        <v>1.0800000000000001E-2</v>
      </c>
      <c r="U60">
        <v>1.0800000000000001E-2</v>
      </c>
      <c r="V60">
        <v>1.0800000000000001E-2</v>
      </c>
      <c r="W60">
        <v>1.0800000000000001E-2</v>
      </c>
      <c r="X60">
        <v>1.0800000000000001E-2</v>
      </c>
      <c r="Y60">
        <v>1.0800000000000001E-2</v>
      </c>
      <c r="Z60">
        <v>1.0800000000000001E-2</v>
      </c>
      <c r="AA60">
        <v>1.0800000000000001E-2</v>
      </c>
      <c r="AB60">
        <v>1.0800000000000001E-2</v>
      </c>
      <c r="AC60">
        <v>1.0800000000000001E-2</v>
      </c>
      <c r="AD60">
        <v>1.0800000000000001E-2</v>
      </c>
      <c r="AE60" t="s">
        <v>31</v>
      </c>
    </row>
    <row r="61" spans="1:31" x14ac:dyDescent="0.45">
      <c r="A61" t="s">
        <v>49</v>
      </c>
      <c r="B61" t="s">
        <v>176</v>
      </c>
      <c r="C61" t="s">
        <v>177</v>
      </c>
      <c r="D61" t="s">
        <v>40</v>
      </c>
      <c r="E61">
        <v>0</v>
      </c>
      <c r="F61">
        <v>9.4999999999999998E-3</v>
      </c>
      <c r="G61">
        <v>0.10290000000000001</v>
      </c>
      <c r="H61">
        <v>0.2535</v>
      </c>
      <c r="I61">
        <v>0.37180000000000002</v>
      </c>
      <c r="J61">
        <v>0.74639999999999995</v>
      </c>
      <c r="K61">
        <v>1.1388</v>
      </c>
      <c r="L61">
        <v>1.1876</v>
      </c>
      <c r="M61">
        <v>1.3601000000000001</v>
      </c>
      <c r="N61">
        <v>1.6017999999999999</v>
      </c>
      <c r="O61">
        <v>2.0546000000000002</v>
      </c>
      <c r="P61">
        <v>2.0857999999999999</v>
      </c>
      <c r="Q61">
        <v>2.0857999999999999</v>
      </c>
      <c r="R61">
        <v>2.0857999999999999</v>
      </c>
      <c r="S61">
        <v>2.0857999999999999</v>
      </c>
      <c r="T61">
        <v>2.0857999999999999</v>
      </c>
      <c r="U61">
        <v>2.0857999999999999</v>
      </c>
      <c r="V61">
        <v>2.0857999999999999</v>
      </c>
      <c r="W61">
        <v>2.1097999999999999</v>
      </c>
      <c r="X61">
        <v>2.1897000000000002</v>
      </c>
      <c r="Y61">
        <v>2.1911</v>
      </c>
      <c r="Z61">
        <v>2.1987000000000001</v>
      </c>
      <c r="AA61">
        <v>2.2017000000000002</v>
      </c>
      <c r="AB61">
        <v>2.2017000000000002</v>
      </c>
      <c r="AC61">
        <v>2.2166999999999999</v>
      </c>
      <c r="AD61">
        <v>2.2166999999999999</v>
      </c>
      <c r="AE61" t="s">
        <v>31</v>
      </c>
    </row>
    <row r="62" spans="1:31" x14ac:dyDescent="0.45">
      <c r="A62" t="s">
        <v>50</v>
      </c>
      <c r="B62" t="s">
        <v>178</v>
      </c>
      <c r="C62" t="s">
        <v>179</v>
      </c>
      <c r="D62" t="s">
        <v>40</v>
      </c>
      <c r="E62">
        <v>0</v>
      </c>
      <c r="F62">
        <v>5.4369009999999998</v>
      </c>
      <c r="G62">
        <v>16.379902000000001</v>
      </c>
      <c r="H62">
        <v>32.060108</v>
      </c>
      <c r="I62">
        <v>46.384417999999997</v>
      </c>
      <c r="J62">
        <v>55.525008999999997</v>
      </c>
      <c r="K62">
        <v>74.205521000000005</v>
      </c>
      <c r="L62">
        <v>87.315926000000005</v>
      </c>
      <c r="M62">
        <v>91.631607000000002</v>
      </c>
      <c r="N62">
        <v>94.039124000000001</v>
      </c>
      <c r="O62">
        <v>98.619820000000004</v>
      </c>
      <c r="P62">
        <v>99.721024</v>
      </c>
      <c r="Q62">
        <v>100.35713200000001</v>
      </c>
      <c r="R62">
        <v>100.704132</v>
      </c>
      <c r="S62">
        <v>101.043121</v>
      </c>
      <c r="T62">
        <v>103.742828</v>
      </c>
      <c r="U62">
        <v>106.59683200000001</v>
      </c>
      <c r="V62">
        <v>108.446854</v>
      </c>
      <c r="W62">
        <v>108.470856</v>
      </c>
      <c r="X62">
        <v>109.568108</v>
      </c>
      <c r="Y62">
        <v>110.436913</v>
      </c>
      <c r="Z62">
        <v>111.050507</v>
      </c>
      <c r="AA62">
        <v>111.24820699999999</v>
      </c>
      <c r="AB62">
        <v>111.28821600000001</v>
      </c>
      <c r="AC62">
        <v>112.383217</v>
      </c>
      <c r="AD62">
        <v>112.49071499999999</v>
      </c>
      <c r="AE62" t="s">
        <v>31</v>
      </c>
    </row>
    <row r="63" spans="1:31" x14ac:dyDescent="0.45">
      <c r="A63" t="s">
        <v>30</v>
      </c>
      <c r="B63" t="s">
        <v>180</v>
      </c>
      <c r="C63" t="s">
        <v>181</v>
      </c>
      <c r="D63" t="s">
        <v>40</v>
      </c>
      <c r="E63">
        <v>1247.595581</v>
      </c>
      <c r="F63">
        <v>1317.642456</v>
      </c>
      <c r="G63">
        <v>1367.0390620000001</v>
      </c>
      <c r="H63">
        <v>1394.2493899999999</v>
      </c>
      <c r="I63">
        <v>1413.9698490000001</v>
      </c>
      <c r="J63">
        <v>1431.3476559999999</v>
      </c>
      <c r="K63">
        <v>1440.5257570000001</v>
      </c>
      <c r="L63">
        <v>1448.2504879999999</v>
      </c>
      <c r="M63">
        <v>1461.963379</v>
      </c>
      <c r="N63">
        <v>1480.8367920000001</v>
      </c>
      <c r="O63">
        <v>1504.0303960000001</v>
      </c>
      <c r="P63">
        <v>1528.115356</v>
      </c>
      <c r="Q63">
        <v>1547.2891850000001</v>
      </c>
      <c r="R63">
        <v>1566.3955080000001</v>
      </c>
      <c r="S63">
        <v>1585.6026609999999</v>
      </c>
      <c r="T63">
        <v>1605.5317379999999</v>
      </c>
      <c r="U63">
        <v>1624.566284</v>
      </c>
      <c r="V63">
        <v>1639.5040280000001</v>
      </c>
      <c r="W63">
        <v>1652.721436</v>
      </c>
      <c r="X63">
        <v>1664.860962</v>
      </c>
      <c r="Y63">
        <v>1678.3592530000001</v>
      </c>
      <c r="Z63">
        <v>1690.2226559999999</v>
      </c>
      <c r="AA63">
        <v>1703.2198490000001</v>
      </c>
      <c r="AB63">
        <v>1715.100342</v>
      </c>
      <c r="AC63">
        <v>1728.0898440000001</v>
      </c>
      <c r="AD63">
        <v>1742.382202</v>
      </c>
      <c r="AE63" t="s">
        <v>182</v>
      </c>
    </row>
    <row r="64" spans="1:31" x14ac:dyDescent="0.45">
      <c r="A64" t="s">
        <v>56</v>
      </c>
    </row>
    <row r="65" spans="1:31" x14ac:dyDescent="0.45">
      <c r="A65" t="s">
        <v>39</v>
      </c>
      <c r="B65" t="s">
        <v>183</v>
      </c>
      <c r="C65" t="s">
        <v>184</v>
      </c>
      <c r="D65" t="s">
        <v>40</v>
      </c>
      <c r="E65">
        <v>1.265868</v>
      </c>
      <c r="F65">
        <v>1.265085</v>
      </c>
      <c r="G65">
        <v>1.2666850000000001</v>
      </c>
      <c r="H65">
        <v>1.2602420000000001</v>
      </c>
      <c r="I65">
        <v>1.2538199999999999</v>
      </c>
      <c r="J65">
        <v>1.247684</v>
      </c>
      <c r="K65">
        <v>1.2425250000000001</v>
      </c>
      <c r="L65">
        <v>1.2375080000000001</v>
      </c>
      <c r="M65">
        <v>1.2325699999999999</v>
      </c>
      <c r="N65">
        <v>1.2277819999999999</v>
      </c>
      <c r="O65">
        <v>1.2232229999999999</v>
      </c>
      <c r="P65">
        <v>1.2187779999999999</v>
      </c>
      <c r="Q65">
        <v>1.214045</v>
      </c>
      <c r="R65">
        <v>1.210129</v>
      </c>
      <c r="S65">
        <v>1.2065170000000001</v>
      </c>
      <c r="T65">
        <v>1.2031769999999999</v>
      </c>
      <c r="U65">
        <v>1.199756</v>
      </c>
      <c r="V65">
        <v>1.196447</v>
      </c>
      <c r="W65">
        <v>1.1932480000000001</v>
      </c>
      <c r="X65">
        <v>1.19014</v>
      </c>
      <c r="Y65">
        <v>1.187147</v>
      </c>
      <c r="Z65">
        <v>1.184056</v>
      </c>
      <c r="AA65">
        <v>1.181046</v>
      </c>
      <c r="AB65">
        <v>1.17797</v>
      </c>
      <c r="AC65">
        <v>1.175014</v>
      </c>
      <c r="AD65">
        <v>1.1720740000000001</v>
      </c>
      <c r="AE65" t="s">
        <v>185</v>
      </c>
    </row>
    <row r="66" spans="1:31" x14ac:dyDescent="0.45">
      <c r="A66" t="s">
        <v>57</v>
      </c>
      <c r="B66" t="s">
        <v>186</v>
      </c>
      <c r="C66" t="s">
        <v>187</v>
      </c>
      <c r="D66" t="s">
        <v>40</v>
      </c>
      <c r="E66">
        <v>0.54453200000000002</v>
      </c>
      <c r="F66">
        <v>0.54419300000000004</v>
      </c>
      <c r="G66">
        <v>0.54488499999999995</v>
      </c>
      <c r="H66">
        <v>0.542099</v>
      </c>
      <c r="I66">
        <v>0.53932199999999997</v>
      </c>
      <c r="J66">
        <v>0.53666899999999995</v>
      </c>
      <c r="K66">
        <v>0.534439</v>
      </c>
      <c r="L66">
        <v>0.53226899999999999</v>
      </c>
      <c r="M66">
        <v>0.53013500000000002</v>
      </c>
      <c r="N66">
        <v>0.52806399999999998</v>
      </c>
      <c r="O66">
        <v>0.52609300000000003</v>
      </c>
      <c r="P66">
        <v>0.52417100000000005</v>
      </c>
      <c r="Q66">
        <v>0.52212499999999995</v>
      </c>
      <c r="R66">
        <v>0.52043099999999998</v>
      </c>
      <c r="S66">
        <v>0.51887000000000005</v>
      </c>
      <c r="T66">
        <v>0.51742600000000005</v>
      </c>
      <c r="U66">
        <v>0.51594600000000002</v>
      </c>
      <c r="V66">
        <v>0.51451599999999997</v>
      </c>
      <c r="W66">
        <v>0.51313299999999995</v>
      </c>
      <c r="X66">
        <v>0.51178900000000005</v>
      </c>
      <c r="Y66">
        <v>0.51049500000000003</v>
      </c>
      <c r="Z66">
        <v>0.509158</v>
      </c>
      <c r="AA66">
        <v>0.507857</v>
      </c>
      <c r="AB66">
        <v>0.50652699999999995</v>
      </c>
      <c r="AC66">
        <v>0.50524899999999995</v>
      </c>
      <c r="AD66">
        <v>0.50397700000000001</v>
      </c>
      <c r="AE66" t="s">
        <v>185</v>
      </c>
    </row>
    <row r="67" spans="1:31" x14ac:dyDescent="0.45">
      <c r="A67" t="s">
        <v>58</v>
      </c>
      <c r="B67" t="s">
        <v>188</v>
      </c>
      <c r="C67" t="s">
        <v>189</v>
      </c>
      <c r="D67" t="s">
        <v>40</v>
      </c>
      <c r="E67">
        <v>18.490984000000001</v>
      </c>
      <c r="F67">
        <v>18.667228999999999</v>
      </c>
      <c r="G67">
        <v>18.834129000000001</v>
      </c>
      <c r="H67">
        <v>18.915634000000001</v>
      </c>
      <c r="I67">
        <v>18.996524999999998</v>
      </c>
      <c r="J67">
        <v>19.144563999999999</v>
      </c>
      <c r="K67">
        <v>19.234926000000002</v>
      </c>
      <c r="L67">
        <v>19.327728</v>
      </c>
      <c r="M67">
        <v>19.413689000000002</v>
      </c>
      <c r="N67">
        <v>19.505793000000001</v>
      </c>
      <c r="O67">
        <v>19.599955000000001</v>
      </c>
      <c r="P67">
        <v>19.698059000000001</v>
      </c>
      <c r="Q67">
        <v>19.795534</v>
      </c>
      <c r="R67">
        <v>19.903143</v>
      </c>
      <c r="S67">
        <v>20.017942000000001</v>
      </c>
      <c r="T67">
        <v>20.140238</v>
      </c>
      <c r="U67">
        <v>20.263815000000001</v>
      </c>
      <c r="V67">
        <v>20.396951999999999</v>
      </c>
      <c r="W67">
        <v>20.535702000000001</v>
      </c>
      <c r="X67">
        <v>20.682870999999999</v>
      </c>
      <c r="Y67">
        <v>20.834548999999999</v>
      </c>
      <c r="Z67">
        <v>20.991674</v>
      </c>
      <c r="AA67">
        <v>21.156556999999999</v>
      </c>
      <c r="AB67">
        <v>21.324805999999999</v>
      </c>
      <c r="AC67">
        <v>21.496808999999999</v>
      </c>
      <c r="AD67">
        <v>21.674942000000001</v>
      </c>
      <c r="AE67" t="s">
        <v>190</v>
      </c>
    </row>
    <row r="68" spans="1:31" x14ac:dyDescent="0.45">
      <c r="A68" t="s">
        <v>59</v>
      </c>
      <c r="B68" t="s">
        <v>191</v>
      </c>
      <c r="C68" t="s">
        <v>192</v>
      </c>
      <c r="D68" t="s">
        <v>40</v>
      </c>
      <c r="E68">
        <v>2.0895000000000001</v>
      </c>
      <c r="F68">
        <v>2.0895000000000001</v>
      </c>
      <c r="G68">
        <v>2.1128999999999998</v>
      </c>
      <c r="H68">
        <v>2.1128999999999998</v>
      </c>
      <c r="I68">
        <v>2.1128999999999998</v>
      </c>
      <c r="J68">
        <v>2.1128999999999998</v>
      </c>
      <c r="K68">
        <v>2.1128999999999998</v>
      </c>
      <c r="L68">
        <v>2.1128999999999998</v>
      </c>
      <c r="M68">
        <v>2.1128999999999998</v>
      </c>
      <c r="N68">
        <v>2.1128999999999998</v>
      </c>
      <c r="O68">
        <v>2.1128999999999998</v>
      </c>
      <c r="P68">
        <v>2.1128999999999998</v>
      </c>
      <c r="Q68">
        <v>2.1128999999999998</v>
      </c>
      <c r="R68">
        <v>2.1128999999999998</v>
      </c>
      <c r="S68">
        <v>2.1128999999999998</v>
      </c>
      <c r="T68">
        <v>2.1128999999999998</v>
      </c>
      <c r="U68">
        <v>2.1128999999999998</v>
      </c>
      <c r="V68">
        <v>2.1128999999999998</v>
      </c>
      <c r="W68">
        <v>2.1128999999999998</v>
      </c>
      <c r="X68">
        <v>2.1128999999999998</v>
      </c>
      <c r="Y68">
        <v>2.1128999999999998</v>
      </c>
      <c r="Z68">
        <v>2.1128999999999998</v>
      </c>
      <c r="AA68">
        <v>2.1128999999999998</v>
      </c>
      <c r="AB68">
        <v>2.1128999999999998</v>
      </c>
      <c r="AC68">
        <v>2.1128999999999998</v>
      </c>
      <c r="AD68">
        <v>2.1128999999999998</v>
      </c>
      <c r="AE68" t="s">
        <v>84</v>
      </c>
    </row>
    <row r="69" spans="1:31" x14ac:dyDescent="0.45">
      <c r="A69" t="s">
        <v>49</v>
      </c>
      <c r="B69" t="s">
        <v>193</v>
      </c>
      <c r="C69" t="s">
        <v>194</v>
      </c>
      <c r="D69" t="s">
        <v>40</v>
      </c>
      <c r="E69">
        <v>84.390083000000004</v>
      </c>
      <c r="F69">
        <v>91.318245000000005</v>
      </c>
      <c r="G69">
        <v>98.029174999999995</v>
      </c>
      <c r="H69">
        <v>102.90896600000001</v>
      </c>
      <c r="I69">
        <v>106.97374000000001</v>
      </c>
      <c r="J69">
        <v>111.343155</v>
      </c>
      <c r="K69">
        <v>115.658005</v>
      </c>
      <c r="L69">
        <v>119.782707</v>
      </c>
      <c r="M69">
        <v>124.16619900000001</v>
      </c>
      <c r="N69">
        <v>129.23114000000001</v>
      </c>
      <c r="O69">
        <v>134.32273900000001</v>
      </c>
      <c r="P69">
        <v>139.43524199999999</v>
      </c>
      <c r="Q69">
        <v>145.55278000000001</v>
      </c>
      <c r="R69">
        <v>151.85000600000001</v>
      </c>
      <c r="S69">
        <v>158.77803</v>
      </c>
      <c r="T69">
        <v>165.60450700000001</v>
      </c>
      <c r="U69">
        <v>171.880875</v>
      </c>
      <c r="V69">
        <v>178.81146200000001</v>
      </c>
      <c r="W69">
        <v>185.28419500000001</v>
      </c>
      <c r="X69">
        <v>192.085159</v>
      </c>
      <c r="Y69">
        <v>198.877579</v>
      </c>
      <c r="Z69">
        <v>206.218155</v>
      </c>
      <c r="AA69">
        <v>214.00889599999999</v>
      </c>
      <c r="AB69">
        <v>222.103241</v>
      </c>
      <c r="AC69">
        <v>229.97818000000001</v>
      </c>
      <c r="AD69">
        <v>238.41572600000001</v>
      </c>
      <c r="AE69" t="s">
        <v>195</v>
      </c>
    </row>
    <row r="70" spans="1:31" x14ac:dyDescent="0.45">
      <c r="A70" t="s">
        <v>60</v>
      </c>
      <c r="B70" t="s">
        <v>196</v>
      </c>
      <c r="C70" t="s">
        <v>197</v>
      </c>
      <c r="D70" t="s">
        <v>40</v>
      </c>
      <c r="E70">
        <v>0.56389999999999996</v>
      </c>
      <c r="F70">
        <v>0.66390000000000005</v>
      </c>
      <c r="G70">
        <v>0.66390000000000005</v>
      </c>
      <c r="H70">
        <v>0.66390000000000005</v>
      </c>
      <c r="I70">
        <v>0.71389999999999998</v>
      </c>
      <c r="J70">
        <v>0.71389999999999998</v>
      </c>
      <c r="K70">
        <v>0.71389999999999998</v>
      </c>
      <c r="L70">
        <v>0.71389999999999998</v>
      </c>
      <c r="M70">
        <v>0.71389999999999998</v>
      </c>
      <c r="N70">
        <v>0.71389999999999998</v>
      </c>
      <c r="O70">
        <v>0.71389999999999998</v>
      </c>
      <c r="P70">
        <v>0.71389999999999998</v>
      </c>
      <c r="Q70">
        <v>0.71389999999999998</v>
      </c>
      <c r="R70">
        <v>0.71389999999999998</v>
      </c>
      <c r="S70">
        <v>0.71389999999999998</v>
      </c>
      <c r="T70">
        <v>0.71389999999999998</v>
      </c>
      <c r="U70">
        <v>0.71389999999999998</v>
      </c>
      <c r="V70">
        <v>0.71389999999999998</v>
      </c>
      <c r="W70">
        <v>0.71389999999999998</v>
      </c>
      <c r="X70">
        <v>0.71389999999999998</v>
      </c>
      <c r="Y70">
        <v>0.71389999999999998</v>
      </c>
      <c r="Z70">
        <v>0.71389999999999998</v>
      </c>
      <c r="AA70">
        <v>0.71389999999999998</v>
      </c>
      <c r="AB70">
        <v>0.71389999999999998</v>
      </c>
      <c r="AC70">
        <v>0.71389999999999998</v>
      </c>
      <c r="AD70">
        <v>0.71389999999999998</v>
      </c>
      <c r="AE70" t="s">
        <v>198</v>
      </c>
    </row>
    <row r="71" spans="1:31" x14ac:dyDescent="0.45">
      <c r="A71" t="s">
        <v>50</v>
      </c>
      <c r="B71" t="s">
        <v>199</v>
      </c>
      <c r="C71" t="s">
        <v>200</v>
      </c>
      <c r="D71" t="s">
        <v>40</v>
      </c>
      <c r="E71">
        <v>107.344864</v>
      </c>
      <c r="F71">
        <v>114.548157</v>
      </c>
      <c r="G71">
        <v>121.45167499999999</v>
      </c>
      <c r="H71">
        <v>126.40374</v>
      </c>
      <c r="I71">
        <v>130.59021000000001</v>
      </c>
      <c r="J71">
        <v>135.09887699999999</v>
      </c>
      <c r="K71">
        <v>139.496689</v>
      </c>
      <c r="L71">
        <v>143.70701600000001</v>
      </c>
      <c r="M71">
        <v>148.169388</v>
      </c>
      <c r="N71">
        <v>153.31958</v>
      </c>
      <c r="O71">
        <v>158.49880999999999</v>
      </c>
      <c r="P71">
        <v>163.70304899999999</v>
      </c>
      <c r="Q71">
        <v>169.91128499999999</v>
      </c>
      <c r="R71">
        <v>176.31050099999999</v>
      </c>
      <c r="S71">
        <v>183.34816000000001</v>
      </c>
      <c r="T71">
        <v>190.292145</v>
      </c>
      <c r="U71">
        <v>196.687195</v>
      </c>
      <c r="V71">
        <v>203.74617000000001</v>
      </c>
      <c r="W71">
        <v>210.35307299999999</v>
      </c>
      <c r="X71">
        <v>217.296753</v>
      </c>
      <c r="Y71">
        <v>224.236572</v>
      </c>
      <c r="Z71">
        <v>231.72984299999999</v>
      </c>
      <c r="AA71">
        <v>239.681152</v>
      </c>
      <c r="AB71">
        <v>247.939346</v>
      </c>
      <c r="AC71">
        <v>255.982056</v>
      </c>
      <c r="AD71">
        <v>264.59350599999999</v>
      </c>
      <c r="AE71" t="s">
        <v>201</v>
      </c>
    </row>
    <row r="72" spans="1:31" x14ac:dyDescent="0.45">
      <c r="A72" t="s">
        <v>61</v>
      </c>
      <c r="B72" t="s">
        <v>202</v>
      </c>
      <c r="C72" t="s">
        <v>203</v>
      </c>
      <c r="D72" t="s">
        <v>40</v>
      </c>
      <c r="E72">
        <v>0</v>
      </c>
      <c r="F72">
        <v>7.212294</v>
      </c>
      <c r="G72">
        <v>14.115811000000001</v>
      </c>
      <c r="H72">
        <v>19.077200000000001</v>
      </c>
      <c r="I72">
        <v>23.277778999999999</v>
      </c>
      <c r="J72">
        <v>27.799005999999999</v>
      </c>
      <c r="K72">
        <v>32.204224000000004</v>
      </c>
      <c r="L72">
        <v>36.421734000000001</v>
      </c>
      <c r="M72">
        <v>40.891171</v>
      </c>
      <c r="N72">
        <v>46.048214000000002</v>
      </c>
      <c r="O72">
        <v>51.234005000000003</v>
      </c>
      <c r="P72">
        <v>56.444611000000002</v>
      </c>
      <c r="Q72">
        <v>62.659615000000002</v>
      </c>
      <c r="R72">
        <v>69.064453</v>
      </c>
      <c r="S72">
        <v>76.107269000000002</v>
      </c>
      <c r="T72">
        <v>83.056030000000007</v>
      </c>
      <c r="U72">
        <v>89.456001000000001</v>
      </c>
      <c r="V72">
        <v>96.519713999999993</v>
      </c>
      <c r="W72">
        <v>103.13121</v>
      </c>
      <c r="X72">
        <v>110.079323</v>
      </c>
      <c r="Y72">
        <v>117.023415</v>
      </c>
      <c r="Z72">
        <v>124.521103</v>
      </c>
      <c r="AA72">
        <v>132.476776</v>
      </c>
      <c r="AB72">
        <v>140.739349</v>
      </c>
      <c r="AC72">
        <v>148.78627</v>
      </c>
      <c r="AD72">
        <v>157.401993</v>
      </c>
      <c r="AE72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2"/>
  <sheetViews>
    <sheetView tabSelected="1" workbookViewId="0">
      <selection activeCell="B1" sqref="B1"/>
    </sheetView>
  </sheetViews>
  <sheetFormatPr defaultRowHeight="14.25" x14ac:dyDescent="0.45"/>
  <cols>
    <col min="1" max="1" width="30.3984375" customWidth="1"/>
  </cols>
  <sheetData>
    <row r="1" spans="1:28" x14ac:dyDescent="0.45">
      <c r="A1" t="s">
        <v>62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</row>
    <row r="2" spans="1:28" x14ac:dyDescent="0.45">
      <c r="A2" t="s">
        <v>63</v>
      </c>
      <c r="B2" s="4">
        <f>'AEO 2026 Table 9'!E13*gigawatts_to_megawatts</f>
        <v>23156.605</v>
      </c>
      <c r="C2" s="4">
        <f>'AEO 2026 Table 9'!F13*gigawatts_to_megawatts</f>
        <v>23156.605</v>
      </c>
      <c r="D2" s="4">
        <f>'AEO 2026 Table 9'!G13*gigawatts_to_megawatts</f>
        <v>23156.605</v>
      </c>
      <c r="E2" s="4">
        <f>'AEO 2026 Table 9'!H13*gigawatts_to_megawatts</f>
        <v>23156.605</v>
      </c>
      <c r="F2" s="4">
        <f>'AEO 2026 Table 9'!I13*gigawatts_to_megawatts</f>
        <v>23156.605</v>
      </c>
      <c r="G2" s="4">
        <f>'AEO 2026 Table 9'!J13*gigawatts_to_megawatts</f>
        <v>23156.605</v>
      </c>
      <c r="H2" s="4">
        <f>'AEO 2026 Table 9'!K13*gigawatts_to_megawatts</f>
        <v>23156.605</v>
      </c>
      <c r="I2" s="4">
        <f>'AEO 2026 Table 9'!L13*gigawatts_to_megawatts</f>
        <v>23156.605</v>
      </c>
      <c r="J2" s="4">
        <f>'AEO 2026 Table 9'!M13*gigawatts_to_megawatts</f>
        <v>23156.605</v>
      </c>
      <c r="K2" s="4">
        <f>'AEO 2026 Table 9'!N13*gigawatts_to_megawatts</f>
        <v>23156.605</v>
      </c>
      <c r="L2" s="4">
        <f>'AEO 2026 Table 9'!O13*gigawatts_to_megawatts</f>
        <v>23156.605</v>
      </c>
      <c r="M2" s="4">
        <f>'AEO 2026 Table 9'!P13*gigawatts_to_megawatts</f>
        <v>23156.605</v>
      </c>
      <c r="N2" s="4">
        <f>'AEO 2026 Table 9'!Q13*gigawatts_to_megawatts</f>
        <v>23156.605</v>
      </c>
      <c r="O2" s="4">
        <f>'AEO 2026 Table 9'!R13*gigawatts_to_megawatts</f>
        <v>23156.605</v>
      </c>
      <c r="P2" s="4">
        <f>'AEO 2026 Table 9'!S13*gigawatts_to_megawatts</f>
        <v>23156.605</v>
      </c>
      <c r="Q2" s="4">
        <f>'AEO 2026 Table 9'!T13*gigawatts_to_megawatts</f>
        <v>23156.605</v>
      </c>
      <c r="R2" s="4">
        <f>'AEO 2026 Table 9'!U13*gigawatts_to_megawatts</f>
        <v>23156.605</v>
      </c>
      <c r="S2" s="4">
        <f>'AEO 2026 Table 9'!V13*gigawatts_to_megawatts</f>
        <v>23156.605</v>
      </c>
      <c r="T2" s="4">
        <f>'AEO 2026 Table 9'!W13*gigawatts_to_megawatts</f>
        <v>23156.605</v>
      </c>
      <c r="U2" s="4">
        <f>'AEO 2026 Table 9'!X13*gigawatts_to_megawatts</f>
        <v>23156.605</v>
      </c>
      <c r="V2" s="4">
        <f>'AEO 2026 Table 9'!Y13*gigawatts_to_megawatts</f>
        <v>23156.605</v>
      </c>
      <c r="W2" s="4">
        <f>'AEO 2026 Table 9'!Z13*gigawatts_to_megawatts</f>
        <v>23156.605</v>
      </c>
      <c r="X2" s="4">
        <f>'AEO 2026 Table 9'!AA13*gigawatts_to_megawatts</f>
        <v>23156.605</v>
      </c>
      <c r="Y2" s="4">
        <f>'AEO 2026 Table 9'!AB13*gigawatts_to_megawatts</f>
        <v>23156.605</v>
      </c>
      <c r="Z2" s="4">
        <f>'AEO 2026 Table 9'!AC13*gigawatts_to_megawatts</f>
        <v>23156.605</v>
      </c>
      <c r="AA2" s="4">
        <f>'AEO 2026 Table 9'!AD13*gigawatts_to_megawatts</f>
        <v>23156.605</v>
      </c>
      <c r="AB2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About</vt:lpstr>
      <vt:lpstr>AEO 2026 Table 9</vt:lpstr>
      <vt:lpstr>BPHC</vt:lpstr>
      <vt:lpstr>gigawatts_to_megawatts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2015-06-11T00:38:34Z</dcterms:created>
  <dcterms:modified xsi:type="dcterms:W3CDTF">2026-04-27T22:14:07Z</dcterms:modified>
</cp:coreProperties>
</file>