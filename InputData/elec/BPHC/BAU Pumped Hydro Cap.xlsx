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eps-us\InputData\elec\BPHC\"/>
    </mc:Choice>
  </mc:AlternateContent>
  <xr:revisionPtr revIDLastSave="0" documentId="13_ncr:1_{BC38CA3D-65AB-41A2-8FE8-9A3DD7C988B5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About" sheetId="1" r:id="rId1"/>
    <sheet name="AEO 2025 Table 9" sheetId="5" r:id="rId2"/>
    <sheet name="AEO 2026 Table 9" sheetId="7" r:id="rId3"/>
    <sheet name="BPHC" sheetId="6" r:id="rId4"/>
  </sheets>
  <definedNames>
    <definedName name="gigawatts_to_megawatts">About!$A$44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" i="6" l="1"/>
  <c r="AA2" i="6"/>
  <c r="Z2" i="6"/>
  <c r="Y2" i="6"/>
  <c r="X2" i="6"/>
  <c r="W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</calcChain>
</file>

<file path=xl/sharedStrings.xml><?xml version="1.0" encoding="utf-8"?>
<sst xmlns="http://schemas.openxmlformats.org/spreadsheetml/2006/main" count="542" uniqueCount="323">
  <si>
    <t>BPHC BAU Pumped Hydro Capacity</t>
  </si>
  <si>
    <t>BPHC Pumped Hydro Charging and Discharging Hours per Day</t>
  </si>
  <si>
    <t>Source:</t>
  </si>
  <si>
    <t>Pumped Hydro Capacity</t>
  </si>
  <si>
    <t>U.S. Energy Information Administration</t>
  </si>
  <si>
    <t>https://www.eia.gov/outlooks/aeo/tables_side_xls.php</t>
  </si>
  <si>
    <t>Hours per Day Charging and Discharging</t>
  </si>
  <si>
    <t>Several sources provide similar values:</t>
  </si>
  <si>
    <t>Braun and Hoffmann</t>
  </si>
  <si>
    <t>Intraday Optimization of Pumped Hydro Power Plants in the German Electricity Market</t>
  </si>
  <si>
    <t>https://pdf.sciencedirectassets.com/277910/1-s2.0-S1876610216X00033/1-s2.0-S1876610215030453/main.pdf</t>
  </si>
  <si>
    <t>7-9 hours: Page 2, last paragraph</t>
  </si>
  <si>
    <t>National Hydropower Association</t>
  </si>
  <si>
    <t>2021 Pumped Storage Report</t>
  </si>
  <si>
    <t>https://www.hydro.org/wp-content/uploads/2021/09/2021-Pumped-Storage-Report-NHA.pdf</t>
  </si>
  <si>
    <t>8 hours: Page 30, column 2, first paragraph</t>
  </si>
  <si>
    <t>6 hours: Page 9, figure 3</t>
  </si>
  <si>
    <t>Notes:</t>
  </si>
  <si>
    <t>"Pumped Hydro Charging and Discharging Hours per Day" refers to the number of hours per day,</t>
  </si>
  <si>
    <t>typically, a pumped hydro plant my charge (by pumping water) or discharge (by releasing water)</t>
  </si>
  <si>
    <t>at its full capacity (rated in MW).  For example, if a pumped hydro plant can charge and discharge</t>
  </si>
  <si>
    <t>for 8 hours per day, it does so at its full MW rating in all 16 of those hours.  It does not divide up its</t>
  </si>
  <si>
    <t>megawatts among those hours.  Keep this in mind when specifying pumped hydro MW capacities</t>
  </si>
  <si>
    <t>in this variable.  (Essentially, this assumes that within a given day, pumped hydro is limited by</t>
  </si>
  <si>
    <t>its maximum possible pumping or generating rate, not by the quantity of water in its upper or lower reservoir.)</t>
  </si>
  <si>
    <t>In the real world, pumped hydro plants may chage for slightly more hours and at a</t>
  </si>
  <si>
    <t>slightly lower MW rating than they discharge, but we simplify this to represent it as the same number</t>
  </si>
  <si>
    <t>of hours charging and discharging and the same MW rating when charging and discharging.</t>
  </si>
  <si>
    <t>Unit Conversion</t>
  </si>
  <si>
    <t>gigawatts to megawatts</t>
  </si>
  <si>
    <t>Report</t>
  </si>
  <si>
    <t>Scenario</t>
  </si>
  <si>
    <t>Datekey</t>
  </si>
  <si>
    <t>Release Date</t>
  </si>
  <si>
    <t>9. Electricity Generating Capacity</t>
  </si>
  <si>
    <t>(gigawatts)</t>
  </si>
  <si>
    <t xml:space="preserve"> Net Summer Capacity 1/</t>
  </si>
  <si>
    <t>Electric Power Sector 2/</t>
  </si>
  <si>
    <t xml:space="preserve">  Power Only 3/</t>
  </si>
  <si>
    <t>EGC000:ba_CoalSteam</t>
  </si>
  <si>
    <t xml:space="preserve">    Coal 4/</t>
  </si>
  <si>
    <t>EGC000:ba_OtherFossilSt</t>
  </si>
  <si>
    <t>EGC000:ba_CombinedCycle</t>
  </si>
  <si>
    <t xml:space="preserve">    Combined Cycle</t>
  </si>
  <si>
    <t>EGC000:ba_CombustionTur</t>
  </si>
  <si>
    <t xml:space="preserve">    Combustion Turbine/Diesel</t>
  </si>
  <si>
    <t>EGC000:ba_NuclearPower</t>
  </si>
  <si>
    <t>EGC000:ba_PumpedStorage</t>
  </si>
  <si>
    <t xml:space="preserve">    Pumped Storage</t>
  </si>
  <si>
    <t xml:space="preserve">    Diurnal Storage</t>
  </si>
  <si>
    <t>EGC000:ba_FuelCells</t>
  </si>
  <si>
    <t xml:space="preserve">    Fuel Cells</t>
  </si>
  <si>
    <t>EGC000:ba_RenewableSour</t>
  </si>
  <si>
    <t>--</t>
  </si>
  <si>
    <t>EGC000:ba_Total</t>
  </si>
  <si>
    <t xml:space="preserve">      Total</t>
  </si>
  <si>
    <t>EGC000:ca_CoalSteam</t>
  </si>
  <si>
    <t xml:space="preserve">    Coal</t>
  </si>
  <si>
    <t>EGC000:ca_OtherFossilSt</t>
  </si>
  <si>
    <t>EGC000:ca_CombinedCycle</t>
  </si>
  <si>
    <t>EGC000:ca_CombustionTur</t>
  </si>
  <si>
    <t>EGC000:ca_RenewableSour</t>
  </si>
  <si>
    <t>EGC000:ca_Total</t>
  </si>
  <si>
    <t>EGC000:da_CoalSteam</t>
  </si>
  <si>
    <t>EGC000:da_OtherFossilSt</t>
  </si>
  <si>
    <t>EGC000:da_CombinedCycle</t>
  </si>
  <si>
    <t>EGC000:da_CombustionTur</t>
  </si>
  <si>
    <t>EGC000:da_NuclearPower</t>
  </si>
  <si>
    <t xml:space="preserve">    Nuclear Power</t>
  </si>
  <si>
    <t>EGC000:da_PumpedStorage</t>
  </si>
  <si>
    <t>EGC000:da_FuelCells</t>
  </si>
  <si>
    <t>EGC000:da_RenewableSour</t>
  </si>
  <si>
    <t>EGC000:da_Total</t>
  </si>
  <si>
    <t>EGC000:ea_CoalSteam</t>
  </si>
  <si>
    <t>EGC000:ea_OtherFossilSt</t>
  </si>
  <si>
    <t>EGC000:ea_CombinedCycle</t>
  </si>
  <si>
    <t>EGC000:ea_CombustionTur</t>
  </si>
  <si>
    <t>EGC000:ea_NuclearPower</t>
  </si>
  <si>
    <t>EGC000:ea_PumpedStorage</t>
  </si>
  <si>
    <t>EGC000:ea_FuelCells</t>
  </si>
  <si>
    <t>EGC000:ea_RenewableSour</t>
  </si>
  <si>
    <t>EGC000:ea_Total</t>
  </si>
  <si>
    <t>EGC000:ea_CumulativeEle</t>
  </si>
  <si>
    <t>EGC000:fa_CoalSteam</t>
  </si>
  <si>
    <t>EGC000:fa_OtherFossilSt</t>
  </si>
  <si>
    <t>EGC000:fa_CombinedCycle</t>
  </si>
  <si>
    <t>EGC000:fa_CombustionTur</t>
  </si>
  <si>
    <t>EGC000:fa_NuclearPower</t>
  </si>
  <si>
    <t>EGC000:fa_PumpedStorage</t>
  </si>
  <si>
    <t>EGC000:fa_FuelCells</t>
  </si>
  <si>
    <t>EGC000:fa_RenewableSour</t>
  </si>
  <si>
    <t>EGC000:fa_Total</t>
  </si>
  <si>
    <t>EGC000:ga_TotalElectric</t>
  </si>
  <si>
    <t>Total Electric Power Sector Capacity</t>
  </si>
  <si>
    <t>EGC000:ha_Coal</t>
  </si>
  <si>
    <t>EGC000:ha_Petroleum</t>
  </si>
  <si>
    <t xml:space="preserve">    Petroleum</t>
  </si>
  <si>
    <t>EGC000:ha_NaturalGas</t>
  </si>
  <si>
    <t xml:space="preserve">    Natural Gas</t>
  </si>
  <si>
    <t>EGC000:ha_OtherGaseousF</t>
  </si>
  <si>
    <t>EGC000:ha_RenewableSour</t>
  </si>
  <si>
    <t>EGC000:ha_Other</t>
  </si>
  <si>
    <t>EGC000:ha_Total</t>
  </si>
  <si>
    <t>EGC000:ia_CumulativeCap</t>
  </si>
  <si>
    <t>1/ Net summer capacity is the steady hourly output that generating equipment is expected to supply to</t>
  </si>
  <si>
    <t>system load (exclusive of auxiliary power), as demonstrated by tests during summer peak demand.</t>
  </si>
  <si>
    <t>2/ Includes electricity-only and combined-heat-and-power plants that have a regulatory status.</t>
  </si>
  <si>
    <t>(that is, those that report North American Industry Classification System code 22 or that have a regulatory status).</t>
  </si>
  <si>
    <t>but which may also sell some power to the grid. Solar photovoltaic capacity portion of Renewable Sources in gigawatts direct current;</t>
  </si>
  <si>
    <t>other technologies in gigawatts alternating current.</t>
  </si>
  <si>
    <t>- -</t>
  </si>
  <si>
    <t>Table 9.  Electricity Generating Capacity</t>
  </si>
  <si>
    <t>https://www.eia.gov/outlooks/aeo/data/browser/#/?id=9-AEO2025&amp;cases=highZTC&amp;sourcekey=0</t>
  </si>
  <si>
    <t>Tue Dec 02 2025 13:19:18 GMT-0800 (Pacific Standard Time)</t>
  </si>
  <si>
    <t>Source: U.S. Energy Information Administration</t>
  </si>
  <si>
    <t>full name</t>
  </si>
  <si>
    <t>api key</t>
  </si>
  <si>
    <t>units</t>
  </si>
  <si>
    <t>Growth (2024-2050)</t>
  </si>
  <si>
    <t>Electric Power Sector</t>
  </si>
  <si>
    <t>Power Only</t>
  </si>
  <si>
    <t>Coal</t>
  </si>
  <si>
    <t>Electricity Capacity: Electric Power Sector: Power Only: Coal: High Zero-Carbon Technology Cost</t>
  </si>
  <si>
    <t>AEO.2025.HIGHZTC.CAP_NA_ELEP_POW_CL_NA_USA_GW.A</t>
  </si>
  <si>
    <t>GW</t>
  </si>
  <si>
    <t>Fossil Steam</t>
  </si>
  <si>
    <t>Electricity Capacity: Electric Power Sector: Power Only: Fossil Steam: High Zero-Carbon Technology Cost</t>
  </si>
  <si>
    <t>AEO.2025.HIGHZTC.CAP_NA_ELEP_POW_ONG_NA_USA_GW.A</t>
  </si>
  <si>
    <t>Combined Cycle</t>
  </si>
  <si>
    <t>Electricity Capacity: Electric Power Sector: Power Only: Combined Cycle: High Zero-Carbon Technology Cost</t>
  </si>
  <si>
    <t>AEO.2025.HIGHZTC.CAP_NA_ELEP_POW_CMC_NA_USA_GW.A</t>
  </si>
  <si>
    <t>Combustion Turbine/Diesel</t>
  </si>
  <si>
    <t>Electricity Capacity: Electric Power Sector: Power Only: Combustion Turbine/Diesel: High Zero-Carbon Technology Cost</t>
  </si>
  <si>
    <t>AEO.2025.HIGHZTC.CAP_NA_ELEP_POW_CTD_NA_USA_GW.A</t>
  </si>
  <si>
    <t>Nuclear Power</t>
  </si>
  <si>
    <t>Electricity Capacity: Electric Power Sector: Power Only: Nuclear: High Zero-Carbon Technology Cost</t>
  </si>
  <si>
    <t>AEO.2025.HIGHZTC.CAP_NA_ELEP_POW_NUP_NA_USA_GW.A</t>
  </si>
  <si>
    <t>Pumped Storage</t>
  </si>
  <si>
    <t>Electricity Capacity: Electric Power Sector: Power Only: Pumped Storage: High Zero-Carbon Technology Cost</t>
  </si>
  <si>
    <t>AEO.2025.HIGHZTC.CAP_NA_ELEP_POW_PPS_NA_USA_GW.A</t>
  </si>
  <si>
    <t>Diurnal Storage</t>
  </si>
  <si>
    <t>Electricity Capacity: Electric Power Sector: Power Only: Diurnal Storage: High Zero-Carbon Technology Cost</t>
  </si>
  <si>
    <t>AEO.2025.HIGHZTC.CAP_NA_ELEP_POW_DIURN_NA_USA_GW.A</t>
  </si>
  <si>
    <t>Hydrogen</t>
  </si>
  <si>
    <t>Electricity Capacity: Electric Power Sector: Power Only: Hydrogen: High Zero-Carbon Technology Cost</t>
  </si>
  <si>
    <t>AEO.2025.HIGHZTC.CAP_NA_ELEP_POW_HDG_NA_USA_GW.A</t>
  </si>
  <si>
    <t>Fuel Cells</t>
  </si>
  <si>
    <t>Electricity Capacity: Electric Power Sector: Power Only: Fuel Cells: High Zero-Carbon Technology Cost</t>
  </si>
  <si>
    <t>AEO.2025.HIGHZTC.CAP_NA_ELEP_POW_FCL_NA_USA_GW.A</t>
  </si>
  <si>
    <t>Renewable Sources</t>
  </si>
  <si>
    <t>Electricity Capacity: Electric Power Sector: Power Only: Renewable Sources: High Zero-Carbon Technology Cost</t>
  </si>
  <si>
    <t>AEO.2025.HIGHZTC.CAP_NA_ELEP_POW_RNWBSRC_NA_USA_GW.A</t>
  </si>
  <si>
    <t>Distributed Generation (Natural Gas)</t>
  </si>
  <si>
    <t>Electricity Capacity: Electric Power Sector: Power Only: Distributed Generation: High Zero-Carbon Technology Cost</t>
  </si>
  <si>
    <t>AEO.2025.HIGHZTC.CAP_NA_ELEP_POW_DISTGEN_NA_USA_GW.A</t>
  </si>
  <si>
    <t>Total</t>
  </si>
  <si>
    <t>Electricity Capacity: Electric Power Sector: Power Only: Total: High Zero-Carbon Technology Cost</t>
  </si>
  <si>
    <t>AEO.2025.HIGHZTC.CAP_NA_ELEP_POW_TOT_NA_USA_GW.A</t>
  </si>
  <si>
    <t>Combined Heat and Power</t>
  </si>
  <si>
    <t>Electricity Capacity: Electric Power Sector: Combined Heat and Power: Coal: High Zero-Carbon Technology Cost</t>
  </si>
  <si>
    <t>AEO.2025.HIGHZTC.CAP_NA_ELEP_CHP_CL_NA_USA_GW.A</t>
  </si>
  <si>
    <t>Electricity Capacity: Electric Power Sector: Combined Heat and Power: Fossil Steam: High Zero-Carbon Technology Cost</t>
  </si>
  <si>
    <t>AEO.2025.HIGHZTC.CAP_NA_ELEP_CHP_ONG_NA_USA_GW.A</t>
  </si>
  <si>
    <t>Electricity Capacity: Electric Power Sector: Combined Heat and Power: Combined Cycle: High Zero-Carbon Technology Cost</t>
  </si>
  <si>
    <t>AEO.2025.HIGHZTC.CAP_NA_ELEP_CHP_CMC_NA_USA_GW.A</t>
  </si>
  <si>
    <t>Electricity Capacity: Electric Power Sector: Combined Heat and Power: Combustion Turbine/Diesel: High Zero-Carbon Technology Cost</t>
  </si>
  <si>
    <t>AEO.2025.HIGHZTC.CAP_NA_ELEP_CHP_CTD_NA_USA_GW.A</t>
  </si>
  <si>
    <t>Electricity Capacity: Electric Power Sector: Combined Heat and Power: Renewable Sources: High Zero-Carbon Technology Cost</t>
  </si>
  <si>
    <t>AEO.2025.HIGHZTC.CAP_NA_ELEP_CHP_RNWBSRC_NA_USA_GW.A</t>
  </si>
  <si>
    <t>Electricity Capacity: Electric Power Sector: Combined Heat and Power: Total: High Zero-Carbon Technology Cost</t>
  </si>
  <si>
    <t>AEO.2025.HIGHZTC.CAP_NA_ELEP_CHP_TOT_NA_USA_GW.A</t>
  </si>
  <si>
    <t>Cumulative Planned Additions</t>
  </si>
  <si>
    <t>Electricity Capacity: Cumulative Planned Additions: Coal: High Zero-Carbon Technology Cost</t>
  </si>
  <si>
    <t>AEO.2025.HIGHZTC.CAP_NA_ELEP_CPA_CL_NA_USA_GW.A</t>
  </si>
  <si>
    <t>Electricity Capacity: Cumulative Planned Additions: Fossil Steam: High Zero-Carbon Technology Cost</t>
  </si>
  <si>
    <t>AEO.2025.HIGHZTC.CAP_NA_ELEP_CPA_ONG_NA_USA_GW.A</t>
  </si>
  <si>
    <t>Electricity Capacity: Cumulative Planned Additions: Combined Cycle: High Zero-Carbon Technology Cost</t>
  </si>
  <si>
    <t>AEO.2025.HIGHZTC.CAP_NA_ELEP_CPA_CMC_NA_USA_GW.A</t>
  </si>
  <si>
    <t>Electricity Capacity: Cumulative Planned Additions: Combustion Turbine/Diesel: High Zero-Carbon Technology Cost</t>
  </si>
  <si>
    <t>AEO.2025.HIGHZTC.CAP_NA_ELEP_CPA_CTD_NA_USA_GW.A</t>
  </si>
  <si>
    <t>Electricity Capacity: Cumulative Planned Additions: Nuclear: High Zero-Carbon Technology Cost</t>
  </si>
  <si>
    <t>AEO.2025.HIGHZTC.CAP_NA_ELEP_CPA_NUP_NA_USA_GW.A</t>
  </si>
  <si>
    <t>Electricity Capacity: Cumulative Planned Additions: Pumped Storage: High Zero-Carbon Technology Cost</t>
  </si>
  <si>
    <t>AEO.2025.HIGHZTC.CAP_NA_ELEP_CPA_PPS_NA_USA_GW.A</t>
  </si>
  <si>
    <t>Electricity Capacity: Cumulative Planned Additions: Diurnal Storage: High Zero-Carbon Technology Cost</t>
  </si>
  <si>
    <t>AEO.2025.HIGHZTC.CAP_NA_ELEP_CPA_DIURN_NA_USA_GW.A</t>
  </si>
  <si>
    <t>Electricity Capacity: Cumulative Planned Additions: Fuel Cells: High Zero-Carbon Technology Cost</t>
  </si>
  <si>
    <t>AEO.2025.HIGHZTC.CAP_NA_ELEP_CPA_FCL_NA_USA_GW.A</t>
  </si>
  <si>
    <t>Electricity Capacity: Cumulative Planned Additions: Hydrogen: High Zero-Carbon Technology Cost</t>
  </si>
  <si>
    <t>AEO.2025.HIGHZTC.CAP_NA_ELEP_CPA_HDG_NA_USA_GW.A</t>
  </si>
  <si>
    <t>Electricity Capacity: Cumulative Planned Additions: Renewable Sources: High Zero-Carbon Technology Cost</t>
  </si>
  <si>
    <t>AEO.2025.HIGHZTC.CAP_NA_ELEP_CPA_RNWBSRC_NA_USA_GW.A</t>
  </si>
  <si>
    <t>Distributed Generation</t>
  </si>
  <si>
    <t>Electricity Capacity: Cumulative Planned Additions: Distributed Generation: High Zero-Carbon Technology Cost</t>
  </si>
  <si>
    <t>AEO.2025.HIGHZTC.CAP_NA_ELEP_CPA_DISTGEN_NA_USA_GW.A</t>
  </si>
  <si>
    <t>Electricity Capacity: Cumulative Planned Additions: Total: High Zero-Carbon Technology Cost</t>
  </si>
  <si>
    <t>AEO.2025.HIGHZTC.CAP_NA_ELEP_CPA_TOT_NA_USA_GW.A</t>
  </si>
  <si>
    <t>Cumulative Unplanned Additions</t>
  </si>
  <si>
    <t>Electricity Capacity: Cumulative Unplanned Additions: Coal: High Zero-Carbon Technology Cost</t>
  </si>
  <si>
    <t>AEO.2025.HIGHZTC.CAP_NA_ELEP_CUNA_CL_NA_USA_GW.A</t>
  </si>
  <si>
    <t>Electricity Capacity: Cumulative Unplanned Additions: Fossil Steam: High Zero-Carbon Technology Cost</t>
  </si>
  <si>
    <t>AEO.2025.HIGHZTC.CAP_NA_ELEP_CUNA_ONG_NA_USA_GW.A</t>
  </si>
  <si>
    <t>Electricity Capacity: Cumulative Unplanned Additions: Combined Cycle: High Zero-Carbon Technology Cost</t>
  </si>
  <si>
    <t>AEO.2025.HIGHZTC.CAP_NA_ELEP_CUNA_CMC_NA_USA_GW.A</t>
  </si>
  <si>
    <t>Electricity Capacity: Cumulative Unplanned Additions: Combustion Turbine/Diesel: High Zero-Carbon Technology Cost</t>
  </si>
  <si>
    <t>AEO.2025.HIGHZTC.CAP_NA_ELEP_CUNA_CTD_NA_USA_GW.A</t>
  </si>
  <si>
    <t>Electricity Capacity: Cumulative Unplanned Additions: Nuclear: High Zero-Carbon Technology Cost</t>
  </si>
  <si>
    <t>AEO.2025.HIGHZTC.CAP_NA_ELEP_CUNA_NUP_NA_USA_GW.A</t>
  </si>
  <si>
    <t>Electricity Capacity: Cumulative Unplanned Additions: Pumped Storage: High Zero-Carbon Technology Cost</t>
  </si>
  <si>
    <t>AEO.2025.HIGHZTC.CAP_NA_ELEP_CUNA_PPS_NA_USA_GW.A</t>
  </si>
  <si>
    <t>Electricity Capacity: Cumulative Unplanned Additions: Diurnal Storage: High Zero-Carbon Technology Cost</t>
  </si>
  <si>
    <t>AEO.2025.HIGHZTC.CAP_NA_ELEP_CUNA_DIURN_NA_USA_GW.A</t>
  </si>
  <si>
    <t>Electricity Capacity: Cumulative Unplanned Additions: Hydrogen: High Zero-Carbon Technology Cost</t>
  </si>
  <si>
    <t>AEO.2025.HIGHZTC.CAP_NA_ELEP_CUNA_HDG_NA_USA_GW.A</t>
  </si>
  <si>
    <t>Electricity Capacity: Cumulative Unplanned Additions: Fuel Cells: High Zero-Carbon Technology Cost</t>
  </si>
  <si>
    <t>AEO.2025.HIGHZTC.CAP_NA_ELEP_CUNA_FCL_NA_USA_GW.A</t>
  </si>
  <si>
    <t>Electricity Capacity: Cumulative Unplanned Additions: Renewable Sources: High Zero-Carbon Technology Cost</t>
  </si>
  <si>
    <t>AEO.2025.HIGHZTC.CAP_NA_ELEP_CUNA_RNWBSRC_NA_USA_GW.A</t>
  </si>
  <si>
    <t>Electricity Capacity: Cumulative Unplanned Additions: Distributed Generation: High Zero-Carbon Technology Cost</t>
  </si>
  <si>
    <t>AEO.2025.HIGHZTC.CAP_NA_ELEP_CUNA_DISTGEN_NA_USA_GW.A</t>
  </si>
  <si>
    <t>Electricity Capacity: Cumulative Unplanned Additions: Total: High Zero-Carbon Technology Cost</t>
  </si>
  <si>
    <t>AEO.2025.HIGHZTC.CAP_NA_ELEP_CUNA_TOT_NA_USA_GW.A</t>
  </si>
  <si>
    <t>Cumulative Electric Power Sector Additions</t>
  </si>
  <si>
    <t>Electricity Capacity: Cumulative Electric Power Sector Additions: High Zero-Carbon Technology Cost</t>
  </si>
  <si>
    <t>AEO.2025.HIGHZTC.CAP_NA_ELEP_CUNA_CEP_NA_USA_GW.A</t>
  </si>
  <si>
    <t>Cumulative Retirements</t>
  </si>
  <si>
    <t>Electricity Capacity: Cumulative Retirements: Coal: High Zero-Carbon Technology Cost</t>
  </si>
  <si>
    <t>AEO.2025.HIGHZTC.CAP_NA_ELEP_CRE_CL_NA_USA_GW.A</t>
  </si>
  <si>
    <t>Electricity Capacity: Cumulative Retirements: Fossil Steam: High Zero-Carbon Technology Cost</t>
  </si>
  <si>
    <t>AEO.2025.HIGHZTC.CAP_NA_ELEP_CRE_ONG_NA_USA_GW.A</t>
  </si>
  <si>
    <t>Electricity Capacity: Cumulative Retirements: Combined Cycle: High Zero-Carbon Technology Cost</t>
  </si>
  <si>
    <t>AEO.2025.HIGHZTC.CAP_NA_ELEP_CRE_CMC_NA_USA_GW.A</t>
  </si>
  <si>
    <t>Electricity Capacity: Cumulative Retirements: Combustion Turbine/Diesel: High Zero-Carbon Technology Cost</t>
  </si>
  <si>
    <t>AEO.2025.HIGHZTC.CAP_NA_ELEP_CRE_CTD_NA_USA_GW.A</t>
  </si>
  <si>
    <t>Electricity Capacity: Cumulative Retirements: Nuclear: High Zero-Carbon Technology Cost</t>
  </si>
  <si>
    <t>AEO.2025.HIGHZTC.CAP_NA_ELEP_CRE_NUP_NA_USA_GW.A</t>
  </si>
  <si>
    <t>Electricity Capacity: Cumulative Retirements: Pumped Storage: High Zero-Carbon Technology Cost</t>
  </si>
  <si>
    <t>AEO.2025.HIGHZTC.CAP_NA_ELEP_CRE_PPS_NA_USA_GW.A</t>
  </si>
  <si>
    <t>Electricity Capacity: Cumulative Retirements: Diurnal Storage: High Zero-Carbon Technology Cost</t>
  </si>
  <si>
    <t>AEO.2025.HIGHZTC.CAP_NA_ELEP_CRE_DIURN_NA_USA_GW.A</t>
  </si>
  <si>
    <t>Electricity Capacity: Cumulative Retirements: Hydrogen: High Zero-Carbon Technology Cost</t>
  </si>
  <si>
    <t>AEO.2025.HIGHZTC.CAP_NA_ELEP_CRE_HDG_NA_USA_GW.A</t>
  </si>
  <si>
    <t>Electricity Capacity: Cumulative Retirements: Fuel Cells: High Zero-Carbon Technology Cost</t>
  </si>
  <si>
    <t>AEO.2025.HIGHZTC.CAP_NA_ELEP_CRE_FCL_NA_USA_GW.A</t>
  </si>
  <si>
    <t>Electricity Capacity: Cumulative Retirements: Renewable Sources: High Zero-Carbon Technology Cost</t>
  </si>
  <si>
    <t>AEO.2025.HIGHZTC.CAP_NA_ELEP_CRE_RNWBSRC_NA_USA_GW.A</t>
  </si>
  <si>
    <t>Electricity Capacity: Cumulative Retirements: Total: High Zero-Carbon Technology Cost</t>
  </si>
  <si>
    <t>AEO.2025.HIGHZTC.CAP_NA_ELEP_CRE_TOT_NA_USA_GW.A</t>
  </si>
  <si>
    <t>Electricity Capacity: Total Electric Power Sector Capacity: High Zero-Carbon Technology Cost</t>
  </si>
  <si>
    <t>AEO.2025.HIGHZTC.CAP_NA_ELEP_NA_TEP_NA_USA_GW.A</t>
  </si>
  <si>
    <t>End-Use Generators</t>
  </si>
  <si>
    <t>Electricity Capacity: End-Use Generators: Coal: High Zero-Carbon Technology Cost</t>
  </si>
  <si>
    <t>AEO.2025.HIGHZTC.CAP_NA_ELEP_EUG_CL_NA_USA_GW.A</t>
  </si>
  <si>
    <t>Petroleum</t>
  </si>
  <si>
    <t>Electricity Capacity: End-Use Generators: Petroleum: High Zero-Carbon Technology Cost</t>
  </si>
  <si>
    <t>AEO.2025.HIGHZTC.CAP_NA_ELEP_EUG_PET_NA_USA_GW.A</t>
  </si>
  <si>
    <t>Natural Gas</t>
  </si>
  <si>
    <t>Electricity Capacity: End-Use Generators: Natural Gas: High Zero-Carbon Technology Cost</t>
  </si>
  <si>
    <t>AEO.2025.HIGHZTC.CAP_NA_ELEP_EUG_NG_NA_USA_GW.A</t>
  </si>
  <si>
    <t>Other Gaseous Fuels</t>
  </si>
  <si>
    <t>Electricity Capacity: End-Use Generators: Other Gaseous Fuels: High Zero-Carbon Technology Cost</t>
  </si>
  <si>
    <t>AEO.2025.HIGHZTC.CAP_NA_ELEP_EUG_OGF_NA_USA_GW.A</t>
  </si>
  <si>
    <t>Electricity Capacity: End-Use Generators: Renewable Sources: High Zero-Carbon Technology Cost</t>
  </si>
  <si>
    <t>AEO.2025.HIGHZTC.CAP_NA_ELEP_EUG_RNWBSRC_NA_USA_GW.A</t>
  </si>
  <si>
    <t>Other</t>
  </si>
  <si>
    <t>Electricity Capacity: End-Use Generators: Other: High Zero-Carbon Technology Cost</t>
  </si>
  <si>
    <t>AEO.2025.HIGHZTC.CAP_NA_ELEP_EUG_OTH_NA_USA_GW.A</t>
  </si>
  <si>
    <t>Electricity Capacity: End-Use Generators: Total: High Zero-Carbon Technology Cost</t>
  </si>
  <si>
    <t>AEO.2025.HIGHZTC.CAP_NA_ELEP_EUG_TOT_NA_USA_GW.A</t>
  </si>
  <si>
    <t>Cumulative Capacity Additions</t>
  </si>
  <si>
    <t>Electricity Capacity: End-Use Generators: Cumulative Capacity Additions: High Zero-Carbon Technology Cost</t>
  </si>
  <si>
    <t>AEO.2025.HIGHZTC.CAP_NA_ELEP_NA_CUC_NA_USA_GW.A</t>
  </si>
  <si>
    <t>Year</t>
  </si>
  <si>
    <t>Pumped Storage Capacity (MW)</t>
  </si>
  <si>
    <t>electrnp.d021826a</t>
  </si>
  <si>
    <t>Annual Energy Outlook 2026</t>
  </si>
  <si>
    <t>electrnp</t>
  </si>
  <si>
    <t>Alternative Electricity and Transportation</t>
  </si>
  <si>
    <t>d021826a</t>
  </si>
  <si>
    <t>April 2026</t>
  </si>
  <si>
    <t>Avg Annual Change</t>
  </si>
  <si>
    <t>2025-2050</t>
  </si>
  <si>
    <t xml:space="preserve">    Fossil Steam 4,5/</t>
  </si>
  <si>
    <t xml:space="preserve">    Nuclear Power </t>
  </si>
  <si>
    <t>EGC000:ba_DiurnalStorage</t>
  </si>
  <si>
    <t>EGC000:ba_HydrogenTurbine</t>
  </si>
  <si>
    <t xml:space="preserve">    Hydrogen</t>
  </si>
  <si>
    <t xml:space="preserve">    Renewable Sources 6/</t>
  </si>
  <si>
    <t xml:space="preserve">  Combined Heat and Power 7/</t>
  </si>
  <si>
    <t xml:space="preserve">    Fossil Steam 5/</t>
  </si>
  <si>
    <t xml:space="preserve">  Cumulative Planned Additions 8/</t>
  </si>
  <si>
    <t>EGC000:da_DiurnalStorage</t>
  </si>
  <si>
    <t>EGC000:da_HydrogenTurbine</t>
  </si>
  <si>
    <t xml:space="preserve">  Cumulative Unplanned Additions 8/</t>
  </si>
  <si>
    <t>EGC000:ea_DiurnalStorage</t>
  </si>
  <si>
    <t>EGC000:ea_HydrogenTurbine</t>
  </si>
  <si>
    <t xml:space="preserve">  Cumulative Electric Power Sector Additions 8/</t>
  </si>
  <si>
    <t xml:space="preserve">  Cumulative Retirements 9/</t>
  </si>
  <si>
    <t>EGC000:fa_DiurnalStorage</t>
  </si>
  <si>
    <t>EGC000:fa_HydrogenTurbine</t>
  </si>
  <si>
    <t>End-Use Generators 10/</t>
  </si>
  <si>
    <t xml:space="preserve">    Other Gaseous Fuels 11/</t>
  </si>
  <si>
    <t xml:space="preserve">    Other 12/</t>
  </si>
  <si>
    <t xml:space="preserve">  Cumulative Capacity Additions 9/</t>
  </si>
  <si>
    <t>Data source: U.S. Energy Information Administration (EIA), Short-Term Energy Outlook, November 2025, and EIA, Annual Energy Outlook 2026</t>
  </si>
  <si>
    <t>(AEO2026) National Energy Modeling System (NEMS) run electrnp.d021826a. Projections: EIA, AEO2026 NEMS run electrnp.d021826a.</t>
  </si>
  <si>
    <t xml:space="preserve">Note: Totals may not equal sum of components due to independent rounding. </t>
  </si>
  <si>
    <t>3/ Includes plants that only produce electricity and that have a regulatory status. Includes capacity increases (uprates) at existing units.</t>
  </si>
  <si>
    <t xml:space="preserve">4/ Total coal and fossil steam capacity account for the conversion of coal capacity to natural gas steam capacity, including conversions that may </t>
  </si>
  <si>
    <t xml:space="preserve">continue to cofire with coal, but the conversions are not included explicitly as additions or retirements. No planned conversions are assumed. </t>
  </si>
  <si>
    <t>The totals reflect any conversions projected by the model.</t>
  </si>
  <si>
    <t>5/ Includes oil-, natural gas-, and dual-fired capacity, and coal/natural gas cofiring in steam plants.</t>
  </si>
  <si>
    <t>6/ Includes conventional hydroelectric, geothermal, wood, wood waste, all municipal waste, landfill gas,</t>
  </si>
  <si>
    <t>other biomass, solar, and wind power. Facilities co-firing biomass and coal are classified as coal.</t>
  </si>
  <si>
    <t>7/ Includes combined-heat-and-power plants whose primary business is to sell electricity and heat to the public</t>
  </si>
  <si>
    <t>8/ Cumulative additions after December 31, 2025.</t>
  </si>
  <si>
    <t>9/ Cumulative retirements after December 31, 2025.</t>
  </si>
  <si>
    <t>10/ Includes combined-heat-and-power plants and electricity-only plants in the commercial and industrial sectors that have a non-regulatory</t>
  </si>
  <si>
    <t>status. Also includes small on-site generating systems in the residential, commercial, and industrial sectors used primarily for own-use generation</t>
  </si>
  <si>
    <t>11/ Includes refinery gas and still gas.</t>
  </si>
  <si>
    <t>12/ Includes batteries, chemicals, hydrogen, pitch, purchased steam, sulfur, and miscellaneous technologies.</t>
  </si>
  <si>
    <t>-- = Not applicable</t>
  </si>
  <si>
    <t>Alternative electricity and transportation: Table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</si>
</sst>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b/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30">
    <xf numFmtId="0" fontId="0" fillId="0" borderId="0"/>
    <xf numFmtId="0" fontId="2" fillId="0" borderId="0"/>
    <xf numFmtId="0" fontId="3" fillId="0" borderId="0"/>
    <xf numFmtId="0" fontId="4" fillId="0" borderId="1">
      <alignment wrapText="1"/>
    </xf>
    <xf numFmtId="0" fontId="5" fillId="0" borderId="0">
      <alignment horizontal="left"/>
    </xf>
    <xf numFmtId="0" fontId="4" fillId="0" borderId="2">
      <alignment wrapText="1"/>
    </xf>
    <xf numFmtId="0" fontId="3" fillId="0" borderId="3">
      <alignment wrapText="1"/>
    </xf>
    <xf numFmtId="0" fontId="3" fillId="0" borderId="4">
      <alignment wrapText="1"/>
    </xf>
    <xf numFmtId="0" fontId="3" fillId="0" borderId="0"/>
    <xf numFmtId="0" fontId="3" fillId="0" borderId="3">
      <alignment wrapText="1"/>
    </xf>
    <xf numFmtId="0" fontId="3" fillId="0" borderId="0"/>
    <xf numFmtId="0" fontId="3" fillId="0" borderId="4">
      <alignment wrapText="1"/>
    </xf>
    <xf numFmtId="0" fontId="4" fillId="0" borderId="1">
      <alignment wrapText="1"/>
    </xf>
    <xf numFmtId="0" fontId="4" fillId="0" borderId="2">
      <alignment wrapText="1"/>
    </xf>
    <xf numFmtId="0" fontId="5" fillId="0" borderId="0">
      <alignment horizontal="left"/>
    </xf>
    <xf numFmtId="0" fontId="7" fillId="0" borderId="0"/>
    <xf numFmtId="0" fontId="3" fillId="0" borderId="0"/>
    <xf numFmtId="0" fontId="3" fillId="0" borderId="3">
      <alignment wrapText="1"/>
    </xf>
    <xf numFmtId="0" fontId="3" fillId="0" borderId="0"/>
    <xf numFmtId="0" fontId="3" fillId="0" borderId="4">
      <alignment wrapText="1"/>
    </xf>
    <xf numFmtId="0" fontId="4" fillId="0" borderId="1">
      <alignment wrapText="1"/>
    </xf>
    <xf numFmtId="0" fontId="4" fillId="0" borderId="2">
      <alignment wrapText="1"/>
    </xf>
    <xf numFmtId="0" fontId="5" fillId="0" borderId="0">
      <alignment horizontal="left"/>
    </xf>
    <xf numFmtId="0" fontId="7" fillId="0" borderId="0"/>
    <xf numFmtId="0" fontId="3" fillId="0" borderId="3">
      <alignment wrapText="1"/>
    </xf>
    <xf numFmtId="0" fontId="3" fillId="0" borderId="0"/>
    <xf numFmtId="0" fontId="3" fillId="0" borderId="4">
      <alignment wrapText="1"/>
    </xf>
    <xf numFmtId="0" fontId="4" fillId="0" borderId="1">
      <alignment wrapText="1"/>
    </xf>
    <xf numFmtId="0" fontId="4" fillId="0" borderId="2">
      <alignment wrapText="1"/>
    </xf>
    <xf numFmtId="0" fontId="5" fillId="0" borderId="0">
      <alignment horizontal="left"/>
    </xf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1" fontId="0" fillId="0" borderId="0" xfId="0" applyNumberFormat="1"/>
    <xf numFmtId="0" fontId="1" fillId="2" borderId="0" xfId="0" applyFont="1" applyFill="1"/>
    <xf numFmtId="0" fontId="6" fillId="0" borderId="0" xfId="0" applyFont="1"/>
    <xf numFmtId="10" fontId="0" fillId="0" borderId="0" xfId="0" applyNumberFormat="1"/>
    <xf numFmtId="0" fontId="0" fillId="3" borderId="0" xfId="0" applyFill="1"/>
    <xf numFmtId="10" fontId="0" fillId="3" borderId="0" xfId="0" applyNumberFormat="1" applyFill="1"/>
  </cellXfs>
  <cellStyles count="30">
    <cellStyle name="Body: normal cell" xfId="6" xr:uid="{00000000-0005-0000-0000-000006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Font: Calibri, 9pt regular" xfId="2" xr:uid="{00000000-0005-0000-0000-000002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7" xr:uid="{00000000-0005-0000-0000-000007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3" xr:uid="{00000000-0005-0000-0000-000003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1" builtinId="8"/>
    <cellStyle name="Normal" xfId="0" builtinId="0"/>
    <cellStyle name="Normal 2" xfId="8" xr:uid="{00000000-0005-0000-0000-000008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Parent row" xfId="5" xr:uid="{00000000-0005-0000-0000-000005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Table title" xfId="4" xr:uid="{00000000-0005-0000-0000-000004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hydro.org/wp-content/uploads/2021/09/2021-Pumped-Storage-Report-NHA.pdf" TargetMode="External"/><Relationship Id="rId1" Type="http://schemas.openxmlformats.org/officeDocument/2006/relationships/hyperlink" Target="https://pdf.sciencedirectassets.com/277910/1-s2.0-S1876610216X00033/1-s2.0-S1876610215030453/mai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4"/>
  <sheetViews>
    <sheetView tabSelected="1" workbookViewId="0">
      <selection activeCell="B9" sqref="B9"/>
    </sheetView>
  </sheetViews>
  <sheetFormatPr defaultRowHeight="14.25" x14ac:dyDescent="0.45"/>
  <cols>
    <col min="2" max="2" width="50.73046875" customWidth="1"/>
  </cols>
  <sheetData>
    <row r="1" spans="1:2" x14ac:dyDescent="0.45">
      <c r="A1" s="1" t="s">
        <v>0</v>
      </c>
    </row>
    <row r="2" spans="1:2" x14ac:dyDescent="0.45">
      <c r="A2" s="1" t="s">
        <v>1</v>
      </c>
    </row>
    <row r="4" spans="1:2" x14ac:dyDescent="0.45">
      <c r="A4" s="1" t="s">
        <v>2</v>
      </c>
      <c r="B4" s="5" t="s">
        <v>3</v>
      </c>
    </row>
    <row r="5" spans="1:2" x14ac:dyDescent="0.45">
      <c r="B5" t="s">
        <v>4</v>
      </c>
    </row>
    <row r="6" spans="1:2" x14ac:dyDescent="0.45">
      <c r="B6" s="2">
        <v>2026</v>
      </c>
    </row>
    <row r="7" spans="1:2" x14ac:dyDescent="0.45">
      <c r="B7" t="s">
        <v>275</v>
      </c>
    </row>
    <row r="8" spans="1:2" x14ac:dyDescent="0.45">
      <c r="B8" t="s">
        <v>322</v>
      </c>
    </row>
    <row r="9" spans="1:2" x14ac:dyDescent="0.45">
      <c r="B9" t="s">
        <v>5</v>
      </c>
    </row>
    <row r="11" spans="1:2" x14ac:dyDescent="0.45">
      <c r="B11" s="5" t="s">
        <v>6</v>
      </c>
    </row>
    <row r="13" spans="1:2" x14ac:dyDescent="0.45">
      <c r="B13" s="6" t="s">
        <v>7</v>
      </c>
    </row>
    <row r="15" spans="1:2" x14ac:dyDescent="0.45">
      <c r="B15" t="s">
        <v>8</v>
      </c>
    </row>
    <row r="16" spans="1:2" x14ac:dyDescent="0.45">
      <c r="B16" s="2">
        <v>2016</v>
      </c>
    </row>
    <row r="17" spans="1:2" x14ac:dyDescent="0.45">
      <c r="B17" t="s">
        <v>9</v>
      </c>
    </row>
    <row r="18" spans="1:2" x14ac:dyDescent="0.45">
      <c r="B18" s="3" t="s">
        <v>10</v>
      </c>
    </row>
    <row r="19" spans="1:2" x14ac:dyDescent="0.45">
      <c r="B19" t="s">
        <v>11</v>
      </c>
    </row>
    <row r="21" spans="1:2" x14ac:dyDescent="0.45">
      <c r="B21" t="s">
        <v>12</v>
      </c>
    </row>
    <row r="22" spans="1:2" x14ac:dyDescent="0.45">
      <c r="B22" s="2">
        <v>2021</v>
      </c>
    </row>
    <row r="23" spans="1:2" x14ac:dyDescent="0.45">
      <c r="B23" t="s">
        <v>13</v>
      </c>
    </row>
    <row r="24" spans="1:2" x14ac:dyDescent="0.45">
      <c r="B24" s="3" t="s">
        <v>14</v>
      </c>
    </row>
    <row r="25" spans="1:2" x14ac:dyDescent="0.45">
      <c r="B25" t="s">
        <v>15</v>
      </c>
    </row>
    <row r="26" spans="1:2" x14ac:dyDescent="0.45">
      <c r="B26" t="s">
        <v>16</v>
      </c>
    </row>
    <row r="28" spans="1:2" x14ac:dyDescent="0.45">
      <c r="A28" s="1" t="s">
        <v>17</v>
      </c>
    </row>
    <row r="29" spans="1:2" x14ac:dyDescent="0.45">
      <c r="A29" t="s">
        <v>18</v>
      </c>
    </row>
    <row r="30" spans="1:2" x14ac:dyDescent="0.45">
      <c r="A30" t="s">
        <v>19</v>
      </c>
    </row>
    <row r="31" spans="1:2" x14ac:dyDescent="0.45">
      <c r="A31" t="s">
        <v>20</v>
      </c>
    </row>
    <row r="32" spans="1:2" x14ac:dyDescent="0.45">
      <c r="A32" t="s">
        <v>21</v>
      </c>
    </row>
    <row r="33" spans="1:1" x14ac:dyDescent="0.45">
      <c r="A33" t="s">
        <v>22</v>
      </c>
    </row>
    <row r="34" spans="1:1" x14ac:dyDescent="0.45">
      <c r="A34" t="s">
        <v>23</v>
      </c>
    </row>
    <row r="35" spans="1:1" x14ac:dyDescent="0.45">
      <c r="A35" t="s">
        <v>24</v>
      </c>
    </row>
    <row r="37" spans="1:1" x14ac:dyDescent="0.45">
      <c r="A37" t="s">
        <v>25</v>
      </c>
    </row>
    <row r="38" spans="1:1" x14ac:dyDescent="0.45">
      <c r="A38" t="s">
        <v>26</v>
      </c>
    </row>
    <row r="39" spans="1:1" x14ac:dyDescent="0.45">
      <c r="A39" t="s">
        <v>27</v>
      </c>
    </row>
    <row r="42" spans="1:1" x14ac:dyDescent="0.45">
      <c r="A42" s="1" t="s">
        <v>28</v>
      </c>
    </row>
    <row r="43" spans="1:1" x14ac:dyDescent="0.45">
      <c r="A43" t="s">
        <v>29</v>
      </c>
    </row>
    <row r="44" spans="1:1" x14ac:dyDescent="0.45">
      <c r="A44" s="2">
        <v>1000</v>
      </c>
    </row>
  </sheetData>
  <hyperlinks>
    <hyperlink ref="B18" r:id="rId1" xr:uid="{00000000-0004-0000-0000-000000000000}"/>
    <hyperlink ref="B24" r:id="rId2" xr:uid="{00000000-0004-0000-0000-000001000000}"/>
  </hyperlinks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75"/>
  <sheetViews>
    <sheetView workbookViewId="0">
      <selection activeCell="A13" sqref="A13"/>
    </sheetView>
  </sheetViews>
  <sheetFormatPr defaultRowHeight="14.25" x14ac:dyDescent="0.45"/>
  <cols>
    <col min="1" max="1" width="44.86328125" customWidth="1"/>
    <col min="2" max="2" width="122.265625" bestFit="1" customWidth="1"/>
  </cols>
  <sheetData>
    <row r="1" spans="1:33" x14ac:dyDescent="0.45">
      <c r="A1" t="s">
        <v>111</v>
      </c>
    </row>
    <row r="2" spans="1:33" x14ac:dyDescent="0.45">
      <c r="A2" t="s">
        <v>112</v>
      </c>
    </row>
    <row r="3" spans="1:33" x14ac:dyDescent="0.45">
      <c r="A3" t="s">
        <v>113</v>
      </c>
    </row>
    <row r="4" spans="1:33" x14ac:dyDescent="0.45">
      <c r="A4" t="s">
        <v>114</v>
      </c>
    </row>
    <row r="5" spans="1:33" x14ac:dyDescent="0.45">
      <c r="B5" t="s">
        <v>115</v>
      </c>
      <c r="C5" t="s">
        <v>116</v>
      </c>
      <c r="D5" t="s">
        <v>117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118</v>
      </c>
    </row>
    <row r="6" spans="1:33" x14ac:dyDescent="0.45">
      <c r="A6" t="s">
        <v>119</v>
      </c>
    </row>
    <row r="7" spans="1:33" x14ac:dyDescent="0.45">
      <c r="A7" t="s">
        <v>120</v>
      </c>
    </row>
    <row r="8" spans="1:33" x14ac:dyDescent="0.45">
      <c r="A8" t="s">
        <v>121</v>
      </c>
      <c r="B8" t="s">
        <v>122</v>
      </c>
      <c r="C8" t="s">
        <v>123</v>
      </c>
      <c r="D8" t="s">
        <v>124</v>
      </c>
      <c r="F8">
        <v>168.483093</v>
      </c>
      <c r="G8">
        <v>162.39898700000001</v>
      </c>
      <c r="H8">
        <v>155.599503</v>
      </c>
      <c r="I8">
        <v>146.34429900000001</v>
      </c>
      <c r="J8">
        <v>123.490303</v>
      </c>
      <c r="K8">
        <v>98.793716000000003</v>
      </c>
      <c r="L8">
        <v>64.981216000000003</v>
      </c>
      <c r="M8">
        <v>57.867911999999997</v>
      </c>
      <c r="N8">
        <v>3.7953000000000001</v>
      </c>
      <c r="O8">
        <v>3.7547999999999999</v>
      </c>
      <c r="P8">
        <v>3.7547999999999999</v>
      </c>
      <c r="Q8">
        <v>3.7547999999999999</v>
      </c>
      <c r="R8">
        <v>3.7547999999999999</v>
      </c>
      <c r="S8">
        <v>3.7547999999999999</v>
      </c>
      <c r="T8">
        <v>3.7547999999999999</v>
      </c>
      <c r="U8">
        <v>3.7547999999999999</v>
      </c>
      <c r="V8">
        <v>3.7547999999999999</v>
      </c>
      <c r="W8">
        <v>3.7547999999999999</v>
      </c>
      <c r="X8">
        <v>3.7547999999999999</v>
      </c>
      <c r="Y8">
        <v>3.7547999999999999</v>
      </c>
      <c r="Z8">
        <v>3.7547999999999999</v>
      </c>
      <c r="AA8">
        <v>3.7547999999999999</v>
      </c>
      <c r="AB8">
        <v>0.6452</v>
      </c>
      <c r="AC8">
        <v>0.6452</v>
      </c>
      <c r="AD8">
        <v>0.6452</v>
      </c>
      <c r="AE8">
        <v>0.6452</v>
      </c>
      <c r="AF8">
        <v>0.6452</v>
      </c>
      <c r="AG8" s="7">
        <v>-0.193</v>
      </c>
    </row>
    <row r="9" spans="1:33" x14ac:dyDescent="0.45">
      <c r="A9" t="s">
        <v>125</v>
      </c>
      <c r="B9" t="s">
        <v>126</v>
      </c>
      <c r="C9" t="s">
        <v>127</v>
      </c>
      <c r="D9" t="s">
        <v>124</v>
      </c>
      <c r="F9">
        <v>82.045105000000007</v>
      </c>
      <c r="G9">
        <v>79.386100999999996</v>
      </c>
      <c r="H9">
        <v>75.381705999999994</v>
      </c>
      <c r="I9">
        <v>74.696014000000005</v>
      </c>
      <c r="J9">
        <v>74.852401999999998</v>
      </c>
      <c r="K9">
        <v>79.293602000000007</v>
      </c>
      <c r="L9">
        <v>97.920410000000004</v>
      </c>
      <c r="M9">
        <v>95.788307000000003</v>
      </c>
      <c r="N9">
        <v>95.455307000000005</v>
      </c>
      <c r="O9">
        <v>93.989699999999999</v>
      </c>
      <c r="P9">
        <v>92.731003000000001</v>
      </c>
      <c r="Q9">
        <v>91.029503000000005</v>
      </c>
      <c r="R9">
        <v>90.392105000000001</v>
      </c>
      <c r="S9">
        <v>90.392105000000001</v>
      </c>
      <c r="T9">
        <v>90.392105000000001</v>
      </c>
      <c r="U9">
        <v>56.759402999999999</v>
      </c>
      <c r="V9">
        <v>56.759402999999999</v>
      </c>
      <c r="W9">
        <v>56.759402999999999</v>
      </c>
      <c r="X9">
        <v>56.759402999999999</v>
      </c>
      <c r="Y9">
        <v>56.759402999999999</v>
      </c>
      <c r="Z9">
        <v>56.759402999999999</v>
      </c>
      <c r="AA9">
        <v>56.759402999999999</v>
      </c>
      <c r="AB9">
        <v>56.759402999999999</v>
      </c>
      <c r="AC9">
        <v>56.727302999999999</v>
      </c>
      <c r="AD9">
        <v>56.727302999999999</v>
      </c>
      <c r="AE9">
        <v>56.727302999999999</v>
      </c>
      <c r="AF9">
        <v>56.727302999999999</v>
      </c>
      <c r="AG9" s="7">
        <v>-1.4E-2</v>
      </c>
    </row>
    <row r="10" spans="1:33" x14ac:dyDescent="0.45">
      <c r="A10" t="s">
        <v>128</v>
      </c>
      <c r="B10" t="s">
        <v>129</v>
      </c>
      <c r="C10" t="s">
        <v>130</v>
      </c>
      <c r="D10" t="s">
        <v>124</v>
      </c>
      <c r="F10">
        <v>262.734375</v>
      </c>
      <c r="G10">
        <v>265.26934799999998</v>
      </c>
      <c r="H10">
        <v>267.38610799999998</v>
      </c>
      <c r="I10">
        <v>270.83538800000002</v>
      </c>
      <c r="J10">
        <v>275.79199199999999</v>
      </c>
      <c r="K10">
        <v>282.01226800000001</v>
      </c>
      <c r="L10">
        <v>289.52316300000001</v>
      </c>
      <c r="M10">
        <v>290.33227499999998</v>
      </c>
      <c r="N10">
        <v>309.756531</v>
      </c>
      <c r="O10">
        <v>311.31057700000002</v>
      </c>
      <c r="P10">
        <v>312.98980699999998</v>
      </c>
      <c r="Q10">
        <v>316.52917500000001</v>
      </c>
      <c r="R10">
        <v>318.86605800000001</v>
      </c>
      <c r="S10">
        <v>322.217285</v>
      </c>
      <c r="T10">
        <v>325.122589</v>
      </c>
      <c r="U10">
        <v>335.74041699999998</v>
      </c>
      <c r="V10">
        <v>342.76275600000002</v>
      </c>
      <c r="W10">
        <v>347.81878699999999</v>
      </c>
      <c r="X10">
        <v>350.37200899999999</v>
      </c>
      <c r="Y10">
        <v>354.70666499999999</v>
      </c>
      <c r="Z10">
        <v>358.468658</v>
      </c>
      <c r="AA10">
        <v>363.062927</v>
      </c>
      <c r="AB10">
        <v>368.062927</v>
      </c>
      <c r="AC10">
        <v>373.65234400000003</v>
      </c>
      <c r="AD10">
        <v>377.572632</v>
      </c>
      <c r="AE10">
        <v>382.35922199999999</v>
      </c>
      <c r="AF10">
        <v>388.496216</v>
      </c>
      <c r="AG10" s="7">
        <v>1.4999999999999999E-2</v>
      </c>
    </row>
    <row r="11" spans="1:33" x14ac:dyDescent="0.45">
      <c r="A11" t="s">
        <v>131</v>
      </c>
      <c r="B11" t="s">
        <v>132</v>
      </c>
      <c r="C11" t="s">
        <v>133</v>
      </c>
      <c r="D11" t="s">
        <v>124</v>
      </c>
      <c r="F11">
        <v>146.24633800000001</v>
      </c>
      <c r="G11">
        <v>151.699692</v>
      </c>
      <c r="H11">
        <v>160.94577000000001</v>
      </c>
      <c r="I11">
        <v>170.74226400000001</v>
      </c>
      <c r="J11">
        <v>182.67575099999999</v>
      </c>
      <c r="K11">
        <v>193.69993600000001</v>
      </c>
      <c r="L11">
        <v>207.24787900000001</v>
      </c>
      <c r="M11">
        <v>224.155304</v>
      </c>
      <c r="N11">
        <v>257.516571</v>
      </c>
      <c r="O11">
        <v>270.036316</v>
      </c>
      <c r="P11">
        <v>283.14666699999998</v>
      </c>
      <c r="Q11">
        <v>298.40685999999999</v>
      </c>
      <c r="R11">
        <v>309.27417000000003</v>
      </c>
      <c r="S11">
        <v>321.84338400000001</v>
      </c>
      <c r="T11">
        <v>335.57171599999998</v>
      </c>
      <c r="U11">
        <v>363.02838100000002</v>
      </c>
      <c r="V11">
        <v>378.44500699999998</v>
      </c>
      <c r="W11">
        <v>390.95568800000001</v>
      </c>
      <c r="X11">
        <v>404.78247099999999</v>
      </c>
      <c r="Y11">
        <v>416.93240400000002</v>
      </c>
      <c r="Z11">
        <v>428.79443400000002</v>
      </c>
      <c r="AA11">
        <v>439.12939499999999</v>
      </c>
      <c r="AB11">
        <v>449.14681999999999</v>
      </c>
      <c r="AC11">
        <v>459.413208</v>
      </c>
      <c r="AD11">
        <v>469.43331899999998</v>
      </c>
      <c r="AE11">
        <v>480.41439800000001</v>
      </c>
      <c r="AF11">
        <v>487.23507699999999</v>
      </c>
      <c r="AG11" s="7">
        <v>4.7E-2</v>
      </c>
    </row>
    <row r="12" spans="1:33" x14ac:dyDescent="0.45">
      <c r="A12" t="s">
        <v>134</v>
      </c>
      <c r="B12" t="s">
        <v>135</v>
      </c>
      <c r="C12" t="s">
        <v>136</v>
      </c>
      <c r="D12" t="s">
        <v>124</v>
      </c>
      <c r="F12">
        <v>97.639708999999996</v>
      </c>
      <c r="G12">
        <v>97.639708999999996</v>
      </c>
      <c r="H12">
        <v>97.639708999999996</v>
      </c>
      <c r="I12">
        <v>97.639708999999996</v>
      </c>
      <c r="J12">
        <v>97.639708999999996</v>
      </c>
      <c r="K12">
        <v>96.517707999999999</v>
      </c>
      <c r="L12">
        <v>95.399704</v>
      </c>
      <c r="M12">
        <v>95.399704</v>
      </c>
      <c r="N12">
        <v>95.399704</v>
      </c>
      <c r="O12">
        <v>95.399704</v>
      </c>
      <c r="P12">
        <v>95.399704</v>
      </c>
      <c r="Q12">
        <v>95.399704</v>
      </c>
      <c r="R12">
        <v>95.399704</v>
      </c>
      <c r="S12">
        <v>95.399704</v>
      </c>
      <c r="T12">
        <v>95.399704</v>
      </c>
      <c r="U12">
        <v>95.399704</v>
      </c>
      <c r="V12">
        <v>95.399704</v>
      </c>
      <c r="W12">
        <v>95.399704</v>
      </c>
      <c r="X12">
        <v>95.399704</v>
      </c>
      <c r="Y12">
        <v>95.399704</v>
      </c>
      <c r="Z12">
        <v>95.399704</v>
      </c>
      <c r="AA12">
        <v>95.399704</v>
      </c>
      <c r="AB12">
        <v>95.399704</v>
      </c>
      <c r="AC12">
        <v>95.399704</v>
      </c>
      <c r="AD12">
        <v>95.399704</v>
      </c>
      <c r="AE12">
        <v>95.399704</v>
      </c>
      <c r="AF12">
        <v>95.399704</v>
      </c>
      <c r="AG12" s="7">
        <v>-1E-3</v>
      </c>
    </row>
    <row r="13" spans="1:33" s="8" customFormat="1" x14ac:dyDescent="0.45">
      <c r="A13" s="8" t="s">
        <v>137</v>
      </c>
      <c r="B13" s="8" t="s">
        <v>138</v>
      </c>
      <c r="C13" s="8" t="s">
        <v>139</v>
      </c>
      <c r="D13" s="8" t="s">
        <v>124</v>
      </c>
      <c r="F13" s="8">
        <v>23.147407999999999</v>
      </c>
      <c r="G13" s="8">
        <v>23.147407999999999</v>
      </c>
      <c r="H13" s="8">
        <v>23.147407999999999</v>
      </c>
      <c r="I13" s="8">
        <v>23.147407999999999</v>
      </c>
      <c r="J13" s="8">
        <v>23.147407999999999</v>
      </c>
      <c r="K13" s="8">
        <v>23.147407999999999</v>
      </c>
      <c r="L13" s="8">
        <v>23.147407999999999</v>
      </c>
      <c r="M13" s="8">
        <v>23.147407999999999</v>
      </c>
      <c r="N13" s="8">
        <v>23.147407999999999</v>
      </c>
      <c r="O13" s="8">
        <v>23.147407999999999</v>
      </c>
      <c r="P13" s="8">
        <v>23.147407999999999</v>
      </c>
      <c r="Q13" s="8">
        <v>23.147407999999999</v>
      </c>
      <c r="R13" s="8">
        <v>23.147407999999999</v>
      </c>
      <c r="S13" s="8">
        <v>23.147407999999999</v>
      </c>
      <c r="T13" s="8">
        <v>23.147407999999999</v>
      </c>
      <c r="U13" s="8">
        <v>23.147407999999999</v>
      </c>
      <c r="V13" s="8">
        <v>23.147407999999999</v>
      </c>
      <c r="W13" s="8">
        <v>23.147407999999999</v>
      </c>
      <c r="X13" s="8">
        <v>23.147407999999999</v>
      </c>
      <c r="Y13" s="8">
        <v>23.147407999999999</v>
      </c>
      <c r="Z13" s="8">
        <v>23.147407999999999</v>
      </c>
      <c r="AA13" s="8">
        <v>23.147407999999999</v>
      </c>
      <c r="AB13" s="8">
        <v>23.147407999999999</v>
      </c>
      <c r="AC13" s="8">
        <v>23.147407999999999</v>
      </c>
      <c r="AD13" s="8">
        <v>23.147407999999999</v>
      </c>
      <c r="AE13" s="8">
        <v>23.147407999999999</v>
      </c>
      <c r="AF13" s="8">
        <v>23.147407999999999</v>
      </c>
      <c r="AG13" s="9">
        <v>0</v>
      </c>
    </row>
    <row r="14" spans="1:33" x14ac:dyDescent="0.45">
      <c r="A14" t="s">
        <v>140</v>
      </c>
      <c r="B14" t="s">
        <v>141</v>
      </c>
      <c r="C14" t="s">
        <v>142</v>
      </c>
      <c r="D14" t="s">
        <v>124</v>
      </c>
      <c r="F14">
        <v>20.295507000000001</v>
      </c>
      <c r="G14">
        <v>32.201709999999999</v>
      </c>
      <c r="H14">
        <v>38.126609999999999</v>
      </c>
      <c r="I14">
        <v>40.570610000000002</v>
      </c>
      <c r="J14">
        <v>42.694611000000002</v>
      </c>
      <c r="K14">
        <v>45.138610999999997</v>
      </c>
      <c r="L14">
        <v>47.582611</v>
      </c>
      <c r="M14">
        <v>48.234611999999998</v>
      </c>
      <c r="N14">
        <v>48.876708999999998</v>
      </c>
      <c r="O14">
        <v>49.528708999999999</v>
      </c>
      <c r="P14">
        <v>49.809711</v>
      </c>
      <c r="Q14">
        <v>50.090713999999998</v>
      </c>
      <c r="R14">
        <v>50.141356999999999</v>
      </c>
      <c r="S14">
        <v>50.456291</v>
      </c>
      <c r="T14">
        <v>50.681972999999999</v>
      </c>
      <c r="U14">
        <v>53.681975999999999</v>
      </c>
      <c r="V14">
        <v>53.869109999999999</v>
      </c>
      <c r="W14">
        <v>54.001700999999997</v>
      </c>
      <c r="X14">
        <v>54.119751000000001</v>
      </c>
      <c r="Y14">
        <v>54.324581000000002</v>
      </c>
      <c r="Z14">
        <v>54.560527999999998</v>
      </c>
      <c r="AA14">
        <v>54.834763000000002</v>
      </c>
      <c r="AB14">
        <v>54.992722000000001</v>
      </c>
      <c r="AC14">
        <v>55.155997999999997</v>
      </c>
      <c r="AD14">
        <v>55.351730000000003</v>
      </c>
      <c r="AE14">
        <v>55.563789</v>
      </c>
      <c r="AF14">
        <v>56.665202999999998</v>
      </c>
      <c r="AG14" s="7">
        <v>0.04</v>
      </c>
    </row>
    <row r="15" spans="1:33" x14ac:dyDescent="0.45">
      <c r="A15" t="s">
        <v>143</v>
      </c>
      <c r="B15" t="s">
        <v>144</v>
      </c>
      <c r="C15" t="s">
        <v>145</v>
      </c>
      <c r="D15" t="s">
        <v>124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2.4</v>
      </c>
      <c r="O15">
        <v>2.4</v>
      </c>
      <c r="P15">
        <v>2.4</v>
      </c>
      <c r="Q15">
        <v>2.4</v>
      </c>
      <c r="R15">
        <v>2.4</v>
      </c>
      <c r="S15">
        <v>2.4</v>
      </c>
      <c r="T15">
        <v>2.4</v>
      </c>
      <c r="U15">
        <v>4.8</v>
      </c>
      <c r="V15">
        <v>4.8</v>
      </c>
      <c r="W15">
        <v>4.8</v>
      </c>
      <c r="X15">
        <v>4.8</v>
      </c>
      <c r="Y15">
        <v>4.8</v>
      </c>
      <c r="Z15">
        <v>4.8</v>
      </c>
      <c r="AA15">
        <v>4.8</v>
      </c>
      <c r="AB15">
        <v>4.8</v>
      </c>
      <c r="AC15">
        <v>4.8</v>
      </c>
      <c r="AD15">
        <v>4.8</v>
      </c>
      <c r="AE15">
        <v>4.8</v>
      </c>
      <c r="AF15">
        <v>4.8</v>
      </c>
      <c r="AG15" t="s">
        <v>110</v>
      </c>
    </row>
    <row r="16" spans="1:33" x14ac:dyDescent="0.45">
      <c r="A16" t="s">
        <v>146</v>
      </c>
      <c r="B16" t="s">
        <v>147</v>
      </c>
      <c r="C16" t="s">
        <v>148</v>
      </c>
      <c r="D16" t="s">
        <v>124</v>
      </c>
      <c r="F16">
        <v>0.32129999999999997</v>
      </c>
      <c r="G16">
        <v>0.32129999999999997</v>
      </c>
      <c r="H16">
        <v>0.32129999999999997</v>
      </c>
      <c r="I16">
        <v>0.34596900000000003</v>
      </c>
      <c r="J16">
        <v>0.34955399999999998</v>
      </c>
      <c r="K16">
        <v>0.34955399999999998</v>
      </c>
      <c r="L16">
        <v>0.34955399999999998</v>
      </c>
      <c r="M16">
        <v>0.34845399999999999</v>
      </c>
      <c r="N16">
        <v>0.34845399999999999</v>
      </c>
      <c r="O16">
        <v>0.34845399999999999</v>
      </c>
      <c r="P16">
        <v>0.34845399999999999</v>
      </c>
      <c r="Q16">
        <v>0.34845399999999999</v>
      </c>
      <c r="R16">
        <v>0.34845399999999999</v>
      </c>
      <c r="S16">
        <v>0.34845399999999999</v>
      </c>
      <c r="T16">
        <v>0.34845399999999999</v>
      </c>
      <c r="U16">
        <v>0.34845399999999999</v>
      </c>
      <c r="V16">
        <v>0.34845399999999999</v>
      </c>
      <c r="W16">
        <v>0.34845399999999999</v>
      </c>
      <c r="X16">
        <v>0.34845399999999999</v>
      </c>
      <c r="Y16">
        <v>0.34845399999999999</v>
      </c>
      <c r="Z16">
        <v>0.34845399999999999</v>
      </c>
      <c r="AA16">
        <v>0.34845399999999999</v>
      </c>
      <c r="AB16">
        <v>0.34845399999999999</v>
      </c>
      <c r="AC16">
        <v>0.34845399999999999</v>
      </c>
      <c r="AD16">
        <v>0.34845399999999999</v>
      </c>
      <c r="AE16">
        <v>0.34845399999999999</v>
      </c>
      <c r="AF16">
        <v>0.34845399999999999</v>
      </c>
      <c r="AG16" s="7">
        <v>3.0000000000000001E-3</v>
      </c>
    </row>
    <row r="17" spans="1:33" x14ac:dyDescent="0.45">
      <c r="A17" t="s">
        <v>149</v>
      </c>
      <c r="B17" t="s">
        <v>150</v>
      </c>
      <c r="C17" t="s">
        <v>151</v>
      </c>
      <c r="D17" t="s">
        <v>124</v>
      </c>
      <c r="F17">
        <v>367.37643400000002</v>
      </c>
      <c r="G17">
        <v>404.18817100000001</v>
      </c>
      <c r="H17">
        <v>437.38888500000002</v>
      </c>
      <c r="I17">
        <v>443.16876200000002</v>
      </c>
      <c r="J17">
        <v>457.05621300000001</v>
      </c>
      <c r="K17">
        <v>478.96545400000002</v>
      </c>
      <c r="L17">
        <v>512.44317599999999</v>
      </c>
      <c r="M17">
        <v>548.55328399999996</v>
      </c>
      <c r="N17">
        <v>592.25799600000005</v>
      </c>
      <c r="O17">
        <v>632.49462900000003</v>
      </c>
      <c r="P17">
        <v>682.567139</v>
      </c>
      <c r="Q17">
        <v>743.81030299999998</v>
      </c>
      <c r="R17">
        <v>792.90637200000003</v>
      </c>
      <c r="S17">
        <v>862.00732400000004</v>
      </c>
      <c r="T17">
        <v>900.41668700000002</v>
      </c>
      <c r="U17">
        <v>970.12176499999998</v>
      </c>
      <c r="V17">
        <v>987.87170400000002</v>
      </c>
      <c r="W17">
        <v>999.32824700000003</v>
      </c>
      <c r="X17">
        <v>1015.456604</v>
      </c>
      <c r="Y17">
        <v>1040.0886230000001</v>
      </c>
      <c r="Z17">
        <v>1055.623779</v>
      </c>
      <c r="AA17">
        <v>1077.139893</v>
      </c>
      <c r="AB17">
        <v>1101.228394</v>
      </c>
      <c r="AC17">
        <v>1119.5351559999999</v>
      </c>
      <c r="AD17">
        <v>1137.4564210000001</v>
      </c>
      <c r="AE17">
        <v>1159.633423</v>
      </c>
      <c r="AF17">
        <v>1187.3251949999999</v>
      </c>
      <c r="AG17" s="7">
        <v>4.5999999999999999E-2</v>
      </c>
    </row>
    <row r="18" spans="1:33" x14ac:dyDescent="0.45">
      <c r="A18" t="s">
        <v>152</v>
      </c>
      <c r="B18" t="s">
        <v>153</v>
      </c>
      <c r="C18" t="s">
        <v>154</v>
      </c>
      <c r="D18" t="s">
        <v>124</v>
      </c>
      <c r="F18">
        <v>0</v>
      </c>
      <c r="G18">
        <v>0</v>
      </c>
      <c r="H18">
        <v>0.12171999999999999</v>
      </c>
      <c r="I18">
        <v>0.31421700000000002</v>
      </c>
      <c r="J18">
        <v>0.56746099999999999</v>
      </c>
      <c r="K18">
        <v>0.87938400000000005</v>
      </c>
      <c r="L18">
        <v>1.4138390000000001</v>
      </c>
      <c r="M18">
        <v>2.0194109999999998</v>
      </c>
      <c r="N18">
        <v>5.1442019999999999</v>
      </c>
      <c r="O18">
        <v>6.0398930000000002</v>
      </c>
      <c r="P18">
        <v>7.2216469999999999</v>
      </c>
      <c r="Q18">
        <v>8.5455070000000006</v>
      </c>
      <c r="R18">
        <v>9.7899720000000006</v>
      </c>
      <c r="S18">
        <v>11.133853</v>
      </c>
      <c r="T18">
        <v>12.520564</v>
      </c>
      <c r="U18">
        <v>16.530239000000002</v>
      </c>
      <c r="V18">
        <v>18.016812999999999</v>
      </c>
      <c r="W18">
        <v>19.483158</v>
      </c>
      <c r="X18">
        <v>20.937989999999999</v>
      </c>
      <c r="Y18">
        <v>22.326350999999999</v>
      </c>
      <c r="Z18">
        <v>23.658096</v>
      </c>
      <c r="AA18">
        <v>24.941368000000001</v>
      </c>
      <c r="AB18">
        <v>26.255763999999999</v>
      </c>
      <c r="AC18">
        <v>27.633778</v>
      </c>
      <c r="AD18">
        <v>28.971487</v>
      </c>
      <c r="AE18">
        <v>30.366505</v>
      </c>
      <c r="AF18">
        <v>31.843841999999999</v>
      </c>
      <c r="AG18" t="s">
        <v>110</v>
      </c>
    </row>
    <row r="19" spans="1:33" x14ac:dyDescent="0.45">
      <c r="A19" t="s">
        <v>155</v>
      </c>
      <c r="B19" t="s">
        <v>156</v>
      </c>
      <c r="C19" t="s">
        <v>157</v>
      </c>
      <c r="D19" t="s">
        <v>124</v>
      </c>
      <c r="F19">
        <v>1168.289307</v>
      </c>
      <c r="G19">
        <v>1216.2524410000001</v>
      </c>
      <c r="H19">
        <v>1256.058716</v>
      </c>
      <c r="I19">
        <v>1267.8045649999999</v>
      </c>
      <c r="J19">
        <v>1278.2653809999999</v>
      </c>
      <c r="K19">
        <v>1298.797607</v>
      </c>
      <c r="L19">
        <v>1340.0089109999999</v>
      </c>
      <c r="M19">
        <v>1385.8466800000001</v>
      </c>
      <c r="N19">
        <v>1434.0981449999999</v>
      </c>
      <c r="O19">
        <v>1488.450317</v>
      </c>
      <c r="P19">
        <v>1553.516357</v>
      </c>
      <c r="Q19">
        <v>1633.462524</v>
      </c>
      <c r="R19">
        <v>1696.4204099999999</v>
      </c>
      <c r="S19">
        <v>1783.1007079999999</v>
      </c>
      <c r="T19">
        <v>1839.755981</v>
      </c>
      <c r="U19">
        <v>1923.3126219999999</v>
      </c>
      <c r="V19">
        <v>1965.175293</v>
      </c>
      <c r="W19">
        <v>1995.7973629999999</v>
      </c>
      <c r="X19">
        <v>2029.8786620000001</v>
      </c>
      <c r="Y19">
        <v>2072.5883789999998</v>
      </c>
      <c r="Z19">
        <v>2105.3151859999998</v>
      </c>
      <c r="AA19">
        <v>2143.318115</v>
      </c>
      <c r="AB19">
        <v>2180.786865</v>
      </c>
      <c r="AC19">
        <v>2216.4584960000002</v>
      </c>
      <c r="AD19">
        <v>2249.85376</v>
      </c>
      <c r="AE19">
        <v>2289.405518</v>
      </c>
      <c r="AF19">
        <v>2332.633789</v>
      </c>
      <c r="AG19" s="7">
        <v>2.7E-2</v>
      </c>
    </row>
    <row r="20" spans="1:33" x14ac:dyDescent="0.45">
      <c r="A20" t="s">
        <v>158</v>
      </c>
    </row>
    <row r="21" spans="1:33" x14ac:dyDescent="0.45">
      <c r="A21" t="s">
        <v>121</v>
      </c>
      <c r="B21" t="s">
        <v>159</v>
      </c>
      <c r="C21" t="s">
        <v>160</v>
      </c>
      <c r="D21" t="s">
        <v>124</v>
      </c>
      <c r="F21">
        <v>0.98929999999999996</v>
      </c>
      <c r="G21">
        <v>0.98929999999999996</v>
      </c>
      <c r="H21">
        <v>0.98929999999999996</v>
      </c>
      <c r="I21">
        <v>0.98929999999999996</v>
      </c>
      <c r="J21">
        <v>0.98929999999999996</v>
      </c>
      <c r="K21">
        <v>0.98929999999999996</v>
      </c>
      <c r="L21">
        <v>0.98929999999999996</v>
      </c>
      <c r="M21">
        <v>0.98929999999999996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s="7">
        <v>-1</v>
      </c>
    </row>
    <row r="22" spans="1:33" x14ac:dyDescent="0.45">
      <c r="A22" t="s">
        <v>125</v>
      </c>
      <c r="B22" t="s">
        <v>161</v>
      </c>
      <c r="C22" t="s">
        <v>162</v>
      </c>
      <c r="D22" t="s">
        <v>124</v>
      </c>
      <c r="F22">
        <v>0.32179999999999997</v>
      </c>
      <c r="G22">
        <v>0.32179999999999997</v>
      </c>
      <c r="H22">
        <v>0.32179999999999997</v>
      </c>
      <c r="I22">
        <v>0.32179999999999997</v>
      </c>
      <c r="J22">
        <v>0.32179999999999997</v>
      </c>
      <c r="K22">
        <v>0.32179999999999997</v>
      </c>
      <c r="L22">
        <v>0.32179999999999997</v>
      </c>
      <c r="M22">
        <v>0.32179999999999997</v>
      </c>
      <c r="N22">
        <v>0.32179999999999997</v>
      </c>
      <c r="O22">
        <v>0.32179999999999997</v>
      </c>
      <c r="P22">
        <v>0.32179999999999997</v>
      </c>
      <c r="Q22">
        <v>0.32179999999999997</v>
      </c>
      <c r="R22">
        <v>0.32179999999999997</v>
      </c>
      <c r="S22">
        <v>0.32179999999999997</v>
      </c>
      <c r="T22">
        <v>0.32179999999999997</v>
      </c>
      <c r="U22">
        <v>0.32179999999999997</v>
      </c>
      <c r="V22">
        <v>0.32179999999999997</v>
      </c>
      <c r="W22">
        <v>0.32179999999999997</v>
      </c>
      <c r="X22">
        <v>0.32179999999999997</v>
      </c>
      <c r="Y22">
        <v>0.32179999999999997</v>
      </c>
      <c r="Z22">
        <v>0.32179999999999997</v>
      </c>
      <c r="AA22">
        <v>0.32179999999999997</v>
      </c>
      <c r="AB22">
        <v>0.32179999999999997</v>
      </c>
      <c r="AC22">
        <v>0.32179999999999997</v>
      </c>
      <c r="AD22">
        <v>0.32179999999999997</v>
      </c>
      <c r="AE22">
        <v>0.32179999999999997</v>
      </c>
      <c r="AF22">
        <v>0.32179999999999997</v>
      </c>
      <c r="AG22" s="7">
        <v>0</v>
      </c>
    </row>
    <row r="23" spans="1:33" x14ac:dyDescent="0.45">
      <c r="A23" t="s">
        <v>128</v>
      </c>
      <c r="B23" t="s">
        <v>163</v>
      </c>
      <c r="C23" t="s">
        <v>164</v>
      </c>
      <c r="D23" t="s">
        <v>124</v>
      </c>
      <c r="F23">
        <v>21.319102999999998</v>
      </c>
      <c r="G23">
        <v>21.319102999999998</v>
      </c>
      <c r="H23">
        <v>21.319102999999998</v>
      </c>
      <c r="I23">
        <v>21.319102999999998</v>
      </c>
      <c r="J23">
        <v>21.319102999999998</v>
      </c>
      <c r="K23">
        <v>21.319102999999998</v>
      </c>
      <c r="L23">
        <v>21.226004</v>
      </c>
      <c r="M23">
        <v>21.226004</v>
      </c>
      <c r="N23">
        <v>21.226004</v>
      </c>
      <c r="O23">
        <v>21.039503</v>
      </c>
      <c r="P23">
        <v>21.039503</v>
      </c>
      <c r="Q23">
        <v>21.039503</v>
      </c>
      <c r="R23">
        <v>21.039503</v>
      </c>
      <c r="S23">
        <v>21.039503</v>
      </c>
      <c r="T23">
        <v>21.039503</v>
      </c>
      <c r="U23">
        <v>21.039503</v>
      </c>
      <c r="V23">
        <v>21.039503</v>
      </c>
      <c r="W23">
        <v>21.039503</v>
      </c>
      <c r="X23">
        <v>21.039503</v>
      </c>
      <c r="Y23">
        <v>21.039503</v>
      </c>
      <c r="Z23">
        <v>21.039503</v>
      </c>
      <c r="AA23">
        <v>21.039503</v>
      </c>
      <c r="AB23">
        <v>21.039503</v>
      </c>
      <c r="AC23">
        <v>21.039503</v>
      </c>
      <c r="AD23">
        <v>21.039503</v>
      </c>
      <c r="AE23">
        <v>21.039503</v>
      </c>
      <c r="AF23">
        <v>21.039503</v>
      </c>
      <c r="AG23" s="7">
        <v>-1E-3</v>
      </c>
    </row>
    <row r="24" spans="1:33" x14ac:dyDescent="0.45">
      <c r="A24" t="s">
        <v>131</v>
      </c>
      <c r="B24" t="s">
        <v>165</v>
      </c>
      <c r="C24" t="s">
        <v>166</v>
      </c>
      <c r="D24" t="s">
        <v>124</v>
      </c>
      <c r="F24">
        <v>2.7412000000000001</v>
      </c>
      <c r="G24">
        <v>2.7465000000000002</v>
      </c>
      <c r="H24">
        <v>2.7465000000000002</v>
      </c>
      <c r="I24">
        <v>2.7465000000000002</v>
      </c>
      <c r="J24">
        <v>2.7465000000000002</v>
      </c>
      <c r="K24">
        <v>2.7465000000000002</v>
      </c>
      <c r="L24">
        <v>2.7465000000000002</v>
      </c>
      <c r="M24">
        <v>2.7465000000000002</v>
      </c>
      <c r="N24">
        <v>2.7465000000000002</v>
      </c>
      <c r="O24">
        <v>2.7465000000000002</v>
      </c>
      <c r="P24">
        <v>2.7465000000000002</v>
      </c>
      <c r="Q24">
        <v>2.7465000000000002</v>
      </c>
      <c r="R24">
        <v>2.7465000000000002</v>
      </c>
      <c r="S24">
        <v>2.7465000000000002</v>
      </c>
      <c r="T24">
        <v>2.7465000000000002</v>
      </c>
      <c r="U24">
        <v>2.7465000000000002</v>
      </c>
      <c r="V24">
        <v>2.7465000000000002</v>
      </c>
      <c r="W24">
        <v>2.7465000000000002</v>
      </c>
      <c r="X24">
        <v>2.7465000000000002</v>
      </c>
      <c r="Y24">
        <v>2.7465000000000002</v>
      </c>
      <c r="Z24">
        <v>2.7465000000000002</v>
      </c>
      <c r="AA24">
        <v>2.7465000000000002</v>
      </c>
      <c r="AB24">
        <v>2.7465000000000002</v>
      </c>
      <c r="AC24">
        <v>2.7465000000000002</v>
      </c>
      <c r="AD24">
        <v>2.7465000000000002</v>
      </c>
      <c r="AE24">
        <v>2.7465000000000002</v>
      </c>
      <c r="AF24">
        <v>2.7465000000000002</v>
      </c>
      <c r="AG24" s="7">
        <v>0</v>
      </c>
    </row>
    <row r="25" spans="1:33" x14ac:dyDescent="0.45">
      <c r="A25" t="s">
        <v>149</v>
      </c>
      <c r="B25" t="s">
        <v>167</v>
      </c>
      <c r="C25" t="s">
        <v>168</v>
      </c>
      <c r="D25" t="s">
        <v>124</v>
      </c>
      <c r="F25">
        <v>0.71750000000000003</v>
      </c>
      <c r="G25">
        <v>0.72009999999999996</v>
      </c>
      <c r="H25">
        <v>0.72009999999999996</v>
      </c>
      <c r="I25">
        <v>0.72009999999999996</v>
      </c>
      <c r="J25">
        <v>0.72009999999999996</v>
      </c>
      <c r="K25">
        <v>0.72009999999999996</v>
      </c>
      <c r="L25">
        <v>0.72009999999999996</v>
      </c>
      <c r="M25">
        <v>0.72009999999999996</v>
      </c>
      <c r="N25">
        <v>0.72009999999999996</v>
      </c>
      <c r="O25">
        <v>0.72009999999999996</v>
      </c>
      <c r="P25">
        <v>0.72009999999999996</v>
      </c>
      <c r="Q25">
        <v>0.72009999999999996</v>
      </c>
      <c r="R25">
        <v>0.72009999999999996</v>
      </c>
      <c r="S25">
        <v>0.72009999999999996</v>
      </c>
      <c r="T25">
        <v>0.72009999999999996</v>
      </c>
      <c r="U25">
        <v>0.72009999999999996</v>
      </c>
      <c r="V25">
        <v>0.72009999999999996</v>
      </c>
      <c r="W25">
        <v>0.72009999999999996</v>
      </c>
      <c r="X25">
        <v>0.72009999999999996</v>
      </c>
      <c r="Y25">
        <v>0.72009999999999996</v>
      </c>
      <c r="Z25">
        <v>0.72009999999999996</v>
      </c>
      <c r="AA25">
        <v>0.72009999999999996</v>
      </c>
      <c r="AB25">
        <v>0.72009999999999996</v>
      </c>
      <c r="AC25">
        <v>0.72009999999999996</v>
      </c>
      <c r="AD25">
        <v>0.72009999999999996</v>
      </c>
      <c r="AE25">
        <v>0.72009999999999996</v>
      </c>
      <c r="AF25">
        <v>0.72009999999999996</v>
      </c>
      <c r="AG25" s="7">
        <v>0</v>
      </c>
    </row>
    <row r="26" spans="1:33" x14ac:dyDescent="0.45">
      <c r="A26" t="s">
        <v>155</v>
      </c>
      <c r="B26" t="s">
        <v>169</v>
      </c>
      <c r="C26" t="s">
        <v>170</v>
      </c>
      <c r="D26" t="s">
        <v>124</v>
      </c>
      <c r="F26">
        <v>26.088902999999998</v>
      </c>
      <c r="G26">
        <v>26.096803999999999</v>
      </c>
      <c r="H26">
        <v>26.096803999999999</v>
      </c>
      <c r="I26">
        <v>26.096803999999999</v>
      </c>
      <c r="J26">
        <v>26.096803999999999</v>
      </c>
      <c r="K26">
        <v>26.096803999999999</v>
      </c>
      <c r="L26">
        <v>26.003703999999999</v>
      </c>
      <c r="M26">
        <v>26.003703999999999</v>
      </c>
      <c r="N26">
        <v>25.014403999999999</v>
      </c>
      <c r="O26">
        <v>24.827904</v>
      </c>
      <c r="P26">
        <v>24.827904</v>
      </c>
      <c r="Q26">
        <v>24.827904</v>
      </c>
      <c r="R26">
        <v>24.827904</v>
      </c>
      <c r="S26">
        <v>24.827904</v>
      </c>
      <c r="T26">
        <v>24.827904</v>
      </c>
      <c r="U26">
        <v>24.827904</v>
      </c>
      <c r="V26">
        <v>24.827904</v>
      </c>
      <c r="W26">
        <v>24.827904</v>
      </c>
      <c r="X26">
        <v>24.827904</v>
      </c>
      <c r="Y26">
        <v>24.827904</v>
      </c>
      <c r="Z26">
        <v>24.827904</v>
      </c>
      <c r="AA26">
        <v>24.827904</v>
      </c>
      <c r="AB26">
        <v>24.827904</v>
      </c>
      <c r="AC26">
        <v>24.827904</v>
      </c>
      <c r="AD26">
        <v>24.827904</v>
      </c>
      <c r="AE26">
        <v>24.827904</v>
      </c>
      <c r="AF26">
        <v>24.827904</v>
      </c>
      <c r="AG26" s="7">
        <v>-2E-3</v>
      </c>
    </row>
    <row r="27" spans="1:33" x14ac:dyDescent="0.45">
      <c r="A27" t="s">
        <v>171</v>
      </c>
    </row>
    <row r="28" spans="1:33" x14ac:dyDescent="0.45">
      <c r="A28" t="s">
        <v>121</v>
      </c>
      <c r="B28" t="s">
        <v>172</v>
      </c>
      <c r="C28" t="s">
        <v>173</v>
      </c>
      <c r="D28" t="s">
        <v>124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110</v>
      </c>
    </row>
    <row r="29" spans="1:33" x14ac:dyDescent="0.45">
      <c r="A29" t="s">
        <v>125</v>
      </c>
      <c r="B29" t="s">
        <v>174</v>
      </c>
      <c r="C29" t="s">
        <v>175</v>
      </c>
      <c r="D29" t="s">
        <v>124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110</v>
      </c>
    </row>
    <row r="30" spans="1:33" x14ac:dyDescent="0.45">
      <c r="A30" t="s">
        <v>128</v>
      </c>
      <c r="B30" t="s">
        <v>176</v>
      </c>
      <c r="C30" t="s">
        <v>177</v>
      </c>
      <c r="D30" t="s">
        <v>124</v>
      </c>
      <c r="F30">
        <v>0</v>
      </c>
      <c r="G30">
        <v>2.5350000000000001</v>
      </c>
      <c r="H30">
        <v>5.1814999999999998</v>
      </c>
      <c r="I30">
        <v>5.1814999999999998</v>
      </c>
      <c r="J30">
        <v>5.1814999999999998</v>
      </c>
      <c r="K30">
        <v>5.1814999999999998</v>
      </c>
      <c r="L30">
        <v>5.1814999999999998</v>
      </c>
      <c r="M30">
        <v>5.1814999999999998</v>
      </c>
      <c r="N30">
        <v>5.1814999999999998</v>
      </c>
      <c r="O30">
        <v>5.1814999999999998</v>
      </c>
      <c r="P30">
        <v>5.1814999999999998</v>
      </c>
      <c r="Q30">
        <v>5.1814999999999998</v>
      </c>
      <c r="R30">
        <v>5.1814999999999998</v>
      </c>
      <c r="S30">
        <v>5.1814999999999998</v>
      </c>
      <c r="T30">
        <v>5.1814999999999998</v>
      </c>
      <c r="U30">
        <v>5.1814999999999998</v>
      </c>
      <c r="V30">
        <v>5.1814999999999998</v>
      </c>
      <c r="W30">
        <v>5.1814999999999998</v>
      </c>
      <c r="X30">
        <v>5.1814999999999998</v>
      </c>
      <c r="Y30">
        <v>5.1814999999999998</v>
      </c>
      <c r="Z30">
        <v>5.1814999999999998</v>
      </c>
      <c r="AA30">
        <v>5.1814999999999998</v>
      </c>
      <c r="AB30">
        <v>5.1814999999999998</v>
      </c>
      <c r="AC30">
        <v>5.1814999999999998</v>
      </c>
      <c r="AD30">
        <v>5.1814999999999998</v>
      </c>
      <c r="AE30">
        <v>5.1814999999999998</v>
      </c>
      <c r="AF30">
        <v>5.1814999999999998</v>
      </c>
      <c r="AG30" t="s">
        <v>110</v>
      </c>
    </row>
    <row r="31" spans="1:33" x14ac:dyDescent="0.45">
      <c r="A31" t="s">
        <v>131</v>
      </c>
      <c r="B31" t="s">
        <v>178</v>
      </c>
      <c r="C31" t="s">
        <v>179</v>
      </c>
      <c r="D31" t="s">
        <v>124</v>
      </c>
      <c r="F31">
        <v>0</v>
      </c>
      <c r="G31">
        <v>2.1457000000000002</v>
      </c>
      <c r="H31">
        <v>3.8205</v>
      </c>
      <c r="I31">
        <v>3.8205</v>
      </c>
      <c r="J31">
        <v>3.8205</v>
      </c>
      <c r="K31">
        <v>3.8205</v>
      </c>
      <c r="L31">
        <v>3.8205</v>
      </c>
      <c r="M31">
        <v>3.8205</v>
      </c>
      <c r="N31">
        <v>3.8205</v>
      </c>
      <c r="O31">
        <v>3.8205</v>
      </c>
      <c r="P31">
        <v>3.8205</v>
      </c>
      <c r="Q31">
        <v>3.8205</v>
      </c>
      <c r="R31">
        <v>3.8205</v>
      </c>
      <c r="S31">
        <v>3.8205</v>
      </c>
      <c r="T31">
        <v>3.8205</v>
      </c>
      <c r="U31">
        <v>3.8205</v>
      </c>
      <c r="V31">
        <v>3.8205</v>
      </c>
      <c r="W31">
        <v>3.8205</v>
      </c>
      <c r="X31">
        <v>3.8205</v>
      </c>
      <c r="Y31">
        <v>3.8205</v>
      </c>
      <c r="Z31">
        <v>3.8205</v>
      </c>
      <c r="AA31">
        <v>3.8205</v>
      </c>
      <c r="AB31">
        <v>3.8205</v>
      </c>
      <c r="AC31">
        <v>3.8205</v>
      </c>
      <c r="AD31">
        <v>3.8205</v>
      </c>
      <c r="AE31">
        <v>3.8205</v>
      </c>
      <c r="AF31">
        <v>3.8205</v>
      </c>
      <c r="AG31" t="s">
        <v>110</v>
      </c>
    </row>
    <row r="32" spans="1:33" x14ac:dyDescent="0.45">
      <c r="A32" t="s">
        <v>134</v>
      </c>
      <c r="B32" t="s">
        <v>180</v>
      </c>
      <c r="C32" t="s">
        <v>181</v>
      </c>
      <c r="D32" t="s">
        <v>124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110</v>
      </c>
    </row>
    <row r="33" spans="1:33" x14ac:dyDescent="0.45">
      <c r="A33" t="s">
        <v>137</v>
      </c>
      <c r="B33" t="s">
        <v>182</v>
      </c>
      <c r="C33" t="s">
        <v>183</v>
      </c>
      <c r="D33" t="s">
        <v>124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110</v>
      </c>
    </row>
    <row r="34" spans="1:33" x14ac:dyDescent="0.45">
      <c r="A34" t="s">
        <v>140</v>
      </c>
      <c r="B34" t="s">
        <v>184</v>
      </c>
      <c r="C34" t="s">
        <v>185</v>
      </c>
      <c r="D34" t="s">
        <v>124</v>
      </c>
      <c r="F34">
        <v>0</v>
      </c>
      <c r="G34">
        <v>10.309303</v>
      </c>
      <c r="H34">
        <v>16.241199000000002</v>
      </c>
      <c r="I34">
        <v>18.685199999999998</v>
      </c>
      <c r="J34">
        <v>20.809200000000001</v>
      </c>
      <c r="K34">
        <v>23.253201000000001</v>
      </c>
      <c r="L34">
        <v>25.697201</v>
      </c>
      <c r="M34">
        <v>26.349201000000001</v>
      </c>
      <c r="N34">
        <v>27.001201999999999</v>
      </c>
      <c r="O34">
        <v>27.653202</v>
      </c>
      <c r="P34">
        <v>27.934200000000001</v>
      </c>
      <c r="Q34">
        <v>28.215202000000001</v>
      </c>
      <c r="R34">
        <v>28.215202000000001</v>
      </c>
      <c r="S34">
        <v>28.215202000000001</v>
      </c>
      <c r="T34">
        <v>28.215202000000001</v>
      </c>
      <c r="U34">
        <v>28.215202000000001</v>
      </c>
      <c r="V34">
        <v>28.215202000000001</v>
      </c>
      <c r="W34">
        <v>28.215202000000001</v>
      </c>
      <c r="X34">
        <v>28.215202000000001</v>
      </c>
      <c r="Y34">
        <v>28.215202000000001</v>
      </c>
      <c r="Z34">
        <v>28.215202000000001</v>
      </c>
      <c r="AA34">
        <v>28.215202000000001</v>
      </c>
      <c r="AB34">
        <v>28.215202000000001</v>
      </c>
      <c r="AC34">
        <v>28.215202000000001</v>
      </c>
      <c r="AD34">
        <v>28.215202000000001</v>
      </c>
      <c r="AE34">
        <v>28.215202000000001</v>
      </c>
      <c r="AF34">
        <v>28.215202000000001</v>
      </c>
      <c r="AG34" t="s">
        <v>110</v>
      </c>
    </row>
    <row r="35" spans="1:33" x14ac:dyDescent="0.45">
      <c r="A35" t="s">
        <v>146</v>
      </c>
      <c r="B35" t="s">
        <v>186</v>
      </c>
      <c r="C35" t="s">
        <v>187</v>
      </c>
      <c r="D35" t="s">
        <v>124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110</v>
      </c>
    </row>
    <row r="36" spans="1:33" x14ac:dyDescent="0.45">
      <c r="A36" t="s">
        <v>143</v>
      </c>
      <c r="B36" t="s">
        <v>188</v>
      </c>
      <c r="C36" t="s">
        <v>189</v>
      </c>
      <c r="D36" t="s">
        <v>124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110</v>
      </c>
    </row>
    <row r="37" spans="1:33" x14ac:dyDescent="0.45">
      <c r="A37" t="s">
        <v>149</v>
      </c>
      <c r="B37" t="s">
        <v>190</v>
      </c>
      <c r="C37" t="s">
        <v>191</v>
      </c>
      <c r="D37" t="s">
        <v>124</v>
      </c>
      <c r="F37">
        <v>0</v>
      </c>
      <c r="G37">
        <v>36.712215</v>
      </c>
      <c r="H37">
        <v>69.713798999999995</v>
      </c>
      <c r="I37">
        <v>73.574791000000005</v>
      </c>
      <c r="J37">
        <v>77.699791000000005</v>
      </c>
      <c r="K37">
        <v>83.603188000000003</v>
      </c>
      <c r="L37">
        <v>88.708290000000005</v>
      </c>
      <c r="M37">
        <v>93.029297</v>
      </c>
      <c r="N37">
        <v>95.345298999999997</v>
      </c>
      <c r="O37">
        <v>97.661293000000001</v>
      </c>
      <c r="P37">
        <v>99.977287000000004</v>
      </c>
      <c r="Q37">
        <v>101.773293</v>
      </c>
      <c r="R37">
        <v>102.783295</v>
      </c>
      <c r="S37">
        <v>103.793297</v>
      </c>
      <c r="T37">
        <v>104.803291</v>
      </c>
      <c r="U37">
        <v>105.83229799999999</v>
      </c>
      <c r="V37">
        <v>106.842293</v>
      </c>
      <c r="W37">
        <v>107.056297</v>
      </c>
      <c r="X37">
        <v>107.270302</v>
      </c>
      <c r="Y37">
        <v>107.48429899999999</v>
      </c>
      <c r="Z37">
        <v>107.698296</v>
      </c>
      <c r="AA37">
        <v>107.9123</v>
      </c>
      <c r="AB37">
        <v>108.126305</v>
      </c>
      <c r="AC37">
        <v>108.340294</v>
      </c>
      <c r="AD37">
        <v>108.554298</v>
      </c>
      <c r="AE37">
        <v>108.768303</v>
      </c>
      <c r="AF37">
        <v>108.982292</v>
      </c>
      <c r="AG37" t="s">
        <v>110</v>
      </c>
    </row>
    <row r="38" spans="1:33" x14ac:dyDescent="0.45">
      <c r="A38" t="s">
        <v>192</v>
      </c>
      <c r="B38" t="s">
        <v>193</v>
      </c>
      <c r="C38" t="s">
        <v>194</v>
      </c>
      <c r="D38" t="s">
        <v>124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110</v>
      </c>
    </row>
    <row r="39" spans="1:33" x14ac:dyDescent="0.45">
      <c r="A39" t="s">
        <v>155</v>
      </c>
      <c r="B39" t="s">
        <v>195</v>
      </c>
      <c r="C39" t="s">
        <v>196</v>
      </c>
      <c r="D39" t="s">
        <v>124</v>
      </c>
      <c r="F39">
        <v>0</v>
      </c>
      <c r="G39">
        <v>51.702202</v>
      </c>
      <c r="H39">
        <v>94.957015999999996</v>
      </c>
      <c r="I39">
        <v>101.262016</v>
      </c>
      <c r="J39">
        <v>107.511009</v>
      </c>
      <c r="K39">
        <v>115.858414</v>
      </c>
      <c r="L39">
        <v>123.407516</v>
      </c>
      <c r="M39">
        <v>128.38052400000001</v>
      </c>
      <c r="N39">
        <v>131.348511</v>
      </c>
      <c r="O39">
        <v>134.31651299999999</v>
      </c>
      <c r="P39">
        <v>136.91351299999999</v>
      </c>
      <c r="Q39">
        <v>138.990509</v>
      </c>
      <c r="R39">
        <v>140.00050400000001</v>
      </c>
      <c r="S39">
        <v>141.010513</v>
      </c>
      <c r="T39">
        <v>142.02050800000001</v>
      </c>
      <c r="U39">
        <v>143.04951500000001</v>
      </c>
      <c r="V39">
        <v>144.05950899999999</v>
      </c>
      <c r="W39">
        <v>144.27349899999999</v>
      </c>
      <c r="X39">
        <v>144.48751799999999</v>
      </c>
      <c r="Y39">
        <v>144.70150799999999</v>
      </c>
      <c r="Z39">
        <v>144.91551200000001</v>
      </c>
      <c r="AA39">
        <v>145.12951699999999</v>
      </c>
      <c r="AB39">
        <v>145.34350599999999</v>
      </c>
      <c r="AC39">
        <v>145.55751000000001</v>
      </c>
      <c r="AD39">
        <v>145.77151499999999</v>
      </c>
      <c r="AE39">
        <v>145.98550399999999</v>
      </c>
      <c r="AF39">
        <v>146.199524</v>
      </c>
      <c r="AG39" t="s">
        <v>110</v>
      </c>
    </row>
    <row r="40" spans="1:33" x14ac:dyDescent="0.45">
      <c r="A40" t="s">
        <v>197</v>
      </c>
    </row>
    <row r="41" spans="1:33" x14ac:dyDescent="0.45">
      <c r="A41" t="s">
        <v>121</v>
      </c>
      <c r="B41" t="s">
        <v>198</v>
      </c>
      <c r="C41" t="s">
        <v>199</v>
      </c>
      <c r="D41" t="s">
        <v>124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110</v>
      </c>
    </row>
    <row r="42" spans="1:33" x14ac:dyDescent="0.45">
      <c r="A42" t="s">
        <v>125</v>
      </c>
      <c r="B42" t="s">
        <v>200</v>
      </c>
      <c r="C42" t="s">
        <v>201</v>
      </c>
      <c r="D42" t="s">
        <v>124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110</v>
      </c>
    </row>
    <row r="43" spans="1:33" x14ac:dyDescent="0.45">
      <c r="A43" t="s">
        <v>128</v>
      </c>
      <c r="B43" t="s">
        <v>202</v>
      </c>
      <c r="C43" t="s">
        <v>203</v>
      </c>
      <c r="D43" t="s">
        <v>124</v>
      </c>
      <c r="F43">
        <v>0</v>
      </c>
      <c r="G43">
        <v>0</v>
      </c>
      <c r="H43">
        <v>0</v>
      </c>
      <c r="I43">
        <v>4.7163539999999999</v>
      </c>
      <c r="J43">
        <v>9.7163550000000001</v>
      </c>
      <c r="K43">
        <v>15.966355999999999</v>
      </c>
      <c r="L43">
        <v>23.943232999999999</v>
      </c>
      <c r="M43">
        <v>24.845027999999999</v>
      </c>
      <c r="N43">
        <v>44.771312999999999</v>
      </c>
      <c r="O43">
        <v>46.401485000000001</v>
      </c>
      <c r="P43">
        <v>48.080703999999997</v>
      </c>
      <c r="Q43">
        <v>51.620029000000002</v>
      </c>
      <c r="R43">
        <v>54.314346</v>
      </c>
      <c r="S43">
        <v>57.665562000000001</v>
      </c>
      <c r="T43">
        <v>60.570884999999997</v>
      </c>
      <c r="U43">
        <v>71.188744</v>
      </c>
      <c r="V43">
        <v>78.211082000000005</v>
      </c>
      <c r="W43">
        <v>83.267089999999996</v>
      </c>
      <c r="X43">
        <v>86.480309000000005</v>
      </c>
      <c r="Y43">
        <v>90.814980000000006</v>
      </c>
      <c r="Z43">
        <v>95.053978000000001</v>
      </c>
      <c r="AA43">
        <v>99.648246999999998</v>
      </c>
      <c r="AB43">
        <v>104.64825399999999</v>
      </c>
      <c r="AC43">
        <v>110.23762499999999</v>
      </c>
      <c r="AD43">
        <v>114.34296399999999</v>
      </c>
      <c r="AE43">
        <v>119.25256299999999</v>
      </c>
      <c r="AF43">
        <v>125.389557</v>
      </c>
      <c r="AG43" t="s">
        <v>110</v>
      </c>
    </row>
    <row r="44" spans="1:33" x14ac:dyDescent="0.45">
      <c r="A44" t="s">
        <v>131</v>
      </c>
      <c r="B44" t="s">
        <v>204</v>
      </c>
      <c r="C44" t="s">
        <v>205</v>
      </c>
      <c r="D44" t="s">
        <v>124</v>
      </c>
      <c r="F44">
        <v>0</v>
      </c>
      <c r="G44">
        <v>4.5361399999999996</v>
      </c>
      <c r="H44">
        <v>12.879827000000001</v>
      </c>
      <c r="I44">
        <v>23.222017000000001</v>
      </c>
      <c r="J44">
        <v>35.162292000000001</v>
      </c>
      <c r="K44">
        <v>46.189864999999998</v>
      </c>
      <c r="L44">
        <v>59.974342</v>
      </c>
      <c r="M44">
        <v>76.944771000000003</v>
      </c>
      <c r="N44">
        <v>110.88563499999999</v>
      </c>
      <c r="O44">
        <v>123.521446</v>
      </c>
      <c r="P44">
        <v>136.750854</v>
      </c>
      <c r="Q44">
        <v>152.02799999999999</v>
      </c>
      <c r="R44">
        <v>163.102295</v>
      </c>
      <c r="S44">
        <v>175.718628</v>
      </c>
      <c r="T44">
        <v>189.44697600000001</v>
      </c>
      <c r="U44">
        <v>216.90364099999999</v>
      </c>
      <c r="V44">
        <v>232.320312</v>
      </c>
      <c r="W44">
        <v>245.03993199999999</v>
      </c>
      <c r="X44">
        <v>258.89877300000001</v>
      </c>
      <c r="Y44">
        <v>271.048676</v>
      </c>
      <c r="Z44">
        <v>282.91076700000002</v>
      </c>
      <c r="AA44">
        <v>293.24569700000001</v>
      </c>
      <c r="AB44">
        <v>303.26315299999999</v>
      </c>
      <c r="AC44">
        <v>313.52951000000002</v>
      </c>
      <c r="AD44">
        <v>323.549622</v>
      </c>
      <c r="AE44">
        <v>334.530731</v>
      </c>
      <c r="AF44">
        <v>341.35137900000001</v>
      </c>
      <c r="AG44" t="s">
        <v>110</v>
      </c>
    </row>
    <row r="45" spans="1:33" x14ac:dyDescent="0.45">
      <c r="A45" t="s">
        <v>134</v>
      </c>
      <c r="B45" t="s">
        <v>206</v>
      </c>
      <c r="C45" t="s">
        <v>207</v>
      </c>
      <c r="D45" t="s">
        <v>124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110</v>
      </c>
    </row>
    <row r="46" spans="1:33" x14ac:dyDescent="0.45">
      <c r="A46" t="s">
        <v>137</v>
      </c>
      <c r="B46" t="s">
        <v>208</v>
      </c>
      <c r="C46" t="s">
        <v>209</v>
      </c>
      <c r="D46" t="s">
        <v>124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110</v>
      </c>
    </row>
    <row r="47" spans="1:33" x14ac:dyDescent="0.45">
      <c r="A47" t="s">
        <v>140</v>
      </c>
      <c r="B47" t="s">
        <v>210</v>
      </c>
      <c r="C47" t="s">
        <v>211</v>
      </c>
      <c r="D47" t="s">
        <v>124</v>
      </c>
      <c r="F47">
        <v>0</v>
      </c>
      <c r="G47">
        <v>1.596903</v>
      </c>
      <c r="H47">
        <v>1.596903</v>
      </c>
      <c r="I47">
        <v>1.596903</v>
      </c>
      <c r="J47">
        <v>1.596903</v>
      </c>
      <c r="K47">
        <v>1.596903</v>
      </c>
      <c r="L47">
        <v>1.596903</v>
      </c>
      <c r="M47">
        <v>1.596903</v>
      </c>
      <c r="N47">
        <v>1.596903</v>
      </c>
      <c r="O47">
        <v>1.596903</v>
      </c>
      <c r="P47">
        <v>1.596903</v>
      </c>
      <c r="Q47">
        <v>1.596903</v>
      </c>
      <c r="R47">
        <v>1.647546</v>
      </c>
      <c r="S47">
        <v>1.9624820000000001</v>
      </c>
      <c r="T47">
        <v>2.1881629999999999</v>
      </c>
      <c r="U47">
        <v>5.1881630000000003</v>
      </c>
      <c r="V47">
        <v>5.3752950000000004</v>
      </c>
      <c r="W47">
        <v>5.518885</v>
      </c>
      <c r="X47">
        <v>5.8369340000000003</v>
      </c>
      <c r="Y47">
        <v>6.0417610000000002</v>
      </c>
      <c r="Z47">
        <v>6.2777099999999999</v>
      </c>
      <c r="AA47">
        <v>6.551946</v>
      </c>
      <c r="AB47">
        <v>6.709905</v>
      </c>
      <c r="AC47">
        <v>6.873183</v>
      </c>
      <c r="AD47">
        <v>7.0689120000000001</v>
      </c>
      <c r="AE47">
        <v>7.2809720000000002</v>
      </c>
      <c r="AF47">
        <v>8.3823880000000006</v>
      </c>
      <c r="AG47" t="s">
        <v>110</v>
      </c>
    </row>
    <row r="48" spans="1:33" x14ac:dyDescent="0.45">
      <c r="A48" t="s">
        <v>143</v>
      </c>
      <c r="B48" t="s">
        <v>212</v>
      </c>
      <c r="C48" t="s">
        <v>213</v>
      </c>
      <c r="D48" t="s">
        <v>124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2.4</v>
      </c>
      <c r="O48">
        <v>2.4</v>
      </c>
      <c r="P48">
        <v>2.4</v>
      </c>
      <c r="Q48">
        <v>2.4</v>
      </c>
      <c r="R48">
        <v>2.4</v>
      </c>
      <c r="S48">
        <v>2.4</v>
      </c>
      <c r="T48">
        <v>2.4</v>
      </c>
      <c r="U48">
        <v>4.8</v>
      </c>
      <c r="V48">
        <v>4.8</v>
      </c>
      <c r="W48">
        <v>4.8</v>
      </c>
      <c r="X48">
        <v>4.8</v>
      </c>
      <c r="Y48">
        <v>4.8</v>
      </c>
      <c r="Z48">
        <v>4.8</v>
      </c>
      <c r="AA48">
        <v>4.8</v>
      </c>
      <c r="AB48">
        <v>4.8</v>
      </c>
      <c r="AC48">
        <v>4.8</v>
      </c>
      <c r="AD48">
        <v>4.8</v>
      </c>
      <c r="AE48">
        <v>4.8</v>
      </c>
      <c r="AF48">
        <v>4.8</v>
      </c>
      <c r="AG48" t="s">
        <v>110</v>
      </c>
    </row>
    <row r="49" spans="1:33" x14ac:dyDescent="0.45">
      <c r="A49" t="s">
        <v>146</v>
      </c>
      <c r="B49" t="s">
        <v>214</v>
      </c>
      <c r="C49" t="s">
        <v>215</v>
      </c>
      <c r="D49" t="s">
        <v>124</v>
      </c>
      <c r="F49">
        <v>0</v>
      </c>
      <c r="G49">
        <v>0</v>
      </c>
      <c r="H49">
        <v>0</v>
      </c>
      <c r="I49">
        <v>2.4669E-2</v>
      </c>
      <c r="J49">
        <v>2.8254000000000001E-2</v>
      </c>
      <c r="K49">
        <v>2.8254000000000001E-2</v>
      </c>
      <c r="L49">
        <v>2.8254000000000001E-2</v>
      </c>
      <c r="M49">
        <v>2.8254000000000001E-2</v>
      </c>
      <c r="N49">
        <v>2.8254000000000001E-2</v>
      </c>
      <c r="O49">
        <v>2.8254000000000001E-2</v>
      </c>
      <c r="P49">
        <v>2.8254000000000001E-2</v>
      </c>
      <c r="Q49">
        <v>2.8254000000000001E-2</v>
      </c>
      <c r="R49">
        <v>2.8254000000000001E-2</v>
      </c>
      <c r="S49">
        <v>2.8254000000000001E-2</v>
      </c>
      <c r="T49">
        <v>2.8254000000000001E-2</v>
      </c>
      <c r="U49">
        <v>2.8254000000000001E-2</v>
      </c>
      <c r="V49">
        <v>2.8254000000000001E-2</v>
      </c>
      <c r="W49">
        <v>2.8254000000000001E-2</v>
      </c>
      <c r="X49">
        <v>2.8254000000000001E-2</v>
      </c>
      <c r="Y49">
        <v>2.8254000000000001E-2</v>
      </c>
      <c r="Z49">
        <v>2.8254000000000001E-2</v>
      </c>
      <c r="AA49">
        <v>2.8254000000000001E-2</v>
      </c>
      <c r="AB49">
        <v>2.8254000000000001E-2</v>
      </c>
      <c r="AC49">
        <v>2.8254000000000001E-2</v>
      </c>
      <c r="AD49">
        <v>2.8254000000000001E-2</v>
      </c>
      <c r="AE49">
        <v>2.8254000000000001E-2</v>
      </c>
      <c r="AF49">
        <v>2.8254000000000001E-2</v>
      </c>
      <c r="AG49" t="s">
        <v>110</v>
      </c>
    </row>
    <row r="50" spans="1:33" x14ac:dyDescent="0.45">
      <c r="A50" t="s">
        <v>149</v>
      </c>
      <c r="B50" t="s">
        <v>216</v>
      </c>
      <c r="C50" t="s">
        <v>217</v>
      </c>
      <c r="D50" t="s">
        <v>124</v>
      </c>
      <c r="F50">
        <v>0</v>
      </c>
      <c r="G50">
        <v>0.11246100000000001</v>
      </c>
      <c r="H50">
        <v>0.32205899999999998</v>
      </c>
      <c r="I50">
        <v>2.3263600000000002</v>
      </c>
      <c r="J50">
        <v>12.987215000000001</v>
      </c>
      <c r="K50">
        <v>29.516871999999999</v>
      </c>
      <c r="L50">
        <v>59.024044000000004</v>
      </c>
      <c r="M50">
        <v>91.476601000000002</v>
      </c>
      <c r="N50">
        <v>133.01828</v>
      </c>
      <c r="O50">
        <v>171.01326</v>
      </c>
      <c r="P50">
        <v>218.78872699999999</v>
      </c>
      <c r="Q50">
        <v>278.38394199999999</v>
      </c>
      <c r="R50">
        <v>326.47024499999998</v>
      </c>
      <c r="S50">
        <v>394.561218</v>
      </c>
      <c r="T50">
        <v>431.96060199999999</v>
      </c>
      <c r="U50">
        <v>501.03933699999999</v>
      </c>
      <c r="V50">
        <v>518.27770999999996</v>
      </c>
      <c r="W50">
        <v>529.52014199999996</v>
      </c>
      <c r="X50">
        <v>545.88189699999998</v>
      </c>
      <c r="Y50">
        <v>570.31878700000004</v>
      </c>
      <c r="Z50">
        <v>585.71984899999995</v>
      </c>
      <c r="AA50">
        <v>607.02343800000006</v>
      </c>
      <c r="AB50">
        <v>630.90051300000005</v>
      </c>
      <c r="AC50">
        <v>649.00787400000002</v>
      </c>
      <c r="AD50">
        <v>666.715149</v>
      </c>
      <c r="AE50">
        <v>688.714294</v>
      </c>
      <c r="AF50">
        <v>716.191956</v>
      </c>
      <c r="AG50" t="s">
        <v>110</v>
      </c>
    </row>
    <row r="51" spans="1:33" x14ac:dyDescent="0.45">
      <c r="A51" t="s">
        <v>192</v>
      </c>
      <c r="B51" t="s">
        <v>218</v>
      </c>
      <c r="C51" t="s">
        <v>219</v>
      </c>
      <c r="D51" t="s">
        <v>124</v>
      </c>
      <c r="F51">
        <v>0</v>
      </c>
      <c r="G51">
        <v>0</v>
      </c>
      <c r="H51">
        <v>0.12171999999999999</v>
      </c>
      <c r="I51">
        <v>0.31421700000000002</v>
      </c>
      <c r="J51">
        <v>0.56746099999999999</v>
      </c>
      <c r="K51">
        <v>0.87938400000000005</v>
      </c>
      <c r="L51">
        <v>1.4138390000000001</v>
      </c>
      <c r="M51">
        <v>2.0194109999999998</v>
      </c>
      <c r="N51">
        <v>5.1442019999999999</v>
      </c>
      <c r="O51">
        <v>6.0398930000000002</v>
      </c>
      <c r="P51">
        <v>7.2216469999999999</v>
      </c>
      <c r="Q51">
        <v>8.5455070000000006</v>
      </c>
      <c r="R51">
        <v>9.7899720000000006</v>
      </c>
      <c r="S51">
        <v>11.133853</v>
      </c>
      <c r="T51">
        <v>12.520564</v>
      </c>
      <c r="U51">
        <v>16.530239000000002</v>
      </c>
      <c r="V51">
        <v>18.016812999999999</v>
      </c>
      <c r="W51">
        <v>19.483158</v>
      </c>
      <c r="X51">
        <v>20.937989999999999</v>
      </c>
      <c r="Y51">
        <v>22.326350999999999</v>
      </c>
      <c r="Z51">
        <v>23.658096</v>
      </c>
      <c r="AA51">
        <v>24.941368000000001</v>
      </c>
      <c r="AB51">
        <v>26.255763999999999</v>
      </c>
      <c r="AC51">
        <v>27.633778</v>
      </c>
      <c r="AD51">
        <v>28.971487</v>
      </c>
      <c r="AE51">
        <v>30.366505</v>
      </c>
      <c r="AF51">
        <v>31.843841999999999</v>
      </c>
      <c r="AG51" t="s">
        <v>110</v>
      </c>
    </row>
    <row r="52" spans="1:33" x14ac:dyDescent="0.45">
      <c r="A52" t="s">
        <v>155</v>
      </c>
      <c r="B52" t="s">
        <v>220</v>
      </c>
      <c r="C52" t="s">
        <v>221</v>
      </c>
      <c r="D52" t="s">
        <v>124</v>
      </c>
      <c r="F52">
        <v>0</v>
      </c>
      <c r="G52">
        <v>6.2455049999999996</v>
      </c>
      <c r="H52">
        <v>14.920508999999999</v>
      </c>
      <c r="I52">
        <v>32.200516</v>
      </c>
      <c r="J52">
        <v>60.058478999999998</v>
      </c>
      <c r="K52">
        <v>94.177643000000003</v>
      </c>
      <c r="L52">
        <v>145.98060599999999</v>
      </c>
      <c r="M52">
        <v>196.91098</v>
      </c>
      <c r="N52">
        <v>297.84454299999999</v>
      </c>
      <c r="O52">
        <v>351.00106799999998</v>
      </c>
      <c r="P52">
        <v>414.86697400000003</v>
      </c>
      <c r="Q52">
        <v>494.60253899999998</v>
      </c>
      <c r="R52">
        <v>557.75268600000004</v>
      </c>
      <c r="S52">
        <v>643.47021500000005</v>
      </c>
      <c r="T52">
        <v>699.11578399999996</v>
      </c>
      <c r="U52">
        <v>815.67852800000003</v>
      </c>
      <c r="V52">
        <v>857.02966300000003</v>
      </c>
      <c r="W52">
        <v>887.65765399999998</v>
      </c>
      <c r="X52">
        <v>922.86407499999996</v>
      </c>
      <c r="Y52">
        <v>965.378601</v>
      </c>
      <c r="Z52">
        <v>998.44854699999996</v>
      </c>
      <c r="AA52">
        <v>1036.2387699999999</v>
      </c>
      <c r="AB52">
        <v>1076.6054690000001</v>
      </c>
      <c r="AC52">
        <v>1112.1098629999999</v>
      </c>
      <c r="AD52">
        <v>1145.4761960000001</v>
      </c>
      <c r="AE52">
        <v>1184.9731449999999</v>
      </c>
      <c r="AF52">
        <v>1227.987061</v>
      </c>
      <c r="AG52" t="s">
        <v>110</v>
      </c>
    </row>
    <row r="53" spans="1:33" x14ac:dyDescent="0.45">
      <c r="A53" t="s">
        <v>222</v>
      </c>
      <c r="B53" t="s">
        <v>223</v>
      </c>
      <c r="C53" t="s">
        <v>224</v>
      </c>
      <c r="D53" t="s">
        <v>124</v>
      </c>
      <c r="F53">
        <v>0</v>
      </c>
      <c r="G53">
        <v>57.947707999999999</v>
      </c>
      <c r="H53">
        <v>109.87752500000001</v>
      </c>
      <c r="I53">
        <v>133.46253999999999</v>
      </c>
      <c r="J53">
        <v>167.569489</v>
      </c>
      <c r="K53">
        <v>210.036057</v>
      </c>
      <c r="L53">
        <v>269.38812300000001</v>
      </c>
      <c r="M53">
        <v>325.29150399999997</v>
      </c>
      <c r="N53">
        <v>429.19305400000002</v>
      </c>
      <c r="O53">
        <v>485.317566</v>
      </c>
      <c r="P53">
        <v>551.78045699999996</v>
      </c>
      <c r="Q53">
        <v>633.59301800000003</v>
      </c>
      <c r="R53">
        <v>697.75317399999994</v>
      </c>
      <c r="S53">
        <v>784.48071300000004</v>
      </c>
      <c r="T53">
        <v>841.13629200000003</v>
      </c>
      <c r="U53">
        <v>958.728027</v>
      </c>
      <c r="V53">
        <v>1001.089172</v>
      </c>
      <c r="W53">
        <v>1031.9311520000001</v>
      </c>
      <c r="X53">
        <v>1067.3515620000001</v>
      </c>
      <c r="Y53">
        <v>1110.080078</v>
      </c>
      <c r="Z53">
        <v>1143.364014</v>
      </c>
      <c r="AA53">
        <v>1181.3682859999999</v>
      </c>
      <c r="AB53">
        <v>1221.948975</v>
      </c>
      <c r="AC53">
        <v>1257.6673579999999</v>
      </c>
      <c r="AD53">
        <v>1291.2476810000001</v>
      </c>
      <c r="AE53">
        <v>1330.9586179999999</v>
      </c>
      <c r="AF53">
        <v>1374.1865230000001</v>
      </c>
      <c r="AG53" t="s">
        <v>110</v>
      </c>
    </row>
    <row r="54" spans="1:33" x14ac:dyDescent="0.45">
      <c r="A54" t="s">
        <v>225</v>
      </c>
    </row>
    <row r="55" spans="1:33" x14ac:dyDescent="0.45">
      <c r="A55" t="s">
        <v>121</v>
      </c>
      <c r="B55" t="s">
        <v>226</v>
      </c>
      <c r="C55" t="s">
        <v>227</v>
      </c>
      <c r="D55" t="s">
        <v>124</v>
      </c>
      <c r="F55">
        <v>0</v>
      </c>
      <c r="G55">
        <v>6.0840990000000001</v>
      </c>
      <c r="H55">
        <v>12.883599999999999</v>
      </c>
      <c r="I55">
        <v>18.729800999999998</v>
      </c>
      <c r="J55">
        <v>39.186802</v>
      </c>
      <c r="K55">
        <v>57.629897999999997</v>
      </c>
      <c r="L55">
        <v>69.259108999999995</v>
      </c>
      <c r="M55">
        <v>76.372421000000003</v>
      </c>
      <c r="N55">
        <v>131.43429599999999</v>
      </c>
      <c r="O55">
        <v>131.47479200000001</v>
      </c>
      <c r="P55">
        <v>131.47479200000001</v>
      </c>
      <c r="Q55">
        <v>131.47479200000001</v>
      </c>
      <c r="R55">
        <v>131.47479200000001</v>
      </c>
      <c r="S55">
        <v>131.47479200000001</v>
      </c>
      <c r="T55">
        <v>131.47479200000001</v>
      </c>
      <c r="U55">
        <v>131.47479200000001</v>
      </c>
      <c r="V55">
        <v>131.47479200000001</v>
      </c>
      <c r="W55">
        <v>131.47479200000001</v>
      </c>
      <c r="X55">
        <v>131.47479200000001</v>
      </c>
      <c r="Y55">
        <v>131.47479200000001</v>
      </c>
      <c r="Z55">
        <v>131.47479200000001</v>
      </c>
      <c r="AA55">
        <v>131.47479200000001</v>
      </c>
      <c r="AB55">
        <v>133.70794699999999</v>
      </c>
      <c r="AC55">
        <v>133.70794699999999</v>
      </c>
      <c r="AD55">
        <v>133.70794699999999</v>
      </c>
      <c r="AE55">
        <v>133.70794699999999</v>
      </c>
      <c r="AF55">
        <v>133.70794699999999</v>
      </c>
      <c r="AG55" t="s">
        <v>110</v>
      </c>
    </row>
    <row r="56" spans="1:33" x14ac:dyDescent="0.45">
      <c r="A56" t="s">
        <v>125</v>
      </c>
      <c r="B56" t="s">
        <v>228</v>
      </c>
      <c r="C56" t="s">
        <v>229</v>
      </c>
      <c r="D56" t="s">
        <v>124</v>
      </c>
      <c r="F56">
        <v>0</v>
      </c>
      <c r="G56">
        <v>2.6589999999999998</v>
      </c>
      <c r="H56">
        <v>6.6634019999999996</v>
      </c>
      <c r="I56">
        <v>10.758101</v>
      </c>
      <c r="J56">
        <v>12.998701000000001</v>
      </c>
      <c r="K56">
        <v>14.811000999999999</v>
      </c>
      <c r="L56">
        <v>18.3675</v>
      </c>
      <c r="M56">
        <v>20.499600999999998</v>
      </c>
      <c r="N56">
        <v>20.832602000000001</v>
      </c>
      <c r="O56">
        <v>22.298203000000001</v>
      </c>
      <c r="P56">
        <v>23.556899999999999</v>
      </c>
      <c r="Q56">
        <v>25.258400000000002</v>
      </c>
      <c r="R56">
        <v>25.895800000000001</v>
      </c>
      <c r="S56">
        <v>25.895800000000001</v>
      </c>
      <c r="T56">
        <v>25.895800000000001</v>
      </c>
      <c r="U56">
        <v>59.528495999999997</v>
      </c>
      <c r="V56">
        <v>59.528495999999997</v>
      </c>
      <c r="W56">
        <v>59.528495999999997</v>
      </c>
      <c r="X56">
        <v>59.528495999999997</v>
      </c>
      <c r="Y56">
        <v>59.528495999999997</v>
      </c>
      <c r="Z56">
        <v>59.528495999999997</v>
      </c>
      <c r="AA56">
        <v>59.528495999999997</v>
      </c>
      <c r="AB56">
        <v>59.528495999999997</v>
      </c>
      <c r="AC56">
        <v>59.560600000000001</v>
      </c>
      <c r="AD56">
        <v>59.560600000000001</v>
      </c>
      <c r="AE56">
        <v>59.560600000000001</v>
      </c>
      <c r="AF56">
        <v>59.560600000000001</v>
      </c>
      <c r="AG56" t="s">
        <v>110</v>
      </c>
    </row>
    <row r="57" spans="1:33" x14ac:dyDescent="0.45">
      <c r="A57" t="s">
        <v>128</v>
      </c>
      <c r="B57" t="s">
        <v>230</v>
      </c>
      <c r="C57" t="s">
        <v>231</v>
      </c>
      <c r="D57" t="s">
        <v>124</v>
      </c>
      <c r="F57">
        <v>0</v>
      </c>
      <c r="G57">
        <v>0</v>
      </c>
      <c r="H57">
        <v>0.52974900000000003</v>
      </c>
      <c r="I57">
        <v>1.7968489999999999</v>
      </c>
      <c r="J57">
        <v>1.840249</v>
      </c>
      <c r="K57">
        <v>1.8699490000000001</v>
      </c>
      <c r="L57">
        <v>2.429049</v>
      </c>
      <c r="M57">
        <v>2.5217489999999998</v>
      </c>
      <c r="N57">
        <v>3.023749</v>
      </c>
      <c r="O57">
        <v>3.286349</v>
      </c>
      <c r="P57">
        <v>3.286349</v>
      </c>
      <c r="Q57">
        <v>3.286349</v>
      </c>
      <c r="R57">
        <v>3.6437490000000001</v>
      </c>
      <c r="S57">
        <v>3.6437490000000001</v>
      </c>
      <c r="T57">
        <v>3.6437490000000001</v>
      </c>
      <c r="U57">
        <v>3.6437490000000001</v>
      </c>
      <c r="V57">
        <v>3.6437490000000001</v>
      </c>
      <c r="W57">
        <v>3.6437490000000001</v>
      </c>
      <c r="X57">
        <v>4.3037489999999998</v>
      </c>
      <c r="Y57">
        <v>4.3037489999999998</v>
      </c>
      <c r="Z57">
        <v>4.7807490000000001</v>
      </c>
      <c r="AA57">
        <v>4.7807490000000001</v>
      </c>
      <c r="AB57">
        <v>4.7807490000000001</v>
      </c>
      <c r="AC57">
        <v>4.7807490000000001</v>
      </c>
      <c r="AD57">
        <v>4.9657489999999997</v>
      </c>
      <c r="AE57">
        <v>5.088749</v>
      </c>
      <c r="AF57">
        <v>5.088749</v>
      </c>
      <c r="AG57" t="s">
        <v>110</v>
      </c>
    </row>
    <row r="58" spans="1:33" x14ac:dyDescent="0.45">
      <c r="A58" t="s">
        <v>131</v>
      </c>
      <c r="B58" t="s">
        <v>232</v>
      </c>
      <c r="C58" t="s">
        <v>233</v>
      </c>
      <c r="D58" t="s">
        <v>124</v>
      </c>
      <c r="F58">
        <v>0</v>
      </c>
      <c r="G58">
        <v>1.2232000000000001</v>
      </c>
      <c r="H58">
        <v>1.9956</v>
      </c>
      <c r="I58">
        <v>2.5413000000000001</v>
      </c>
      <c r="J58">
        <v>2.5480999999999998</v>
      </c>
      <c r="K58">
        <v>2.5514999999999999</v>
      </c>
      <c r="L58">
        <v>2.7879999999999998</v>
      </c>
      <c r="M58">
        <v>2.851</v>
      </c>
      <c r="N58">
        <v>3.4306000000000001</v>
      </c>
      <c r="O58">
        <v>3.5467</v>
      </c>
      <c r="P58">
        <v>3.6657000000000002</v>
      </c>
      <c r="Q58">
        <v>3.6827000000000001</v>
      </c>
      <c r="R58">
        <v>3.8896999999999999</v>
      </c>
      <c r="S58">
        <v>3.9367999999999999</v>
      </c>
      <c r="T58">
        <v>3.9367999999999999</v>
      </c>
      <c r="U58">
        <v>3.9367999999999999</v>
      </c>
      <c r="V58">
        <v>3.9367999999999999</v>
      </c>
      <c r="W58">
        <v>4.1458009999999996</v>
      </c>
      <c r="X58">
        <v>4.1778000000000004</v>
      </c>
      <c r="Y58">
        <v>4.1778000000000004</v>
      </c>
      <c r="Z58">
        <v>4.1778000000000004</v>
      </c>
      <c r="AA58">
        <v>4.1778000000000004</v>
      </c>
      <c r="AB58">
        <v>4.1778000000000004</v>
      </c>
      <c r="AC58">
        <v>4.1778000000000004</v>
      </c>
      <c r="AD58">
        <v>4.1778000000000004</v>
      </c>
      <c r="AE58">
        <v>4.1778000000000004</v>
      </c>
      <c r="AF58">
        <v>4.1778000000000004</v>
      </c>
      <c r="AG58" t="s">
        <v>110</v>
      </c>
    </row>
    <row r="59" spans="1:33" x14ac:dyDescent="0.45">
      <c r="A59" t="s">
        <v>134</v>
      </c>
      <c r="B59" t="s">
        <v>234</v>
      </c>
      <c r="C59" t="s">
        <v>235</v>
      </c>
      <c r="D59" t="s">
        <v>124</v>
      </c>
      <c r="F59">
        <v>0</v>
      </c>
      <c r="G59">
        <v>0</v>
      </c>
      <c r="H59">
        <v>0</v>
      </c>
      <c r="I59">
        <v>0</v>
      </c>
      <c r="J59">
        <v>0</v>
      </c>
      <c r="K59">
        <v>1.1220000000000001</v>
      </c>
      <c r="L59">
        <v>2.2400000000000002</v>
      </c>
      <c r="M59">
        <v>2.2400000000000002</v>
      </c>
      <c r="N59">
        <v>2.2400000000000002</v>
      </c>
      <c r="O59">
        <v>2.2400000000000002</v>
      </c>
      <c r="P59">
        <v>2.2400000000000002</v>
      </c>
      <c r="Q59">
        <v>2.2400000000000002</v>
      </c>
      <c r="R59">
        <v>2.2400000000000002</v>
      </c>
      <c r="S59">
        <v>2.2400000000000002</v>
      </c>
      <c r="T59">
        <v>2.2400000000000002</v>
      </c>
      <c r="U59">
        <v>2.2400000000000002</v>
      </c>
      <c r="V59">
        <v>2.2400000000000002</v>
      </c>
      <c r="W59">
        <v>2.2400000000000002</v>
      </c>
      <c r="X59">
        <v>2.2400000000000002</v>
      </c>
      <c r="Y59">
        <v>2.2400000000000002</v>
      </c>
      <c r="Z59">
        <v>2.2400000000000002</v>
      </c>
      <c r="AA59">
        <v>2.2400000000000002</v>
      </c>
      <c r="AB59">
        <v>2.2400000000000002</v>
      </c>
      <c r="AC59">
        <v>2.2400000000000002</v>
      </c>
      <c r="AD59">
        <v>2.2400000000000002</v>
      </c>
      <c r="AE59">
        <v>2.2400000000000002</v>
      </c>
      <c r="AF59">
        <v>2.2400000000000002</v>
      </c>
      <c r="AG59" t="s">
        <v>110</v>
      </c>
    </row>
    <row r="60" spans="1:33" x14ac:dyDescent="0.45">
      <c r="A60" t="s">
        <v>137</v>
      </c>
      <c r="B60" t="s">
        <v>236</v>
      </c>
      <c r="C60" t="s">
        <v>237</v>
      </c>
      <c r="D60" t="s">
        <v>124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t="s">
        <v>110</v>
      </c>
    </row>
    <row r="61" spans="1:33" x14ac:dyDescent="0.45">
      <c r="A61" t="s">
        <v>140</v>
      </c>
      <c r="B61" t="s">
        <v>238</v>
      </c>
      <c r="C61" t="s">
        <v>239</v>
      </c>
      <c r="D61" t="s">
        <v>124</v>
      </c>
      <c r="F61">
        <v>0</v>
      </c>
      <c r="G61">
        <v>0</v>
      </c>
      <c r="H61">
        <v>7.0000000000000001E-3</v>
      </c>
      <c r="I61">
        <v>7.0000000000000001E-3</v>
      </c>
      <c r="J61">
        <v>7.0000000000000001E-3</v>
      </c>
      <c r="K61">
        <v>7.0000000000000001E-3</v>
      </c>
      <c r="L61">
        <v>7.0000000000000001E-3</v>
      </c>
      <c r="M61">
        <v>7.0000000000000001E-3</v>
      </c>
      <c r="N61">
        <v>1.6899999999999998E-2</v>
      </c>
      <c r="O61">
        <v>1.6899999999999998E-2</v>
      </c>
      <c r="P61">
        <v>1.6899999999999998E-2</v>
      </c>
      <c r="Q61">
        <v>1.6899999999999998E-2</v>
      </c>
      <c r="R61">
        <v>1.6899999999999998E-2</v>
      </c>
      <c r="S61">
        <v>1.6899999999999998E-2</v>
      </c>
      <c r="T61">
        <v>1.6899999999999998E-2</v>
      </c>
      <c r="U61">
        <v>1.6899999999999998E-2</v>
      </c>
      <c r="V61">
        <v>1.6899999999999998E-2</v>
      </c>
      <c r="W61">
        <v>2.7900000000000001E-2</v>
      </c>
      <c r="X61">
        <v>0.22789999999999999</v>
      </c>
      <c r="Y61">
        <v>0.22789999999999999</v>
      </c>
      <c r="Z61">
        <v>0.22789999999999999</v>
      </c>
      <c r="AA61">
        <v>0.22789999999999999</v>
      </c>
      <c r="AB61">
        <v>0.22789999999999999</v>
      </c>
      <c r="AC61">
        <v>0.22789999999999999</v>
      </c>
      <c r="AD61">
        <v>0.22789999999999999</v>
      </c>
      <c r="AE61">
        <v>0.22789999999999999</v>
      </c>
      <c r="AF61">
        <v>0.22789999999999999</v>
      </c>
      <c r="AG61" t="s">
        <v>110</v>
      </c>
    </row>
    <row r="62" spans="1:33" x14ac:dyDescent="0.45">
      <c r="A62" t="s">
        <v>143</v>
      </c>
      <c r="B62" t="s">
        <v>240</v>
      </c>
      <c r="C62" t="s">
        <v>241</v>
      </c>
      <c r="D62" t="s">
        <v>124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t="s">
        <v>110</v>
      </c>
    </row>
    <row r="63" spans="1:33" x14ac:dyDescent="0.45">
      <c r="A63" t="s">
        <v>146</v>
      </c>
      <c r="B63" t="s">
        <v>242</v>
      </c>
      <c r="C63" t="s">
        <v>243</v>
      </c>
      <c r="D63" t="s">
        <v>124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1.1000000000000001E-3</v>
      </c>
      <c r="N63">
        <v>1.1000000000000001E-3</v>
      </c>
      <c r="O63">
        <v>1.1000000000000001E-3</v>
      </c>
      <c r="P63">
        <v>1.1000000000000001E-3</v>
      </c>
      <c r="Q63">
        <v>1.1000000000000001E-3</v>
      </c>
      <c r="R63">
        <v>1.1000000000000001E-3</v>
      </c>
      <c r="S63">
        <v>1.1000000000000001E-3</v>
      </c>
      <c r="T63">
        <v>1.1000000000000001E-3</v>
      </c>
      <c r="U63">
        <v>1.1000000000000001E-3</v>
      </c>
      <c r="V63">
        <v>1.1000000000000001E-3</v>
      </c>
      <c r="W63">
        <v>1.1000000000000001E-3</v>
      </c>
      <c r="X63">
        <v>1.1000000000000001E-3</v>
      </c>
      <c r="Y63">
        <v>1.1000000000000001E-3</v>
      </c>
      <c r="Z63">
        <v>1.1000000000000001E-3</v>
      </c>
      <c r="AA63">
        <v>1.1000000000000001E-3</v>
      </c>
      <c r="AB63">
        <v>1.1000000000000001E-3</v>
      </c>
      <c r="AC63">
        <v>1.1000000000000001E-3</v>
      </c>
      <c r="AD63">
        <v>1.1000000000000001E-3</v>
      </c>
      <c r="AE63">
        <v>1.1000000000000001E-3</v>
      </c>
      <c r="AF63">
        <v>1.1000000000000001E-3</v>
      </c>
      <c r="AG63" t="s">
        <v>110</v>
      </c>
    </row>
    <row r="64" spans="1:33" x14ac:dyDescent="0.45">
      <c r="A64" t="s">
        <v>149</v>
      </c>
      <c r="B64" t="s">
        <v>244</v>
      </c>
      <c r="C64" t="s">
        <v>245</v>
      </c>
      <c r="D64" t="s">
        <v>124</v>
      </c>
      <c r="F64">
        <v>0</v>
      </c>
      <c r="G64">
        <v>1.03E-2</v>
      </c>
      <c r="H64">
        <v>2.0799999999999999E-2</v>
      </c>
      <c r="I64">
        <v>0.1062</v>
      </c>
      <c r="J64">
        <v>1.0045999999999999</v>
      </c>
      <c r="K64">
        <v>1.5284</v>
      </c>
      <c r="L64">
        <v>2.663001</v>
      </c>
      <c r="M64">
        <v>3.3264999999999998</v>
      </c>
      <c r="N64">
        <v>3.479501</v>
      </c>
      <c r="O64">
        <v>3.553801</v>
      </c>
      <c r="P64">
        <v>3.5728010000000001</v>
      </c>
      <c r="Q64">
        <v>3.7208000000000001</v>
      </c>
      <c r="R64">
        <v>3.7210030000000001</v>
      </c>
      <c r="S64">
        <v>3.7210030000000001</v>
      </c>
      <c r="T64">
        <v>3.7210030000000001</v>
      </c>
      <c r="U64">
        <v>4.1237019999999998</v>
      </c>
      <c r="V64">
        <v>4.6221019999999999</v>
      </c>
      <c r="W64">
        <v>4.6221019999999999</v>
      </c>
      <c r="X64">
        <v>5.069502</v>
      </c>
      <c r="Y64">
        <v>5.0884020000000003</v>
      </c>
      <c r="Z64">
        <v>5.1683029999999999</v>
      </c>
      <c r="AA64">
        <v>5.1697030000000002</v>
      </c>
      <c r="AB64">
        <v>5.1723030000000003</v>
      </c>
      <c r="AC64">
        <v>5.1867020000000004</v>
      </c>
      <c r="AD64">
        <v>5.1867020000000004</v>
      </c>
      <c r="AE64">
        <v>5.222702</v>
      </c>
      <c r="AF64">
        <v>5.222702</v>
      </c>
      <c r="AG64" t="s">
        <v>110</v>
      </c>
    </row>
    <row r="65" spans="1:33" x14ac:dyDescent="0.45">
      <c r="A65" t="s">
        <v>155</v>
      </c>
      <c r="B65" t="s">
        <v>246</v>
      </c>
      <c r="C65" t="s">
        <v>247</v>
      </c>
      <c r="D65" t="s">
        <v>124</v>
      </c>
      <c r="F65">
        <v>0</v>
      </c>
      <c r="G65">
        <v>9.9766019999999997</v>
      </c>
      <c r="H65">
        <v>22.100147</v>
      </c>
      <c r="I65">
        <v>33.939247000000002</v>
      </c>
      <c r="J65">
        <v>57.585442</v>
      </c>
      <c r="K65">
        <v>79.519774999999996</v>
      </c>
      <c r="L65">
        <v>97.75367</v>
      </c>
      <c r="M65">
        <v>107.819397</v>
      </c>
      <c r="N65">
        <v>164.45874000000001</v>
      </c>
      <c r="O65">
        <v>166.41786200000001</v>
      </c>
      <c r="P65">
        <v>167.81459000000001</v>
      </c>
      <c r="Q65">
        <v>169.68109100000001</v>
      </c>
      <c r="R65">
        <v>170.883072</v>
      </c>
      <c r="S65">
        <v>170.93019100000001</v>
      </c>
      <c r="T65">
        <v>170.93019100000001</v>
      </c>
      <c r="U65">
        <v>204.96559099999999</v>
      </c>
      <c r="V65">
        <v>205.46400499999999</v>
      </c>
      <c r="W65">
        <v>205.68400600000001</v>
      </c>
      <c r="X65">
        <v>207.02340699999999</v>
      </c>
      <c r="Y65">
        <v>207.04229699999999</v>
      </c>
      <c r="Z65">
        <v>207.59921299999999</v>
      </c>
      <c r="AA65">
        <v>207.600616</v>
      </c>
      <c r="AB65">
        <v>209.83634900000001</v>
      </c>
      <c r="AC65">
        <v>209.882858</v>
      </c>
      <c r="AD65">
        <v>210.06785600000001</v>
      </c>
      <c r="AE65">
        <v>210.22685200000001</v>
      </c>
      <c r="AF65">
        <v>210.22685200000001</v>
      </c>
      <c r="AG65" t="s">
        <v>110</v>
      </c>
    </row>
    <row r="66" spans="1:33" x14ac:dyDescent="0.45">
      <c r="A66" t="s">
        <v>93</v>
      </c>
      <c r="B66" t="s">
        <v>248</v>
      </c>
      <c r="C66" t="s">
        <v>249</v>
      </c>
      <c r="D66" t="s">
        <v>124</v>
      </c>
      <c r="F66">
        <v>1194.3781739999999</v>
      </c>
      <c r="G66">
        <v>1242.3492429999999</v>
      </c>
      <c r="H66">
        <v>1282.155518</v>
      </c>
      <c r="I66">
        <v>1293.9013669999999</v>
      </c>
      <c r="J66">
        <v>1304.362183</v>
      </c>
      <c r="K66">
        <v>1324.894409</v>
      </c>
      <c r="L66">
        <v>1366.012573</v>
      </c>
      <c r="M66">
        <v>1411.850342</v>
      </c>
      <c r="N66">
        <v>1459.1125489999999</v>
      </c>
      <c r="O66">
        <v>1513.278198</v>
      </c>
      <c r="P66">
        <v>1578.3442379999999</v>
      </c>
      <c r="Q66">
        <v>1658.290405</v>
      </c>
      <c r="R66">
        <v>1721.2482910000001</v>
      </c>
      <c r="S66">
        <v>1807.9285890000001</v>
      </c>
      <c r="T66">
        <v>1864.583862</v>
      </c>
      <c r="U66">
        <v>1948.1405030000001</v>
      </c>
      <c r="V66">
        <v>1990.0031739999999</v>
      </c>
      <c r="W66">
        <v>2020.6252440000001</v>
      </c>
      <c r="X66">
        <v>2054.7065429999998</v>
      </c>
      <c r="Y66">
        <v>2097.41626</v>
      </c>
      <c r="Z66">
        <v>2130.1430660000001</v>
      </c>
      <c r="AA66">
        <v>2168.1459960000002</v>
      </c>
      <c r="AB66">
        <v>2205.6147460000002</v>
      </c>
      <c r="AC66">
        <v>2241.2863769999999</v>
      </c>
      <c r="AD66">
        <v>2274.6816410000001</v>
      </c>
      <c r="AE66">
        <v>2314.2333979999999</v>
      </c>
      <c r="AF66">
        <v>2357.4616700000001</v>
      </c>
      <c r="AG66" s="7">
        <v>2.5999999999999999E-2</v>
      </c>
    </row>
    <row r="67" spans="1:33" x14ac:dyDescent="0.45">
      <c r="A67" t="s">
        <v>250</v>
      </c>
    </row>
    <row r="68" spans="1:33" x14ac:dyDescent="0.45">
      <c r="A68" t="s">
        <v>121</v>
      </c>
      <c r="B68" t="s">
        <v>251</v>
      </c>
      <c r="C68" t="s">
        <v>252</v>
      </c>
      <c r="D68" t="s">
        <v>124</v>
      </c>
      <c r="F68">
        <v>1.4583029999999999</v>
      </c>
      <c r="G68">
        <v>1.454469</v>
      </c>
      <c r="H68">
        <v>1.4509879999999999</v>
      </c>
      <c r="I68">
        <v>1.442007</v>
      </c>
      <c r="J68">
        <v>1.4340360000000001</v>
      </c>
      <c r="K68">
        <v>1.4277409999999999</v>
      </c>
      <c r="L68">
        <v>1.4225490000000001</v>
      </c>
      <c r="M68">
        <v>1.4188540000000001</v>
      </c>
      <c r="N68">
        <v>1.4146430000000001</v>
      </c>
      <c r="O68">
        <v>1.4095230000000001</v>
      </c>
      <c r="P68">
        <v>1.4058790000000001</v>
      </c>
      <c r="Q68">
        <v>1.402158</v>
      </c>
      <c r="R68">
        <v>1.39855</v>
      </c>
      <c r="S68">
        <v>1.3948</v>
      </c>
      <c r="T68">
        <v>1.391202</v>
      </c>
      <c r="U68">
        <v>1.3881969999999999</v>
      </c>
      <c r="V68">
        <v>1.38533</v>
      </c>
      <c r="W68">
        <v>1.381799</v>
      </c>
      <c r="X68">
        <v>1.3782700000000001</v>
      </c>
      <c r="Y68">
        <v>1.374539</v>
      </c>
      <c r="Z68">
        <v>1.371305</v>
      </c>
      <c r="AA68">
        <v>1.3674379999999999</v>
      </c>
      <c r="AB68">
        <v>1.3637360000000001</v>
      </c>
      <c r="AC68">
        <v>1.3600030000000001</v>
      </c>
      <c r="AD68">
        <v>1.356028</v>
      </c>
      <c r="AE68">
        <v>1.3518060000000001</v>
      </c>
      <c r="AF68">
        <v>1.347539</v>
      </c>
      <c r="AG68" s="7">
        <v>-3.0000000000000001E-3</v>
      </c>
    </row>
    <row r="69" spans="1:33" x14ac:dyDescent="0.45">
      <c r="A69" t="s">
        <v>253</v>
      </c>
      <c r="B69" t="s">
        <v>254</v>
      </c>
      <c r="C69" t="s">
        <v>255</v>
      </c>
      <c r="D69" t="s">
        <v>124</v>
      </c>
      <c r="F69">
        <v>0.55230999999999997</v>
      </c>
      <c r="G69">
        <v>0.55167900000000003</v>
      </c>
      <c r="H69">
        <v>0.55104299999999995</v>
      </c>
      <c r="I69">
        <v>0.549508</v>
      </c>
      <c r="J69">
        <v>0.54822199999999999</v>
      </c>
      <c r="K69">
        <v>0.54723200000000005</v>
      </c>
      <c r="L69">
        <v>0.5464</v>
      </c>
      <c r="M69">
        <v>0.54583700000000002</v>
      </c>
      <c r="N69">
        <v>0.54517899999999997</v>
      </c>
      <c r="O69">
        <v>0.544408</v>
      </c>
      <c r="P69">
        <v>0.54388400000000003</v>
      </c>
      <c r="Q69">
        <v>0.54335100000000003</v>
      </c>
      <c r="R69">
        <v>0.54284500000000002</v>
      </c>
      <c r="S69">
        <v>0.54229000000000005</v>
      </c>
      <c r="T69">
        <v>0.54177900000000001</v>
      </c>
      <c r="U69">
        <v>0.54138699999999995</v>
      </c>
      <c r="V69">
        <v>0.54100700000000002</v>
      </c>
      <c r="W69">
        <v>0.54051800000000005</v>
      </c>
      <c r="X69">
        <v>0.54003900000000005</v>
      </c>
      <c r="Y69">
        <v>0.53951300000000002</v>
      </c>
      <c r="Z69">
        <v>0.53909300000000004</v>
      </c>
      <c r="AA69">
        <v>0.53856000000000004</v>
      </c>
      <c r="AB69">
        <v>0.53806399999999999</v>
      </c>
      <c r="AC69">
        <v>0.53755699999999995</v>
      </c>
      <c r="AD69">
        <v>0.53701200000000004</v>
      </c>
      <c r="AE69">
        <v>0.53642000000000001</v>
      </c>
      <c r="AF69">
        <v>0.53581999999999996</v>
      </c>
      <c r="AG69" s="7">
        <v>-1E-3</v>
      </c>
    </row>
    <row r="70" spans="1:33" x14ac:dyDescent="0.45">
      <c r="A70" t="s">
        <v>256</v>
      </c>
      <c r="B70" t="s">
        <v>257</v>
      </c>
      <c r="C70" t="s">
        <v>258</v>
      </c>
      <c r="D70" t="s">
        <v>124</v>
      </c>
      <c r="F70">
        <v>18.515474000000001</v>
      </c>
      <c r="G70">
        <v>18.653956999999998</v>
      </c>
      <c r="H70">
        <v>18.749247</v>
      </c>
      <c r="I70">
        <v>18.813078000000001</v>
      </c>
      <c r="J70">
        <v>18.886139</v>
      </c>
      <c r="K70">
        <v>18.971498</v>
      </c>
      <c r="L70">
        <v>19.132294000000002</v>
      </c>
      <c r="M70">
        <v>19.239601</v>
      </c>
      <c r="N70">
        <v>19.343485000000001</v>
      </c>
      <c r="O70">
        <v>19.447434999999999</v>
      </c>
      <c r="P70">
        <v>19.561741000000001</v>
      </c>
      <c r="Q70">
        <v>19.676779</v>
      </c>
      <c r="R70">
        <v>19.795691999999999</v>
      </c>
      <c r="S70">
        <v>19.917916999999999</v>
      </c>
      <c r="T70">
        <v>20.047422000000001</v>
      </c>
      <c r="U70">
        <v>20.182925999999998</v>
      </c>
      <c r="V70">
        <v>20.324213</v>
      </c>
      <c r="W70">
        <v>20.464924</v>
      </c>
      <c r="X70">
        <v>20.609846000000001</v>
      </c>
      <c r="Y70">
        <v>20.757422999999999</v>
      </c>
      <c r="Z70">
        <v>20.913882999999998</v>
      </c>
      <c r="AA70">
        <v>21.068653000000001</v>
      </c>
      <c r="AB70">
        <v>21.228394000000002</v>
      </c>
      <c r="AC70">
        <v>21.395254000000001</v>
      </c>
      <c r="AD70">
        <v>21.564823000000001</v>
      </c>
      <c r="AE70">
        <v>21.735749999999999</v>
      </c>
      <c r="AF70">
        <v>21.910757</v>
      </c>
      <c r="AG70" s="7">
        <v>6.0000000000000001E-3</v>
      </c>
    </row>
    <row r="71" spans="1:33" x14ac:dyDescent="0.45">
      <c r="A71" t="s">
        <v>259</v>
      </c>
      <c r="B71" t="s">
        <v>260</v>
      </c>
      <c r="C71" t="s">
        <v>261</v>
      </c>
      <c r="D71" t="s">
        <v>124</v>
      </c>
      <c r="F71">
        <v>2.2090999999999998</v>
      </c>
      <c r="G71">
        <v>2.2526000000000002</v>
      </c>
      <c r="H71">
        <v>2.2526000000000002</v>
      </c>
      <c r="I71">
        <v>2.2526000000000002</v>
      </c>
      <c r="J71">
        <v>2.2526000000000002</v>
      </c>
      <c r="K71">
        <v>2.2526000000000002</v>
      </c>
      <c r="L71">
        <v>2.2526000000000002</v>
      </c>
      <c r="M71">
        <v>2.2526000000000002</v>
      </c>
      <c r="N71">
        <v>2.2526000000000002</v>
      </c>
      <c r="O71">
        <v>2.2526000000000002</v>
      </c>
      <c r="P71">
        <v>2.2526000000000002</v>
      </c>
      <c r="Q71">
        <v>2.2526000000000002</v>
      </c>
      <c r="R71">
        <v>2.2526000000000002</v>
      </c>
      <c r="S71">
        <v>2.2526000000000002</v>
      </c>
      <c r="T71">
        <v>2.2526000000000002</v>
      </c>
      <c r="U71">
        <v>2.2526000000000002</v>
      </c>
      <c r="V71">
        <v>2.2526000000000002</v>
      </c>
      <c r="W71">
        <v>2.2526000000000002</v>
      </c>
      <c r="X71">
        <v>2.2526000000000002</v>
      </c>
      <c r="Y71">
        <v>2.2526000000000002</v>
      </c>
      <c r="Z71">
        <v>2.2526000000000002</v>
      </c>
      <c r="AA71">
        <v>2.2526000000000002</v>
      </c>
      <c r="AB71">
        <v>2.2526000000000002</v>
      </c>
      <c r="AC71">
        <v>2.2526000000000002</v>
      </c>
      <c r="AD71">
        <v>2.2526000000000002</v>
      </c>
      <c r="AE71">
        <v>2.2526000000000002</v>
      </c>
      <c r="AF71">
        <v>2.2526000000000002</v>
      </c>
      <c r="AG71" s="7">
        <v>1E-3</v>
      </c>
    </row>
    <row r="72" spans="1:33" x14ac:dyDescent="0.45">
      <c r="A72" t="s">
        <v>149</v>
      </c>
      <c r="B72" t="s">
        <v>262</v>
      </c>
      <c r="C72" t="s">
        <v>263</v>
      </c>
      <c r="D72" t="s">
        <v>124</v>
      </c>
      <c r="F72">
        <v>77.231566999999998</v>
      </c>
      <c r="G72">
        <v>87.361937999999995</v>
      </c>
      <c r="H72">
        <v>97.447556000000006</v>
      </c>
      <c r="I72">
        <v>104.87653400000001</v>
      </c>
      <c r="J72">
        <v>112.445869</v>
      </c>
      <c r="K72">
        <v>120.809601</v>
      </c>
      <c r="L72">
        <v>130.14033499999999</v>
      </c>
      <c r="M72">
        <v>140.81475800000001</v>
      </c>
      <c r="N72">
        <v>151.086151</v>
      </c>
      <c r="O72">
        <v>162.07965100000001</v>
      </c>
      <c r="P72">
        <v>171.708786</v>
      </c>
      <c r="Q72">
        <v>178.736908</v>
      </c>
      <c r="R72">
        <v>185.727859</v>
      </c>
      <c r="S72">
        <v>192.85562100000001</v>
      </c>
      <c r="T72">
        <v>201.03199799999999</v>
      </c>
      <c r="U72">
        <v>208.30552700000001</v>
      </c>
      <c r="V72">
        <v>215.86198400000001</v>
      </c>
      <c r="W72">
        <v>224.093842</v>
      </c>
      <c r="X72">
        <v>232.52496300000001</v>
      </c>
      <c r="Y72">
        <v>241.210983</v>
      </c>
      <c r="Z72">
        <v>250.00920099999999</v>
      </c>
      <c r="AA72">
        <v>259.09387199999998</v>
      </c>
      <c r="AB72">
        <v>268.15197799999999</v>
      </c>
      <c r="AC72">
        <v>277.76324499999998</v>
      </c>
      <c r="AD72">
        <v>287.61883499999999</v>
      </c>
      <c r="AE72">
        <v>297.56634500000001</v>
      </c>
      <c r="AF72">
        <v>307.83496100000002</v>
      </c>
      <c r="AG72" s="7">
        <v>5.5E-2</v>
      </c>
    </row>
    <row r="73" spans="1:33" x14ac:dyDescent="0.45">
      <c r="A73" t="s">
        <v>264</v>
      </c>
      <c r="B73" t="s">
        <v>265</v>
      </c>
      <c r="C73" t="s">
        <v>266</v>
      </c>
      <c r="D73" t="s">
        <v>124</v>
      </c>
      <c r="F73">
        <v>0.37109999999999999</v>
      </c>
      <c r="G73">
        <v>0.37109999999999999</v>
      </c>
      <c r="H73">
        <v>0.42109999999999997</v>
      </c>
      <c r="I73">
        <v>0.42109999999999997</v>
      </c>
      <c r="J73">
        <v>0.42109999999999997</v>
      </c>
      <c r="K73">
        <v>0.42109999999999997</v>
      </c>
      <c r="L73">
        <v>0.42109999999999997</v>
      </c>
      <c r="M73">
        <v>0.42109999999999997</v>
      </c>
      <c r="N73">
        <v>0.42109999999999997</v>
      </c>
      <c r="O73">
        <v>0.42109999999999997</v>
      </c>
      <c r="P73">
        <v>0.42109999999999997</v>
      </c>
      <c r="Q73">
        <v>0.42109999999999997</v>
      </c>
      <c r="R73">
        <v>0.42109999999999997</v>
      </c>
      <c r="S73">
        <v>0.42109999999999997</v>
      </c>
      <c r="T73">
        <v>0.42109999999999997</v>
      </c>
      <c r="U73">
        <v>0.42109999999999997</v>
      </c>
      <c r="V73">
        <v>0.42109999999999997</v>
      </c>
      <c r="W73">
        <v>0.42109999999999997</v>
      </c>
      <c r="X73">
        <v>0.42109999999999997</v>
      </c>
      <c r="Y73">
        <v>0.42109999999999997</v>
      </c>
      <c r="Z73">
        <v>0.42109999999999997</v>
      </c>
      <c r="AA73">
        <v>0.42109999999999997</v>
      </c>
      <c r="AB73">
        <v>0.42109999999999997</v>
      </c>
      <c r="AC73">
        <v>0.42109999999999997</v>
      </c>
      <c r="AD73">
        <v>0.42109999999999997</v>
      </c>
      <c r="AE73">
        <v>0.42109999999999997</v>
      </c>
      <c r="AF73">
        <v>0.42109999999999997</v>
      </c>
      <c r="AG73" s="7">
        <v>5.0000000000000001E-3</v>
      </c>
    </row>
    <row r="74" spans="1:33" x14ac:dyDescent="0.45">
      <c r="A74" t="s">
        <v>155</v>
      </c>
      <c r="B74" t="s">
        <v>267</v>
      </c>
      <c r="C74" t="s">
        <v>268</v>
      </c>
      <c r="D74" t="s">
        <v>124</v>
      </c>
      <c r="F74">
        <v>100.337852</v>
      </c>
      <c r="G74">
        <v>110.64574399999999</v>
      </c>
      <c r="H74">
        <v>120.872528</v>
      </c>
      <c r="I74">
        <v>128.354828</v>
      </c>
      <c r="J74">
        <v>135.98796100000001</v>
      </c>
      <c r="K74">
        <v>144.42976400000001</v>
      </c>
      <c r="L74">
        <v>153.915268</v>
      </c>
      <c r="M74">
        <v>164.69274899999999</v>
      </c>
      <c r="N74">
        <v>175.06315599999999</v>
      </c>
      <c r="O74">
        <v>186.154709</v>
      </c>
      <c r="P74">
        <v>195.89398199999999</v>
      </c>
      <c r="Q74">
        <v>203.03289799999999</v>
      </c>
      <c r="R74">
        <v>210.13864100000001</v>
      </c>
      <c r="S74">
        <v>217.38432299999999</v>
      </c>
      <c r="T74">
        <v>225.68609599999999</v>
      </c>
      <c r="U74">
        <v>233.091736</v>
      </c>
      <c r="V74">
        <v>240.786224</v>
      </c>
      <c r="W74">
        <v>249.154785</v>
      </c>
      <c r="X74">
        <v>257.72683699999999</v>
      </c>
      <c r="Y74">
        <v>266.55618299999998</v>
      </c>
      <c r="Z74">
        <v>275.50720200000001</v>
      </c>
      <c r="AA74">
        <v>284.74224900000002</v>
      </c>
      <c r="AB74">
        <v>293.955872</v>
      </c>
      <c r="AC74">
        <v>303.72976699999998</v>
      </c>
      <c r="AD74">
        <v>313.75039700000002</v>
      </c>
      <c r="AE74">
        <v>323.86404399999998</v>
      </c>
      <c r="AF74">
        <v>334.302795</v>
      </c>
      <c r="AG74" s="7">
        <v>4.7E-2</v>
      </c>
    </row>
    <row r="75" spans="1:33" x14ac:dyDescent="0.45">
      <c r="A75" t="s">
        <v>269</v>
      </c>
      <c r="B75" t="s">
        <v>270</v>
      </c>
      <c r="C75" t="s">
        <v>271</v>
      </c>
      <c r="D75" t="s">
        <v>124</v>
      </c>
      <c r="F75">
        <v>0</v>
      </c>
      <c r="G75">
        <v>10.312381999999999</v>
      </c>
      <c r="H75">
        <v>20.543445999999999</v>
      </c>
      <c r="I75">
        <v>28.084707000000002</v>
      </c>
      <c r="J75">
        <v>35.756950000000003</v>
      </c>
      <c r="K75">
        <v>44.212059000000004</v>
      </c>
      <c r="L75">
        <v>53.703594000000002</v>
      </c>
      <c r="M75">
        <v>64.485305999999994</v>
      </c>
      <c r="N75">
        <v>74.860579999999999</v>
      </c>
      <c r="O75">
        <v>85.958031000000005</v>
      </c>
      <c r="P75">
        <v>95.701499999999996</v>
      </c>
      <c r="Q75">
        <v>102.84468099999999</v>
      </c>
      <c r="R75">
        <v>109.95450599999999</v>
      </c>
      <c r="S75">
        <v>117.204544</v>
      </c>
      <c r="T75">
        <v>125.510406</v>
      </c>
      <c r="U75">
        <v>132.91944899999999</v>
      </c>
      <c r="V75">
        <v>140.61717200000001</v>
      </c>
      <c r="W75">
        <v>148.989746</v>
      </c>
      <c r="X75">
        <v>157.56578099999999</v>
      </c>
      <c r="Y75">
        <v>166.399384</v>
      </c>
      <c r="Z75">
        <v>175.35408000000001</v>
      </c>
      <c r="AA75">
        <v>184.59350599999999</v>
      </c>
      <c r="AB75">
        <v>193.811386</v>
      </c>
      <c r="AC75">
        <v>203.58947800000001</v>
      </c>
      <c r="AD75">
        <v>213.61462399999999</v>
      </c>
      <c r="AE75">
        <v>223.733093</v>
      </c>
      <c r="AF75">
        <v>234.176682</v>
      </c>
      <c r="AG75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08"/>
  <sheetViews>
    <sheetView workbookViewId="0">
      <selection activeCell="A19" sqref="A19:XFD19"/>
    </sheetView>
  </sheetViews>
  <sheetFormatPr defaultRowHeight="14.25" x14ac:dyDescent="0.45"/>
  <cols>
    <col min="1" max="1" width="33.19921875" customWidth="1"/>
    <col min="2" max="2" width="29.796875" customWidth="1"/>
  </cols>
  <sheetData>
    <row r="1" spans="1:33" x14ac:dyDescent="0.45">
      <c r="B1" t="s">
        <v>274</v>
      </c>
    </row>
    <row r="3" spans="1:33" x14ac:dyDescent="0.45">
      <c r="C3" t="s">
        <v>30</v>
      </c>
      <c r="D3" t="s">
        <v>275</v>
      </c>
    </row>
    <row r="4" spans="1:33" x14ac:dyDescent="0.45">
      <c r="C4" t="s">
        <v>31</v>
      </c>
      <c r="D4" t="s">
        <v>276</v>
      </c>
      <c r="F4" t="s">
        <v>277</v>
      </c>
    </row>
    <row r="5" spans="1:33" x14ac:dyDescent="0.45">
      <c r="C5" t="s">
        <v>32</v>
      </c>
      <c r="D5" t="s">
        <v>278</v>
      </c>
    </row>
    <row r="6" spans="1:33" x14ac:dyDescent="0.45">
      <c r="C6" t="s">
        <v>33</v>
      </c>
      <c r="E6" t="s">
        <v>279</v>
      </c>
    </row>
    <row r="7" spans="1:33" x14ac:dyDescent="0.45">
      <c r="B7" t="s">
        <v>34</v>
      </c>
    </row>
    <row r="8" spans="1:33" x14ac:dyDescent="0.45">
      <c r="B8" t="s">
        <v>35</v>
      </c>
      <c r="AG8" s="7"/>
    </row>
    <row r="9" spans="1:33" x14ac:dyDescent="0.45">
      <c r="AC9" t="s">
        <v>280</v>
      </c>
      <c r="AG9" s="7"/>
    </row>
    <row r="10" spans="1:33" x14ac:dyDescent="0.45">
      <c r="B10" t="s">
        <v>36</v>
      </c>
      <c r="C10">
        <v>2025</v>
      </c>
      <c r="D10">
        <v>2026</v>
      </c>
      <c r="E10">
        <v>2027</v>
      </c>
      <c r="F10">
        <v>2028</v>
      </c>
      <c r="G10">
        <v>2029</v>
      </c>
      <c r="H10">
        <v>2030</v>
      </c>
      <c r="I10">
        <v>2031</v>
      </c>
      <c r="J10">
        <v>2032</v>
      </c>
      <c r="K10">
        <v>2033</v>
      </c>
      <c r="L10">
        <v>2034</v>
      </c>
      <c r="M10">
        <v>2035</v>
      </c>
      <c r="N10">
        <v>2036</v>
      </c>
      <c r="O10">
        <v>2037</v>
      </c>
      <c r="P10">
        <v>2038</v>
      </c>
      <c r="Q10">
        <v>2039</v>
      </c>
      <c r="R10">
        <v>2040</v>
      </c>
      <c r="S10">
        <v>2041</v>
      </c>
      <c r="T10">
        <v>2042</v>
      </c>
      <c r="U10">
        <v>2043</v>
      </c>
      <c r="V10">
        <v>2044</v>
      </c>
      <c r="W10">
        <v>2045</v>
      </c>
      <c r="X10">
        <v>2046</v>
      </c>
      <c r="Y10">
        <v>2047</v>
      </c>
      <c r="Z10">
        <v>2048</v>
      </c>
      <c r="AA10">
        <v>2049</v>
      </c>
      <c r="AB10">
        <v>2050</v>
      </c>
      <c r="AC10" t="s">
        <v>281</v>
      </c>
      <c r="AG10" s="7"/>
    </row>
    <row r="11" spans="1:33" x14ac:dyDescent="0.45">
      <c r="AG11" s="7"/>
    </row>
    <row r="12" spans="1:33" x14ac:dyDescent="0.45">
      <c r="B12" t="s">
        <v>37</v>
      </c>
      <c r="AG12" s="7"/>
    </row>
    <row r="13" spans="1:33" s="8" customFormat="1" x14ac:dyDescent="0.45">
      <c r="B13" s="8" t="s">
        <v>38</v>
      </c>
      <c r="AG13" s="9"/>
    </row>
    <row r="14" spans="1:33" x14ac:dyDescent="0.45">
      <c r="A14" t="s">
        <v>39</v>
      </c>
      <c r="B14" t="s">
        <v>40</v>
      </c>
      <c r="C14">
        <v>158.5023193359375</v>
      </c>
      <c r="D14">
        <v>155.784423828125</v>
      </c>
      <c r="E14">
        <v>152.51643371582031</v>
      </c>
      <c r="F14">
        <v>139.33001708984381</v>
      </c>
      <c r="G14">
        <v>122.0242919921875</v>
      </c>
      <c r="H14">
        <v>112.934211730957</v>
      </c>
      <c r="I14">
        <v>95.141197204589844</v>
      </c>
      <c r="J14">
        <v>87.010894775390625</v>
      </c>
      <c r="K14">
        <v>84.328895568847656</v>
      </c>
      <c r="L14">
        <v>83.519515991210938</v>
      </c>
      <c r="M14">
        <v>82.563522338867188</v>
      </c>
      <c r="N14">
        <v>81.703521728515625</v>
      </c>
      <c r="O14">
        <v>81.703521728515625</v>
      </c>
      <c r="P14">
        <v>81.356521606445313</v>
      </c>
      <c r="Q14">
        <v>80.570518493652344</v>
      </c>
      <c r="R14">
        <v>78.310516357421875</v>
      </c>
      <c r="S14">
        <v>75.870529174804688</v>
      </c>
      <c r="T14">
        <v>74.220535278320313</v>
      </c>
      <c r="U14">
        <v>74.220535278320313</v>
      </c>
      <c r="V14">
        <v>73.510528564453125</v>
      </c>
      <c r="W14">
        <v>72.660530090332031</v>
      </c>
      <c r="X14">
        <v>72.054527282714844</v>
      </c>
      <c r="Y14">
        <v>72.054527282714844</v>
      </c>
      <c r="Z14">
        <v>72.014533996582031</v>
      </c>
      <c r="AA14">
        <v>70.934532165527344</v>
      </c>
      <c r="AB14">
        <v>70.837028503417969</v>
      </c>
      <c r="AC14">
        <v>-3.1702103210598853E-2</v>
      </c>
      <c r="AG14" s="7"/>
    </row>
    <row r="15" spans="1:33" x14ac:dyDescent="0.45">
      <c r="A15" t="s">
        <v>41</v>
      </c>
      <c r="B15" t="s">
        <v>282</v>
      </c>
      <c r="C15">
        <v>87.299606323242188</v>
      </c>
      <c r="D15">
        <v>86.191604614257813</v>
      </c>
      <c r="E15">
        <v>79.632606506347656</v>
      </c>
      <c r="F15">
        <v>77.748199462890625</v>
      </c>
      <c r="G15">
        <v>81.326797485351563</v>
      </c>
      <c r="H15">
        <v>82.245094299316406</v>
      </c>
      <c r="I15">
        <v>83.44580078125</v>
      </c>
      <c r="J15">
        <v>79.917404174804688</v>
      </c>
      <c r="K15">
        <v>78.9031982421875</v>
      </c>
      <c r="L15">
        <v>78.004196166992188</v>
      </c>
      <c r="M15">
        <v>76.247100830078125</v>
      </c>
      <c r="N15">
        <v>76.247100830078125</v>
      </c>
      <c r="O15">
        <v>75.676101684570313</v>
      </c>
      <c r="P15">
        <v>75.676101684570313</v>
      </c>
      <c r="Q15">
        <v>76.123092651367188</v>
      </c>
      <c r="R15">
        <v>75.68609619140625</v>
      </c>
      <c r="S15">
        <v>75.68609619140625</v>
      </c>
      <c r="T15">
        <v>75.68609619140625</v>
      </c>
      <c r="U15">
        <v>75.68609619140625</v>
      </c>
      <c r="V15">
        <v>75.68609619140625</v>
      </c>
      <c r="W15">
        <v>75.68609619140625</v>
      </c>
      <c r="X15">
        <v>75.68609619140625</v>
      </c>
      <c r="Y15">
        <v>75.493392944335938</v>
      </c>
      <c r="Z15">
        <v>75.493392944335938</v>
      </c>
      <c r="AA15">
        <v>75.493392944335938</v>
      </c>
      <c r="AB15">
        <v>75.493392944335938</v>
      </c>
      <c r="AC15">
        <v>-5.7951752777171128E-3</v>
      </c>
    </row>
    <row r="16" spans="1:33" x14ac:dyDescent="0.45">
      <c r="A16" t="s">
        <v>42</v>
      </c>
      <c r="B16" t="s">
        <v>43</v>
      </c>
      <c r="C16">
        <v>265.21856689453119</v>
      </c>
      <c r="D16">
        <v>268.50128173828119</v>
      </c>
      <c r="E16">
        <v>268.69625854492188</v>
      </c>
      <c r="F16">
        <v>273.29229736328119</v>
      </c>
      <c r="G16">
        <v>283.888427734375</v>
      </c>
      <c r="H16">
        <v>292.40176391601563</v>
      </c>
      <c r="I16">
        <v>301.919189453125</v>
      </c>
      <c r="J16">
        <v>314.956787109375</v>
      </c>
      <c r="K16">
        <v>321.653564453125</v>
      </c>
      <c r="L16">
        <v>327.19577026367188</v>
      </c>
      <c r="M16">
        <v>335.01422119140619</v>
      </c>
      <c r="N16">
        <v>342.67156982421881</v>
      </c>
      <c r="O16">
        <v>350.42315673828119</v>
      </c>
      <c r="P16">
        <v>355.9927978515625</v>
      </c>
      <c r="Q16">
        <v>362.2427978515625</v>
      </c>
      <c r="R16">
        <v>370.0552978515625</v>
      </c>
      <c r="S16">
        <v>379.8209228515625</v>
      </c>
      <c r="T16">
        <v>392.0279541015625</v>
      </c>
      <c r="U16">
        <v>403.55545043945313</v>
      </c>
      <c r="V16">
        <v>414.844970703125</v>
      </c>
      <c r="W16">
        <v>427.09368896484381</v>
      </c>
      <c r="X16">
        <v>436.0040283203125</v>
      </c>
      <c r="Y16">
        <v>443.675048828125</v>
      </c>
      <c r="Z16">
        <v>451.6827392578125</v>
      </c>
      <c r="AA16">
        <v>458.91278076171881</v>
      </c>
      <c r="AB16">
        <v>467.95037841796881</v>
      </c>
      <c r="AC16">
        <v>2.2972208342630251E-2</v>
      </c>
      <c r="AG16" s="7"/>
    </row>
    <row r="17" spans="1:33" x14ac:dyDescent="0.45">
      <c r="A17" t="s">
        <v>44</v>
      </c>
      <c r="B17" t="s">
        <v>45</v>
      </c>
      <c r="C17">
        <v>147.6700439453125</v>
      </c>
      <c r="D17">
        <v>148.74195861816409</v>
      </c>
      <c r="E17">
        <v>154.33937072753909</v>
      </c>
      <c r="F17">
        <v>159.4448547363281</v>
      </c>
      <c r="G17">
        <v>162.83000183105469</v>
      </c>
      <c r="H17">
        <v>165.59538269042969</v>
      </c>
      <c r="I17">
        <v>168.7946472167969</v>
      </c>
      <c r="J17">
        <v>168.2114562988281</v>
      </c>
      <c r="K17">
        <v>168.4229736328125</v>
      </c>
      <c r="L17">
        <v>169.0935974121094</v>
      </c>
      <c r="M17">
        <v>170.7208251953125</v>
      </c>
      <c r="N17">
        <v>171.83447265625</v>
      </c>
      <c r="O17">
        <v>174.21345520019531</v>
      </c>
      <c r="P17">
        <v>179.0973205566406</v>
      </c>
      <c r="Q17">
        <v>182.6654357910156</v>
      </c>
      <c r="R17">
        <v>187.85896301269531</v>
      </c>
      <c r="S17">
        <v>192.0675964355469</v>
      </c>
      <c r="T17">
        <v>194.8806457519531</v>
      </c>
      <c r="U17">
        <v>196.12800598144531</v>
      </c>
      <c r="V17">
        <v>197.3354187011719</v>
      </c>
      <c r="W17">
        <v>199.00862121582031</v>
      </c>
      <c r="X17">
        <v>201.45936584472659</v>
      </c>
      <c r="Y17">
        <v>205.33277893066409</v>
      </c>
      <c r="Z17">
        <v>208.8450927734375</v>
      </c>
      <c r="AA17">
        <v>213.8450927734375</v>
      </c>
      <c r="AB17">
        <v>216.94255065917969</v>
      </c>
      <c r="AC17">
        <v>1.5505064187199441E-2</v>
      </c>
      <c r="AG17" s="7"/>
    </row>
    <row r="18" spans="1:33" x14ac:dyDescent="0.45">
      <c r="A18" t="s">
        <v>46</v>
      </c>
      <c r="B18" t="s">
        <v>283</v>
      </c>
      <c r="C18">
        <v>96.864913940429688</v>
      </c>
      <c r="D18">
        <v>97.633415222167969</v>
      </c>
      <c r="E18">
        <v>97.633415222167969</v>
      </c>
      <c r="F18">
        <v>98.43621826171875</v>
      </c>
      <c r="G18">
        <v>98.546310424804688</v>
      </c>
      <c r="H18">
        <v>98.632919311523438</v>
      </c>
      <c r="I18">
        <v>98.632919311523438</v>
      </c>
      <c r="J18">
        <v>98.632919311523438</v>
      </c>
      <c r="K18">
        <v>98.632919311523438</v>
      </c>
      <c r="L18">
        <v>98.632919311523438</v>
      </c>
      <c r="M18">
        <v>98.632919311523438</v>
      </c>
      <c r="N18">
        <v>98.632919311523438</v>
      </c>
      <c r="O18">
        <v>98.632919311523438</v>
      </c>
      <c r="P18">
        <v>98.632919311523438</v>
      </c>
      <c r="Q18">
        <v>98.632919311523438</v>
      </c>
      <c r="R18">
        <v>98.632919311523438</v>
      </c>
      <c r="S18">
        <v>98.632919311523438</v>
      </c>
      <c r="T18">
        <v>98.632919311523438</v>
      </c>
      <c r="U18">
        <v>98.632919311523438</v>
      </c>
      <c r="V18">
        <v>98.632919311523438</v>
      </c>
      <c r="W18">
        <v>98.632919311523438</v>
      </c>
      <c r="X18">
        <v>98.632919311523438</v>
      </c>
      <c r="Y18">
        <v>98.632919311523438</v>
      </c>
      <c r="Z18">
        <v>98.632919311523438</v>
      </c>
      <c r="AA18">
        <v>98.632919311523438</v>
      </c>
      <c r="AB18">
        <v>98.632919311523438</v>
      </c>
      <c r="AC18">
        <v>7.2376999736056824E-4</v>
      </c>
    </row>
    <row r="19" spans="1:33" x14ac:dyDescent="0.45">
      <c r="A19" t="s">
        <v>47</v>
      </c>
      <c r="B19" t="s">
        <v>48</v>
      </c>
      <c r="C19">
        <v>23.1566047668457</v>
      </c>
      <c r="D19">
        <v>23.1566047668457</v>
      </c>
      <c r="E19">
        <v>23.1566047668457</v>
      </c>
      <c r="F19">
        <v>23.1566047668457</v>
      </c>
      <c r="G19">
        <v>23.1566047668457</v>
      </c>
      <c r="H19">
        <v>23.1566047668457</v>
      </c>
      <c r="I19">
        <v>23.1566047668457</v>
      </c>
      <c r="J19">
        <v>23.1566047668457</v>
      </c>
      <c r="K19">
        <v>23.1566047668457</v>
      </c>
      <c r="L19">
        <v>23.1566047668457</v>
      </c>
      <c r="M19">
        <v>23.1566047668457</v>
      </c>
      <c r="N19">
        <v>23.1566047668457</v>
      </c>
      <c r="O19">
        <v>23.1566047668457</v>
      </c>
      <c r="P19">
        <v>23.1566047668457</v>
      </c>
      <c r="Q19">
        <v>23.1566047668457</v>
      </c>
      <c r="R19">
        <v>23.1566047668457</v>
      </c>
      <c r="S19">
        <v>23.1566047668457</v>
      </c>
      <c r="T19">
        <v>23.1566047668457</v>
      </c>
      <c r="U19">
        <v>23.1566047668457</v>
      </c>
      <c r="V19">
        <v>23.1566047668457</v>
      </c>
      <c r="W19">
        <v>23.1566047668457</v>
      </c>
      <c r="X19">
        <v>23.1566047668457</v>
      </c>
      <c r="Y19">
        <v>23.1566047668457</v>
      </c>
      <c r="Z19">
        <v>23.1566047668457</v>
      </c>
      <c r="AA19">
        <v>23.1566047668457</v>
      </c>
      <c r="AB19">
        <v>23.1566047668457</v>
      </c>
      <c r="AC19">
        <v>0</v>
      </c>
      <c r="AG19" s="7"/>
    </row>
    <row r="20" spans="1:33" x14ac:dyDescent="0.45">
      <c r="A20" t="s">
        <v>284</v>
      </c>
      <c r="B20" t="s">
        <v>49</v>
      </c>
      <c r="C20">
        <v>43.676307678222663</v>
      </c>
      <c r="D20">
        <v>65.164115905761719</v>
      </c>
      <c r="E20">
        <v>78.406021118164063</v>
      </c>
      <c r="F20">
        <v>81.9696044921875</v>
      </c>
      <c r="G20">
        <v>85.258201599121094</v>
      </c>
      <c r="H20">
        <v>88.030609130859375</v>
      </c>
      <c r="I20">
        <v>88.75421142578125</v>
      </c>
      <c r="J20">
        <v>89.467910766601563</v>
      </c>
      <c r="K20">
        <v>90.191513061523438</v>
      </c>
      <c r="L20">
        <v>90.466506958007813</v>
      </c>
      <c r="M20">
        <v>90.74151611328125</v>
      </c>
      <c r="N20">
        <v>90.741012573242188</v>
      </c>
      <c r="O20">
        <v>90.741012573242188</v>
      </c>
      <c r="P20">
        <v>90.741012573242188</v>
      </c>
      <c r="Q20">
        <v>90.741012573242188</v>
      </c>
      <c r="R20">
        <v>90.760894775390625</v>
      </c>
      <c r="S20">
        <v>90.77252197265625</v>
      </c>
      <c r="T20">
        <v>90.572525024414063</v>
      </c>
      <c r="U20">
        <v>90.616317749023438</v>
      </c>
      <c r="V20">
        <v>90.639175415039063</v>
      </c>
      <c r="W20">
        <v>90.69549560546875</v>
      </c>
      <c r="X20">
        <v>90.722000122070313</v>
      </c>
      <c r="Y20">
        <v>90.766815185546875</v>
      </c>
      <c r="Z20">
        <v>90.794631958007813</v>
      </c>
      <c r="AA20">
        <v>90.794631958007813</v>
      </c>
      <c r="AB20">
        <v>90.833328247070313</v>
      </c>
      <c r="AC20">
        <v>2.9721954704085011E-2</v>
      </c>
    </row>
    <row r="21" spans="1:33" x14ac:dyDescent="0.45">
      <c r="A21" t="s">
        <v>285</v>
      </c>
      <c r="B21" t="s">
        <v>286</v>
      </c>
      <c r="C21">
        <v>0</v>
      </c>
      <c r="D21">
        <v>0</v>
      </c>
      <c r="E21">
        <v>1.5</v>
      </c>
      <c r="F21">
        <v>1.5</v>
      </c>
      <c r="G21">
        <v>1.5</v>
      </c>
      <c r="H21">
        <v>1.5</v>
      </c>
      <c r="I21">
        <v>1.5</v>
      </c>
      <c r="J21">
        <v>1.5</v>
      </c>
      <c r="K21">
        <v>1.5</v>
      </c>
      <c r="L21">
        <v>1.5</v>
      </c>
      <c r="M21">
        <v>1.5</v>
      </c>
      <c r="N21">
        <v>1.5</v>
      </c>
      <c r="O21">
        <v>1.5</v>
      </c>
      <c r="P21">
        <v>1.5</v>
      </c>
      <c r="Q21">
        <v>1.5</v>
      </c>
      <c r="R21">
        <v>1.5</v>
      </c>
      <c r="S21">
        <v>1.5</v>
      </c>
      <c r="T21">
        <v>1.5</v>
      </c>
      <c r="U21">
        <v>1.5</v>
      </c>
      <c r="V21">
        <v>1.5</v>
      </c>
      <c r="W21">
        <v>1.5</v>
      </c>
      <c r="X21">
        <v>1.5</v>
      </c>
      <c r="Y21">
        <v>1.5</v>
      </c>
      <c r="Z21">
        <v>1.5</v>
      </c>
      <c r="AA21">
        <v>1.5230511426925659</v>
      </c>
      <c r="AB21">
        <v>1.5230511426925659</v>
      </c>
      <c r="AC21" t="s">
        <v>53</v>
      </c>
      <c r="AG21" s="7"/>
    </row>
    <row r="22" spans="1:33" x14ac:dyDescent="0.45">
      <c r="A22" t="s">
        <v>50</v>
      </c>
      <c r="B22" t="s">
        <v>51</v>
      </c>
      <c r="C22">
        <v>0.3037000298500061</v>
      </c>
      <c r="D22">
        <v>0.3037000298500061</v>
      </c>
      <c r="E22">
        <v>0.3037000298500061</v>
      </c>
      <c r="F22">
        <v>0.3037000298500061</v>
      </c>
      <c r="G22">
        <v>0.3037000298500061</v>
      </c>
      <c r="H22">
        <v>0.3037000298500061</v>
      </c>
      <c r="I22">
        <v>0.30260002613067633</v>
      </c>
      <c r="J22">
        <v>0.30260002613067633</v>
      </c>
      <c r="K22">
        <v>0.30260002613067633</v>
      </c>
      <c r="L22">
        <v>0.30260002613067633</v>
      </c>
      <c r="M22">
        <v>0.29760000109672552</v>
      </c>
      <c r="N22">
        <v>0.29510000348091131</v>
      </c>
      <c r="O22">
        <v>0.29290002584457397</v>
      </c>
      <c r="P22">
        <v>0.29290002584457397</v>
      </c>
      <c r="Q22">
        <v>0.29290002584457397</v>
      </c>
      <c r="R22">
        <v>0.29290002584457397</v>
      </c>
      <c r="S22">
        <v>0.29290002584457397</v>
      </c>
      <c r="T22">
        <v>0.29290002584457397</v>
      </c>
      <c r="U22">
        <v>0.29290002584457397</v>
      </c>
      <c r="V22">
        <v>0.29290002584457397</v>
      </c>
      <c r="W22">
        <v>0.29290002584457397</v>
      </c>
      <c r="X22">
        <v>0.29290002584457397</v>
      </c>
      <c r="Y22">
        <v>0.29290002584457397</v>
      </c>
      <c r="Z22">
        <v>0.29290002584457397</v>
      </c>
      <c r="AA22">
        <v>0.29290002584457397</v>
      </c>
      <c r="AB22">
        <v>0.29290002584457397</v>
      </c>
      <c r="AC22">
        <v>-1.4473167561868121E-3</v>
      </c>
      <c r="AG22" s="7"/>
    </row>
    <row r="23" spans="1:33" x14ac:dyDescent="0.45">
      <c r="A23" t="s">
        <v>52</v>
      </c>
      <c r="B23" t="s">
        <v>287</v>
      </c>
      <c r="C23">
        <v>399.42904663085938</v>
      </c>
      <c r="D23">
        <v>446.69091796875</v>
      </c>
      <c r="E23">
        <v>485.38009643554688</v>
      </c>
      <c r="F23">
        <v>513.591552734375</v>
      </c>
      <c r="G23">
        <v>529.65924072265625</v>
      </c>
      <c r="H23">
        <v>541.1641845703125</v>
      </c>
      <c r="I23">
        <v>553.49542236328125</v>
      </c>
      <c r="J23">
        <v>559.710693359375</v>
      </c>
      <c r="K23">
        <v>569.6744384765625</v>
      </c>
      <c r="L23">
        <v>583.76824951171875</v>
      </c>
      <c r="M23">
        <v>599.9593505859375</v>
      </c>
      <c r="N23">
        <v>616.13641357421875</v>
      </c>
      <c r="O23">
        <v>625.75286865234375</v>
      </c>
      <c r="P23">
        <v>634.75274658203125</v>
      </c>
      <c r="Q23">
        <v>644.4808349609375</v>
      </c>
      <c r="R23">
        <v>654.0809326171875</v>
      </c>
      <c r="S23">
        <v>661.56939697265625</v>
      </c>
      <c r="T23">
        <v>663.33721923828125</v>
      </c>
      <c r="U23">
        <v>663.73583984375</v>
      </c>
      <c r="V23">
        <v>664.06561279296875</v>
      </c>
      <c r="W23">
        <v>664.43572998046875</v>
      </c>
      <c r="X23">
        <v>665.5174560546875</v>
      </c>
      <c r="Y23">
        <v>667.1181640625</v>
      </c>
      <c r="Z23">
        <v>667.49078369140625</v>
      </c>
      <c r="AA23">
        <v>669.30718994140625</v>
      </c>
      <c r="AB23">
        <v>671.52337646484375</v>
      </c>
      <c r="AC23">
        <v>2.099792549751878E-2</v>
      </c>
      <c r="AG23" s="7"/>
    </row>
    <row r="24" spans="1:33" x14ac:dyDescent="0.45">
      <c r="A24" t="s">
        <v>54</v>
      </c>
      <c r="B24" t="s">
        <v>55</v>
      </c>
      <c r="C24">
        <v>1222.12109375</v>
      </c>
      <c r="D24">
        <v>1292.16796875</v>
      </c>
      <c r="E24">
        <v>1341.564575195312</v>
      </c>
      <c r="F24">
        <v>1368.773071289062</v>
      </c>
      <c r="G24">
        <v>1388.493530273438</v>
      </c>
      <c r="H24">
        <v>1405.964477539062</v>
      </c>
      <c r="I24">
        <v>1415.142578125</v>
      </c>
      <c r="J24">
        <v>1422.867309570312</v>
      </c>
      <c r="K24">
        <v>1436.766723632812</v>
      </c>
      <c r="L24">
        <v>1455.64013671875</v>
      </c>
      <c r="M24">
        <v>1478.833740234375</v>
      </c>
      <c r="N24">
        <v>1502.918701171875</v>
      </c>
      <c r="O24">
        <v>1522.092529296875</v>
      </c>
      <c r="P24">
        <v>1541.198852539062</v>
      </c>
      <c r="Q24">
        <v>1560.406005859375</v>
      </c>
      <c r="R24">
        <v>1580.335083007812</v>
      </c>
      <c r="S24">
        <v>1599.36962890625</v>
      </c>
      <c r="T24">
        <v>1614.307373046875</v>
      </c>
      <c r="U24">
        <v>1627.524780273438</v>
      </c>
      <c r="V24">
        <v>1639.664306640625</v>
      </c>
      <c r="W24">
        <v>1653.16259765625</v>
      </c>
      <c r="X24">
        <v>1665.026000976562</v>
      </c>
      <c r="Y24">
        <v>1678.023193359375</v>
      </c>
      <c r="Z24">
        <v>1689.903686523438</v>
      </c>
      <c r="AA24">
        <v>1702.893188476562</v>
      </c>
      <c r="AB24">
        <v>1717.185546875</v>
      </c>
      <c r="AC24">
        <v>1.369690233762055E-2</v>
      </c>
      <c r="AG24" s="7"/>
    </row>
    <row r="25" spans="1:33" x14ac:dyDescent="0.45">
      <c r="B25" t="s">
        <v>288</v>
      </c>
      <c r="AG25" s="7"/>
    </row>
    <row r="26" spans="1:33" x14ac:dyDescent="0.45">
      <c r="A26" t="s">
        <v>56</v>
      </c>
      <c r="B26" t="s">
        <v>57</v>
      </c>
      <c r="C26">
        <v>1.0301001071929929</v>
      </c>
      <c r="D26">
        <v>1.0301001071929929</v>
      </c>
      <c r="E26">
        <v>1.0301001071929929</v>
      </c>
      <c r="F26">
        <v>1.0301001071929929</v>
      </c>
      <c r="G26">
        <v>1.0301001071929929</v>
      </c>
      <c r="H26">
        <v>1.0301001071929929</v>
      </c>
      <c r="I26">
        <v>1.0301001071929929</v>
      </c>
      <c r="J26">
        <v>1.0301001071929929</v>
      </c>
      <c r="K26">
        <v>1.0301001071929929</v>
      </c>
      <c r="L26">
        <v>1.0301001071929929</v>
      </c>
      <c r="M26">
        <v>1.0301001071929929</v>
      </c>
      <c r="N26">
        <v>1.0301001071929929</v>
      </c>
      <c r="O26">
        <v>1.0301001071929929</v>
      </c>
      <c r="P26">
        <v>1.0301001071929929</v>
      </c>
      <c r="Q26">
        <v>1.0301001071929929</v>
      </c>
      <c r="R26">
        <v>1.0301001071929929</v>
      </c>
      <c r="S26">
        <v>1.0301001071929929</v>
      </c>
      <c r="T26">
        <v>1.0301001071929929</v>
      </c>
      <c r="U26">
        <v>1.0301001071929929</v>
      </c>
      <c r="V26">
        <v>1.0301001071929929</v>
      </c>
      <c r="W26">
        <v>1.0301001071929929</v>
      </c>
      <c r="X26">
        <v>1.0301001071929929</v>
      </c>
      <c r="Y26">
        <v>1.0301001071929929</v>
      </c>
      <c r="Z26">
        <v>1.0301001071929929</v>
      </c>
      <c r="AA26">
        <v>1.0301001071929929</v>
      </c>
      <c r="AB26">
        <v>1.0301001071929929</v>
      </c>
      <c r="AC26">
        <v>0</v>
      </c>
      <c r="AG26" s="7"/>
    </row>
    <row r="27" spans="1:33" x14ac:dyDescent="0.45">
      <c r="A27" t="s">
        <v>58</v>
      </c>
      <c r="B27" t="s">
        <v>289</v>
      </c>
      <c r="C27">
        <v>0.42489999532699579</v>
      </c>
      <c r="D27">
        <v>0.42489999532699579</v>
      </c>
      <c r="E27">
        <v>0.42489999532699579</v>
      </c>
      <c r="F27">
        <v>0.42489999532699579</v>
      </c>
      <c r="G27">
        <v>0.42489999532699579</v>
      </c>
      <c r="H27">
        <v>0.42489999532699579</v>
      </c>
      <c r="I27">
        <v>0.42489999532699579</v>
      </c>
      <c r="J27">
        <v>0.42489999532699579</v>
      </c>
      <c r="K27">
        <v>0.42489999532699579</v>
      </c>
      <c r="L27">
        <v>0.42489999532699579</v>
      </c>
      <c r="M27">
        <v>0.42489999532699579</v>
      </c>
      <c r="N27">
        <v>0.42489999532699579</v>
      </c>
      <c r="O27">
        <v>0.42489999532699579</v>
      </c>
      <c r="P27">
        <v>0.42489999532699579</v>
      </c>
      <c r="Q27">
        <v>0.42489999532699579</v>
      </c>
      <c r="R27">
        <v>0.42489999532699579</v>
      </c>
      <c r="S27">
        <v>0.42489999532699579</v>
      </c>
      <c r="T27">
        <v>0.42489999532699579</v>
      </c>
      <c r="U27">
        <v>0.42489999532699579</v>
      </c>
      <c r="V27">
        <v>0.42489999532699579</v>
      </c>
      <c r="W27">
        <v>0.42489999532699579</v>
      </c>
      <c r="X27">
        <v>0.42489999532699579</v>
      </c>
      <c r="Y27">
        <v>0.42489999532699579</v>
      </c>
      <c r="Z27">
        <v>0.42489999532699579</v>
      </c>
      <c r="AA27">
        <v>0.42489999532699579</v>
      </c>
      <c r="AB27">
        <v>0.42489999532699579</v>
      </c>
      <c r="AC27">
        <v>0</v>
      </c>
    </row>
    <row r="28" spans="1:33" x14ac:dyDescent="0.45">
      <c r="A28" t="s">
        <v>59</v>
      </c>
      <c r="B28" t="s">
        <v>43</v>
      </c>
      <c r="C28">
        <v>20.52029991149902</v>
      </c>
      <c r="D28">
        <v>20.52029991149902</v>
      </c>
      <c r="E28">
        <v>20.52029991149902</v>
      </c>
      <c r="F28">
        <v>20.52029991149902</v>
      </c>
      <c r="G28">
        <v>20.52029991149902</v>
      </c>
      <c r="H28">
        <v>20.427200317382809</v>
      </c>
      <c r="I28">
        <v>20.427200317382809</v>
      </c>
      <c r="J28">
        <v>20.427200317382809</v>
      </c>
      <c r="K28">
        <v>20.24069976806641</v>
      </c>
      <c r="L28">
        <v>20.24069976806641</v>
      </c>
      <c r="M28">
        <v>20.24069976806641</v>
      </c>
      <c r="N28">
        <v>20.24069976806641</v>
      </c>
      <c r="O28">
        <v>20.24069976806641</v>
      </c>
      <c r="P28">
        <v>20.24069976806641</v>
      </c>
      <c r="Q28">
        <v>20.24069976806641</v>
      </c>
      <c r="R28">
        <v>20.24069976806641</v>
      </c>
      <c r="S28">
        <v>20.24069976806641</v>
      </c>
      <c r="T28">
        <v>20.24069976806641</v>
      </c>
      <c r="U28">
        <v>20.24069976806641</v>
      </c>
      <c r="V28">
        <v>20.24069976806641</v>
      </c>
      <c r="W28">
        <v>20.24069976806641</v>
      </c>
      <c r="X28">
        <v>20.24069976806641</v>
      </c>
      <c r="Y28">
        <v>20.24069976806641</v>
      </c>
      <c r="Z28">
        <v>20.24069976806641</v>
      </c>
      <c r="AA28">
        <v>20.24069976806641</v>
      </c>
      <c r="AB28">
        <v>20.24069976806641</v>
      </c>
      <c r="AC28">
        <v>-5.4861819090457065E-4</v>
      </c>
    </row>
    <row r="29" spans="1:33" x14ac:dyDescent="0.45">
      <c r="A29" t="s">
        <v>60</v>
      </c>
      <c r="B29" t="s">
        <v>45</v>
      </c>
      <c r="C29">
        <v>2.7258000373840332</v>
      </c>
      <c r="D29">
        <v>2.7258000373840332</v>
      </c>
      <c r="E29">
        <v>2.7258000373840332</v>
      </c>
      <c r="F29">
        <v>2.7258000373840332</v>
      </c>
      <c r="G29">
        <v>2.7258000373840332</v>
      </c>
      <c r="H29">
        <v>2.7258000373840332</v>
      </c>
      <c r="I29">
        <v>2.7258000373840332</v>
      </c>
      <c r="J29">
        <v>2.7258000373840332</v>
      </c>
      <c r="K29">
        <v>2.7258000373840332</v>
      </c>
      <c r="L29">
        <v>2.7258000373840332</v>
      </c>
      <c r="M29">
        <v>2.7258000373840332</v>
      </c>
      <c r="N29">
        <v>2.7258000373840332</v>
      </c>
      <c r="O29">
        <v>2.7258000373840332</v>
      </c>
      <c r="P29">
        <v>2.7258000373840332</v>
      </c>
      <c r="Q29">
        <v>2.7258000373840332</v>
      </c>
      <c r="R29">
        <v>2.7258000373840332</v>
      </c>
      <c r="S29">
        <v>2.7258000373840332</v>
      </c>
      <c r="T29">
        <v>2.7258000373840332</v>
      </c>
      <c r="U29">
        <v>2.7258000373840332</v>
      </c>
      <c r="V29">
        <v>2.7258000373840332</v>
      </c>
      <c r="W29">
        <v>2.7258000373840332</v>
      </c>
      <c r="X29">
        <v>2.7258000373840332</v>
      </c>
      <c r="Y29">
        <v>2.7258000373840332</v>
      </c>
      <c r="Z29">
        <v>2.7258000373840332</v>
      </c>
      <c r="AA29">
        <v>2.7258000373840332</v>
      </c>
      <c r="AB29">
        <v>2.7258000373840332</v>
      </c>
      <c r="AC29">
        <v>0</v>
      </c>
    </row>
    <row r="30" spans="1:33" x14ac:dyDescent="0.45">
      <c r="A30" t="s">
        <v>61</v>
      </c>
      <c r="B30" t="s">
        <v>287</v>
      </c>
      <c r="C30">
        <v>0.77340006828308105</v>
      </c>
      <c r="D30">
        <v>0.77340006828308105</v>
      </c>
      <c r="E30">
        <v>0.77340006828308105</v>
      </c>
      <c r="F30">
        <v>0.77520006895065308</v>
      </c>
      <c r="G30">
        <v>0.77520006895065308</v>
      </c>
      <c r="H30">
        <v>0.77520006895065308</v>
      </c>
      <c r="I30">
        <v>0.77520006895065308</v>
      </c>
      <c r="J30">
        <v>0.77520006895065308</v>
      </c>
      <c r="K30">
        <v>0.77520006895065308</v>
      </c>
      <c r="L30">
        <v>0.77520006895065308</v>
      </c>
      <c r="M30">
        <v>0.77520006895065308</v>
      </c>
      <c r="N30">
        <v>0.77520006895065308</v>
      </c>
      <c r="O30">
        <v>0.77520006895065308</v>
      </c>
      <c r="P30">
        <v>0.77520006895065308</v>
      </c>
      <c r="Q30">
        <v>0.77520006895065308</v>
      </c>
      <c r="R30">
        <v>0.77520006895065308</v>
      </c>
      <c r="S30">
        <v>0.77520006895065308</v>
      </c>
      <c r="T30">
        <v>0.77520006895065308</v>
      </c>
      <c r="U30">
        <v>0.77520006895065308</v>
      </c>
      <c r="V30">
        <v>0.77520006895065308</v>
      </c>
      <c r="W30">
        <v>0.77520006895065308</v>
      </c>
      <c r="X30">
        <v>0.77520006895065308</v>
      </c>
      <c r="Y30">
        <v>0.77520006895065308</v>
      </c>
      <c r="Z30">
        <v>0.77520006895065308</v>
      </c>
      <c r="AA30">
        <v>0.77520006895065308</v>
      </c>
      <c r="AB30">
        <v>0.77520006895065308</v>
      </c>
      <c r="AC30">
        <v>9.2991605831871382E-5</v>
      </c>
    </row>
    <row r="31" spans="1:33" x14ac:dyDescent="0.45">
      <c r="A31" t="s">
        <v>62</v>
      </c>
      <c r="B31" t="s">
        <v>55</v>
      </c>
      <c r="C31">
        <v>25.4744987487793</v>
      </c>
      <c r="D31">
        <v>25.4744987487793</v>
      </c>
      <c r="E31">
        <v>25.4744987487793</v>
      </c>
      <c r="F31">
        <v>25.476299285888668</v>
      </c>
      <c r="G31">
        <v>25.476299285888668</v>
      </c>
      <c r="H31">
        <v>25.383199691772461</v>
      </c>
      <c r="I31">
        <v>25.383199691772461</v>
      </c>
      <c r="J31">
        <v>25.383199691772461</v>
      </c>
      <c r="K31">
        <v>25.196699142456051</v>
      </c>
      <c r="L31">
        <v>25.196699142456051</v>
      </c>
      <c r="M31">
        <v>25.196699142456051</v>
      </c>
      <c r="N31">
        <v>25.196699142456051</v>
      </c>
      <c r="O31">
        <v>25.196699142456051</v>
      </c>
      <c r="P31">
        <v>25.196699142456051</v>
      </c>
      <c r="Q31">
        <v>25.196699142456051</v>
      </c>
      <c r="R31">
        <v>25.196699142456051</v>
      </c>
      <c r="S31">
        <v>25.196699142456051</v>
      </c>
      <c r="T31">
        <v>25.196699142456051</v>
      </c>
      <c r="U31">
        <v>25.196699142456051</v>
      </c>
      <c r="V31">
        <v>25.196699142456051</v>
      </c>
      <c r="W31">
        <v>25.196699142456051</v>
      </c>
      <c r="X31">
        <v>25.196699142456051</v>
      </c>
      <c r="Y31">
        <v>25.196699142456051</v>
      </c>
      <c r="Z31">
        <v>25.196699142456051</v>
      </c>
      <c r="AA31">
        <v>25.196699142456051</v>
      </c>
      <c r="AB31">
        <v>25.196699142456051</v>
      </c>
      <c r="AC31">
        <v>-4.3849995824940541E-4</v>
      </c>
    </row>
    <row r="33" spans="1:29" x14ac:dyDescent="0.45">
      <c r="B33" t="s">
        <v>290</v>
      </c>
    </row>
    <row r="34" spans="1:29" x14ac:dyDescent="0.45">
      <c r="A34" t="s">
        <v>63</v>
      </c>
      <c r="B34" t="s">
        <v>57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 t="s">
        <v>53</v>
      </c>
    </row>
    <row r="35" spans="1:29" x14ac:dyDescent="0.45">
      <c r="A35" t="s">
        <v>64</v>
      </c>
      <c r="B35" t="s">
        <v>289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 t="s">
        <v>53</v>
      </c>
    </row>
    <row r="36" spans="1:29" x14ac:dyDescent="0.45">
      <c r="A36" t="s">
        <v>65</v>
      </c>
      <c r="B36" t="s">
        <v>43</v>
      </c>
      <c r="C36">
        <v>0</v>
      </c>
      <c r="D36">
        <v>3.2827005386352539</v>
      </c>
      <c r="E36">
        <v>3.927700519561768</v>
      </c>
      <c r="F36">
        <v>3.927700519561768</v>
      </c>
      <c r="G36">
        <v>3.927700519561768</v>
      </c>
      <c r="H36">
        <v>3.927700519561768</v>
      </c>
      <c r="I36">
        <v>3.927700519561768</v>
      </c>
      <c r="J36">
        <v>3.927700519561768</v>
      </c>
      <c r="K36">
        <v>3.927700519561768</v>
      </c>
      <c r="L36">
        <v>3.927700519561768</v>
      </c>
      <c r="M36">
        <v>3.927700519561768</v>
      </c>
      <c r="N36">
        <v>3.927700519561768</v>
      </c>
      <c r="O36">
        <v>3.927700519561768</v>
      </c>
      <c r="P36">
        <v>3.927700519561768</v>
      </c>
      <c r="Q36">
        <v>3.927700519561768</v>
      </c>
      <c r="R36">
        <v>3.927700519561768</v>
      </c>
      <c r="S36">
        <v>3.927700519561768</v>
      </c>
      <c r="T36">
        <v>3.927700519561768</v>
      </c>
      <c r="U36">
        <v>3.927700519561768</v>
      </c>
      <c r="V36">
        <v>3.927700519561768</v>
      </c>
      <c r="W36">
        <v>3.927700519561768</v>
      </c>
      <c r="X36">
        <v>3.927700519561768</v>
      </c>
      <c r="Y36">
        <v>3.927700519561768</v>
      </c>
      <c r="Z36">
        <v>3.927700519561768</v>
      </c>
      <c r="AA36">
        <v>3.927700519561768</v>
      </c>
      <c r="AB36">
        <v>3.927700519561768</v>
      </c>
      <c r="AC36" t="s">
        <v>53</v>
      </c>
    </row>
    <row r="37" spans="1:29" x14ac:dyDescent="0.45">
      <c r="A37" t="s">
        <v>66</v>
      </c>
      <c r="B37" t="s">
        <v>45</v>
      </c>
      <c r="C37">
        <v>0</v>
      </c>
      <c r="D37">
        <v>2.6664025783538818</v>
      </c>
      <c r="E37">
        <v>3.836403608322144</v>
      </c>
      <c r="F37">
        <v>3.836403608322144</v>
      </c>
      <c r="G37">
        <v>3.836403608322144</v>
      </c>
      <c r="H37">
        <v>3.836403608322144</v>
      </c>
      <c r="I37">
        <v>3.836403608322144</v>
      </c>
      <c r="J37">
        <v>3.836403608322144</v>
      </c>
      <c r="K37">
        <v>3.836403608322144</v>
      </c>
      <c r="L37">
        <v>3.836403608322144</v>
      </c>
      <c r="M37">
        <v>3.836403608322144</v>
      </c>
      <c r="N37">
        <v>3.836403608322144</v>
      </c>
      <c r="O37">
        <v>3.836403608322144</v>
      </c>
      <c r="P37">
        <v>3.836403608322144</v>
      </c>
      <c r="Q37">
        <v>3.836403608322144</v>
      </c>
      <c r="R37">
        <v>3.836403608322144</v>
      </c>
      <c r="S37">
        <v>3.836403608322144</v>
      </c>
      <c r="T37">
        <v>3.836403608322144</v>
      </c>
      <c r="U37">
        <v>3.836403608322144</v>
      </c>
      <c r="V37">
        <v>3.836403608322144</v>
      </c>
      <c r="W37">
        <v>3.836403608322144</v>
      </c>
      <c r="X37">
        <v>3.836403608322144</v>
      </c>
      <c r="Y37">
        <v>3.836403608322144</v>
      </c>
      <c r="Z37">
        <v>3.836403608322144</v>
      </c>
      <c r="AA37">
        <v>3.836403608322144</v>
      </c>
      <c r="AB37">
        <v>3.836403608322144</v>
      </c>
      <c r="AC37" t="s">
        <v>53</v>
      </c>
    </row>
    <row r="38" spans="1:29" x14ac:dyDescent="0.45">
      <c r="A38" t="s">
        <v>67</v>
      </c>
      <c r="B38" t="s">
        <v>68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 t="s">
        <v>53</v>
      </c>
    </row>
    <row r="39" spans="1:29" x14ac:dyDescent="0.45">
      <c r="A39" t="s">
        <v>69</v>
      </c>
      <c r="B39" t="s">
        <v>48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 t="s">
        <v>53</v>
      </c>
    </row>
    <row r="40" spans="1:29" x14ac:dyDescent="0.45">
      <c r="A40" t="s">
        <v>291</v>
      </c>
      <c r="B40" t="s">
        <v>49</v>
      </c>
      <c r="C40">
        <v>0</v>
      </c>
      <c r="D40">
        <v>21.494802474975589</v>
      </c>
      <c r="E40">
        <v>34.736705780029297</v>
      </c>
      <c r="F40">
        <v>38.300300598144531</v>
      </c>
      <c r="G40">
        <v>41.588901519775391</v>
      </c>
      <c r="H40">
        <v>44.361297607421882</v>
      </c>
      <c r="I40">
        <v>45.08489990234375</v>
      </c>
      <c r="J40">
        <v>45.808502197265618</v>
      </c>
      <c r="K40">
        <v>46.532096862792969</v>
      </c>
      <c r="L40">
        <v>46.807098388671882</v>
      </c>
      <c r="M40">
        <v>47.082099914550781</v>
      </c>
      <c r="N40">
        <v>47.082099914550781</v>
      </c>
      <c r="O40">
        <v>47.082099914550781</v>
      </c>
      <c r="P40">
        <v>47.082099914550781</v>
      </c>
      <c r="Q40">
        <v>47.082099914550781</v>
      </c>
      <c r="R40">
        <v>47.082099914550781</v>
      </c>
      <c r="S40">
        <v>47.082099914550781</v>
      </c>
      <c r="T40">
        <v>47.082099914550781</v>
      </c>
      <c r="U40">
        <v>47.082099914550781</v>
      </c>
      <c r="V40">
        <v>47.082099914550781</v>
      </c>
      <c r="W40">
        <v>47.082099914550781</v>
      </c>
      <c r="X40">
        <v>47.082099914550781</v>
      </c>
      <c r="Y40">
        <v>47.082099914550781</v>
      </c>
      <c r="Z40">
        <v>47.082099914550781</v>
      </c>
      <c r="AA40">
        <v>47.082099914550781</v>
      </c>
      <c r="AB40">
        <v>47.082099914550781</v>
      </c>
      <c r="AC40" t="s">
        <v>53</v>
      </c>
    </row>
    <row r="41" spans="1:29" x14ac:dyDescent="0.45">
      <c r="A41" t="s">
        <v>70</v>
      </c>
      <c r="B41" t="s">
        <v>51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 t="s">
        <v>53</v>
      </c>
    </row>
    <row r="42" spans="1:29" x14ac:dyDescent="0.45">
      <c r="A42" t="s">
        <v>292</v>
      </c>
      <c r="B42" t="s">
        <v>286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 t="s">
        <v>53</v>
      </c>
    </row>
    <row r="43" spans="1:29" x14ac:dyDescent="0.45">
      <c r="A43" t="s">
        <v>71</v>
      </c>
      <c r="B43" t="s">
        <v>287</v>
      </c>
      <c r="C43">
        <v>0</v>
      </c>
      <c r="D43">
        <v>47.159660339355469</v>
      </c>
      <c r="E43">
        <v>78.65045166015625</v>
      </c>
      <c r="F43">
        <v>79.145256042480469</v>
      </c>
      <c r="G43">
        <v>80.839057922363281</v>
      </c>
      <c r="H43">
        <v>85.442161560058594</v>
      </c>
      <c r="I43">
        <v>89.295547485351563</v>
      </c>
      <c r="J43">
        <v>92.595451354980469</v>
      </c>
      <c r="K43">
        <v>95.895355224609375</v>
      </c>
      <c r="L43">
        <v>99.19525146484375</v>
      </c>
      <c r="M43">
        <v>102.09515380859381</v>
      </c>
      <c r="N43">
        <v>103.9559631347656</v>
      </c>
      <c r="O43">
        <v>105.4527587890625</v>
      </c>
      <c r="P43">
        <v>106.9495544433594</v>
      </c>
      <c r="Q43">
        <v>108.4653625488281</v>
      </c>
      <c r="R43">
        <v>109.962158203125</v>
      </c>
      <c r="S43">
        <v>110.1907577514648</v>
      </c>
      <c r="T43">
        <v>110.4193572998047</v>
      </c>
      <c r="U43">
        <v>110.6479568481445</v>
      </c>
      <c r="V43">
        <v>110.8765563964844</v>
      </c>
      <c r="W43">
        <v>111.1051559448242</v>
      </c>
      <c r="X43">
        <v>111.33375549316411</v>
      </c>
      <c r="Y43">
        <v>111.56235504150391</v>
      </c>
      <c r="Z43">
        <v>111.79095458984381</v>
      </c>
      <c r="AA43">
        <v>112.0195617675781</v>
      </c>
      <c r="AB43">
        <v>112.24815368652339</v>
      </c>
      <c r="AC43" t="s">
        <v>53</v>
      </c>
    </row>
    <row r="44" spans="1:29" x14ac:dyDescent="0.45">
      <c r="A44" t="s">
        <v>72</v>
      </c>
      <c r="B44" t="s">
        <v>55</v>
      </c>
      <c r="C44">
        <v>0</v>
      </c>
      <c r="D44">
        <v>74.603569030761719</v>
      </c>
      <c r="E44">
        <v>121.151237487793</v>
      </c>
      <c r="F44">
        <v>125.20965576171881</v>
      </c>
      <c r="G44">
        <v>130.1920471191406</v>
      </c>
      <c r="H44">
        <v>137.56755065917969</v>
      </c>
      <c r="I44">
        <v>142.1445617675781</v>
      </c>
      <c r="J44">
        <v>146.1680603027344</v>
      </c>
      <c r="K44">
        <v>150.1915588378906</v>
      </c>
      <c r="L44">
        <v>153.76646423339841</v>
      </c>
      <c r="M44">
        <v>156.94136047363281</v>
      </c>
      <c r="N44">
        <v>158.8021545410156</v>
      </c>
      <c r="O44">
        <v>160.2989501953125</v>
      </c>
      <c r="P44">
        <v>161.7957458496094</v>
      </c>
      <c r="Q44">
        <v>163.3115539550781</v>
      </c>
      <c r="R44">
        <v>164.808349609375</v>
      </c>
      <c r="S44">
        <v>165.0369567871094</v>
      </c>
      <c r="T44">
        <v>165.2655334472656</v>
      </c>
      <c r="U44">
        <v>165.494140625</v>
      </c>
      <c r="V44">
        <v>165.7227478027344</v>
      </c>
      <c r="W44">
        <v>165.95135498046881</v>
      </c>
      <c r="X44">
        <v>166.179931640625</v>
      </c>
      <c r="Y44">
        <v>166.4085388183594</v>
      </c>
      <c r="Z44">
        <v>166.63714599609381</v>
      </c>
      <c r="AA44">
        <v>166.8657531738281</v>
      </c>
      <c r="AB44">
        <v>167.0943298339844</v>
      </c>
      <c r="AC44" t="s">
        <v>53</v>
      </c>
    </row>
    <row r="45" spans="1:29" x14ac:dyDescent="0.45">
      <c r="B45" t="s">
        <v>293</v>
      </c>
    </row>
    <row r="46" spans="1:29" x14ac:dyDescent="0.45">
      <c r="A46" t="s">
        <v>73</v>
      </c>
      <c r="B46" t="s">
        <v>57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1.620696624740958E-3</v>
      </c>
      <c r="M46">
        <v>1.620696624740958E-3</v>
      </c>
      <c r="N46">
        <v>1.620696624740958E-3</v>
      </c>
      <c r="O46">
        <v>1.620696624740958E-3</v>
      </c>
      <c r="P46">
        <v>1.620696624740958E-3</v>
      </c>
      <c r="Q46">
        <v>1.620696624740958E-3</v>
      </c>
      <c r="R46">
        <v>1.620696624740958E-3</v>
      </c>
      <c r="S46">
        <v>1.620696624740958E-3</v>
      </c>
      <c r="T46">
        <v>1.620696624740958E-3</v>
      </c>
      <c r="U46">
        <v>1.620696624740958E-3</v>
      </c>
      <c r="V46">
        <v>1.620696624740958E-3</v>
      </c>
      <c r="W46">
        <v>1.620696624740958E-3</v>
      </c>
      <c r="X46">
        <v>1.620696624740958E-3</v>
      </c>
      <c r="Y46">
        <v>1.620696624740958E-3</v>
      </c>
      <c r="Z46">
        <v>1.620696624740958E-3</v>
      </c>
      <c r="AA46">
        <v>1.620696624740958E-3</v>
      </c>
      <c r="AB46">
        <v>1.620696624740958E-3</v>
      </c>
      <c r="AC46" t="s">
        <v>53</v>
      </c>
    </row>
    <row r="47" spans="1:29" x14ac:dyDescent="0.45">
      <c r="A47" t="s">
        <v>74</v>
      </c>
      <c r="B47" t="s">
        <v>289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 t="s">
        <v>53</v>
      </c>
    </row>
    <row r="48" spans="1:29" x14ac:dyDescent="0.45">
      <c r="A48" t="s">
        <v>75</v>
      </c>
      <c r="B48" t="s">
        <v>43</v>
      </c>
      <c r="C48">
        <v>0</v>
      </c>
      <c r="D48">
        <v>0</v>
      </c>
      <c r="E48">
        <v>0</v>
      </c>
      <c r="F48">
        <v>5</v>
      </c>
      <c r="G48">
        <v>15.59617328643799</v>
      </c>
      <c r="H48">
        <v>24.380008697509769</v>
      </c>
      <c r="I48">
        <v>35.457954406738281</v>
      </c>
      <c r="J48">
        <v>49.305377960205078</v>
      </c>
      <c r="K48">
        <v>56.146553039550781</v>
      </c>
      <c r="L48">
        <v>61.987552642822273</v>
      </c>
      <c r="M48">
        <v>71.198883056640625</v>
      </c>
      <c r="N48">
        <v>78.856178283691406</v>
      </c>
      <c r="O48">
        <v>86.670608520507813</v>
      </c>
      <c r="P48">
        <v>92.240272521972656</v>
      </c>
      <c r="Q48">
        <v>98.490280151367188</v>
      </c>
      <c r="R48">
        <v>106.3027725219727</v>
      </c>
      <c r="S48">
        <v>116.06838226318359</v>
      </c>
      <c r="T48">
        <v>128.27543640136719</v>
      </c>
      <c r="U48">
        <v>139.80296325683591</v>
      </c>
      <c r="V48">
        <v>151.56950378417969</v>
      </c>
      <c r="W48">
        <v>163.81817626953119</v>
      </c>
      <c r="X48">
        <v>172.72857666015619</v>
      </c>
      <c r="Y48">
        <v>180.39955139160159</v>
      </c>
      <c r="Z48">
        <v>188.4072265625</v>
      </c>
      <c r="AA48">
        <v>195.63728332519531</v>
      </c>
      <c r="AB48">
        <v>204.6748352050781</v>
      </c>
      <c r="AC48" t="s">
        <v>53</v>
      </c>
    </row>
    <row r="49" spans="1:29" x14ac:dyDescent="0.45">
      <c r="A49" t="s">
        <v>76</v>
      </c>
      <c r="B49" t="s">
        <v>45</v>
      </c>
      <c r="C49">
        <v>0</v>
      </c>
      <c r="D49">
        <v>0</v>
      </c>
      <c r="E49">
        <v>5.0000004768371582</v>
      </c>
      <c r="F49">
        <v>10.160280227661129</v>
      </c>
      <c r="G49">
        <v>14.024336814880369</v>
      </c>
      <c r="H49">
        <v>17.020330429077148</v>
      </c>
      <c r="I49">
        <v>20.35380935668945</v>
      </c>
      <c r="J49">
        <v>20.35380935668945</v>
      </c>
      <c r="K49">
        <v>20.681425094604489</v>
      </c>
      <c r="L49">
        <v>21.509040832519531</v>
      </c>
      <c r="M49">
        <v>23.15327262878418</v>
      </c>
      <c r="N49">
        <v>24.473932266235352</v>
      </c>
      <c r="O49">
        <v>26.852895736694339</v>
      </c>
      <c r="P49">
        <v>31.73675537109375</v>
      </c>
      <c r="Q49">
        <v>35.304889678955078</v>
      </c>
      <c r="R49">
        <v>40.501102447509773</v>
      </c>
      <c r="S49">
        <v>45.112743377685547</v>
      </c>
      <c r="T49">
        <v>47.925811767578118</v>
      </c>
      <c r="U49">
        <v>49.173149108886719</v>
      </c>
      <c r="V49">
        <v>50.380565643310547</v>
      </c>
      <c r="W49">
        <v>52.071174621582031</v>
      </c>
      <c r="X49">
        <v>54.521915435791023</v>
      </c>
      <c r="Y49">
        <v>58.397327423095703</v>
      </c>
      <c r="Z49">
        <v>61.909645080566413</v>
      </c>
      <c r="AA49">
        <v>66.909645080566406</v>
      </c>
      <c r="AB49">
        <v>70.017120361328125</v>
      </c>
      <c r="AC49" t="s">
        <v>53</v>
      </c>
    </row>
    <row r="50" spans="1:29" x14ac:dyDescent="0.45">
      <c r="A50" t="s">
        <v>77</v>
      </c>
      <c r="B50" t="s">
        <v>68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 t="s">
        <v>53</v>
      </c>
    </row>
    <row r="51" spans="1:29" x14ac:dyDescent="0.45">
      <c r="A51" t="s">
        <v>78</v>
      </c>
      <c r="B51" t="s">
        <v>48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 t="s">
        <v>53</v>
      </c>
    </row>
    <row r="52" spans="1:29" x14ac:dyDescent="0.45">
      <c r="A52" t="s">
        <v>294</v>
      </c>
      <c r="B52" t="s">
        <v>49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1.987890899181366E-2</v>
      </c>
      <c r="S52">
        <v>4.2505413293838501E-2</v>
      </c>
      <c r="T52">
        <v>4.2505413293838501E-2</v>
      </c>
      <c r="U52">
        <v>8.6295977234840393E-2</v>
      </c>
      <c r="V52">
        <v>0.1091521829366684</v>
      </c>
      <c r="W52">
        <v>0.1654817312955856</v>
      </c>
      <c r="X52">
        <v>0.19198282063007349</v>
      </c>
      <c r="Y52">
        <v>0.23680061101913449</v>
      </c>
      <c r="Z52">
        <v>0.26461735367774958</v>
      </c>
      <c r="AA52">
        <v>0.26461735367774958</v>
      </c>
      <c r="AB52">
        <v>0.30331486463546747</v>
      </c>
      <c r="AC52" t="s">
        <v>53</v>
      </c>
    </row>
    <row r="53" spans="1:29" x14ac:dyDescent="0.45">
      <c r="A53" t="s">
        <v>295</v>
      </c>
      <c r="B53" t="s">
        <v>286</v>
      </c>
      <c r="C53">
        <v>0</v>
      </c>
      <c r="D53">
        <v>0</v>
      </c>
      <c r="E53">
        <v>1.5</v>
      </c>
      <c r="F53">
        <v>1.5</v>
      </c>
      <c r="G53">
        <v>1.5</v>
      </c>
      <c r="H53">
        <v>1.5</v>
      </c>
      <c r="I53">
        <v>1.5</v>
      </c>
      <c r="J53">
        <v>1.5</v>
      </c>
      <c r="K53">
        <v>1.5</v>
      </c>
      <c r="L53">
        <v>1.5</v>
      </c>
      <c r="M53">
        <v>1.5</v>
      </c>
      <c r="N53">
        <v>1.5</v>
      </c>
      <c r="O53">
        <v>1.5</v>
      </c>
      <c r="P53">
        <v>1.5</v>
      </c>
      <c r="Q53">
        <v>1.5</v>
      </c>
      <c r="R53">
        <v>1.5</v>
      </c>
      <c r="S53">
        <v>1.5</v>
      </c>
      <c r="T53">
        <v>1.5</v>
      </c>
      <c r="U53">
        <v>1.5</v>
      </c>
      <c r="V53">
        <v>1.5</v>
      </c>
      <c r="W53">
        <v>1.5</v>
      </c>
      <c r="X53">
        <v>1.5</v>
      </c>
      <c r="Y53">
        <v>1.5</v>
      </c>
      <c r="Z53">
        <v>1.5</v>
      </c>
      <c r="AA53">
        <v>1.5230511426925659</v>
      </c>
      <c r="AB53">
        <v>1.5230511426925659</v>
      </c>
      <c r="AC53" t="s">
        <v>53</v>
      </c>
    </row>
    <row r="54" spans="1:29" x14ac:dyDescent="0.45">
      <c r="A54" t="s">
        <v>79</v>
      </c>
      <c r="B54" t="s">
        <v>51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 t="s">
        <v>53</v>
      </c>
    </row>
    <row r="55" spans="1:29" x14ac:dyDescent="0.45">
      <c r="A55" t="s">
        <v>80</v>
      </c>
      <c r="B55" t="s">
        <v>287</v>
      </c>
      <c r="C55">
        <v>0</v>
      </c>
      <c r="D55">
        <v>0.111717477440834</v>
      </c>
      <c r="E55">
        <v>7.4035205841064453</v>
      </c>
      <c r="F55">
        <v>35.272560119628913</v>
      </c>
      <c r="G55">
        <v>49.764675140380859</v>
      </c>
      <c r="H55">
        <v>57.041175842285163</v>
      </c>
      <c r="I55">
        <v>65.911445617675781</v>
      </c>
      <c r="J55">
        <v>68.875572204589844</v>
      </c>
      <c r="K55">
        <v>75.7119140625</v>
      </c>
      <c r="L55">
        <v>86.747566223144531</v>
      </c>
      <c r="M55">
        <v>100.4915008544922</v>
      </c>
      <c r="N55">
        <v>114.8389129638672</v>
      </c>
      <c r="O55">
        <v>122.9586639404297</v>
      </c>
      <c r="P55">
        <v>130.4617614746094</v>
      </c>
      <c r="Q55">
        <v>138.67408752441409</v>
      </c>
      <c r="R55">
        <v>146.7773132324219</v>
      </c>
      <c r="S55">
        <v>154.03718566894531</v>
      </c>
      <c r="T55">
        <v>155.57640075683591</v>
      </c>
      <c r="U55">
        <v>155.77040100097659</v>
      </c>
      <c r="V55">
        <v>155.9514465332031</v>
      </c>
      <c r="W55">
        <v>156.09428405761719</v>
      </c>
      <c r="X55">
        <v>156.955078125</v>
      </c>
      <c r="Y55">
        <v>158.33012390136719</v>
      </c>
      <c r="Z55">
        <v>158.47416687011719</v>
      </c>
      <c r="AA55">
        <v>160.07704162597659</v>
      </c>
      <c r="AB55">
        <v>162.06452941894531</v>
      </c>
      <c r="AC55" t="s">
        <v>53</v>
      </c>
    </row>
    <row r="56" spans="1:29" x14ac:dyDescent="0.45">
      <c r="A56" t="s">
        <v>81</v>
      </c>
      <c r="B56" t="s">
        <v>55</v>
      </c>
      <c r="C56">
        <v>0</v>
      </c>
      <c r="D56">
        <v>0.111717477440834</v>
      </c>
      <c r="E56">
        <v>13.903520584106451</v>
      </c>
      <c r="F56">
        <v>51.932842254638672</v>
      </c>
      <c r="G56">
        <v>80.885162353515625</v>
      </c>
      <c r="H56">
        <v>99.941520690917969</v>
      </c>
      <c r="I56">
        <v>123.2231826782227</v>
      </c>
      <c r="J56">
        <v>140.03474426269531</v>
      </c>
      <c r="K56">
        <v>154.03990173339841</v>
      </c>
      <c r="L56">
        <v>171.74574279785159</v>
      </c>
      <c r="M56">
        <v>196.34521484375</v>
      </c>
      <c r="N56">
        <v>219.6706237792969</v>
      </c>
      <c r="O56">
        <v>237.98377990722659</v>
      </c>
      <c r="P56">
        <v>255.9403991699219</v>
      </c>
      <c r="Q56">
        <v>273.97079467773438</v>
      </c>
      <c r="R56">
        <v>295.1025390625</v>
      </c>
      <c r="S56">
        <v>316.762451171875</v>
      </c>
      <c r="T56">
        <v>333.32174682617188</v>
      </c>
      <c r="U56">
        <v>346.33432006835938</v>
      </c>
      <c r="V56">
        <v>359.51220703125</v>
      </c>
      <c r="W56">
        <v>373.65072631835938</v>
      </c>
      <c r="X56">
        <v>385.8992919921875</v>
      </c>
      <c r="Y56">
        <v>398.86538696289063</v>
      </c>
      <c r="Z56">
        <v>410.55728149414063</v>
      </c>
      <c r="AA56">
        <v>424.41317749023438</v>
      </c>
      <c r="AB56">
        <v>438.58428955078119</v>
      </c>
      <c r="AC56" t="s">
        <v>53</v>
      </c>
    </row>
    <row r="57" spans="1:29" x14ac:dyDescent="0.45">
      <c r="A57" t="s">
        <v>82</v>
      </c>
      <c r="B57" t="s">
        <v>296</v>
      </c>
      <c r="C57">
        <v>0</v>
      </c>
      <c r="D57">
        <v>74.715286254882813</v>
      </c>
      <c r="E57">
        <v>135.05476379394531</v>
      </c>
      <c r="F57">
        <v>177.14250183105469</v>
      </c>
      <c r="G57">
        <v>211.07720947265619</v>
      </c>
      <c r="H57">
        <v>237.5090637207031</v>
      </c>
      <c r="I57">
        <v>265.36773681640619</v>
      </c>
      <c r="J57">
        <v>286.20281982421881</v>
      </c>
      <c r="K57">
        <v>304.2314453125</v>
      </c>
      <c r="L57">
        <v>325.51220703125</v>
      </c>
      <c r="M57">
        <v>353.28656005859381</v>
      </c>
      <c r="N57">
        <v>378.4727783203125</v>
      </c>
      <c r="O57">
        <v>398.28271484375</v>
      </c>
      <c r="P57">
        <v>417.73614501953119</v>
      </c>
      <c r="Q57">
        <v>437.2823486328125</v>
      </c>
      <c r="R57">
        <v>459.910888671875</v>
      </c>
      <c r="S57">
        <v>481.79940795898438</v>
      </c>
      <c r="T57">
        <v>498.5872802734375</v>
      </c>
      <c r="U57">
        <v>511.82846069335938</v>
      </c>
      <c r="V57">
        <v>525.2349853515625</v>
      </c>
      <c r="W57">
        <v>539.60205078125</v>
      </c>
      <c r="X57">
        <v>552.0792236328125</v>
      </c>
      <c r="Y57">
        <v>565.27392578125</v>
      </c>
      <c r="Z57">
        <v>577.1944580078125</v>
      </c>
      <c r="AA57">
        <v>591.2789306640625</v>
      </c>
      <c r="AB57">
        <v>605.6785888671875</v>
      </c>
      <c r="AC57" t="s">
        <v>53</v>
      </c>
    </row>
    <row r="59" spans="1:29" x14ac:dyDescent="0.45">
      <c r="B59" t="s">
        <v>297</v>
      </c>
    </row>
    <row r="60" spans="1:29" x14ac:dyDescent="0.45">
      <c r="A60" t="s">
        <v>83</v>
      </c>
      <c r="B60" t="s">
        <v>57</v>
      </c>
      <c r="C60">
        <v>0</v>
      </c>
      <c r="D60">
        <v>2.7178997993469238</v>
      </c>
      <c r="E60">
        <v>5.9859004020690918</v>
      </c>
      <c r="F60">
        <v>18.268598556518551</v>
      </c>
      <c r="G60">
        <v>29.063602447509769</v>
      </c>
      <c r="H60">
        <v>35.695003509521477</v>
      </c>
      <c r="I60">
        <v>48.526401519775391</v>
      </c>
      <c r="J60">
        <v>56.656711578369141</v>
      </c>
      <c r="K60">
        <v>58.728710174560547</v>
      </c>
      <c r="L60">
        <v>59.539714813232422</v>
      </c>
      <c r="M60">
        <v>60.495719909667969</v>
      </c>
      <c r="N60">
        <v>61.355712890625</v>
      </c>
      <c r="O60">
        <v>61.355712890625</v>
      </c>
      <c r="P60">
        <v>61.702713012695313</v>
      </c>
      <c r="Q60">
        <v>62.041709899902337</v>
      </c>
      <c r="R60">
        <v>64.301704406738281</v>
      </c>
      <c r="S60">
        <v>66.741706848144531</v>
      </c>
      <c r="T60">
        <v>68.391708374023438</v>
      </c>
      <c r="U60">
        <v>68.391708374023438</v>
      </c>
      <c r="V60">
        <v>68.932075500488281</v>
      </c>
      <c r="W60">
        <v>69.782073974609375</v>
      </c>
      <c r="X60">
        <v>70.388076782226563</v>
      </c>
      <c r="Y60">
        <v>70.388076782226563</v>
      </c>
      <c r="Z60">
        <v>70.428077697753906</v>
      </c>
      <c r="AA60">
        <v>71.508079528808594</v>
      </c>
      <c r="AB60">
        <v>71.605575561523438</v>
      </c>
      <c r="AC60" t="s">
        <v>53</v>
      </c>
    </row>
    <row r="61" spans="1:29" x14ac:dyDescent="0.45">
      <c r="A61" t="s">
        <v>84</v>
      </c>
      <c r="B61" t="s">
        <v>289</v>
      </c>
      <c r="C61">
        <v>0</v>
      </c>
      <c r="D61">
        <v>1.1080000400543211</v>
      </c>
      <c r="E61">
        <v>7.6670002937316886</v>
      </c>
      <c r="F61">
        <v>10.45510101318359</v>
      </c>
      <c r="G61">
        <v>13.38720035552979</v>
      </c>
      <c r="H61">
        <v>14.9276008605957</v>
      </c>
      <c r="I61">
        <v>18.68850135803223</v>
      </c>
      <c r="J61">
        <v>22.21690559387207</v>
      </c>
      <c r="K61">
        <v>23.84110260009766</v>
      </c>
      <c r="L61">
        <v>24.740104675292969</v>
      </c>
      <c r="M61">
        <v>26.497201919555661</v>
      </c>
      <c r="N61">
        <v>26.497201919555661</v>
      </c>
      <c r="O61">
        <v>27.068202972412109</v>
      </c>
      <c r="P61">
        <v>27.068202972412109</v>
      </c>
      <c r="Q61">
        <v>27.068202972412109</v>
      </c>
      <c r="R61">
        <v>27.505203247070309</v>
      </c>
      <c r="S61">
        <v>27.505203247070309</v>
      </c>
      <c r="T61">
        <v>27.505203247070309</v>
      </c>
      <c r="U61">
        <v>27.505203247070309</v>
      </c>
      <c r="V61">
        <v>27.505203247070309</v>
      </c>
      <c r="W61">
        <v>27.505203247070309</v>
      </c>
      <c r="X61">
        <v>27.505203247070309</v>
      </c>
      <c r="Y61">
        <v>27.697902679443359</v>
      </c>
      <c r="Z61">
        <v>27.697902679443359</v>
      </c>
      <c r="AA61">
        <v>27.697902679443359</v>
      </c>
      <c r="AB61">
        <v>27.697902679443359</v>
      </c>
      <c r="AC61" t="s">
        <v>53</v>
      </c>
    </row>
    <row r="62" spans="1:29" x14ac:dyDescent="0.45">
      <c r="A62" t="s">
        <v>85</v>
      </c>
      <c r="B62" t="s">
        <v>43</v>
      </c>
      <c r="C62">
        <v>0</v>
      </c>
      <c r="D62">
        <v>0</v>
      </c>
      <c r="E62">
        <v>0.44999998807907099</v>
      </c>
      <c r="F62">
        <v>0.85399997234344482</v>
      </c>
      <c r="G62">
        <v>0.85399997234344482</v>
      </c>
      <c r="H62">
        <v>1.2175999879837041</v>
      </c>
      <c r="I62">
        <v>2.7781040668487549</v>
      </c>
      <c r="J62">
        <v>3.5879039764404301</v>
      </c>
      <c r="K62">
        <v>3.9188041687011719</v>
      </c>
      <c r="L62">
        <v>4.2176041603088379</v>
      </c>
      <c r="M62">
        <v>5.6104040145874023</v>
      </c>
      <c r="N62">
        <v>5.6104040145874023</v>
      </c>
      <c r="O62">
        <v>5.6733040809631348</v>
      </c>
      <c r="P62">
        <v>5.6733040809631348</v>
      </c>
      <c r="Q62">
        <v>5.6733040809631348</v>
      </c>
      <c r="R62">
        <v>5.6733040809631348</v>
      </c>
      <c r="S62">
        <v>5.6733040809631348</v>
      </c>
      <c r="T62">
        <v>5.6733040809631348</v>
      </c>
      <c r="U62">
        <v>5.6733040809631348</v>
      </c>
      <c r="V62">
        <v>6.1503043174743652</v>
      </c>
      <c r="W62">
        <v>6.1503043174743652</v>
      </c>
      <c r="X62">
        <v>6.1503043174743652</v>
      </c>
      <c r="Y62">
        <v>6.1503043174743652</v>
      </c>
      <c r="Z62">
        <v>6.1503043174743652</v>
      </c>
      <c r="AA62">
        <v>6.1503043174743652</v>
      </c>
      <c r="AB62">
        <v>6.1503043174743652</v>
      </c>
      <c r="AC62" t="s">
        <v>53</v>
      </c>
    </row>
    <row r="63" spans="1:29" x14ac:dyDescent="0.45">
      <c r="A63" t="s">
        <v>86</v>
      </c>
      <c r="B63" t="s">
        <v>45</v>
      </c>
      <c r="C63">
        <v>0</v>
      </c>
      <c r="D63">
        <v>1.594499826431274</v>
      </c>
      <c r="E63">
        <v>2.1670997142791748</v>
      </c>
      <c r="F63">
        <v>2.2218997478485112</v>
      </c>
      <c r="G63">
        <v>2.700799703598022</v>
      </c>
      <c r="H63">
        <v>2.931400060653687</v>
      </c>
      <c r="I63">
        <v>3.0656003952026372</v>
      </c>
      <c r="J63">
        <v>3.6487998962402339</v>
      </c>
      <c r="K63">
        <v>3.764899730682373</v>
      </c>
      <c r="L63">
        <v>3.9219002723693852</v>
      </c>
      <c r="M63">
        <v>3.938900470733643</v>
      </c>
      <c r="N63">
        <v>4.1459007263183594</v>
      </c>
      <c r="O63">
        <v>4.1459007263183594</v>
      </c>
      <c r="P63">
        <v>4.1459007263183594</v>
      </c>
      <c r="Q63">
        <v>4.1459007263183594</v>
      </c>
      <c r="R63">
        <v>4.1486005783081046</v>
      </c>
      <c r="S63">
        <v>4.551600456237793</v>
      </c>
      <c r="T63">
        <v>4.551600456237793</v>
      </c>
      <c r="U63">
        <v>4.551600456237793</v>
      </c>
      <c r="V63">
        <v>4.551600456237793</v>
      </c>
      <c r="W63">
        <v>4.569000244140625</v>
      </c>
      <c r="X63">
        <v>4.569000244140625</v>
      </c>
      <c r="Y63">
        <v>4.5710000991821289</v>
      </c>
      <c r="Z63">
        <v>4.5710000991821289</v>
      </c>
      <c r="AA63">
        <v>4.5710000991821289</v>
      </c>
      <c r="AB63">
        <v>4.5810003280639648</v>
      </c>
      <c r="AC63" t="s">
        <v>53</v>
      </c>
    </row>
    <row r="64" spans="1:29" x14ac:dyDescent="0.45">
      <c r="A64" t="s">
        <v>87</v>
      </c>
      <c r="B64" t="s">
        <v>68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 t="s">
        <v>53</v>
      </c>
    </row>
    <row r="65" spans="1:33" x14ac:dyDescent="0.45">
      <c r="A65" t="s">
        <v>88</v>
      </c>
      <c r="B65" t="s">
        <v>48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 t="s">
        <v>53</v>
      </c>
    </row>
    <row r="66" spans="1:33" x14ac:dyDescent="0.45">
      <c r="A66" t="s">
        <v>298</v>
      </c>
      <c r="B66" t="s">
        <v>49</v>
      </c>
      <c r="C66">
        <v>0</v>
      </c>
      <c r="D66">
        <v>7.0000011473894119E-3</v>
      </c>
      <c r="E66">
        <v>7.0000011473894119E-3</v>
      </c>
      <c r="F66">
        <v>7.0000011473894119E-3</v>
      </c>
      <c r="G66">
        <v>7.0000011473894119E-3</v>
      </c>
      <c r="H66">
        <v>7.0000011473894119E-3</v>
      </c>
      <c r="I66">
        <v>7.0000011473894119E-3</v>
      </c>
      <c r="J66">
        <v>1.6899999231100079E-2</v>
      </c>
      <c r="K66">
        <v>1.6899999231100079E-2</v>
      </c>
      <c r="L66">
        <v>1.6899999231100079E-2</v>
      </c>
      <c r="M66">
        <v>1.6899999231100079E-2</v>
      </c>
      <c r="N66">
        <v>1.740000024437904E-2</v>
      </c>
      <c r="O66">
        <v>1.740000024437904E-2</v>
      </c>
      <c r="P66">
        <v>1.740000024437904E-2</v>
      </c>
      <c r="Q66">
        <v>1.740000024437904E-2</v>
      </c>
      <c r="R66">
        <v>1.740000024437904E-2</v>
      </c>
      <c r="S66">
        <v>2.8400000184774399E-2</v>
      </c>
      <c r="T66">
        <v>0.2284000217914581</v>
      </c>
      <c r="U66">
        <v>0.2284000217914581</v>
      </c>
      <c r="V66">
        <v>0.2284000217914581</v>
      </c>
      <c r="W66">
        <v>0.2284000217914581</v>
      </c>
      <c r="X66">
        <v>0.2284000217914581</v>
      </c>
      <c r="Y66">
        <v>0.2284000217914581</v>
      </c>
      <c r="Z66">
        <v>0.2284000217914581</v>
      </c>
      <c r="AA66">
        <v>0.2284000217914581</v>
      </c>
      <c r="AB66">
        <v>0.2284000217914581</v>
      </c>
      <c r="AC66" t="s">
        <v>53</v>
      </c>
      <c r="AG66" s="7"/>
    </row>
    <row r="67" spans="1:33" x14ac:dyDescent="0.45">
      <c r="A67" t="s">
        <v>299</v>
      </c>
      <c r="B67" t="s">
        <v>286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 t="s">
        <v>53</v>
      </c>
    </row>
    <row r="68" spans="1:33" x14ac:dyDescent="0.45">
      <c r="A68" t="s">
        <v>89</v>
      </c>
      <c r="B68" t="s">
        <v>51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1.1000001104548569E-3</v>
      </c>
      <c r="J68">
        <v>1.1000001104548569E-3</v>
      </c>
      <c r="K68">
        <v>1.1000001104548569E-3</v>
      </c>
      <c r="L68">
        <v>1.1000001104548569E-3</v>
      </c>
      <c r="M68">
        <v>6.1000003479421139E-3</v>
      </c>
      <c r="N68">
        <v>8.6000002920627594E-3</v>
      </c>
      <c r="O68">
        <v>1.080000028014183E-2</v>
      </c>
      <c r="P68">
        <v>1.080000028014183E-2</v>
      </c>
      <c r="Q68">
        <v>1.080000028014183E-2</v>
      </c>
      <c r="R68">
        <v>1.080000028014183E-2</v>
      </c>
      <c r="S68">
        <v>1.080000028014183E-2</v>
      </c>
      <c r="T68">
        <v>1.080000028014183E-2</v>
      </c>
      <c r="U68">
        <v>1.080000028014183E-2</v>
      </c>
      <c r="V68">
        <v>1.080000028014183E-2</v>
      </c>
      <c r="W68">
        <v>1.080000028014183E-2</v>
      </c>
      <c r="X68">
        <v>1.080000028014183E-2</v>
      </c>
      <c r="Y68">
        <v>1.080000028014183E-2</v>
      </c>
      <c r="Z68">
        <v>1.080000028014183E-2</v>
      </c>
      <c r="AA68">
        <v>1.080000028014183E-2</v>
      </c>
      <c r="AB68">
        <v>1.080000028014183E-2</v>
      </c>
      <c r="AC68" t="s">
        <v>53</v>
      </c>
      <c r="AG68" s="7"/>
    </row>
    <row r="69" spans="1:33" x14ac:dyDescent="0.45">
      <c r="A69" t="s">
        <v>90</v>
      </c>
      <c r="B69" t="s">
        <v>287</v>
      </c>
      <c r="C69">
        <v>0</v>
      </c>
      <c r="D69">
        <v>9.4999969005584717E-3</v>
      </c>
      <c r="E69">
        <v>0.10289999842643741</v>
      </c>
      <c r="F69">
        <v>0.25349998474121088</v>
      </c>
      <c r="G69">
        <v>0.37179997563362122</v>
      </c>
      <c r="H69">
        <v>0.74639999866485596</v>
      </c>
      <c r="I69">
        <v>1.1388001441955571</v>
      </c>
      <c r="J69">
        <v>1.187599897384644</v>
      </c>
      <c r="K69">
        <v>1.360100269317627</v>
      </c>
      <c r="L69">
        <v>1.601800203323364</v>
      </c>
      <c r="M69">
        <v>2.0546002388000488</v>
      </c>
      <c r="N69">
        <v>2.0858001708984379</v>
      </c>
      <c r="O69">
        <v>2.0858001708984379</v>
      </c>
      <c r="P69">
        <v>2.0858001708984379</v>
      </c>
      <c r="Q69">
        <v>2.0858001708984379</v>
      </c>
      <c r="R69">
        <v>2.0858001708984379</v>
      </c>
      <c r="S69">
        <v>2.0858001708984379</v>
      </c>
      <c r="T69">
        <v>2.0858001708984379</v>
      </c>
      <c r="U69">
        <v>2.1098001003265381</v>
      </c>
      <c r="V69">
        <v>2.1897001266479492</v>
      </c>
      <c r="W69">
        <v>2.191100120544434</v>
      </c>
      <c r="X69">
        <v>2.1987001895904541</v>
      </c>
      <c r="Y69">
        <v>2.2017002105712891</v>
      </c>
      <c r="Z69">
        <v>2.2017002105712891</v>
      </c>
      <c r="AA69">
        <v>2.2167000770568852</v>
      </c>
      <c r="AB69">
        <v>2.2167000770568852</v>
      </c>
      <c r="AC69" t="s">
        <v>53</v>
      </c>
      <c r="AG69" s="7"/>
    </row>
    <row r="70" spans="1:33" x14ac:dyDescent="0.45">
      <c r="A70" t="s">
        <v>91</v>
      </c>
      <c r="B70" t="s">
        <v>55</v>
      </c>
      <c r="C70">
        <v>0</v>
      </c>
      <c r="D70">
        <v>5.4369006156921387</v>
      </c>
      <c r="E70">
        <v>16.379901885986332</v>
      </c>
      <c r="F70">
        <v>32.060108184814453</v>
      </c>
      <c r="G70">
        <v>46.384418487548828</v>
      </c>
      <c r="H70">
        <v>55.525009155273438</v>
      </c>
      <c r="I70">
        <v>74.205520629882813</v>
      </c>
      <c r="J70">
        <v>87.315925598144531</v>
      </c>
      <c r="K70">
        <v>91.631607055664063</v>
      </c>
      <c r="L70">
        <v>94.03912353515625</v>
      </c>
      <c r="M70">
        <v>98.619819641113281</v>
      </c>
      <c r="N70">
        <v>99.721023559570313</v>
      </c>
      <c r="O70">
        <v>100.3571319580078</v>
      </c>
      <c r="P70">
        <v>100.7041320800781</v>
      </c>
      <c r="Q70">
        <v>101.0431213378906</v>
      </c>
      <c r="R70">
        <v>103.7428283691406</v>
      </c>
      <c r="S70">
        <v>106.5968322753906</v>
      </c>
      <c r="T70">
        <v>108.4468536376953</v>
      </c>
      <c r="U70">
        <v>108.4708557128906</v>
      </c>
      <c r="V70">
        <v>109.5681076049805</v>
      </c>
      <c r="W70">
        <v>110.43691253662109</v>
      </c>
      <c r="X70">
        <v>111.0505065917969</v>
      </c>
      <c r="Y70">
        <v>111.2482070922852</v>
      </c>
      <c r="Z70">
        <v>111.288215637207</v>
      </c>
      <c r="AA70">
        <v>112.3832168579102</v>
      </c>
      <c r="AB70">
        <v>112.4907150268555</v>
      </c>
      <c r="AC70" t="s">
        <v>53</v>
      </c>
      <c r="AG70" s="7"/>
    </row>
    <row r="71" spans="1:33" x14ac:dyDescent="0.45">
      <c r="AG71" s="7"/>
    </row>
    <row r="72" spans="1:33" x14ac:dyDescent="0.45">
      <c r="A72" t="s">
        <v>92</v>
      </c>
      <c r="B72" t="s">
        <v>93</v>
      </c>
      <c r="C72">
        <v>1247.595581054688</v>
      </c>
      <c r="D72">
        <v>1317.642456054688</v>
      </c>
      <c r="E72">
        <v>1367.0390625</v>
      </c>
      <c r="F72">
        <v>1394.249389648438</v>
      </c>
      <c r="G72">
        <v>1413.969848632812</v>
      </c>
      <c r="H72">
        <v>1431.34765625</v>
      </c>
      <c r="I72">
        <v>1440.525756835938</v>
      </c>
      <c r="J72">
        <v>1448.25048828125</v>
      </c>
      <c r="K72">
        <v>1461.96337890625</v>
      </c>
      <c r="L72">
        <v>1480.836791992188</v>
      </c>
      <c r="M72">
        <v>1504.030395507812</v>
      </c>
      <c r="N72">
        <v>1528.115356445312</v>
      </c>
      <c r="O72">
        <v>1547.289184570312</v>
      </c>
      <c r="P72">
        <v>1566.3955078125</v>
      </c>
      <c r="Q72">
        <v>1585.602661132812</v>
      </c>
      <c r="R72">
        <v>1605.53173828125</v>
      </c>
      <c r="S72">
        <v>1624.566284179688</v>
      </c>
      <c r="T72">
        <v>1639.504028320312</v>
      </c>
      <c r="U72">
        <v>1652.721435546875</v>
      </c>
      <c r="V72">
        <v>1664.860961914062</v>
      </c>
      <c r="W72">
        <v>1678.359252929688</v>
      </c>
      <c r="X72">
        <v>1690.22265625</v>
      </c>
      <c r="Y72">
        <v>1703.219848632812</v>
      </c>
      <c r="Z72">
        <v>1715.100341796875</v>
      </c>
      <c r="AA72">
        <v>1728.08984375</v>
      </c>
      <c r="AB72">
        <v>1742.382202148438</v>
      </c>
      <c r="AC72">
        <v>1.3451066241121801E-2</v>
      </c>
      <c r="AG72" s="7"/>
    </row>
    <row r="73" spans="1:33" x14ac:dyDescent="0.45">
      <c r="AG73" s="7"/>
    </row>
    <row r="74" spans="1:33" x14ac:dyDescent="0.45">
      <c r="B74" t="s">
        <v>300</v>
      </c>
      <c r="AG74" s="7"/>
    </row>
    <row r="75" spans="1:33" x14ac:dyDescent="0.45">
      <c r="A75" t="s">
        <v>94</v>
      </c>
      <c r="B75" t="s">
        <v>57</v>
      </c>
      <c r="C75">
        <v>1.2658684253692629</v>
      </c>
      <c r="D75">
        <v>1.265085101127625</v>
      </c>
      <c r="E75">
        <v>1.266685009002686</v>
      </c>
      <c r="F75">
        <v>1.260241627693176</v>
      </c>
      <c r="G75">
        <v>1.253819942474365</v>
      </c>
      <c r="H75">
        <v>1.2476837635040281</v>
      </c>
      <c r="I75">
        <v>1.2425247430801389</v>
      </c>
      <c r="J75">
        <v>1.2375079393386841</v>
      </c>
      <c r="K75">
        <v>1.2325704097747801</v>
      </c>
      <c r="L75">
        <v>1.227782249450684</v>
      </c>
      <c r="M75">
        <v>1.223223090171814</v>
      </c>
      <c r="N75">
        <v>1.218778252601624</v>
      </c>
      <c r="O75">
        <v>1.21404492855072</v>
      </c>
      <c r="P75">
        <v>1.210128545761108</v>
      </c>
      <c r="Q75">
        <v>1.2065166234970091</v>
      </c>
      <c r="R75">
        <v>1.2031769752502439</v>
      </c>
      <c r="S75">
        <v>1.1997556686401369</v>
      </c>
      <c r="T75">
        <v>1.1964466571807859</v>
      </c>
      <c r="U75">
        <v>1.19324779510498</v>
      </c>
      <c r="V75">
        <v>1.1901401281356809</v>
      </c>
      <c r="W75">
        <v>1.187147259712219</v>
      </c>
      <c r="X75">
        <v>1.184056282043457</v>
      </c>
      <c r="Y75">
        <v>1.1810462474823</v>
      </c>
      <c r="Z75">
        <v>1.177970170974731</v>
      </c>
      <c r="AA75">
        <v>1.1750141382217409</v>
      </c>
      <c r="AB75">
        <v>1.1720738410949709</v>
      </c>
      <c r="AC75">
        <v>-3.0746114871793568E-3</v>
      </c>
    </row>
    <row r="76" spans="1:33" x14ac:dyDescent="0.45">
      <c r="A76" t="s">
        <v>95</v>
      </c>
      <c r="B76" t="s">
        <v>96</v>
      </c>
      <c r="C76">
        <v>0.54453176259994507</v>
      </c>
      <c r="D76">
        <v>0.54419314861297607</v>
      </c>
      <c r="E76">
        <v>0.54488480091094971</v>
      </c>
      <c r="F76">
        <v>0.54209893941879272</v>
      </c>
      <c r="G76">
        <v>0.53932231664657593</v>
      </c>
      <c r="H76">
        <v>0.53666925430297852</v>
      </c>
      <c r="I76">
        <v>0.5344386100769043</v>
      </c>
      <c r="J76">
        <v>0.53226947784423828</v>
      </c>
      <c r="K76">
        <v>0.53013461828231812</v>
      </c>
      <c r="L76">
        <v>0.52806437015533447</v>
      </c>
      <c r="M76">
        <v>0.52609306573867798</v>
      </c>
      <c r="N76">
        <v>0.52417123317718506</v>
      </c>
      <c r="O76">
        <v>0.52212464809417725</v>
      </c>
      <c r="P76">
        <v>0.5204312801361084</v>
      </c>
      <c r="Q76">
        <v>0.51886963844299316</v>
      </c>
      <c r="R76">
        <v>0.51742565631866455</v>
      </c>
      <c r="S76">
        <v>0.51594638824462891</v>
      </c>
      <c r="T76">
        <v>0.51451563835144043</v>
      </c>
      <c r="U76">
        <v>0.51313251256942749</v>
      </c>
      <c r="V76">
        <v>0.51178890466690063</v>
      </c>
      <c r="W76">
        <v>0.51049482822418213</v>
      </c>
      <c r="X76">
        <v>0.50915837287902832</v>
      </c>
      <c r="Y76">
        <v>0.50785690546035767</v>
      </c>
      <c r="Z76">
        <v>0.50652682781219482</v>
      </c>
      <c r="AA76">
        <v>0.5052487850189209</v>
      </c>
      <c r="AB76">
        <v>0.50397741794586182</v>
      </c>
      <c r="AC76">
        <v>-3.0910054868746868E-3</v>
      </c>
    </row>
    <row r="77" spans="1:33" x14ac:dyDescent="0.45">
      <c r="A77" t="s">
        <v>97</v>
      </c>
      <c r="B77" t="s">
        <v>98</v>
      </c>
      <c r="C77">
        <v>18.490983963012699</v>
      </c>
      <c r="D77">
        <v>18.667228698730469</v>
      </c>
      <c r="E77">
        <v>18.83412933349609</v>
      </c>
      <c r="F77">
        <v>18.915634155273441</v>
      </c>
      <c r="G77">
        <v>18.996524810791019</v>
      </c>
      <c r="H77">
        <v>19.144563674926761</v>
      </c>
      <c r="I77">
        <v>19.234926223754879</v>
      </c>
      <c r="J77">
        <v>19.327728271484379</v>
      </c>
      <c r="K77">
        <v>19.413688659667969</v>
      </c>
      <c r="L77">
        <v>19.505792617797852</v>
      </c>
      <c r="M77">
        <v>19.599954605102539</v>
      </c>
      <c r="N77">
        <v>19.69805908203125</v>
      </c>
      <c r="O77">
        <v>19.795534133911129</v>
      </c>
      <c r="P77">
        <v>19.903142929077148</v>
      </c>
      <c r="Q77">
        <v>20.017942428588871</v>
      </c>
      <c r="R77">
        <v>20.140237808227539</v>
      </c>
      <c r="S77">
        <v>20.263814926147461</v>
      </c>
      <c r="T77">
        <v>20.396951675415039</v>
      </c>
      <c r="U77">
        <v>20.535701751708981</v>
      </c>
      <c r="V77">
        <v>20.682870864868161</v>
      </c>
      <c r="W77">
        <v>20.834548950195309</v>
      </c>
      <c r="X77">
        <v>20.99167442321777</v>
      </c>
      <c r="Y77">
        <v>21.156557083129879</v>
      </c>
      <c r="Z77">
        <v>21.32480621337891</v>
      </c>
      <c r="AA77">
        <v>21.496809005737301</v>
      </c>
      <c r="AB77">
        <v>21.674942016601559</v>
      </c>
      <c r="AC77">
        <v>6.3751789997710251E-3</v>
      </c>
    </row>
    <row r="78" spans="1:33" x14ac:dyDescent="0.45">
      <c r="A78" t="s">
        <v>99</v>
      </c>
      <c r="B78" t="s">
        <v>301</v>
      </c>
      <c r="C78">
        <v>2.0895001888275151</v>
      </c>
      <c r="D78">
        <v>2.0895001888275151</v>
      </c>
      <c r="E78">
        <v>2.112900018692017</v>
      </c>
      <c r="F78">
        <v>2.112900018692017</v>
      </c>
      <c r="G78">
        <v>2.112900018692017</v>
      </c>
      <c r="H78">
        <v>2.112900018692017</v>
      </c>
      <c r="I78">
        <v>2.112900018692017</v>
      </c>
      <c r="J78">
        <v>2.112900018692017</v>
      </c>
      <c r="K78">
        <v>2.112900018692017</v>
      </c>
      <c r="L78">
        <v>2.112900018692017</v>
      </c>
      <c r="M78">
        <v>2.112900018692017</v>
      </c>
      <c r="N78">
        <v>2.112900018692017</v>
      </c>
      <c r="O78">
        <v>2.112900018692017</v>
      </c>
      <c r="P78">
        <v>2.112900018692017</v>
      </c>
      <c r="Q78">
        <v>2.112900018692017</v>
      </c>
      <c r="R78">
        <v>2.112900018692017</v>
      </c>
      <c r="S78">
        <v>2.112900018692017</v>
      </c>
      <c r="T78">
        <v>2.112900018692017</v>
      </c>
      <c r="U78">
        <v>2.112900018692017</v>
      </c>
      <c r="V78">
        <v>2.112900018692017</v>
      </c>
      <c r="W78">
        <v>2.112900018692017</v>
      </c>
      <c r="X78">
        <v>2.112900018692017</v>
      </c>
      <c r="Y78">
        <v>2.112900018692017</v>
      </c>
      <c r="Z78">
        <v>2.112900018692017</v>
      </c>
      <c r="AA78">
        <v>2.112900018692017</v>
      </c>
      <c r="AB78">
        <v>2.112900018692017</v>
      </c>
      <c r="AC78">
        <v>4.4556031285769571E-4</v>
      </c>
    </row>
    <row r="79" spans="1:33" x14ac:dyDescent="0.45">
      <c r="A79" t="s">
        <v>100</v>
      </c>
      <c r="B79" t="s">
        <v>287</v>
      </c>
      <c r="C79">
        <v>84.390083312988281</v>
      </c>
      <c r="D79">
        <v>91.318244934082031</v>
      </c>
      <c r="E79">
        <v>98.0291748046875</v>
      </c>
      <c r="F79">
        <v>102.9089660644531</v>
      </c>
      <c r="G79">
        <v>106.97373962402339</v>
      </c>
      <c r="H79">
        <v>111.34315490722661</v>
      </c>
      <c r="I79">
        <v>115.6580047607422</v>
      </c>
      <c r="J79">
        <v>119.7827072143555</v>
      </c>
      <c r="K79">
        <v>124.16619873046881</v>
      </c>
      <c r="L79">
        <v>129.23114013671881</v>
      </c>
      <c r="M79">
        <v>134.32273864746091</v>
      </c>
      <c r="N79">
        <v>139.43524169921881</v>
      </c>
      <c r="O79">
        <v>145.55278015136719</v>
      </c>
      <c r="P79">
        <v>151.8500061035156</v>
      </c>
      <c r="Q79">
        <v>158.77803039550781</v>
      </c>
      <c r="R79">
        <v>165.60450744628909</v>
      </c>
      <c r="S79">
        <v>171.88087463378909</v>
      </c>
      <c r="T79">
        <v>178.81146240234381</v>
      </c>
      <c r="U79">
        <v>185.28419494628909</v>
      </c>
      <c r="V79">
        <v>192.08515930175781</v>
      </c>
      <c r="W79">
        <v>198.87757873535159</v>
      </c>
      <c r="X79">
        <v>206.21815490722659</v>
      </c>
      <c r="Y79">
        <v>214.00889587402341</v>
      </c>
      <c r="Z79">
        <v>222.1032409667969</v>
      </c>
      <c r="AA79">
        <v>229.9781799316406</v>
      </c>
      <c r="AB79">
        <v>238.41572570800781</v>
      </c>
      <c r="AC79">
        <v>4.2417609513530019E-2</v>
      </c>
    </row>
    <row r="80" spans="1:33" x14ac:dyDescent="0.45">
      <c r="A80" t="s">
        <v>101</v>
      </c>
      <c r="B80" t="s">
        <v>302</v>
      </c>
      <c r="C80">
        <v>0.56389999389648438</v>
      </c>
      <c r="D80">
        <v>0.66390001773834229</v>
      </c>
      <c r="E80">
        <v>0.66390001773834229</v>
      </c>
      <c r="F80">
        <v>0.66390001773834229</v>
      </c>
      <c r="G80">
        <v>0.71389997005462646</v>
      </c>
      <c r="H80">
        <v>0.71389997005462646</v>
      </c>
      <c r="I80">
        <v>0.71389997005462646</v>
      </c>
      <c r="J80">
        <v>0.71389997005462646</v>
      </c>
      <c r="K80">
        <v>0.71389997005462646</v>
      </c>
      <c r="L80">
        <v>0.71389997005462646</v>
      </c>
      <c r="M80">
        <v>0.71389997005462646</v>
      </c>
      <c r="N80">
        <v>0.71389997005462646</v>
      </c>
      <c r="O80">
        <v>0.71389997005462646</v>
      </c>
      <c r="P80">
        <v>0.71389997005462646</v>
      </c>
      <c r="Q80">
        <v>0.71389997005462646</v>
      </c>
      <c r="R80">
        <v>0.71389997005462646</v>
      </c>
      <c r="S80">
        <v>0.71389997005462646</v>
      </c>
      <c r="T80">
        <v>0.71389997005462646</v>
      </c>
      <c r="U80">
        <v>0.71389997005462646</v>
      </c>
      <c r="V80">
        <v>0.71389997005462646</v>
      </c>
      <c r="W80">
        <v>0.71389997005462646</v>
      </c>
      <c r="X80">
        <v>0.71389997005462646</v>
      </c>
      <c r="Y80">
        <v>0.71389997005462646</v>
      </c>
      <c r="Z80">
        <v>0.71389997005462646</v>
      </c>
      <c r="AA80">
        <v>0.71389997005462646</v>
      </c>
      <c r="AB80">
        <v>0.71389997005462646</v>
      </c>
      <c r="AC80">
        <v>9.4792838715374028E-3</v>
      </c>
    </row>
    <row r="81" spans="1:29" x14ac:dyDescent="0.45">
      <c r="A81" t="s">
        <v>102</v>
      </c>
      <c r="B81" t="s">
        <v>55</v>
      </c>
      <c r="C81">
        <v>107.34486389160161</v>
      </c>
      <c r="D81">
        <v>114.54815673828119</v>
      </c>
      <c r="E81">
        <v>121.45167541503911</v>
      </c>
      <c r="F81">
        <v>126.4037399291992</v>
      </c>
      <c r="G81">
        <v>130.5902099609375</v>
      </c>
      <c r="H81">
        <v>135.098876953125</v>
      </c>
      <c r="I81">
        <v>139.49668884277341</v>
      </c>
      <c r="J81">
        <v>143.70701599121091</v>
      </c>
      <c r="K81">
        <v>148.16938781738281</v>
      </c>
      <c r="L81">
        <v>153.319580078125</v>
      </c>
      <c r="M81">
        <v>158.4988098144531</v>
      </c>
      <c r="N81">
        <v>163.70304870605469</v>
      </c>
      <c r="O81">
        <v>169.9112854003906</v>
      </c>
      <c r="P81">
        <v>176.31050109863281</v>
      </c>
      <c r="Q81">
        <v>183.34815979003909</v>
      </c>
      <c r="R81">
        <v>190.2921447753906</v>
      </c>
      <c r="S81">
        <v>196.68719482421881</v>
      </c>
      <c r="T81">
        <v>203.74617004394531</v>
      </c>
      <c r="U81">
        <v>210.35307312011719</v>
      </c>
      <c r="V81">
        <v>217.2967529296875</v>
      </c>
      <c r="W81">
        <v>224.236572265625</v>
      </c>
      <c r="X81">
        <v>231.72984313964841</v>
      </c>
      <c r="Y81">
        <v>239.68115234375</v>
      </c>
      <c r="Z81">
        <v>247.93934631347659</v>
      </c>
      <c r="AA81">
        <v>255.9820556640625</v>
      </c>
      <c r="AB81">
        <v>264.593505859375</v>
      </c>
      <c r="AC81">
        <v>3.6744921010083857E-2</v>
      </c>
    </row>
    <row r="83" spans="1:29" x14ac:dyDescent="0.45">
      <c r="A83" t="s">
        <v>103</v>
      </c>
      <c r="B83" t="s">
        <v>303</v>
      </c>
      <c r="C83">
        <v>0</v>
      </c>
      <c r="D83">
        <v>7.2122941017150879</v>
      </c>
      <c r="E83">
        <v>14.115811347961429</v>
      </c>
      <c r="F83">
        <v>19.077199935913089</v>
      </c>
      <c r="G83">
        <v>23.277778625488281</v>
      </c>
      <c r="H83">
        <v>27.799005508422852</v>
      </c>
      <c r="I83">
        <v>32.2042236328125</v>
      </c>
      <c r="J83">
        <v>36.421733856201172</v>
      </c>
      <c r="K83">
        <v>40.891170501708977</v>
      </c>
      <c r="L83">
        <v>46.048213958740227</v>
      </c>
      <c r="M83">
        <v>51.234004974365227</v>
      </c>
      <c r="N83">
        <v>56.444610595703118</v>
      </c>
      <c r="O83">
        <v>62.659614562988281</v>
      </c>
      <c r="P83">
        <v>69.064453125</v>
      </c>
      <c r="Q83">
        <v>76.107269287109375</v>
      </c>
      <c r="R83">
        <v>83.0560302734375</v>
      </c>
      <c r="S83">
        <v>89.456001281738281</v>
      </c>
      <c r="T83">
        <v>96.51971435546875</v>
      </c>
      <c r="U83">
        <v>103.13121032714839</v>
      </c>
      <c r="V83">
        <v>110.07932281494141</v>
      </c>
      <c r="W83">
        <v>117.02341461181641</v>
      </c>
      <c r="X83">
        <v>124.52110290527339</v>
      </c>
      <c r="Y83">
        <v>132.4767761230469</v>
      </c>
      <c r="Z83">
        <v>140.7393493652344</v>
      </c>
      <c r="AA83">
        <v>148.78627014160159</v>
      </c>
      <c r="AB83">
        <v>157.40199279785159</v>
      </c>
      <c r="AC83" t="s">
        <v>53</v>
      </c>
    </row>
    <row r="85" spans="1:29" x14ac:dyDescent="0.45">
      <c r="B85" t="s">
        <v>304</v>
      </c>
    </row>
    <row r="86" spans="1:29" x14ac:dyDescent="0.45">
      <c r="B86" t="s">
        <v>305</v>
      </c>
    </row>
    <row r="87" spans="1:29" x14ac:dyDescent="0.45">
      <c r="B87" t="s">
        <v>306</v>
      </c>
    </row>
    <row r="88" spans="1:29" x14ac:dyDescent="0.45">
      <c r="B88" t="s">
        <v>104</v>
      </c>
    </row>
    <row r="89" spans="1:29" x14ac:dyDescent="0.45">
      <c r="B89" t="s">
        <v>105</v>
      </c>
    </row>
    <row r="90" spans="1:29" x14ac:dyDescent="0.45">
      <c r="B90" t="s">
        <v>106</v>
      </c>
    </row>
    <row r="91" spans="1:29" x14ac:dyDescent="0.45">
      <c r="B91" t="s">
        <v>307</v>
      </c>
    </row>
    <row r="92" spans="1:29" x14ac:dyDescent="0.45">
      <c r="B92" t="s">
        <v>308</v>
      </c>
    </row>
    <row r="93" spans="1:29" x14ac:dyDescent="0.45">
      <c r="B93" t="s">
        <v>309</v>
      </c>
    </row>
    <row r="94" spans="1:29" x14ac:dyDescent="0.45">
      <c r="B94" t="s">
        <v>310</v>
      </c>
    </row>
    <row r="95" spans="1:29" x14ac:dyDescent="0.45">
      <c r="B95" t="s">
        <v>311</v>
      </c>
    </row>
    <row r="96" spans="1:29" x14ac:dyDescent="0.45">
      <c r="B96" t="s">
        <v>312</v>
      </c>
    </row>
    <row r="97" spans="2:2" x14ac:dyDescent="0.45">
      <c r="B97" t="s">
        <v>313</v>
      </c>
    </row>
    <row r="98" spans="2:2" x14ac:dyDescent="0.45">
      <c r="B98" t="s">
        <v>314</v>
      </c>
    </row>
    <row r="99" spans="2:2" x14ac:dyDescent="0.45">
      <c r="B99" t="s">
        <v>107</v>
      </c>
    </row>
    <row r="100" spans="2:2" x14ac:dyDescent="0.45">
      <c r="B100" t="s">
        <v>315</v>
      </c>
    </row>
    <row r="101" spans="2:2" x14ac:dyDescent="0.45">
      <c r="B101" t="s">
        <v>316</v>
      </c>
    </row>
    <row r="102" spans="2:2" x14ac:dyDescent="0.45">
      <c r="B102" t="s">
        <v>317</v>
      </c>
    </row>
    <row r="103" spans="2:2" x14ac:dyDescent="0.45">
      <c r="B103" t="s">
        <v>318</v>
      </c>
    </row>
    <row r="104" spans="2:2" x14ac:dyDescent="0.45">
      <c r="B104" t="s">
        <v>108</v>
      </c>
    </row>
    <row r="105" spans="2:2" x14ac:dyDescent="0.45">
      <c r="B105" t="s">
        <v>109</v>
      </c>
    </row>
    <row r="106" spans="2:2" x14ac:dyDescent="0.45">
      <c r="B106" t="s">
        <v>319</v>
      </c>
    </row>
    <row r="107" spans="2:2" x14ac:dyDescent="0.45">
      <c r="B107" t="s">
        <v>320</v>
      </c>
    </row>
    <row r="108" spans="2:2" x14ac:dyDescent="0.45">
      <c r="B108" t="s">
        <v>321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C2"/>
  <sheetViews>
    <sheetView workbookViewId="0">
      <selection activeCell="C2" sqref="C2"/>
    </sheetView>
  </sheetViews>
  <sheetFormatPr defaultRowHeight="14.25" x14ac:dyDescent="0.45"/>
  <cols>
    <col min="1" max="1" width="30.3984375" customWidth="1"/>
  </cols>
  <sheetData>
    <row r="1" spans="1:29" x14ac:dyDescent="0.45">
      <c r="A1" t="s">
        <v>272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9" x14ac:dyDescent="0.45">
      <c r="A2" t="s">
        <v>273</v>
      </c>
      <c r="B2" s="4">
        <f>'AEO 2025 Table 9'!F13*gigawatts_to_megawatts</f>
        <v>23147.407999999999</v>
      </c>
      <c r="C2" s="4">
        <f>'AEO 2026 Table 9'!C19*gigawatts_to_megawatts</f>
        <v>23156.604766845699</v>
      </c>
      <c r="D2" s="4">
        <f>'AEO 2026 Table 9'!D19*gigawatts_to_megawatts</f>
        <v>23156.604766845699</v>
      </c>
      <c r="E2" s="4">
        <f>'AEO 2026 Table 9'!E19*gigawatts_to_megawatts</f>
        <v>23156.604766845699</v>
      </c>
      <c r="F2" s="4">
        <f>'AEO 2026 Table 9'!F19*gigawatts_to_megawatts</f>
        <v>23156.604766845699</v>
      </c>
      <c r="G2" s="4">
        <f>'AEO 2026 Table 9'!G19*gigawatts_to_megawatts</f>
        <v>23156.604766845699</v>
      </c>
      <c r="H2" s="4">
        <f>'AEO 2026 Table 9'!H19*gigawatts_to_megawatts</f>
        <v>23156.604766845699</v>
      </c>
      <c r="I2" s="4">
        <f>'AEO 2026 Table 9'!I19*gigawatts_to_megawatts</f>
        <v>23156.604766845699</v>
      </c>
      <c r="J2" s="4">
        <f>'AEO 2026 Table 9'!J19*gigawatts_to_megawatts</f>
        <v>23156.604766845699</v>
      </c>
      <c r="K2" s="4">
        <f>'AEO 2026 Table 9'!K19*gigawatts_to_megawatts</f>
        <v>23156.604766845699</v>
      </c>
      <c r="L2" s="4">
        <f>'AEO 2026 Table 9'!L19*gigawatts_to_megawatts</f>
        <v>23156.604766845699</v>
      </c>
      <c r="M2" s="4">
        <f>'AEO 2026 Table 9'!M19*gigawatts_to_megawatts</f>
        <v>23156.604766845699</v>
      </c>
      <c r="N2" s="4">
        <f>'AEO 2026 Table 9'!N19*gigawatts_to_megawatts</f>
        <v>23156.604766845699</v>
      </c>
      <c r="O2" s="4">
        <f>'AEO 2026 Table 9'!O19*gigawatts_to_megawatts</f>
        <v>23156.604766845699</v>
      </c>
      <c r="P2" s="4">
        <f>'AEO 2026 Table 9'!P19*gigawatts_to_megawatts</f>
        <v>23156.604766845699</v>
      </c>
      <c r="Q2" s="4">
        <f>'AEO 2026 Table 9'!Q19*gigawatts_to_megawatts</f>
        <v>23156.604766845699</v>
      </c>
      <c r="R2" s="4">
        <f>'AEO 2026 Table 9'!R19*gigawatts_to_megawatts</f>
        <v>23156.604766845699</v>
      </c>
      <c r="S2" s="4">
        <f>'AEO 2026 Table 9'!S19*gigawatts_to_megawatts</f>
        <v>23156.604766845699</v>
      </c>
      <c r="T2" s="4">
        <f>'AEO 2026 Table 9'!T19*gigawatts_to_megawatts</f>
        <v>23156.604766845699</v>
      </c>
      <c r="U2" s="4">
        <f>'AEO 2026 Table 9'!U19*gigawatts_to_megawatts</f>
        <v>23156.604766845699</v>
      </c>
      <c r="V2" s="4">
        <f>'AEO 2026 Table 9'!V19*gigawatts_to_megawatts</f>
        <v>23156.604766845699</v>
      </c>
      <c r="W2" s="4">
        <f>'AEO 2026 Table 9'!W19*gigawatts_to_megawatts</f>
        <v>23156.604766845699</v>
      </c>
      <c r="X2" s="4">
        <f>'AEO 2026 Table 9'!X19*gigawatts_to_megawatts</f>
        <v>23156.604766845699</v>
      </c>
      <c r="Y2" s="4">
        <f>'AEO 2026 Table 9'!Y19*gigawatts_to_megawatts</f>
        <v>23156.604766845699</v>
      </c>
      <c r="Z2" s="4">
        <f>'AEO 2026 Table 9'!Z19*gigawatts_to_megawatts</f>
        <v>23156.604766845699</v>
      </c>
      <c r="AA2" s="4">
        <f>'AEO 2026 Table 9'!AA19*gigawatts_to_megawatts</f>
        <v>23156.604766845699</v>
      </c>
      <c r="AB2" s="4">
        <f>'AEO 2026 Table 9'!AB19*gigawatts_to_megawatts</f>
        <v>23156.604766845699</v>
      </c>
      <c r="AC2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About</vt:lpstr>
      <vt:lpstr>AEO 2025 Table 9</vt:lpstr>
      <vt:lpstr>AEO 2026 Table 9</vt:lpstr>
      <vt:lpstr>BPHC</vt:lpstr>
      <vt:lpstr>gigawatts_to_megawatts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2015-06-11T00:38:34Z</dcterms:created>
  <dcterms:modified xsi:type="dcterms:W3CDTF">2026-04-21T20:24:31Z</dcterms:modified>
</cp:coreProperties>
</file>