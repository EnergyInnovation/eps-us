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OECD Mapping" sheetId="3" state="visible" r:id="rId3"/>
    <sheet xmlns:r="http://schemas.openxmlformats.org/officeDocument/2006/relationships" name="Cost Breakdowns" sheetId="4" state="visible" r:id="rId4"/>
    <sheet xmlns:r="http://schemas.openxmlformats.org/officeDocument/2006/relationships" name="Checks" sheetId="5" state="visible" r:id="rId5"/>
    <sheet xmlns:r="http://schemas.openxmlformats.org/officeDocument/2006/relationships" name="SoTaDCCbIC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_(&quot;$&quot;* #,##0_);_(&quot;$&quot;* \(#,##0\);_(&quot;$&quot;* &quot;-&quot;??_);_(@_)"/>
    <numFmt numFmtId="166" formatCode="&quot;$&quot;#,##0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i val="1"/>
      <sz val="11"/>
    </font>
    <font>
      <name val="Arial"/>
      <family val="2"/>
      <b val="1"/>
      <sz val="10"/>
    </font>
    <font>
      <name val="Arial"/>
      <family val="2"/>
      <b val="1"/>
      <sz val="11"/>
    </font>
    <font>
      <name val="Arial"/>
      <family val="2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Calibri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Calibri"/>
      <family val="2"/>
      <i val="1"/>
      <color theme="1"/>
      <sz val="11"/>
      <scheme val="minor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5" tint="0.399975585192419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6">
    <xf numFmtId="0" fontId="1" fillId="0" borderId="0"/>
    <xf numFmtId="9" fontId="1" fillId="0" borderId="0"/>
    <xf numFmtId="0" fontId="2" fillId="2" borderId="0"/>
    <xf numFmtId="0" fontId="9" fillId="0" borderId="0"/>
    <xf numFmtId="44" fontId="1" fillId="0" borderId="0"/>
    <xf numFmtId="0" fontId="11" fillId="0" borderId="0"/>
  </cellStyleXfs>
  <cellXfs count="64">
    <xf numFmtId="0" fontId="0" fillId="0" borderId="0" pivotButton="0" quotePrefix="0" xfId="0"/>
    <xf numFmtId="1" fontId="5" fillId="0" borderId="3" pivotButton="0" quotePrefix="0" xfId="0"/>
    <xf numFmtId="1" fontId="6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 vertical="center"/>
    </xf>
    <xf numFmtId="0" fontId="0" fillId="0" borderId="4" pivotButton="0" quotePrefix="0" xfId="0"/>
    <xf numFmtId="0" fontId="9" fillId="0" borderId="0" pivotButton="0" quotePrefix="0" xfId="3"/>
    <xf numFmtId="0" fontId="3" fillId="0" borderId="0" pivotButton="0" quotePrefix="0" xfId="0"/>
    <xf numFmtId="0" fontId="10" fillId="0" borderId="4" applyAlignment="1" pivotButton="0" quotePrefix="0" xfId="0">
      <alignment horizontal="center" vertical="center"/>
    </xf>
    <xf numFmtId="0" fontId="10" fillId="0" borderId="4" applyAlignment="1" pivotButton="0" quotePrefix="0" xfId="2">
      <alignment horizontal="center" vertical="center"/>
    </xf>
    <xf numFmtId="0" fontId="10" fillId="0" borderId="6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1" fontId="7" fillId="0" borderId="0" pivotButton="0" quotePrefix="0" xfId="0"/>
    <xf numFmtId="1" fontId="8" fillId="0" borderId="0" pivotButton="0" quotePrefix="0" xfId="0"/>
    <xf numFmtId="1" fontId="6" fillId="0" borderId="0" pivotButton="0" quotePrefix="0" xfId="0"/>
    <xf numFmtId="0" fontId="12" fillId="0" borderId="0" pivotButton="0" quotePrefix="0" xfId="5"/>
    <xf numFmtId="0" fontId="13" fillId="0" borderId="0" applyAlignment="1" pivotButton="0" quotePrefix="0" xfId="5">
      <alignment horizontal="left"/>
    </xf>
    <xf numFmtId="0" fontId="8" fillId="0" borderId="0" applyAlignment="1" pivotButton="0" quotePrefix="0" xfId="0">
      <alignment horizontal="left" wrapText="1"/>
    </xf>
    <xf numFmtId="1" fontId="12" fillId="0" borderId="0" pivotButton="0" quotePrefix="0" xfId="5"/>
    <xf numFmtId="0" fontId="13" fillId="0" borderId="0" pivotButton="0" quotePrefix="0" xfId="5"/>
    <xf numFmtId="1" fontId="6" fillId="0" borderId="0" applyAlignment="1" pivotButton="0" quotePrefix="0" xfId="0">
      <alignment horizontal="left" wrapText="1"/>
    </xf>
    <xf numFmtId="165" fontId="5" fillId="0" borderId="10" pivotButton="0" quotePrefix="0" xfId="4"/>
    <xf numFmtId="165" fontId="7" fillId="0" borderId="0" pivotButton="0" quotePrefix="0" xfId="4"/>
    <xf numFmtId="165" fontId="8" fillId="0" borderId="0" pivotButton="0" quotePrefix="0" xfId="4"/>
    <xf numFmtId="165" fontId="6" fillId="0" borderId="0" pivotButton="0" quotePrefix="0" xfId="4"/>
    <xf numFmtId="165" fontId="12" fillId="0" borderId="0" pivotButton="0" quotePrefix="0" xfId="4"/>
    <xf numFmtId="165" fontId="8" fillId="0" borderId="0" pivotButton="0" quotePrefix="0" xfId="4"/>
    <xf numFmtId="165" fontId="7" fillId="0" borderId="0" pivotButton="0" quotePrefix="0" xfId="4"/>
    <xf numFmtId="165" fontId="13" fillId="0" borderId="0" applyAlignment="1" pivotButton="0" quotePrefix="0" xfId="4">
      <alignment horizontal="left"/>
    </xf>
    <xf numFmtId="165" fontId="6" fillId="0" borderId="0" pivotButton="0" quotePrefix="0" xfId="4"/>
    <xf numFmtId="165" fontId="8" fillId="0" borderId="0" applyAlignment="1" pivotButton="0" quotePrefix="0" xfId="4">
      <alignment horizontal="left" wrapText="1"/>
    </xf>
    <xf numFmtId="165" fontId="13" fillId="0" borderId="0" pivotButton="0" quotePrefix="0" xfId="4"/>
    <xf numFmtId="165" fontId="7" fillId="0" borderId="0" pivotButton="0" quotePrefix="0" xfId="4"/>
    <xf numFmtId="165" fontId="6" fillId="0" borderId="0" applyAlignment="1" pivotButton="0" quotePrefix="0" xfId="4">
      <alignment horizontal="left" wrapText="1"/>
    </xf>
    <xf numFmtId="9" fontId="6" fillId="0" borderId="4" applyAlignment="1" pivotButton="0" quotePrefix="0" xfId="1">
      <alignment horizontal="center"/>
    </xf>
    <xf numFmtId="9" fontId="0" fillId="0" borderId="0" pivotButton="0" quotePrefix="0" xfId="0"/>
    <xf numFmtId="1" fontId="6" fillId="0" borderId="4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14" fillId="0" borderId="0" pivotButton="0" quotePrefix="0" xfId="0"/>
    <xf numFmtId="166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4" fillId="3" borderId="9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15" fillId="0" borderId="0" pivotButton="0" quotePrefix="0" xfId="0"/>
    <xf numFmtId="0" fontId="0" fillId="0" borderId="12" pivotButton="0" quotePrefix="0" xfId="0"/>
    <xf numFmtId="0" fontId="0" fillId="0" borderId="9" pivotButton="0" quotePrefix="0" xfId="0"/>
    <xf numFmtId="165" fontId="5" fillId="0" borderId="10" pivotButton="0" quotePrefix="0" xfId="4"/>
    <xf numFmtId="165" fontId="7" fillId="0" borderId="0" pivotButton="0" quotePrefix="0" xfId="4"/>
    <xf numFmtId="165" fontId="8" fillId="0" borderId="0" pivotButton="0" quotePrefix="0" xfId="4"/>
    <xf numFmtId="165" fontId="6" fillId="0" borderId="0" pivotButton="0" quotePrefix="0" xfId="4"/>
    <xf numFmtId="165" fontId="12" fillId="0" borderId="0" pivotButton="0" quotePrefix="0" xfId="4"/>
    <xf numFmtId="166" fontId="0" fillId="0" borderId="2" applyAlignment="1" pivotButton="0" quotePrefix="0" xfId="0">
      <alignment horizontal="center" vertical="center"/>
    </xf>
    <xf numFmtId="165" fontId="13" fillId="0" borderId="0" applyAlignment="1" pivotButton="0" quotePrefix="0" xfId="4">
      <alignment horizontal="left"/>
    </xf>
    <xf numFmtId="165" fontId="8" fillId="0" borderId="0" applyAlignment="1" pivotButton="0" quotePrefix="0" xfId="4">
      <alignment horizontal="left" wrapText="1"/>
    </xf>
    <xf numFmtId="165" fontId="13" fillId="0" borderId="0" pivotButton="0" quotePrefix="0" xfId="4"/>
    <xf numFmtId="165" fontId="6" fillId="0" borderId="0" applyAlignment="1" pivotButton="0" quotePrefix="0" xfId="4">
      <alignment horizontal="left" wrapText="1"/>
    </xf>
    <xf numFmtId="0" fontId="16" fillId="0" borderId="0" pivotButton="0" quotePrefix="0" xfId="0"/>
  </cellXfs>
  <cellStyles count="6">
    <cellStyle name="Normal" xfId="0" builtinId="0"/>
    <cellStyle name="Percent" xfId="1" builtinId="5"/>
    <cellStyle name="Bad" xfId="2" builtinId="27"/>
    <cellStyle name="Hyperlink" xfId="3" builtinId="8"/>
    <cellStyle name="Currency" xfId="4" builtinId="4"/>
    <cellStyle name="Normal_DefaultData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nrel.gov/analysis/jedi/transmission-line.html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tabSelected="1" topLeftCell="A1" workbookViewId="0">
      <selection activeCell="A1" sqref="A1"/>
    </sheetView>
  </sheetViews>
  <sheetFormatPr baseColWidth="8" defaultRowHeight="15"/>
  <cols>
    <col width="61.85546875" customWidth="1" min="2" max="2"/>
  </cols>
  <sheetData>
    <row r="1">
      <c r="A1" s="6" t="inlineStr">
        <is>
          <t>SoTCCbIC Share of Transmission and Distribution Capital Costs by ISIC Code</t>
        </is>
      </c>
    </row>
    <row r="2"/>
    <row r="3">
      <c r="A3" s="6" t="inlineStr">
        <is>
          <t>Source:</t>
        </is>
      </c>
      <c r="B3" t="inlineStr">
        <is>
          <t>NREL</t>
        </is>
      </c>
    </row>
    <row r="4">
      <c r="B4" s="11" t="n">
        <v>2016</v>
      </c>
    </row>
    <row r="5">
      <c r="B5" t="inlineStr">
        <is>
          <t>JEDI Transmission Model</t>
        </is>
      </c>
    </row>
    <row r="6">
      <c r="B6" s="5" t="inlineStr">
        <is>
          <t>https://www.nrel.gov/analysis/jedi/transmission-line.html</t>
        </is>
      </c>
    </row>
    <row r="7">
      <c r="B7" t="inlineStr">
        <is>
          <t>"DefaultData" and "Calculations" tabs</t>
        </is>
      </c>
    </row>
    <row r="9">
      <c r="A9" s="50" t="inlineStr">
        <is>
          <t>52-code expansion (2026-07-17):</t>
        </is>
      </c>
    </row>
    <row r="10">
      <c r="A10" t="inlineStr">
        <is>
          <t>The output tabs produce the 52-code ISIC list. The derivation above is unchanged and live; output-tab formulas reference the derivation tabs</t>
        </is>
      </c>
    </row>
    <row r="11">
      <c r="A11" t="inlineStr">
        <is>
          <t>directly, with the original header-label criteria written as literals (the derivation tabs still use the pre-split 42-code labels).</t>
        </is>
      </c>
    </row>
    <row r="13">
      <c r="A13" t="inlineStr">
        <is>
          <t>Children of split parents multiply the parent's allocation by the factors on the 'Factors applied' tab (editable; defaults = BEA 2024 gross-</t>
        </is>
      </c>
    </row>
    <row r="14">
      <c r="A14" t="inlineStr">
        <is>
          <t>output shares from io-model/BObIC; semantic overrides documented per row with rationale).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4" customWidth="1" min="6" max="6"/>
  </cols>
  <sheetData>
    <row r="1">
      <c r="A1" s="50" t="inlineStr">
        <is>
          <t>Child factors applied inline in the output-tab formulas (editable). Defaults = BEA 2024 output shares; semantic overrides and fuel reroutes noted per row.</t>
        </is>
      </c>
    </row>
    <row r="2">
      <c r="A2" s="50" t="inlineStr">
        <is>
          <t>File</t>
        </is>
      </c>
      <c r="B2" s="50" t="inlineStr">
        <is>
          <t>Row context</t>
        </is>
      </c>
      <c r="C2" s="50" t="inlineStr">
        <is>
          <t>Child</t>
        </is>
      </c>
      <c r="D2" s="50" t="inlineStr">
        <is>
          <t>Parent</t>
        </is>
      </c>
      <c r="E2" s="50" t="inlineStr">
        <is>
          <t>Factor</t>
        </is>
      </c>
      <c r="F2" s="50" t="inlineStr">
        <is>
          <t>Rationale</t>
        </is>
      </c>
      <c r="G2" s="50" t="inlineStr">
        <is>
          <t>BEA 2024 output share</t>
        </is>
      </c>
    </row>
    <row r="3">
      <c r="A3" t="inlineStr">
        <is>
          <t>SoTaDCCbIC.csv</t>
        </is>
      </c>
      <c r="B3" t="inlineStr">
        <is>
          <t>transmission costs</t>
        </is>
      </c>
      <c r="C3" t="inlineStr">
        <is>
          <t>ISIC 01</t>
        </is>
      </c>
      <c r="D3" t="inlineStr">
        <is>
          <t>ISIC 01T03</t>
        </is>
      </c>
      <c r="E3" t="n">
        <v>0.9429986826432329</v>
      </c>
      <c r="F3" t="inlineStr">
        <is>
          <t>BEA 2024 output share (default)</t>
        </is>
      </c>
      <c r="G3" t="n">
        <v>0.9429986826432329</v>
      </c>
    </row>
    <row r="4">
      <c r="A4" t="inlineStr">
        <is>
          <t>SoTaDCCbIC.csv</t>
        </is>
      </c>
      <c r="B4" t="inlineStr">
        <is>
          <t>transmission costs</t>
        </is>
      </c>
      <c r="C4" t="inlineStr">
        <is>
          <t>ISIC 02</t>
        </is>
      </c>
      <c r="D4" t="inlineStr">
        <is>
          <t>ISIC 01T03</t>
        </is>
      </c>
      <c r="E4" t="n">
        <v>0.04176573136965662</v>
      </c>
      <c r="F4" t="inlineStr">
        <is>
          <t>BEA 2024 output share (default)</t>
        </is>
      </c>
      <c r="G4" t="n">
        <v>0.04176573136965662</v>
      </c>
    </row>
    <row r="5">
      <c r="A5" t="inlineStr">
        <is>
          <t>SoTaDCCbIC.csv</t>
        </is>
      </c>
      <c r="B5" t="inlineStr">
        <is>
          <t>transmission costs</t>
        </is>
      </c>
      <c r="C5" t="inlineStr">
        <is>
          <t>ISIC 03</t>
        </is>
      </c>
      <c r="D5" t="inlineStr">
        <is>
          <t>ISIC 01T03</t>
        </is>
      </c>
      <c r="E5" t="n">
        <v>0.01523558598711041</v>
      </c>
      <c r="F5" t="inlineStr">
        <is>
          <t>BEA 2024 output share (default)</t>
        </is>
      </c>
      <c r="G5" t="n">
        <v>0.01523558598711041</v>
      </c>
    </row>
    <row r="6">
      <c r="A6" t="inlineStr">
        <is>
          <t>SoTaDCCbIC.csv</t>
        </is>
      </c>
      <c r="B6" t="inlineStr">
        <is>
          <t>transmission costs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SoTaDCCbIC.csv</t>
        </is>
      </c>
      <c r="B7" t="inlineStr">
        <is>
          <t>transmission costs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SoTaDCCbIC.csv</t>
        </is>
      </c>
      <c r="B8" t="inlineStr">
        <is>
          <t>transmission costs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SoTaDCCbIC.csv</t>
        </is>
      </c>
      <c r="B9" t="inlineStr">
        <is>
          <t>transmission costs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SoTaDCCbIC.csv</t>
        </is>
      </c>
      <c r="B10" t="inlineStr">
        <is>
          <t>transmission costs</t>
        </is>
      </c>
      <c r="C10" t="inlineStr">
        <is>
          <t>ISIC 49</t>
        </is>
      </c>
      <c r="D10" t="inlineStr">
        <is>
          <t>ISIC 49T53</t>
        </is>
      </c>
      <c r="E10" t="n">
        <v>0.45630816353267</v>
      </c>
      <c r="F10" t="inlineStr">
        <is>
          <t>BEA 2024 output share (default)</t>
        </is>
      </c>
      <c r="G10" t="n">
        <v>0.45630816353267</v>
      </c>
    </row>
    <row r="11">
      <c r="A11" t="inlineStr">
        <is>
          <t>SoTaDCCbIC.csv</t>
        </is>
      </c>
      <c r="B11" t="inlineStr">
        <is>
          <t>transmission costs</t>
        </is>
      </c>
      <c r="C11" t="inlineStr">
        <is>
          <t>ISIC 50</t>
        </is>
      </c>
      <c r="D11" t="inlineStr">
        <is>
          <t>ISIC 49T53</t>
        </is>
      </c>
      <c r="E11" t="n">
        <v>0.04437004750051631</v>
      </c>
      <c r="F11" t="inlineStr">
        <is>
          <t>BEA 2024 output share (default)</t>
        </is>
      </c>
      <c r="G11" t="n">
        <v>0.04437004750051631</v>
      </c>
    </row>
    <row r="12">
      <c r="A12" t="inlineStr">
        <is>
          <t>SoTaDCCbIC.csv</t>
        </is>
      </c>
      <c r="B12" t="inlineStr">
        <is>
          <t>transmission costs</t>
        </is>
      </c>
      <c r="C12" t="inlineStr">
        <is>
          <t>ISIC 51</t>
        </is>
      </c>
      <c r="D12" t="inlineStr">
        <is>
          <t>ISIC 49T53</t>
        </is>
      </c>
      <c r="E12" t="n">
        <v>0.1883750452665103</v>
      </c>
      <c r="F12" t="inlineStr">
        <is>
          <t>BEA 2024 output share (default)</t>
        </is>
      </c>
      <c r="G12" t="n">
        <v>0.1883750452665103</v>
      </c>
    </row>
    <row r="13">
      <c r="A13" t="inlineStr">
        <is>
          <t>SoTaDCCbIC.csv</t>
        </is>
      </c>
      <c r="B13" t="inlineStr">
        <is>
          <t>transmission costs</t>
        </is>
      </c>
      <c r="C13" t="inlineStr">
        <is>
          <t>ISIC 52</t>
        </is>
      </c>
      <c r="D13" t="inlineStr">
        <is>
          <t>ISIC 49T53</t>
        </is>
      </c>
      <c r="E13" t="n">
        <v>0.2228651226758185</v>
      </c>
      <c r="F13" t="inlineStr">
        <is>
          <t>BEA 2024 output share (default)</t>
        </is>
      </c>
      <c r="G13" t="n">
        <v>0.2228651226758185</v>
      </c>
    </row>
    <row r="14">
      <c r="A14" t="inlineStr">
        <is>
          <t>SoTaDCCbIC.csv</t>
        </is>
      </c>
      <c r="B14" t="inlineStr">
        <is>
          <t>transmission costs</t>
        </is>
      </c>
      <c r="C14" t="inlineStr">
        <is>
          <t>ISIC 53</t>
        </is>
      </c>
      <c r="D14" t="inlineStr">
        <is>
          <t>ISIC 49T53</t>
        </is>
      </c>
      <c r="E14" t="n">
        <v>0.08808162102448482</v>
      </c>
      <c r="F14" t="inlineStr">
        <is>
          <t>BEA 2024 output share (default)</t>
        </is>
      </c>
      <c r="G14" t="n">
        <v>0.08808162102448482</v>
      </c>
    </row>
    <row r="15">
      <c r="A15" t="inlineStr">
        <is>
          <t>SoTaDCCbIC.csv</t>
        </is>
      </c>
      <c r="B15" t="inlineStr">
        <is>
          <t>transmission costs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SoTaDCCbIC.csv</t>
        </is>
      </c>
      <c r="B16" t="inlineStr">
        <is>
          <t>transmission costs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SoTaDCCbIC.csv</t>
        </is>
      </c>
      <c r="B17" t="inlineStr">
        <is>
          <t>transmission costs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SoTaDCCbIC.csv</t>
        </is>
      </c>
      <c r="B18" t="inlineStr">
        <is>
          <t>transmission costs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1" sqref="A1"/>
    </sheetView>
  </sheetViews>
  <sheetFormatPr baseColWidth="8" defaultRowHeight="15"/>
  <cols>
    <col width="77.42578125" bestFit="1" customWidth="1" min="1" max="1"/>
    <col width="12.140625" bestFit="1" customWidth="1" min="2" max="2"/>
    <col width="20.42578125" bestFit="1" customWidth="1" min="3" max="3"/>
    <col width="20.42578125" customWidth="1" min="4" max="4"/>
    <col width="16" bestFit="1" customWidth="1" min="5" max="5"/>
    <col width="17.7109375" bestFit="1" customWidth="1" min="6" max="6"/>
    <col width="17.7109375" customWidth="1" min="7" max="7"/>
    <col width="14" bestFit="1" customWidth="1" min="8" max="8"/>
    <col width="21.5703125" bestFit="1" customWidth="1" min="9" max="9"/>
    <col width="12" bestFit="1" customWidth="1" min="10" max="11"/>
  </cols>
  <sheetData>
    <row r="1" customFormat="1" s="6">
      <c r="A1" s="6" t="inlineStr">
        <is>
          <t>OECD Code</t>
        </is>
      </c>
      <c r="B1" s="6" t="inlineStr">
        <is>
          <t>ISIC Code</t>
        </is>
      </c>
    </row>
    <row r="2">
      <c r="A2" t="inlineStr">
        <is>
          <t>D01T03: Agriculture, forestry and fishing</t>
        </is>
      </c>
      <c r="B2" t="inlineStr">
        <is>
          <t>ISIC 01T03</t>
        </is>
      </c>
    </row>
    <row r="3">
      <c r="A3" t="inlineStr">
        <is>
          <t>D05: Coal mining</t>
        </is>
      </c>
      <c r="B3" t="inlineStr">
        <is>
          <t>ISIC 05</t>
        </is>
      </c>
    </row>
    <row r="4">
      <c r="A4" t="inlineStr">
        <is>
          <t>D06: Oil and gas extraction</t>
        </is>
      </c>
      <c r="B4" t="inlineStr">
        <is>
          <t>ISIC 06</t>
        </is>
      </c>
    </row>
    <row r="5">
      <c r="A5" t="inlineStr">
        <is>
          <t>D07T08: Mining and quarrying of uranium and non-energy-producing products</t>
        </is>
      </c>
      <c r="B5" t="inlineStr">
        <is>
          <t>ISIC 07T08</t>
        </is>
      </c>
    </row>
    <row r="6">
      <c r="A6" t="inlineStr">
        <is>
          <t>D09: Mining support service activities</t>
        </is>
      </c>
      <c r="B6" t="inlineStr">
        <is>
          <t>ISIC 09</t>
        </is>
      </c>
    </row>
    <row r="7">
      <c r="A7" t="inlineStr">
        <is>
          <t>D10T12: Food products, beverages and tobacco</t>
        </is>
      </c>
      <c r="B7" t="inlineStr">
        <is>
          <t>ISIC 10T12</t>
        </is>
      </c>
    </row>
    <row r="8">
      <c r="A8" t="inlineStr">
        <is>
          <t>D13T15: Textiles, wearing apparel, leather and related products</t>
        </is>
      </c>
      <c r="B8" t="inlineStr">
        <is>
          <t>ISIC 13T15</t>
        </is>
      </c>
    </row>
    <row r="9">
      <c r="A9" t="inlineStr">
        <is>
          <t>D16: Wood and products of wood and cork</t>
        </is>
      </c>
      <c r="B9" t="inlineStr">
        <is>
          <t>ISIC 16</t>
        </is>
      </c>
    </row>
    <row r="10">
      <c r="A10" t="inlineStr">
        <is>
          <t>D17T18: Paper products and printing</t>
        </is>
      </c>
      <c r="B10" t="inlineStr">
        <is>
          <t>ISIC 17T18</t>
        </is>
      </c>
    </row>
    <row r="11">
      <c r="A11" t="inlineStr">
        <is>
          <t>D19: Coke and refined petroleum products</t>
        </is>
      </c>
      <c r="B11" t="inlineStr">
        <is>
          <t>ISIC 19</t>
        </is>
      </c>
    </row>
    <row r="12">
      <c r="A12" t="inlineStr">
        <is>
          <t>D20: Chemicals</t>
        </is>
      </c>
      <c r="B12" t="inlineStr">
        <is>
          <t>ISIC 20</t>
        </is>
      </c>
    </row>
    <row r="13">
      <c r="A13" t="inlineStr">
        <is>
          <t>D21: Pharmaceuticals</t>
        </is>
      </c>
      <c r="B13" t="inlineStr">
        <is>
          <t>ISIC 21</t>
        </is>
      </c>
    </row>
    <row r="14">
      <c r="A14" t="inlineStr">
        <is>
          <t>D22: Rubber and plastic products</t>
        </is>
      </c>
      <c r="B14" t="inlineStr">
        <is>
          <t>ISIC 22</t>
        </is>
      </c>
    </row>
    <row r="15">
      <c r="A15" t="inlineStr">
        <is>
          <t>D231: Glass</t>
        </is>
      </c>
      <c r="B15" t="inlineStr">
        <is>
          <t>ISIC 231</t>
        </is>
      </c>
    </row>
    <row r="16">
      <c r="A16" t="inlineStr">
        <is>
          <t>D239: Cement and other nometallic minerals</t>
        </is>
      </c>
      <c r="B16" t="inlineStr">
        <is>
          <t>ISIC 239</t>
        </is>
      </c>
    </row>
    <row r="17">
      <c r="A17" t="inlineStr">
        <is>
          <t>D241: Iron and steel</t>
        </is>
      </c>
      <c r="B17" t="inlineStr">
        <is>
          <t>ISIC 241</t>
        </is>
      </c>
    </row>
    <row r="18">
      <c r="A18" t="inlineStr">
        <is>
          <t>D242: Other metals</t>
        </is>
      </c>
      <c r="B18" t="inlineStr">
        <is>
          <t>ISIC 242</t>
        </is>
      </c>
    </row>
    <row r="19">
      <c r="A19" t="inlineStr">
        <is>
          <t>D25: Fabricated metal products</t>
        </is>
      </c>
      <c r="B19" t="inlineStr">
        <is>
          <t>ISIC 25</t>
        </is>
      </c>
    </row>
    <row r="20">
      <c r="A20" t="inlineStr">
        <is>
          <t>D26: Computer, electronic and optical products</t>
        </is>
      </c>
      <c r="B20" t="inlineStr">
        <is>
          <t>ISIC 26</t>
        </is>
      </c>
    </row>
    <row r="21">
      <c r="A21" t="inlineStr">
        <is>
          <t>D27: Electrical equipment</t>
        </is>
      </c>
      <c r="B21" t="inlineStr">
        <is>
          <t>ISIC 27</t>
        </is>
      </c>
    </row>
    <row r="22">
      <c r="A22" t="inlineStr">
        <is>
          <t>D28: Machinery and equipment, nec</t>
        </is>
      </c>
      <c r="B22" t="inlineStr">
        <is>
          <t>ISIC 28</t>
        </is>
      </c>
    </row>
    <row r="23">
      <c r="A23" t="inlineStr">
        <is>
          <t>D29: Motor vehicles, trailers and semi-trailers</t>
        </is>
      </c>
      <c r="B23" t="inlineStr">
        <is>
          <t>ISIC 29</t>
        </is>
      </c>
    </row>
    <row r="24">
      <c r="A24" t="inlineStr">
        <is>
          <t>D30: Other transport equipment</t>
        </is>
      </c>
      <c r="B24" t="inlineStr">
        <is>
          <t>ISIC 30</t>
        </is>
      </c>
    </row>
    <row r="25">
      <c r="A25" t="inlineStr">
        <is>
          <t>D31T33: Other manufacturing; repair and installation of machinery and equipment</t>
        </is>
      </c>
      <c r="B25" t="inlineStr">
        <is>
          <t>ISIC 31T33</t>
        </is>
      </c>
    </row>
    <row r="26">
      <c r="A26" t="inlineStr">
        <is>
          <t>D351: Electricity generation and distribution</t>
        </is>
      </c>
      <c r="B26" t="inlineStr">
        <is>
          <t>ISIC 351</t>
        </is>
      </c>
    </row>
    <row r="27">
      <c r="A27" t="inlineStr">
        <is>
          <t>D352T353: Energy pipelines and gas processing</t>
        </is>
      </c>
      <c r="B27" t="inlineStr">
        <is>
          <t>ISIC 352T353</t>
        </is>
      </c>
    </row>
    <row r="28">
      <c r="A28" t="inlineStr">
        <is>
          <t>D36T39: Water and waste</t>
        </is>
      </c>
      <c r="B28" t="inlineStr">
        <is>
          <t>ISIC 36T39</t>
        </is>
      </c>
    </row>
    <row r="29">
      <c r="A29" t="inlineStr">
        <is>
          <t>D41T43: Construction</t>
        </is>
      </c>
      <c r="B29" t="inlineStr">
        <is>
          <t>ISIC 41T43</t>
        </is>
      </c>
    </row>
    <row r="30">
      <c r="A30" t="inlineStr">
        <is>
          <t>D45T47: Wholesale and retail trade; repair of motor vehicles</t>
        </is>
      </c>
      <c r="B30" t="inlineStr">
        <is>
          <t>ISIC 45T47</t>
        </is>
      </c>
    </row>
    <row r="31">
      <c r="A31" t="inlineStr">
        <is>
          <t>D49T53: Transportation and storage</t>
        </is>
      </c>
      <c r="B31" t="inlineStr">
        <is>
          <t>ISIC 49T53</t>
        </is>
      </c>
    </row>
    <row r="32">
      <c r="A32" t="inlineStr">
        <is>
          <t>D55T56: Accomodation and food services</t>
        </is>
      </c>
      <c r="B32" t="inlineStr">
        <is>
          <t>ISIC 55T56</t>
        </is>
      </c>
    </row>
    <row r="33">
      <c r="A33" t="inlineStr">
        <is>
          <t>D58T60: Publishing, audiovisual and broadcasting activities</t>
        </is>
      </c>
      <c r="B33" t="inlineStr">
        <is>
          <t>ISIC 58T60</t>
        </is>
      </c>
    </row>
    <row r="34">
      <c r="A34" t="inlineStr">
        <is>
          <t>D61: Telecommunications</t>
        </is>
      </c>
      <c r="B34" t="inlineStr">
        <is>
          <t>ISIC 61</t>
        </is>
      </c>
    </row>
    <row r="35">
      <c r="A35" t="inlineStr">
        <is>
          <t>D62T63: IT and other information services</t>
        </is>
      </c>
      <c r="B35" t="inlineStr">
        <is>
          <t>ISIC 62T63</t>
        </is>
      </c>
    </row>
    <row r="36">
      <c r="A36" t="inlineStr">
        <is>
          <t>D64T66: Financial and insurance activities</t>
        </is>
      </c>
      <c r="B36" t="inlineStr">
        <is>
          <t>ISIC 64T66</t>
        </is>
      </c>
    </row>
    <row r="37">
      <c r="A37" t="inlineStr">
        <is>
          <t>D68: Real estate activities</t>
        </is>
      </c>
      <c r="B37" t="inlineStr">
        <is>
          <t>ISIC 68</t>
        </is>
      </c>
    </row>
    <row r="38">
      <c r="A38" t="inlineStr">
        <is>
          <t>D69T82: Other business sector services</t>
        </is>
      </c>
      <c r="B38" t="inlineStr">
        <is>
          <t>ISIC 69T82</t>
        </is>
      </c>
    </row>
    <row r="39">
      <c r="A39" t="inlineStr">
        <is>
          <t>D84: Public admin. and defence; compulsory social security</t>
        </is>
      </c>
      <c r="B39" t="inlineStr">
        <is>
          <t>ISIC 84</t>
        </is>
      </c>
    </row>
    <row r="40">
      <c r="A40" t="inlineStr">
        <is>
          <t>D85: Education</t>
        </is>
      </c>
      <c r="B40" t="inlineStr">
        <is>
          <t>ISIC 85</t>
        </is>
      </c>
    </row>
    <row r="41">
      <c r="A41" t="inlineStr">
        <is>
          <t>D86T88: Human health and social work</t>
        </is>
      </c>
      <c r="B41" t="inlineStr">
        <is>
          <t>ISIC 86T88</t>
        </is>
      </c>
    </row>
    <row r="42">
      <c r="A42" t="inlineStr">
        <is>
          <t>D90T96: Arts, entertainment, recreation and other service activities</t>
        </is>
      </c>
      <c r="B42" t="inlineStr">
        <is>
          <t>ISIC 90T96</t>
        </is>
      </c>
    </row>
    <row r="43">
      <c r="A43" t="inlineStr">
        <is>
          <t>D97T98: Private households with employed persons</t>
        </is>
      </c>
      <c r="B43" t="inlineStr">
        <is>
          <t>ISIC 97T98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zoomScale="85" zoomScaleNormal="85" workbookViewId="0">
      <selection activeCell="B48" sqref="B48"/>
    </sheetView>
  </sheetViews>
  <sheetFormatPr baseColWidth="8" defaultRowHeight="15"/>
  <cols>
    <col width="65.7109375" bestFit="1" customWidth="1" min="1" max="1"/>
    <col width="65.7109375" customWidth="1" min="2" max="2"/>
    <col width="11.5703125" bestFit="1" customWidth="1" min="3" max="3"/>
    <col width="74" bestFit="1" customWidth="1" min="4" max="4"/>
    <col width="23.5703125" bestFit="1" customWidth="1" min="5" max="5"/>
    <col width="48.5703125" customWidth="1" min="6" max="6"/>
    <col width="19.28515625" bestFit="1" customWidth="1" min="7" max="7"/>
    <col width="23.140625" bestFit="1" customWidth="1" min="8" max="8"/>
    <col width="23.140625" customWidth="1" min="9" max="10"/>
    <col width="74.28515625" bestFit="1" customWidth="1" min="11" max="11"/>
  </cols>
  <sheetData>
    <row r="1" ht="18.75" customHeight="1">
      <c r="A1" s="47" t="inlineStr">
        <is>
          <t>Transmission</t>
        </is>
      </c>
      <c r="B1" s="51" t="n"/>
      <c r="C1" s="51" t="n"/>
      <c r="D1" s="51" t="n"/>
      <c r="E1" s="51" t="n"/>
      <c r="F1" s="52" t="n"/>
    </row>
    <row r="2" ht="26.25" customHeight="1">
      <c r="A2" s="1" t="inlineStr">
        <is>
          <t>Capital Costs</t>
        </is>
      </c>
      <c r="B2" s="53" t="inlineStr">
        <is>
          <t>Cost</t>
        </is>
      </c>
      <c r="C2" s="41" t="inlineStr">
        <is>
          <t>Percent of Cost</t>
        </is>
      </c>
      <c r="D2" s="2" t="inlineStr">
        <is>
          <t>OECD Mapping</t>
        </is>
      </c>
      <c r="E2" s="2" t="inlineStr">
        <is>
          <t>ISIC Mapping</t>
        </is>
      </c>
      <c r="F2" s="2" t="inlineStr">
        <is>
          <t>Notes</t>
        </is>
      </c>
    </row>
    <row r="3">
      <c r="A3" s="17" t="inlineStr">
        <is>
          <t xml:space="preserve">  Development and Preconstruction Activites</t>
        </is>
      </c>
      <c r="B3" s="54" t="n"/>
      <c r="C3" s="39" t="n"/>
      <c r="D3" s="4" t="n"/>
      <c r="E3" s="4" t="n"/>
      <c r="F3" s="4" t="n"/>
    </row>
    <row r="4">
      <c r="A4" s="18" t="inlineStr">
        <is>
          <t xml:space="preserve">     Land Acquisition Services</t>
        </is>
      </c>
      <c r="B4" s="55" t="n">
        <v>375000</v>
      </c>
      <c r="C4" s="39">
        <f>B4/$B$52</f>
        <v/>
      </c>
      <c r="D4" s="7">
        <f>'OECD Mapping'!A37</f>
        <v/>
      </c>
      <c r="E4" s="7">
        <f>'OECD Mapping'!B37</f>
        <v/>
      </c>
      <c r="F4" s="14" t="inlineStr">
        <is>
          <t>Mapping based on I-JEDI and judgment</t>
        </is>
      </c>
    </row>
    <row r="5">
      <c r="A5" s="18" t="inlineStr">
        <is>
          <t xml:space="preserve">     Private Land Acquisition Payment</t>
        </is>
      </c>
      <c r="B5" s="55" t="n">
        <v>363636.3636363636</v>
      </c>
      <c r="C5" s="39">
        <f>B5/$B$52</f>
        <v/>
      </c>
      <c r="D5" s="8">
        <f>'OECD Mapping'!A37</f>
        <v/>
      </c>
      <c r="E5" s="8">
        <f>'OECD Mapping'!B37</f>
        <v/>
      </c>
      <c r="F5" s="14" t="inlineStr">
        <is>
          <t>Mapping based on I-JEDI and judgment</t>
        </is>
      </c>
    </row>
    <row r="6">
      <c r="A6" s="18" t="inlineStr">
        <is>
          <t xml:space="preserve">     Engineering/Surveying/Geotechnical Consulting Services</t>
        </is>
      </c>
      <c r="B6" s="55" t="n">
        <v>900000</v>
      </c>
      <c r="C6" s="39">
        <f>B6/$B$52</f>
        <v/>
      </c>
      <c r="D6" s="7">
        <f>'OECD Mapping'!A38</f>
        <v/>
      </c>
      <c r="E6" s="7">
        <f>'OECD Mapping'!B38</f>
        <v/>
      </c>
      <c r="F6" s="14" t="inlineStr">
        <is>
          <t>Mapping based on I-JEDI and judgment</t>
        </is>
      </c>
    </row>
    <row r="7">
      <c r="A7" s="18" t="inlineStr">
        <is>
          <t xml:space="preserve">     Environmental &amp; Permitting Services</t>
        </is>
      </c>
      <c r="B7" s="55" t="n">
        <v>675000</v>
      </c>
      <c r="C7" s="39">
        <f>B7/$B$52</f>
        <v/>
      </c>
      <c r="D7" s="7">
        <f>'OECD Mapping'!A38</f>
        <v/>
      </c>
      <c r="E7" s="7">
        <f>'OECD Mapping'!B38</f>
        <v/>
      </c>
      <c r="F7" s="14" t="inlineStr">
        <is>
          <t>Mapping based on I-JEDI and judgment</t>
        </is>
      </c>
    </row>
    <row r="8">
      <c r="A8" s="18" t="inlineStr">
        <is>
          <t xml:space="preserve">  Subtotal Development and Preconstruction</t>
        </is>
      </c>
      <c r="B8" s="55" t="n">
        <v>2313636.363636364</v>
      </c>
      <c r="C8" s="39" t="n"/>
      <c r="D8" s="7" t="n"/>
      <c r="E8" s="7" t="n"/>
      <c r="F8" s="14" t="inlineStr">
        <is>
          <t>Mapping based on I-JEDI and judgment</t>
        </is>
      </c>
    </row>
    <row r="9">
      <c r="A9" s="17" t="inlineStr">
        <is>
          <t xml:space="preserve"> Construction Activities</t>
        </is>
      </c>
      <c r="B9" s="54" t="n"/>
      <c r="C9" s="39" t="n"/>
      <c r="D9" s="7" t="n"/>
      <c r="E9" s="7" t="n"/>
      <c r="F9" s="14" t="inlineStr">
        <is>
          <t>Mapping based on I-JEDI and judgment</t>
        </is>
      </c>
    </row>
    <row r="10">
      <c r="A10" s="19" t="inlineStr">
        <is>
          <t xml:space="preserve">  Materials &amp; Equipment</t>
        </is>
      </c>
      <c r="B10" s="56" t="n"/>
      <c r="C10" s="39" t="n"/>
      <c r="D10" s="7" t="n"/>
      <c r="E10" s="7" t="n"/>
      <c r="F10" s="14" t="inlineStr">
        <is>
          <t>Mapping based on I-JEDI and judgment</t>
        </is>
      </c>
    </row>
    <row r="11">
      <c r="A11" s="20" t="inlineStr">
        <is>
          <t xml:space="preserve">    Concrete, gravel, asphalt</t>
        </is>
      </c>
      <c r="B11" s="57" t="n">
        <v>600000</v>
      </c>
      <c r="C11" s="39">
        <f>B11/$B$52</f>
        <v/>
      </c>
      <c r="D11" s="7">
        <f>'OECD Mapping'!A16</f>
        <v/>
      </c>
      <c r="E11" s="7">
        <f>'OECD Mapping'!B16</f>
        <v/>
      </c>
      <c r="F11" s="14" t="inlineStr">
        <is>
          <t>Mapping based on I-JEDI and judgment</t>
        </is>
      </c>
    </row>
    <row r="12">
      <c r="A12" s="20" t="inlineStr">
        <is>
          <t xml:space="preserve">    Steel structures and poles</t>
        </is>
      </c>
      <c r="B12" s="57" t="n">
        <v>4950000</v>
      </c>
      <c r="C12" s="39">
        <f>B12/$B$52</f>
        <v/>
      </c>
      <c r="D12" s="7">
        <f>'OECD Mapping'!A19</f>
        <v/>
      </c>
      <c r="E12" s="7">
        <f>'OECD Mapping'!B19</f>
        <v/>
      </c>
      <c r="F12" s="14" t="inlineStr">
        <is>
          <t>Mapping based on I-JEDI and judgment</t>
        </is>
      </c>
    </row>
    <row r="13" ht="15.75" customHeight="1" thickBot="1">
      <c r="A13" s="20" t="inlineStr">
        <is>
          <t xml:space="preserve">    Overhead wires (conductor and insulators and shield wire)</t>
        </is>
      </c>
      <c r="B13" s="57" t="n">
        <v>3300000</v>
      </c>
      <c r="C13" s="39">
        <f>B13/$B$52</f>
        <v/>
      </c>
      <c r="D13" s="9">
        <f>'OECD Mapping'!A21</f>
        <v/>
      </c>
      <c r="E13" s="9">
        <f>'OECD Mapping'!B21</f>
        <v/>
      </c>
      <c r="F13" s="16" t="inlineStr">
        <is>
          <t>Mapping based on I-JEDI and judgment</t>
        </is>
      </c>
    </row>
    <row r="14" customFormat="1" s="13">
      <c r="A14" s="18" t="inlineStr">
        <is>
          <t xml:space="preserve">  Subtotal Materials &amp; Equipment</t>
        </is>
      </c>
      <c r="B14" s="55" t="n">
        <v>8850000</v>
      </c>
      <c r="C14" s="39" t="n"/>
      <c r="D14" s="58" t="n"/>
      <c r="E14" s="58" t="n"/>
      <c r="F14" s="16" t="inlineStr">
        <is>
          <t>Mapping based on I-JEDI and judgment</t>
        </is>
      </c>
    </row>
    <row r="15">
      <c r="A15" s="17" t="inlineStr">
        <is>
          <t xml:space="preserve">  Labor/Installation</t>
        </is>
      </c>
      <c r="B15" s="54" t="n"/>
      <c r="C15" s="39" t="n"/>
      <c r="D15" s="46" t="n"/>
      <c r="E15" s="46" t="n"/>
      <c r="F15" s="16" t="inlineStr">
        <is>
          <t>Mapping based on I-JEDI and judgment</t>
        </is>
      </c>
    </row>
    <row r="16" ht="15.75" customFormat="1" customHeight="1" s="12" thickBot="1">
      <c r="A16" s="20" t="inlineStr">
        <is>
          <t xml:space="preserve">    Civil (grading, roads, site prep, foundations, fencing)</t>
        </is>
      </c>
      <c r="B16" s="57" t="n">
        <v>1765400.179856115</v>
      </c>
      <c r="C16" s="39">
        <f>B16/$B$52</f>
        <v/>
      </c>
      <c r="D16" s="3">
        <f>'OECD Mapping'!A29</f>
        <v/>
      </c>
      <c r="E16" s="3">
        <f>'OECD Mapping'!B29</f>
        <v/>
      </c>
      <c r="F16" s="15" t="inlineStr">
        <is>
          <t>Mapping based on I-JEDI and judgment</t>
        </is>
      </c>
    </row>
    <row r="17" ht="15.75" customHeight="1" thickBot="1">
      <c r="A17" s="20" t="inlineStr">
        <is>
          <t xml:space="preserve">    Heavy Construction (Tower erection, Conductor stringing)</t>
        </is>
      </c>
      <c r="B17" s="57" t="n">
        <v>3276000</v>
      </c>
      <c r="C17" s="39">
        <f>B17/$B$52</f>
        <v/>
      </c>
      <c r="D17" s="3">
        <f>'OECD Mapping'!A29</f>
        <v/>
      </c>
      <c r="E17" s="3">
        <f>'OECD Mapping'!B29</f>
        <v/>
      </c>
      <c r="F17" s="15" t="inlineStr">
        <is>
          <t>Mapping based on I-JEDI and judgment</t>
        </is>
      </c>
    </row>
    <row r="18" ht="15.75" customHeight="1" thickBot="1">
      <c r="A18" s="18" t="inlineStr">
        <is>
          <t xml:space="preserve">  Subtotal Labor/Installation</t>
        </is>
      </c>
      <c r="B18" s="55" t="n">
        <v>5041400.179856115</v>
      </c>
      <c r="C18" s="39" t="n"/>
      <c r="D18" s="3" t="n"/>
      <c r="E18" s="8" t="n"/>
      <c r="F18" s="15" t="inlineStr">
        <is>
          <t>Mapping based on I-JEDI and judgment</t>
        </is>
      </c>
    </row>
    <row r="19" ht="15.75" customHeight="1" thickBot="1">
      <c r="A19" s="21" t="inlineStr">
        <is>
          <t xml:space="preserve">  Total Transmission Line Cost</t>
        </is>
      </c>
      <c r="B19" s="59" t="n">
        <v>16205036.54349248</v>
      </c>
      <c r="C19" s="39" t="n"/>
      <c r="D19" s="3" t="n"/>
      <c r="E19" s="7" t="n"/>
      <c r="F19" s="15" t="inlineStr">
        <is>
          <t>Mapping based on I-JEDI and judgment</t>
        </is>
      </c>
    </row>
    <row r="20" ht="15.75" customHeight="1" thickBot="1">
      <c r="A20" s="17" t="inlineStr">
        <is>
          <t xml:space="preserve"> Infrastructure Costs</t>
        </is>
      </c>
      <c r="B20" s="54" t="n"/>
      <c r="C20" s="39" t="n"/>
      <c r="D20" s="3" t="n"/>
      <c r="E20" s="7" t="n"/>
      <c r="F20" s="15" t="inlineStr">
        <is>
          <t>Mapping based on I-JEDI and judgment</t>
        </is>
      </c>
    </row>
    <row r="21" ht="15.75" customHeight="1" thickBot="1">
      <c r="A21" s="19" t="inlineStr">
        <is>
          <t xml:space="preserve">  Materials &amp; Equipment</t>
        </is>
      </c>
      <c r="B21" s="56" t="n"/>
      <c r="C21" s="39" t="n"/>
      <c r="D21" s="3" t="n"/>
      <c r="E21" s="8" t="n"/>
      <c r="F21" s="15" t="inlineStr">
        <is>
          <t>Mapping based on I-JEDI and judgment</t>
        </is>
      </c>
    </row>
    <row r="22" ht="15.75" customHeight="1" thickBot="1">
      <c r="A22" s="18" t="inlineStr">
        <is>
          <t xml:space="preserve">    Positions (new bays/circuits)</t>
        </is>
      </c>
      <c r="B22" s="55" t="n">
        <v>1800000</v>
      </c>
      <c r="C22" s="39">
        <f>B22/$B$52</f>
        <v/>
      </c>
      <c r="D22" s="3">
        <f>'OECD Mapping'!$A$21</f>
        <v/>
      </c>
      <c r="E22" s="7">
        <f>'OECD Mapping'!$B$21</f>
        <v/>
      </c>
      <c r="F22" s="15" t="inlineStr">
        <is>
          <t>Mapping based on I-JEDI and judgment</t>
        </is>
      </c>
    </row>
    <row r="23" ht="15.75" customHeight="1" thickBot="1">
      <c r="A23" s="22" t="inlineStr">
        <is>
          <t xml:space="preserve">    New Substation Facilities</t>
        </is>
      </c>
      <c r="B23" s="60" t="n">
        <v>650000</v>
      </c>
      <c r="C23" s="39">
        <f>B23/$B$52</f>
        <v/>
      </c>
      <c r="D23" s="3">
        <f>'OECD Mapping'!$A$21</f>
        <v/>
      </c>
      <c r="E23" s="7">
        <f>'OECD Mapping'!$B$21</f>
        <v/>
      </c>
      <c r="F23" s="15" t="inlineStr">
        <is>
          <t>Mapping based on I-JEDI and judgment</t>
        </is>
      </c>
    </row>
    <row r="24" ht="15.75" customHeight="1" thickBot="1">
      <c r="A24" s="22" t="inlineStr">
        <is>
          <t xml:space="preserve">    Existing Substation Facilities (upgrades)</t>
        </is>
      </c>
      <c r="B24" s="60" t="n">
        <v>20000</v>
      </c>
      <c r="C24" s="39">
        <f>B24/$B$52</f>
        <v/>
      </c>
      <c r="D24" s="3">
        <f>'OECD Mapping'!$A$21</f>
        <v/>
      </c>
      <c r="E24" s="7">
        <f>'OECD Mapping'!$B$21</f>
        <v/>
      </c>
      <c r="F24" s="15" t="inlineStr">
        <is>
          <t>Mapping based on I-JEDI and judgment</t>
        </is>
      </c>
    </row>
    <row r="25" ht="15.75" customHeight="1" thickBot="1">
      <c r="A25" s="18" t="inlineStr">
        <is>
          <t xml:space="preserve">    Transformers, Series Compensation, etc.</t>
        </is>
      </c>
      <c r="B25" s="55" t="n">
        <v>4800000</v>
      </c>
      <c r="C25" s="39">
        <f>B25/$B$52</f>
        <v/>
      </c>
      <c r="D25" s="3">
        <f>'OECD Mapping'!$A$21</f>
        <v/>
      </c>
      <c r="E25" s="7">
        <f>'OECD Mapping'!$B$21</f>
        <v/>
      </c>
      <c r="F25" s="15" t="inlineStr">
        <is>
          <t>Mapping based on I-JEDI and judgment</t>
        </is>
      </c>
    </row>
    <row r="26" ht="15.75" customHeight="1" thickBot="1">
      <c r="A26" s="22" t="inlineStr">
        <is>
          <t xml:space="preserve">    Converter Station (includes ground electrode)</t>
        </is>
      </c>
      <c r="B26" s="60" t="n">
        <v>0</v>
      </c>
      <c r="C26" s="39">
        <f>B26/$B$52</f>
        <v/>
      </c>
      <c r="D26" s="3">
        <f>'OECD Mapping'!$A$21</f>
        <v/>
      </c>
      <c r="E26" s="7">
        <f>'OECD Mapping'!$B$21</f>
        <v/>
      </c>
      <c r="F26" s="15" t="inlineStr">
        <is>
          <t>Mapping based on I-JEDI and judgment</t>
        </is>
      </c>
    </row>
    <row r="27" ht="15.75" customHeight="1" thickBot="1">
      <c r="A27" s="18" t="inlineStr">
        <is>
          <t xml:space="preserve">  Subtotal Materials &amp; Equipment</t>
        </is>
      </c>
      <c r="B27" s="55" t="n">
        <v>7270000</v>
      </c>
      <c r="C27" s="39" t="n"/>
      <c r="D27" s="3" t="n"/>
      <c r="E27" s="8" t="n"/>
      <c r="F27" s="15" t="inlineStr">
        <is>
          <t>Mapping based on I-JEDI and judgment</t>
        </is>
      </c>
    </row>
    <row r="28" ht="15.75" customHeight="1" thickBot="1">
      <c r="A28" s="17" t="inlineStr">
        <is>
          <t xml:space="preserve">  Labor</t>
        </is>
      </c>
      <c r="B28" s="54" t="n"/>
      <c r="C28" s="39">
        <f>B28/$B$52</f>
        <v/>
      </c>
      <c r="D28" s="3" t="n"/>
      <c r="E28" s="7" t="n"/>
      <c r="F28" s="15" t="inlineStr">
        <is>
          <t>Mapping based on I-JEDI and judgment</t>
        </is>
      </c>
    </row>
    <row r="29" ht="15.75" customHeight="1" thickBot="1">
      <c r="A29" s="18" t="inlineStr">
        <is>
          <t xml:space="preserve">    Positions (new bays/circuits)</t>
        </is>
      </c>
      <c r="B29" s="55" t="n">
        <v>2092500</v>
      </c>
      <c r="C29" s="39">
        <f>B29/$B$52</f>
        <v/>
      </c>
      <c r="D29" s="7">
        <f>'OECD Mapping'!$A$29</f>
        <v/>
      </c>
      <c r="E29" s="7">
        <f>'OECD Mapping'!$B$29</f>
        <v/>
      </c>
      <c r="F29" s="15" t="inlineStr">
        <is>
          <t>Mapping based on I-JEDI and judgment</t>
        </is>
      </c>
    </row>
    <row r="30" ht="15.75" customHeight="1" thickBot="1">
      <c r="A30" s="22" t="inlineStr">
        <is>
          <t xml:space="preserve">    New Substation</t>
        </is>
      </c>
      <c r="B30" s="60" t="n">
        <v>744000</v>
      </c>
      <c r="C30" s="39">
        <f>B30/$B$52</f>
        <v/>
      </c>
      <c r="D30" s="7">
        <f>'OECD Mapping'!$A$29</f>
        <v/>
      </c>
      <c r="E30" s="8">
        <f>'OECD Mapping'!$B$29</f>
        <v/>
      </c>
      <c r="F30" s="15" t="inlineStr">
        <is>
          <t>Mapping based on I-JEDI and judgment</t>
        </is>
      </c>
    </row>
    <row r="31" ht="15.75" customHeight="1" thickBot="1">
      <c r="A31" s="22" t="inlineStr">
        <is>
          <t xml:space="preserve">    Existing Substation Facilities (upgrades)</t>
        </is>
      </c>
      <c r="B31" s="60" t="n">
        <v>27900</v>
      </c>
      <c r="C31" s="39">
        <f>B31/$B$52</f>
        <v/>
      </c>
      <c r="D31" s="7">
        <f>'OECD Mapping'!$A$29</f>
        <v/>
      </c>
      <c r="E31" s="7">
        <f>'OECD Mapping'!$B$29</f>
        <v/>
      </c>
      <c r="F31" s="15" t="inlineStr">
        <is>
          <t>Mapping based on I-JEDI and judgment</t>
        </is>
      </c>
    </row>
    <row r="32" ht="15.75" customHeight="1" thickBot="1">
      <c r="A32" s="20" t="inlineStr">
        <is>
          <t xml:space="preserve">    Transformers, Series Compensation, etc.</t>
        </is>
      </c>
      <c r="B32" s="57" t="n">
        <v>0</v>
      </c>
      <c r="C32" s="39">
        <f>B32/$B$52</f>
        <v/>
      </c>
      <c r="D32" s="7">
        <f>'OECD Mapping'!$A$29</f>
        <v/>
      </c>
      <c r="E32" s="7">
        <f>'OECD Mapping'!$B$29</f>
        <v/>
      </c>
      <c r="F32" s="15" t="inlineStr">
        <is>
          <t>Mapping based on I-JEDI and judgment</t>
        </is>
      </c>
    </row>
    <row r="33" ht="15.75" customHeight="1" thickBot="1">
      <c r="A33" s="20" t="inlineStr">
        <is>
          <t xml:space="preserve">    Converter Station</t>
        </is>
      </c>
      <c r="B33" s="57" t="n">
        <v>0</v>
      </c>
      <c r="C33" s="39">
        <f>B33/$B$52</f>
        <v/>
      </c>
      <c r="D33" s="7">
        <f>'OECD Mapping'!$A$29</f>
        <v/>
      </c>
      <c r="E33" s="8">
        <f>'OECD Mapping'!$B$29</f>
        <v/>
      </c>
      <c r="F33" s="15" t="inlineStr">
        <is>
          <t>Mapping based on I-JEDI and judgment</t>
        </is>
      </c>
    </row>
    <row r="34" ht="15.75" customHeight="1" thickBot="1">
      <c r="A34" s="18" t="inlineStr">
        <is>
          <t xml:space="preserve">  Subtotal Labor</t>
        </is>
      </c>
      <c r="B34" s="55" t="n">
        <v>2864400</v>
      </c>
      <c r="C34" s="39" t="n"/>
      <c r="D34" s="3" t="n"/>
      <c r="E34" s="7" t="n"/>
      <c r="F34" s="15" t="inlineStr">
        <is>
          <t>Mapping based on I-JEDI and judgment</t>
        </is>
      </c>
    </row>
    <row r="35" ht="15.75" customHeight="1" thickBot="1">
      <c r="A35" s="19" t="inlineStr">
        <is>
          <t xml:space="preserve">  Total Infrastructure Costs</t>
        </is>
      </c>
      <c r="B35" s="56" t="n">
        <v>10134400</v>
      </c>
      <c r="C35" s="39" t="n"/>
      <c r="D35" s="3" t="n"/>
      <c r="E35" s="7" t="n"/>
      <c r="F35" s="15" t="inlineStr">
        <is>
          <t>Mapping based on I-JEDI and judgment</t>
        </is>
      </c>
    </row>
    <row r="36" ht="15.75" customHeight="1" thickBot="1">
      <c r="A36" s="17" t="inlineStr">
        <is>
          <t>Services/Other Costs</t>
        </is>
      </c>
      <c r="B36" s="54" t="inlineStr">
        <is>
          <t>Cost</t>
        </is>
      </c>
      <c r="C36" s="39" t="n"/>
      <c r="D36" s="3" t="n"/>
      <c r="E36" s="8" t="n"/>
      <c r="F36" s="15" t="inlineStr">
        <is>
          <t>Mapping based on I-JEDI and judgment</t>
        </is>
      </c>
    </row>
    <row r="37" ht="15.75" customHeight="1" thickBot="1">
      <c r="A37" s="17" t="inlineStr">
        <is>
          <t xml:space="preserve"> Transmission Line Services</t>
        </is>
      </c>
      <c r="B37" s="54" t="n"/>
      <c r="C37" s="39" t="n"/>
      <c r="D37" s="3" t="n"/>
      <c r="E37" s="7" t="n"/>
      <c r="F37" s="15" t="inlineStr">
        <is>
          <t>Mapping based on I-JEDI and judgment</t>
        </is>
      </c>
    </row>
    <row r="38" ht="15.75" customHeight="1" thickBot="1">
      <c r="A38" s="18" t="inlineStr">
        <is>
          <t xml:space="preserve">  T-Line Management Services (Site mgmt, legal, lands, ins, PR, etc.)</t>
        </is>
      </c>
      <c r="B38" s="55" t="n">
        <v>375000</v>
      </c>
      <c r="C38" s="39">
        <f>B38/$B$52</f>
        <v/>
      </c>
      <c r="D38" s="3">
        <f>'OECD Mapping'!A38</f>
        <v/>
      </c>
      <c r="E38" s="7">
        <f>'OECD Mapping'!B38</f>
        <v/>
      </c>
      <c r="F38" s="15" t="inlineStr">
        <is>
          <t>Mapping based on I-JEDI and judgment</t>
        </is>
      </c>
    </row>
    <row r="39" ht="15.75" customHeight="1" thickBot="1">
      <c r="A39" s="18" t="inlineStr">
        <is>
          <t xml:space="preserve">  T-Line Engineering, Const Mgmt, &amp; Environmental Monitoring</t>
        </is>
      </c>
      <c r="B39" s="55" t="n">
        <v>750000</v>
      </c>
      <c r="C39" s="39">
        <f>B39/$B$52</f>
        <v/>
      </c>
      <c r="D39" s="42">
        <f>'OECD Mapping'!A38</f>
        <v/>
      </c>
      <c r="E39" s="8">
        <f>'OECD Mapping'!B38</f>
        <v/>
      </c>
      <c r="F39" s="15" t="inlineStr">
        <is>
          <t>Mapping based on I-JEDI and judgment</t>
        </is>
      </c>
    </row>
    <row r="40" ht="15.75" customHeight="1" thickBot="1">
      <c r="A40" s="18" t="inlineStr">
        <is>
          <t xml:space="preserve"> Subtotal</t>
        </is>
      </c>
      <c r="B40" s="55" t="n">
        <v>1125000</v>
      </c>
      <c r="C40" s="39" t="n"/>
      <c r="D40" s="3" t="n"/>
      <c r="E40" s="7" t="n"/>
      <c r="F40" s="15" t="inlineStr">
        <is>
          <t>Mapping based on I-JEDI and judgment</t>
        </is>
      </c>
    </row>
    <row r="41" ht="15.75" customHeight="1" thickBot="1">
      <c r="A41" s="19" t="inlineStr">
        <is>
          <t xml:space="preserve"> Infrastructure Services</t>
        </is>
      </c>
      <c r="B41" s="56" t="n"/>
      <c r="C41" s="39" t="n"/>
      <c r="D41" s="3" t="n"/>
      <c r="E41" s="7" t="n"/>
      <c r="F41" s="15" t="inlineStr">
        <is>
          <t>Mapping based on I-JEDI and judgment</t>
        </is>
      </c>
    </row>
    <row r="42" ht="15.75" customHeight="1" thickBot="1">
      <c r="A42" s="18" t="inlineStr">
        <is>
          <t xml:space="preserve">  Substation Management Services (Site mgmt, legal, lands, PR, etc.)</t>
        </is>
      </c>
      <c r="B42" s="55" t="n">
        <v>222000</v>
      </c>
      <c r="C42" s="39">
        <f>B42/$B$52</f>
        <v/>
      </c>
      <c r="D42" s="42">
        <f>'OECD Mapping'!A38</f>
        <v/>
      </c>
      <c r="E42" s="8">
        <f>'OECD Mapping'!B38</f>
        <v/>
      </c>
      <c r="F42" s="15" t="inlineStr">
        <is>
          <t>Mapping based on I-JEDI and judgment</t>
        </is>
      </c>
    </row>
    <row r="43" ht="15.75" customHeight="1" thickBot="1">
      <c r="A43" s="18" t="inlineStr">
        <is>
          <t xml:space="preserve">  Substation Engineering, Const Mgmt, &amp; Environmental Monitoring</t>
        </is>
      </c>
      <c r="B43" s="55" t="n">
        <v>1110000</v>
      </c>
      <c r="C43" s="39">
        <f>B43/$B$52</f>
        <v/>
      </c>
      <c r="D43" s="42">
        <f>'OECD Mapping'!A38</f>
        <v/>
      </c>
      <c r="E43" s="7">
        <f>'OECD Mapping'!B38</f>
        <v/>
      </c>
      <c r="F43" s="15" t="inlineStr">
        <is>
          <t>Mapping based on I-JEDI and judgment</t>
        </is>
      </c>
    </row>
    <row r="44" ht="15.75" customHeight="1" thickBot="1">
      <c r="A44" s="18" t="inlineStr">
        <is>
          <t xml:space="preserve"> Subtotal</t>
        </is>
      </c>
      <c r="B44" s="55" t="n">
        <v>1332000</v>
      </c>
      <c r="C44" s="39" t="n"/>
      <c r="D44" s="3" t="n"/>
      <c r="E44" s="7" t="n"/>
      <c r="F44" s="15" t="inlineStr">
        <is>
          <t>Mapping based on I-JEDI and judgment</t>
        </is>
      </c>
    </row>
    <row r="45" ht="15.75" customHeight="1" thickBot="1">
      <c r="A45" s="19" t="inlineStr">
        <is>
          <t xml:space="preserve"> Other Costs</t>
        </is>
      </c>
      <c r="B45" s="56" t="n"/>
      <c r="C45" s="39" t="n"/>
      <c r="D45" s="3" t="n"/>
      <c r="E45" s="8" t="n"/>
      <c r="F45" s="15" t="inlineStr">
        <is>
          <t>Mapping based on I-JEDI and judgment</t>
        </is>
      </c>
    </row>
    <row r="46" ht="15.75" customHeight="1" thickBot="1">
      <c r="A46" s="20" t="inlineStr">
        <is>
          <t xml:space="preserve">  Environmental Mitigation</t>
        </is>
      </c>
      <c r="B46" s="57" t="n">
        <v>0</v>
      </c>
      <c r="C46" s="39">
        <f>B46/$B$52</f>
        <v/>
      </c>
      <c r="D46" s="42">
        <f>'OECD Mapping'!$A$38</f>
        <v/>
      </c>
      <c r="E46" s="7">
        <f>'OECD Mapping'!$B$38</f>
        <v/>
      </c>
      <c r="F46" s="15" t="inlineStr">
        <is>
          <t>Mapping based on I-JEDI and judgment</t>
        </is>
      </c>
    </row>
    <row r="47" ht="15.75" customHeight="1" thickBot="1">
      <c r="A47" s="20" t="inlineStr">
        <is>
          <t xml:space="preserve">  System Operator and Regulator Fees</t>
        </is>
      </c>
      <c r="B47" s="57" t="n">
        <v>0</v>
      </c>
      <c r="C47" s="39">
        <f>B47/$B$52</f>
        <v/>
      </c>
      <c r="D47" s="42">
        <f>'OECD Mapping'!$A$38</f>
        <v/>
      </c>
      <c r="E47" s="7">
        <f>'OECD Mapping'!$B$38</f>
        <v/>
      </c>
      <c r="F47" s="15" t="inlineStr">
        <is>
          <t>Mapping based on I-JEDI and judgment</t>
        </is>
      </c>
    </row>
    <row r="48" ht="15.75" customHeight="1" thickBot="1">
      <c r="A48" s="20" t="inlineStr">
        <is>
          <t xml:space="preserve">  Miscellanous Business Services and Utilities</t>
        </is>
      </c>
      <c r="B48" s="57" t="n">
        <v>0</v>
      </c>
      <c r="C48" s="39">
        <f>B48/$B$52</f>
        <v/>
      </c>
      <c r="D48" s="42">
        <f>'OECD Mapping'!$A$38</f>
        <v/>
      </c>
      <c r="E48" s="8">
        <f>'OECD Mapping'!$B$38</f>
        <v/>
      </c>
      <c r="F48" s="15" t="inlineStr">
        <is>
          <t>Mapping based on I-JEDI and judgment</t>
        </is>
      </c>
    </row>
    <row r="49" ht="15.75" customHeight="1" thickBot="1">
      <c r="A49" s="23" t="inlineStr">
        <is>
          <t xml:space="preserve">  Construction Insurance (Substation)</t>
        </is>
      </c>
      <c r="B49" s="57" t="n">
        <v>55500</v>
      </c>
      <c r="C49" s="39">
        <f>B49/$B$52</f>
        <v/>
      </c>
      <c r="D49" s="42">
        <f>'OECD Mapping'!A36</f>
        <v/>
      </c>
      <c r="E49" s="7">
        <f>'OECD Mapping'!B36</f>
        <v/>
      </c>
      <c r="F49" s="15" t="inlineStr">
        <is>
          <t>Mapping based on I-JEDI and judgment</t>
        </is>
      </c>
    </row>
    <row r="50" ht="15.75" customHeight="1" thickBot="1">
      <c r="A50" s="20" t="inlineStr">
        <is>
          <t xml:space="preserve"> Subtotal Other Costs</t>
        </is>
      </c>
      <c r="B50" s="57" t="n">
        <v>55500</v>
      </c>
      <c r="C50" s="39" t="n"/>
      <c r="D50" s="3" t="n"/>
      <c r="E50" s="7" t="n"/>
      <c r="F50" s="15" t="inlineStr">
        <is>
          <t>Mapping based on I-JEDI and judgment</t>
        </is>
      </c>
    </row>
    <row r="51" ht="15.75" customHeight="1" thickBot="1">
      <c r="A51" s="24" t="inlineStr">
        <is>
          <t xml:space="preserve"> Total Services/Other Costs</t>
        </is>
      </c>
      <c r="B51" s="61" t="n">
        <v>2512500</v>
      </c>
      <c r="C51" s="39" t="n"/>
      <c r="D51" s="3" t="n"/>
      <c r="E51" s="8" t="n"/>
      <c r="F51" s="15" t="inlineStr">
        <is>
          <t>Mapping based on I-JEDI and judgment</t>
        </is>
      </c>
    </row>
    <row r="52" ht="15.75" customHeight="1" thickBot="1">
      <c r="A52" s="17" t="inlineStr">
        <is>
          <t>Subtotal All Costs (without sales tax)</t>
        </is>
      </c>
      <c r="B52" s="54" t="n">
        <v>28851936.54349248</v>
      </c>
      <c r="C52" s="39" t="n"/>
      <c r="D52" s="3" t="n"/>
      <c r="E52" s="7" t="n"/>
      <c r="F52" s="15" t="inlineStr">
        <is>
          <t>Mapping based on I-JEDI and judgment</t>
        </is>
      </c>
    </row>
    <row r="53" ht="15.75" customHeight="1" thickBot="1">
      <c r="A53" s="25" t="inlineStr">
        <is>
          <t>Sales Tax (Materials &amp; Equipment Purchases)</t>
        </is>
      </c>
      <c r="B53" s="62" t="n">
        <v>1007500</v>
      </c>
      <c r="C53" s="39" t="n"/>
      <c r="D53" s="3" t="n"/>
      <c r="E53" s="7" t="n"/>
      <c r="F53" s="15" t="inlineStr">
        <is>
          <t>Mapping based on I-JEDI and judgment</t>
        </is>
      </c>
    </row>
    <row r="54">
      <c r="A54" s="19" t="inlineStr">
        <is>
          <t>Total Project Cost</t>
        </is>
      </c>
      <c r="B54" s="19" t="n">
        <v>29859436.54349248</v>
      </c>
    </row>
    <row r="55">
      <c r="C55" s="40" t="n"/>
    </row>
    <row r="56">
      <c r="C56" s="40" t="n"/>
    </row>
  </sheetData>
  <mergeCells count="1">
    <mergeCell ref="A1:F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50" t="inlineStr">
        <is>
          <t>Validation checks</t>
        </is>
      </c>
    </row>
    <row r="3">
      <c r="A3" s="50" t="inlineStr">
        <is>
          <t>Child-factor groups sum to 1 (per file/context/parent; rate-file reroutes excluded)</t>
        </is>
      </c>
    </row>
    <row r="4">
      <c r="A4" t="inlineStr">
        <is>
          <t>SoTaDCCbIC.csv | transmission costs | ISIC 01T03</t>
        </is>
      </c>
      <c r="B4">
        <f>('Factors applied'!$E$3+'Factors applied'!$E$4+'Factors applied'!$E$5)</f>
        <v/>
      </c>
      <c r="C4" s="50">
        <f>IF(ABS(B4-1)&lt;0.000000001,"PASS","FAIL")</f>
        <v/>
      </c>
    </row>
    <row r="5">
      <c r="A5" t="inlineStr">
        <is>
          <t>SoTaDCCbIC.csv | transmission costs | ISIC 07T08</t>
        </is>
      </c>
      <c r="B5">
        <f>('Factors applied'!$E$6+'Factors applied'!$E$7)</f>
        <v/>
      </c>
      <c r="C5" s="50">
        <f>IF(ABS(B5-1)&lt;0.000000001,"PASS","FAIL")</f>
        <v/>
      </c>
    </row>
    <row r="6">
      <c r="A6" t="inlineStr">
        <is>
          <t>SoTaDCCbIC.csv | transmission costs | ISIC 30</t>
        </is>
      </c>
      <c r="B6">
        <f>('Factors applied'!$E$8+'Factors applied'!$E$9)</f>
        <v/>
      </c>
      <c r="C6" s="50">
        <f>IF(ABS(B6-1)&lt;0.000000001,"PASS","FAIL")</f>
        <v/>
      </c>
    </row>
    <row r="7">
      <c r="A7" t="inlineStr">
        <is>
          <t>SoTaDCCbIC.csv | transmission costs | ISIC 49T53</t>
        </is>
      </c>
      <c r="B7">
        <f>('Factors applied'!$E$10+'Factors applied'!$E$11+'Factors applied'!$E$12+'Factors applied'!$E$13+'Factors applied'!$E$14)</f>
        <v/>
      </c>
      <c r="C7" s="50">
        <f>IF(ABS(B7-1)&lt;0.000000001,"PASS","FAIL")</f>
        <v/>
      </c>
    </row>
    <row r="8">
      <c r="A8" t="inlineStr">
        <is>
          <t>SoTaDCCbIC.csv | transmission costs | ISIC 69T82</t>
        </is>
      </c>
      <c r="B8">
        <f>('Factors applied'!$E$15+'Factors applied'!$E$16)</f>
        <v/>
      </c>
      <c r="C8" s="50">
        <f>IF(ABS(B8-1)&lt;0.000000001,"PASS","FAIL")</f>
        <v/>
      </c>
    </row>
    <row r="9">
      <c r="A9" t="inlineStr">
        <is>
          <t>SoTaDCCbIC.csv | transmission costs | ISIC 90T96</t>
        </is>
      </c>
      <c r="B9">
        <f>('Factors applied'!$E$17+'Factors applied'!$E$18)</f>
        <v/>
      </c>
      <c r="C9" s="50">
        <f>IF(ABS(B9-1)&lt;0.000000001,"PASS","FAIL")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E35" sqref="E35"/>
    </sheetView>
  </sheetViews>
  <sheetFormatPr baseColWidth="8" defaultRowHeight="15"/>
  <cols>
    <col width="31" customWidth="1" min="1" max="1"/>
    <col width="10.42578125" customWidth="1" min="2" max="26"/>
    <col width="13.28515625" customWidth="1" min="27" max="27"/>
    <col width="11.28515625" customWidth="1" min="28" max="28"/>
    <col width="10.42578125" customWidth="1" min="29" max="43"/>
  </cols>
  <sheetData>
    <row r="1">
      <c r="A1" s="63" t="inlineStr">
        <is>
          <t>Unit: dimensionless (% of costs)</t>
        </is>
      </c>
      <c r="B1" s="50" t="inlineStr">
        <is>
          <t>ISIC 01</t>
        </is>
      </c>
      <c r="C1" s="50" t="inlineStr">
        <is>
          <t>ISIC 02</t>
        </is>
      </c>
      <c r="D1" s="50" t="inlineStr">
        <is>
          <t>ISIC 03</t>
        </is>
      </c>
      <c r="E1" s="50" t="inlineStr">
        <is>
          <t>ISIC 05</t>
        </is>
      </c>
      <c r="F1" s="50" t="inlineStr">
        <is>
          <t>ISIC 06</t>
        </is>
      </c>
      <c r="G1" s="50" t="inlineStr">
        <is>
          <t>ISIC 07</t>
        </is>
      </c>
      <c r="H1" s="50" t="inlineStr">
        <is>
          <t>ISIC 08</t>
        </is>
      </c>
      <c r="I1" s="50" t="inlineStr">
        <is>
          <t>ISIC 09</t>
        </is>
      </c>
      <c r="J1" s="50" t="inlineStr">
        <is>
          <t>ISIC 10T12</t>
        </is>
      </c>
      <c r="K1" s="50" t="inlineStr">
        <is>
          <t>ISIC 13T15</t>
        </is>
      </c>
      <c r="L1" s="50" t="inlineStr">
        <is>
          <t>ISIC 16</t>
        </is>
      </c>
      <c r="M1" s="50" t="inlineStr">
        <is>
          <t>ISIC 17T18</t>
        </is>
      </c>
      <c r="N1" s="50" t="inlineStr">
        <is>
          <t>ISIC 19</t>
        </is>
      </c>
      <c r="O1" s="50" t="inlineStr">
        <is>
          <t>ISIC 20</t>
        </is>
      </c>
      <c r="P1" s="50" t="inlineStr">
        <is>
          <t>ISIC 21</t>
        </is>
      </c>
      <c r="Q1" s="50" t="inlineStr">
        <is>
          <t>ISIC 22</t>
        </is>
      </c>
      <c r="R1" s="50" t="inlineStr">
        <is>
          <t>ISIC 231</t>
        </is>
      </c>
      <c r="S1" s="50" t="inlineStr">
        <is>
          <t>ISIC 239</t>
        </is>
      </c>
      <c r="T1" s="50" t="inlineStr">
        <is>
          <t>ISIC 241</t>
        </is>
      </c>
      <c r="U1" s="50" t="inlineStr">
        <is>
          <t>ISIC 242</t>
        </is>
      </c>
      <c r="V1" s="50" t="inlineStr">
        <is>
          <t>ISIC 25</t>
        </is>
      </c>
      <c r="W1" s="50" t="inlineStr">
        <is>
          <t>ISIC 26</t>
        </is>
      </c>
      <c r="X1" s="50" t="inlineStr">
        <is>
          <t>ISIC 27</t>
        </is>
      </c>
      <c r="Y1" s="50" t="inlineStr">
        <is>
          <t>ISIC 28</t>
        </is>
      </c>
      <c r="Z1" s="50" t="inlineStr">
        <is>
          <t>ISIC 29</t>
        </is>
      </c>
      <c r="AA1" s="50" t="inlineStr">
        <is>
          <t>ISIC 301</t>
        </is>
      </c>
      <c r="AB1" s="50" t="inlineStr">
        <is>
          <t>ISIC 302T309</t>
        </is>
      </c>
      <c r="AC1" s="50" t="inlineStr">
        <is>
          <t>ISIC 31T33</t>
        </is>
      </c>
      <c r="AD1" s="50" t="inlineStr">
        <is>
          <t>ISIC 351</t>
        </is>
      </c>
      <c r="AE1" s="50" t="inlineStr">
        <is>
          <t>ISIC 352T353</t>
        </is>
      </c>
      <c r="AF1" s="50" t="inlineStr">
        <is>
          <t>ISIC 36T39</t>
        </is>
      </c>
      <c r="AG1" s="50" t="inlineStr">
        <is>
          <t>ISIC 41T43</t>
        </is>
      </c>
      <c r="AH1" s="50" t="inlineStr">
        <is>
          <t>ISIC 45T47</t>
        </is>
      </c>
      <c r="AI1" s="50" t="inlineStr">
        <is>
          <t>ISIC 49</t>
        </is>
      </c>
      <c r="AJ1" s="50" t="inlineStr">
        <is>
          <t>ISIC 50</t>
        </is>
      </c>
      <c r="AK1" s="50" t="inlineStr">
        <is>
          <t>ISIC 51</t>
        </is>
      </c>
      <c r="AL1" s="50" t="inlineStr">
        <is>
          <t>ISIC 52</t>
        </is>
      </c>
      <c r="AM1" s="50" t="inlineStr">
        <is>
          <t>ISIC 53</t>
        </is>
      </c>
      <c r="AN1" s="50" t="inlineStr">
        <is>
          <t>ISIC 55T56</t>
        </is>
      </c>
      <c r="AO1" s="50" t="inlineStr">
        <is>
          <t>ISIC 58T60</t>
        </is>
      </c>
      <c r="AP1" s="50" t="inlineStr">
        <is>
          <t>ISIC 61</t>
        </is>
      </c>
      <c r="AQ1" s="50" t="inlineStr">
        <is>
          <t>ISIC 62T63</t>
        </is>
      </c>
      <c r="AR1" s="50" t="inlineStr">
        <is>
          <t>ISIC 64T66</t>
        </is>
      </c>
      <c r="AS1" s="50" t="inlineStr">
        <is>
          <t>ISIC 68</t>
        </is>
      </c>
      <c r="AT1" s="50" t="inlineStr">
        <is>
          <t>ISIC 69T75</t>
        </is>
      </c>
      <c r="AU1" s="50" t="inlineStr">
        <is>
          <t>ISIC 77T82</t>
        </is>
      </c>
      <c r="AV1" s="50" t="inlineStr">
        <is>
          <t>ISIC 84</t>
        </is>
      </c>
      <c r="AW1" s="50" t="inlineStr">
        <is>
          <t>ISIC 85</t>
        </is>
      </c>
      <c r="AX1" s="50" t="inlineStr">
        <is>
          <t>ISIC 86T88</t>
        </is>
      </c>
      <c r="AY1" s="50" t="inlineStr">
        <is>
          <t>ISIC 90T93</t>
        </is>
      </c>
      <c r="AZ1" s="50" t="inlineStr">
        <is>
          <t>ISIC 94T96</t>
        </is>
      </c>
      <c r="BA1" s="50" t="inlineStr">
        <is>
          <t>ISIC 97T98</t>
        </is>
      </c>
    </row>
    <row r="2">
      <c r="A2" t="inlineStr">
        <is>
          <t>transmission costs</t>
        </is>
      </c>
      <c r="B2">
        <f>(SUMIF('Cost Breakdowns'!$E$3:$E$49,"ISIC 01T03",'Cost Breakdowns'!$C$3:$C$49))*'Factors applied'!$E$3</f>
        <v/>
      </c>
      <c r="C2">
        <f>(SUMIF('Cost Breakdowns'!$E$3:$E$49,"ISIC 01T03",'Cost Breakdowns'!$C$3:$C$49))*'Factors applied'!$E$4</f>
        <v/>
      </c>
      <c r="D2">
        <f>(SUMIF('Cost Breakdowns'!$E$3:$E$49,"ISIC 01T03",'Cost Breakdowns'!$C$3:$C$49))*'Factors applied'!$E$5</f>
        <v/>
      </c>
      <c r="E2">
        <f>(SUMIF('Cost Breakdowns'!$E$3:$E$49,"ISIC 05",'Cost Breakdowns'!$C$3:$C$49))</f>
        <v/>
      </c>
      <c r="F2">
        <f>(SUMIF('Cost Breakdowns'!$E$3:$E$49,"ISIC 06",'Cost Breakdowns'!$C$3:$C$49))</f>
        <v/>
      </c>
      <c r="G2">
        <f>(SUMIF('Cost Breakdowns'!$E$3:$E$49,"ISIC 07T08",'Cost Breakdowns'!$C$3:$C$49))*'Factors applied'!$E$6</f>
        <v/>
      </c>
      <c r="H2">
        <f>(SUMIF('Cost Breakdowns'!$E$3:$E$49,"ISIC 07T08",'Cost Breakdowns'!$C$3:$C$49))*'Factors applied'!$E$7</f>
        <v/>
      </c>
      <c r="I2">
        <f>(SUMIF('Cost Breakdowns'!$E$3:$E$49,"ISIC 09",'Cost Breakdowns'!$C$3:$C$49))</f>
        <v/>
      </c>
      <c r="J2">
        <f>(SUMIF('Cost Breakdowns'!$E$3:$E$49,"ISIC 10T12",'Cost Breakdowns'!$C$3:$C$49))</f>
        <v/>
      </c>
      <c r="K2">
        <f>(SUMIF('Cost Breakdowns'!$E$3:$E$49,"ISIC 13T15",'Cost Breakdowns'!$C$3:$C$49))</f>
        <v/>
      </c>
      <c r="L2">
        <f>(SUMIF('Cost Breakdowns'!$E$3:$E$49,"ISIC 16",'Cost Breakdowns'!$C$3:$C$49))</f>
        <v/>
      </c>
      <c r="M2">
        <f>(SUMIF('Cost Breakdowns'!$E$3:$E$49,"ISIC 17T18",'Cost Breakdowns'!$C$3:$C$49))</f>
        <v/>
      </c>
      <c r="N2">
        <f>(SUMIF('Cost Breakdowns'!$E$3:$E$49,"ISIC 19",'Cost Breakdowns'!$C$3:$C$49))</f>
        <v/>
      </c>
      <c r="O2">
        <f>(SUMIF('Cost Breakdowns'!$E$3:$E$49,"ISIC 20",'Cost Breakdowns'!$C$3:$C$49))</f>
        <v/>
      </c>
      <c r="P2">
        <f>(SUMIF('Cost Breakdowns'!$E$3:$E$49,"ISIC 21",'Cost Breakdowns'!$C$3:$C$49))</f>
        <v/>
      </c>
      <c r="Q2">
        <f>(SUMIF('Cost Breakdowns'!$E$3:$E$49,"ISIC 22",'Cost Breakdowns'!$C$3:$C$49))</f>
        <v/>
      </c>
      <c r="R2">
        <f>(SUMIF('Cost Breakdowns'!$E$3:$E$49,"ISIC 231",'Cost Breakdowns'!$C$3:$C$49))</f>
        <v/>
      </c>
      <c r="S2">
        <f>(SUMIF('Cost Breakdowns'!$E$3:$E$49,"ISIC 239",'Cost Breakdowns'!$C$3:$C$49))</f>
        <v/>
      </c>
      <c r="T2">
        <f>(SUMIF('Cost Breakdowns'!$E$3:$E$49,"ISIC 241",'Cost Breakdowns'!$C$3:$C$49))</f>
        <v/>
      </c>
      <c r="U2">
        <f>(SUMIF('Cost Breakdowns'!$E$3:$E$49,"ISIC 242",'Cost Breakdowns'!$C$3:$C$49))</f>
        <v/>
      </c>
      <c r="V2">
        <f>(SUMIF('Cost Breakdowns'!$E$3:$E$49,"ISIC 25",'Cost Breakdowns'!$C$3:$C$49))</f>
        <v/>
      </c>
      <c r="W2">
        <f>(SUMIF('Cost Breakdowns'!$E$3:$E$49,"ISIC 26",'Cost Breakdowns'!$C$3:$C$49))</f>
        <v/>
      </c>
      <c r="X2">
        <f>(SUMIF('Cost Breakdowns'!$E$3:$E$49,"ISIC 27",'Cost Breakdowns'!$C$3:$C$49))</f>
        <v/>
      </c>
      <c r="Y2">
        <f>(SUMIF('Cost Breakdowns'!$E$3:$E$49,"ISIC 28",'Cost Breakdowns'!$C$3:$C$49))</f>
        <v/>
      </c>
      <c r="Z2">
        <f>(SUMIF('Cost Breakdowns'!$E$3:$E$49,"ISIC 29",'Cost Breakdowns'!$C$3:$C$49))</f>
        <v/>
      </c>
      <c r="AA2">
        <f>(SUMIF('Cost Breakdowns'!$E$3:$E$49,"ISIC 30",'Cost Breakdowns'!$C$3:$C$49))*'Factors applied'!$E$8</f>
        <v/>
      </c>
      <c r="AB2">
        <f>(SUMIF('Cost Breakdowns'!$E$3:$E$49,"ISIC 30",'Cost Breakdowns'!$C$3:$C$49))*'Factors applied'!$E$9</f>
        <v/>
      </c>
      <c r="AC2">
        <f>(SUMIF('Cost Breakdowns'!$E$3:$E$49,"ISIC 31T33",'Cost Breakdowns'!$C$3:$C$49))</f>
        <v/>
      </c>
      <c r="AD2">
        <f>(SUMIF('Cost Breakdowns'!$E$3:$E$49,"ISIC 351",'Cost Breakdowns'!$C$3:$C$49))</f>
        <v/>
      </c>
      <c r="AE2">
        <f>(SUMIF('Cost Breakdowns'!$E$3:$E$49,"ISIC 352T353",'Cost Breakdowns'!$C$3:$C$49))</f>
        <v/>
      </c>
      <c r="AF2">
        <f>(SUMIF('Cost Breakdowns'!$E$3:$E$49,"ISIC 36T39",'Cost Breakdowns'!$C$3:$C$49))</f>
        <v/>
      </c>
      <c r="AG2">
        <f>(SUMIF('Cost Breakdowns'!$E$3:$E$49,"ISIC 41T43",'Cost Breakdowns'!$C$3:$C$49))</f>
        <v/>
      </c>
      <c r="AH2">
        <f>(SUMIF('Cost Breakdowns'!$E$3:$E$49,"ISIC 45T47",'Cost Breakdowns'!$C$3:$C$49))</f>
        <v/>
      </c>
      <c r="AI2">
        <f>(SUMIF('Cost Breakdowns'!$E$3:$E$49,"ISIC 49T53",'Cost Breakdowns'!$C$3:$C$49))*'Factors applied'!$E$10</f>
        <v/>
      </c>
      <c r="AJ2">
        <f>(SUMIF('Cost Breakdowns'!$E$3:$E$49,"ISIC 49T53",'Cost Breakdowns'!$C$3:$C$49))*'Factors applied'!$E$11</f>
        <v/>
      </c>
      <c r="AK2">
        <f>(SUMIF('Cost Breakdowns'!$E$3:$E$49,"ISIC 49T53",'Cost Breakdowns'!$C$3:$C$49))*'Factors applied'!$E$12</f>
        <v/>
      </c>
      <c r="AL2">
        <f>(SUMIF('Cost Breakdowns'!$E$3:$E$49,"ISIC 49T53",'Cost Breakdowns'!$C$3:$C$49))*'Factors applied'!$E$13</f>
        <v/>
      </c>
      <c r="AM2">
        <f>(SUMIF('Cost Breakdowns'!$E$3:$E$49,"ISIC 49T53",'Cost Breakdowns'!$C$3:$C$49))*'Factors applied'!$E$14</f>
        <v/>
      </c>
      <c r="AN2">
        <f>(SUMIF('Cost Breakdowns'!$E$3:$E$49,"ISIC 55T56",'Cost Breakdowns'!$C$3:$C$49))</f>
        <v/>
      </c>
      <c r="AO2">
        <f>(SUMIF('Cost Breakdowns'!$E$3:$E$49,"ISIC 58T60",'Cost Breakdowns'!$C$3:$C$49))</f>
        <v/>
      </c>
      <c r="AP2">
        <f>(SUMIF('Cost Breakdowns'!$E$3:$E$49,"ISIC 61",'Cost Breakdowns'!$C$3:$C$49))</f>
        <v/>
      </c>
      <c r="AQ2">
        <f>(SUMIF('Cost Breakdowns'!$E$3:$E$49,"ISIC 62T63",'Cost Breakdowns'!$C$3:$C$49))</f>
        <v/>
      </c>
      <c r="AR2">
        <f>(SUMIF('Cost Breakdowns'!$E$3:$E$49,"ISIC 64T66",'Cost Breakdowns'!$C$3:$C$49))</f>
        <v/>
      </c>
      <c r="AS2">
        <f>(SUMIF('Cost Breakdowns'!$E$3:$E$49,"ISIC 68",'Cost Breakdowns'!$C$3:$C$49))</f>
        <v/>
      </c>
      <c r="AT2">
        <f>(SUMIF('Cost Breakdowns'!$E$3:$E$49,"ISIC 69T82",'Cost Breakdowns'!$C$3:$C$49))*'Factors applied'!$E$15</f>
        <v/>
      </c>
      <c r="AU2">
        <f>(SUMIF('Cost Breakdowns'!$E$3:$E$49,"ISIC 69T82",'Cost Breakdowns'!$C$3:$C$49))*'Factors applied'!$E$16</f>
        <v/>
      </c>
      <c r="AV2">
        <f>(SUMIF('Cost Breakdowns'!$E$3:$E$49,"ISIC 84",'Cost Breakdowns'!$C$3:$C$49))</f>
        <v/>
      </c>
      <c r="AW2">
        <f>(SUMIF('Cost Breakdowns'!$E$3:$E$49,"ISIC 85",'Cost Breakdowns'!$C$3:$C$49))</f>
        <v/>
      </c>
      <c r="AX2">
        <f>(SUMIF('Cost Breakdowns'!$E$3:$E$49,"ISIC 86T88",'Cost Breakdowns'!$C$3:$C$49))</f>
        <v/>
      </c>
      <c r="AY2">
        <f>(SUMIF('Cost Breakdowns'!$E$3:$E$49,"ISIC 90T96",'Cost Breakdowns'!$C$3:$C$49))*'Factors applied'!$E$17</f>
        <v/>
      </c>
      <c r="AZ2">
        <f>(SUMIF('Cost Breakdowns'!$E$3:$E$49,"ISIC 90T96",'Cost Breakdowns'!$C$3:$C$49))*'Factors applied'!$E$18</f>
        <v/>
      </c>
      <c r="BA2">
        <f>(SUMIF('Cost Breakdowns'!$E$3:$E$49,"ISIC 97T98",'Cost Breakdowns'!$C$3:$C$49))</f>
        <v/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2020-06-18T16:32:51Z</dcterms:created>
  <dcterms:modified xmlns:dcterms="http://purl.org/dc/terms/" xmlns:xsi="http://www.w3.org/2001/XMLSchema-instance" xsi:type="dcterms:W3CDTF">2026-07-21T14:40:50Z</dcterms:modified>
  <cp:lastModifiedBy>Megan Mahajan</cp:lastModifiedBy>
</cp:coreProperties>
</file>