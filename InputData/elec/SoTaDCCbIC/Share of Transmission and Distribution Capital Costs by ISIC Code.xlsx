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Mapping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SoTaDCC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_(&quot;$&quot;* #,##0_);_(&quot;$&quot;* \(#,##0\);_(&quot;$&quot;* &quot;-&quot;??_);_(@_)"/>
    <numFmt numFmtId="166" formatCode="&quot;$&quot;#,##0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Calibri"/>
      <family val="2"/>
      <i val="1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6">
    <xf numFmtId="0" fontId="1" fillId="0" borderId="0"/>
    <xf numFmtId="9" fontId="1" fillId="0" borderId="0"/>
    <xf numFmtId="0" fontId="2" fillId="2" borderId="0"/>
    <xf numFmtId="0" fontId="9" fillId="0" borderId="0"/>
    <xf numFmtId="44" fontId="1" fillId="0" borderId="0"/>
    <xf numFmtId="0" fontId="11" fillId="0" borderId="0"/>
  </cellStyleXfs>
  <cellXfs count="65">
    <xf numFmtId="0" fontId="0" fillId="0" borderId="0" pivotButton="0" quotePrefix="0" xfId="0"/>
    <xf numFmtId="1" fontId="5" fillId="0" borderId="3" pivotButton="0" quotePrefix="0" xfId="0"/>
    <xf numFmtId="1" fontId="6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9" fillId="0" borderId="0" pivotButton="0" quotePrefix="0" xfId="3"/>
    <xf numFmtId="0" fontId="3" fillId="0" borderId="0" pivotButton="0" quotePrefix="0" xfId="0"/>
    <xf numFmtId="0" fontId="10" fillId="0" borderId="4" applyAlignment="1" pivotButton="0" quotePrefix="0" xfId="0">
      <alignment horizontal="center" vertical="center"/>
    </xf>
    <xf numFmtId="0" fontId="10" fillId="0" borderId="4" applyAlignment="1" pivotButton="0" quotePrefix="0" xfId="2">
      <alignment horizontal="center" vertical="center"/>
    </xf>
    <xf numFmtId="0" fontId="10" fillId="0" borderId="6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1" fontId="7" fillId="0" borderId="0" pivotButton="0" quotePrefix="0" xfId="0"/>
    <xf numFmtId="1" fontId="8" fillId="0" borderId="0" pivotButton="0" quotePrefix="0" xfId="0"/>
    <xf numFmtId="1" fontId="6" fillId="0" borderId="0" pivotButton="0" quotePrefix="0" xfId="0"/>
    <xf numFmtId="0" fontId="12" fillId="0" borderId="0" pivotButton="0" quotePrefix="0" xfId="5"/>
    <xf numFmtId="0" fontId="13" fillId="0" borderId="0" applyAlignment="1" pivotButton="0" quotePrefix="0" xfId="5">
      <alignment horizontal="left"/>
    </xf>
    <xf numFmtId="0" fontId="8" fillId="0" borderId="0" applyAlignment="1" pivotButton="0" quotePrefix="0" xfId="0">
      <alignment horizontal="left" wrapText="1"/>
    </xf>
    <xf numFmtId="1" fontId="12" fillId="0" borderId="0" pivotButton="0" quotePrefix="0" xfId="5"/>
    <xf numFmtId="0" fontId="13" fillId="0" borderId="0" pivotButton="0" quotePrefix="0" xfId="5"/>
    <xf numFmtId="1" fontId="6" fillId="0" borderId="0" applyAlignment="1" pivotButton="0" quotePrefix="0" xfId="0">
      <alignment horizontal="left" wrapText="1"/>
    </xf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5" fontId="8" fillId="0" borderId="0" pivotButton="0" quotePrefix="0" xfId="4"/>
    <xf numFmtId="165" fontId="7" fillId="0" borderId="0" pivotButton="0" quotePrefix="0" xfId="4"/>
    <xf numFmtId="165" fontId="13" fillId="0" borderId="0" applyAlignment="1" pivotButton="0" quotePrefix="0" xfId="4">
      <alignment horizontal="left"/>
    </xf>
    <xf numFmtId="165" fontId="6" fillId="0" borderId="0" pivotButton="0" quotePrefix="0" xfId="4"/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7" fillId="0" borderId="0" pivotButton="0" quotePrefix="0" xfId="4"/>
    <xf numFmtId="165" fontId="6" fillId="0" borderId="0" applyAlignment="1" pivotButton="0" quotePrefix="0" xfId="4">
      <alignment horizontal="left" wrapText="1"/>
    </xf>
    <xf numFmtId="9" fontId="6" fillId="0" borderId="4" applyAlignment="1" pivotButton="0" quotePrefix="0" xfId="1">
      <alignment horizontal="center"/>
    </xf>
    <xf numFmtId="9" fontId="0" fillId="0" borderId="0" pivotButton="0" quotePrefix="0" xfId="0"/>
    <xf numFmtId="1" fontId="6" fillId="0" borderId="4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14" fillId="0" borderId="0" pivotButton="0" quotePrefix="0" xfId="0"/>
    <xf numFmtId="166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9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1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9" pivotButton="0" quotePrefix="0" xfId="0"/>
    <xf numFmtId="165" fontId="5" fillId="0" borderId="10" pivotButton="0" quotePrefix="0" xfId="4"/>
    <xf numFmtId="165" fontId="7" fillId="0" borderId="0" pivotButton="0" quotePrefix="0" xfId="4"/>
    <xf numFmtId="165" fontId="8" fillId="0" borderId="0" pivotButton="0" quotePrefix="0" xfId="4"/>
    <xf numFmtId="165" fontId="6" fillId="0" borderId="0" pivotButton="0" quotePrefix="0" xfId="4"/>
    <xf numFmtId="165" fontId="12" fillId="0" borderId="0" pivotButton="0" quotePrefix="0" xfId="4"/>
    <xf numFmtId="166" fontId="0" fillId="0" borderId="2" applyAlignment="1" pivotButton="0" quotePrefix="0" xfId="0">
      <alignment horizontal="center" vertical="center"/>
    </xf>
    <xf numFmtId="165" fontId="13" fillId="0" borderId="0" applyAlignment="1" pivotButton="0" quotePrefix="0" xfId="4">
      <alignment horizontal="left"/>
    </xf>
    <xf numFmtId="165" fontId="8" fillId="0" borderId="0" applyAlignment="1" pivotButton="0" quotePrefix="0" xfId="4">
      <alignment horizontal="left" wrapText="1"/>
    </xf>
    <xf numFmtId="165" fontId="13" fillId="0" borderId="0" pivotButton="0" quotePrefix="0" xfId="4"/>
    <xf numFmtId="165" fontId="6" fillId="0" borderId="0" applyAlignment="1" pivotButton="0" quotePrefix="0" xfId="4">
      <alignment horizontal="left" wrapText="1"/>
    </xf>
    <xf numFmtId="164" fontId="0" fillId="0" borderId="0" pivotButton="0" quotePrefix="0" xfId="0"/>
  </cellXfs>
  <cellStyles count="6">
    <cellStyle name="Normal" xfId="0" builtinId="0"/>
    <cellStyle name="Percent" xfId="1" builtinId="5"/>
    <cellStyle name="Bad" xfId="2" builtinId="27"/>
    <cellStyle name="Hyperlink" xfId="3" builtinId="8"/>
    <cellStyle name="Currency" xfId="4" builtinId="4"/>
    <cellStyle name="Normal_DefaultData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6" t="inlineStr">
        <is>
          <t>SoTCCbIC Share of Transmission and Distribution Capital Costs by ISIC Code</t>
        </is>
      </c>
    </row>
    <row r="2"/>
    <row r="3">
      <c r="A3" s="6" t="inlineStr">
        <is>
          <t>Source:</t>
        </is>
      </c>
      <c r="B3" t="inlineStr">
        <is>
          <t>NREL</t>
        </is>
      </c>
    </row>
    <row r="4">
      <c r="B4" s="11" t="n">
        <v>2016</v>
      </c>
    </row>
    <row r="5">
      <c r="B5" t="inlineStr">
        <is>
          <t>JEDI Transmission Model</t>
        </is>
      </c>
    </row>
    <row r="6">
      <c r="B6" s="5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50" t="inlineStr">
        <is>
          <t>42-code sibling (build_sector_shares_42):</t>
        </is>
      </c>
    </row>
    <row r="10">
      <c r="A10" s="51" t="inlineStr">
        <is>
          <t>This workbook is the 42-code (un-split) sibling of the 52-code expansion. The 42 scheme is the 52 scheme with the six OECD-native parents</t>
        </is>
      </c>
    </row>
    <row r="11">
      <c r="A11" s="51" t="inlineStr">
        <is>
          <t>left merged (ISIC 01T03, 07T08, 30, 49T53, 69T82, 90T96); the BEA carves ISIC 231/239 and 351/352T353 are retained (present in both</t>
        </is>
      </c>
    </row>
    <row r="12">
      <c r="A12" s="51" t="inlineStr">
        <is>
          <t>schemes).</t>
        </is>
      </c>
    </row>
    <row r="14">
      <c r="A14" s="51" t="inlineStr">
        <is>
          <t>The output tabs are the stock derivation, unchanged and live: the stock workbook is natively 42-code (its output columns already are the</t>
        </is>
      </c>
    </row>
    <row r="15">
      <c r="A15" s="51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6">
      <c r="A1" s="6" t="inlineStr">
        <is>
          <t>OECD Code</t>
        </is>
      </c>
      <c r="B1" s="6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50" t="inlineStr">
        <is>
          <t>Validation checks (42-code sibling)</t>
        </is>
      </c>
    </row>
    <row r="2">
      <c r="A2" s="51" t="inlineStr">
        <is>
          <t>Allocation output rows sum to 1 across the 42 ISIC codes (rate files excluded — see note).</t>
        </is>
      </c>
    </row>
    <row r="4">
      <c r="A4" s="50" t="inlineStr">
        <is>
          <t>SoTaDCCbIC.csv</t>
        </is>
      </c>
    </row>
    <row r="5">
      <c r="A5" t="inlineStr">
        <is>
          <t xml:space="preserve">  transmission costs</t>
        </is>
      </c>
      <c r="B5">
        <f>SUM('SoTaDCCbIC'!B2:AQ2)</f>
        <v/>
      </c>
      <c r="C5" s="50">
        <f>IF(ABS(B5-1)&lt;0.000001,"=1",IF(ABS(B5)&lt;0.000001,"=0","CHECK"))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zoomScale="85" zoomScaleNormal="85" workbookViewId="0">
      <selection activeCell="B48" sqref="B48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47" t="inlineStr">
        <is>
          <t>Transmission</t>
        </is>
      </c>
      <c r="B1" s="52" t="n"/>
      <c r="C1" s="52" t="n"/>
      <c r="D1" s="52" t="n"/>
      <c r="E1" s="52" t="n"/>
      <c r="F1" s="53" t="n"/>
    </row>
    <row r="2" ht="26.25" customHeight="1">
      <c r="A2" s="1" t="inlineStr">
        <is>
          <t>Capital Costs</t>
        </is>
      </c>
      <c r="B2" s="54" t="inlineStr">
        <is>
          <t>Cost</t>
        </is>
      </c>
      <c r="C2" s="41" t="inlineStr">
        <is>
          <t>Percent of Cost</t>
        </is>
      </c>
      <c r="D2" s="2" t="inlineStr">
        <is>
          <t>OECD Mapping</t>
        </is>
      </c>
      <c r="E2" s="2" t="inlineStr">
        <is>
          <t>ISIC Mapping</t>
        </is>
      </c>
      <c r="F2" s="2" t="inlineStr">
        <is>
          <t>Notes</t>
        </is>
      </c>
    </row>
    <row r="3">
      <c r="A3" s="17" t="inlineStr">
        <is>
          <t xml:space="preserve">  Development and Preconstruction Activites</t>
        </is>
      </c>
      <c r="B3" s="55" t="n"/>
      <c r="C3" s="39" t="n"/>
      <c r="D3" s="4" t="n"/>
      <c r="E3" s="4" t="n"/>
      <c r="F3" s="4" t="n"/>
    </row>
    <row r="4">
      <c r="A4" s="18" t="inlineStr">
        <is>
          <t xml:space="preserve">     Land Acquisition Services</t>
        </is>
      </c>
      <c r="B4" s="56" t="n">
        <v>375000</v>
      </c>
      <c r="C4" s="39">
        <f>B4/$B$52</f>
        <v/>
      </c>
      <c r="D4" s="7">
        <f>'OECD Mapping'!A37</f>
        <v/>
      </c>
      <c r="E4" s="7">
        <f>'OECD Mapping'!B37</f>
        <v/>
      </c>
      <c r="F4" s="14" t="inlineStr">
        <is>
          <t>Mapping based on I-JEDI and judgment</t>
        </is>
      </c>
    </row>
    <row r="5">
      <c r="A5" s="18" t="inlineStr">
        <is>
          <t xml:space="preserve">     Private Land Acquisition Payment</t>
        </is>
      </c>
      <c r="B5" s="56" t="n">
        <v>363636.3636363636</v>
      </c>
      <c r="C5" s="39">
        <f>B5/$B$52</f>
        <v/>
      </c>
      <c r="D5" s="8">
        <f>'OECD Mapping'!A37</f>
        <v/>
      </c>
      <c r="E5" s="8">
        <f>'OECD Mapping'!B37</f>
        <v/>
      </c>
      <c r="F5" s="14" t="inlineStr">
        <is>
          <t>Mapping based on I-JEDI and judgment</t>
        </is>
      </c>
    </row>
    <row r="6">
      <c r="A6" s="18" t="inlineStr">
        <is>
          <t xml:space="preserve">     Engineering/Surveying/Geotechnical Consulting Services</t>
        </is>
      </c>
      <c r="B6" s="56" t="n">
        <v>900000</v>
      </c>
      <c r="C6" s="39">
        <f>B6/$B$52</f>
        <v/>
      </c>
      <c r="D6" s="7">
        <f>'OECD Mapping'!A38</f>
        <v/>
      </c>
      <c r="E6" s="7">
        <f>'OECD Mapping'!B38</f>
        <v/>
      </c>
      <c r="F6" s="14" t="inlineStr">
        <is>
          <t>Mapping based on I-JEDI and judgment</t>
        </is>
      </c>
    </row>
    <row r="7">
      <c r="A7" s="18" t="inlineStr">
        <is>
          <t xml:space="preserve">     Environmental &amp; Permitting Services</t>
        </is>
      </c>
      <c r="B7" s="56" t="n">
        <v>675000</v>
      </c>
      <c r="C7" s="39">
        <f>B7/$B$52</f>
        <v/>
      </c>
      <c r="D7" s="7">
        <f>'OECD Mapping'!A38</f>
        <v/>
      </c>
      <c r="E7" s="7">
        <f>'OECD Mapping'!B38</f>
        <v/>
      </c>
      <c r="F7" s="14" t="inlineStr">
        <is>
          <t>Mapping based on I-JEDI and judgment</t>
        </is>
      </c>
    </row>
    <row r="8">
      <c r="A8" s="18" t="inlineStr">
        <is>
          <t xml:space="preserve">  Subtotal Development and Preconstruction</t>
        </is>
      </c>
      <c r="B8" s="56" t="n">
        <v>2313636.363636364</v>
      </c>
      <c r="C8" s="39" t="n"/>
      <c r="D8" s="7" t="n"/>
      <c r="E8" s="7" t="n"/>
      <c r="F8" s="14" t="inlineStr">
        <is>
          <t>Mapping based on I-JEDI and judgment</t>
        </is>
      </c>
    </row>
    <row r="9">
      <c r="A9" s="17" t="inlineStr">
        <is>
          <t xml:space="preserve"> Construction Activities</t>
        </is>
      </c>
      <c r="B9" s="55" t="n"/>
      <c r="C9" s="39" t="n"/>
      <c r="D9" s="7" t="n"/>
      <c r="E9" s="7" t="n"/>
      <c r="F9" s="14" t="inlineStr">
        <is>
          <t>Mapping based on I-JEDI and judgment</t>
        </is>
      </c>
    </row>
    <row r="10">
      <c r="A10" s="19" t="inlineStr">
        <is>
          <t xml:space="preserve">  Materials &amp; Equipment</t>
        </is>
      </c>
      <c r="B10" s="57" t="n"/>
      <c r="C10" s="39" t="n"/>
      <c r="D10" s="7" t="n"/>
      <c r="E10" s="7" t="n"/>
      <c r="F10" s="14" t="inlineStr">
        <is>
          <t>Mapping based on I-JEDI and judgment</t>
        </is>
      </c>
    </row>
    <row r="11">
      <c r="A11" s="20" t="inlineStr">
        <is>
          <t xml:space="preserve">    Concrete, gravel, asphalt</t>
        </is>
      </c>
      <c r="B11" s="58" t="n">
        <v>600000</v>
      </c>
      <c r="C11" s="39">
        <f>B11/$B$52</f>
        <v/>
      </c>
      <c r="D11" s="7">
        <f>'OECD Mapping'!A16</f>
        <v/>
      </c>
      <c r="E11" s="7">
        <f>'OECD Mapping'!B16</f>
        <v/>
      </c>
      <c r="F11" s="14" t="inlineStr">
        <is>
          <t>Mapping based on I-JEDI and judgment</t>
        </is>
      </c>
    </row>
    <row r="12">
      <c r="A12" s="20" t="inlineStr">
        <is>
          <t xml:space="preserve">    Steel structures and poles</t>
        </is>
      </c>
      <c r="B12" s="58" t="n">
        <v>4950000</v>
      </c>
      <c r="C12" s="39">
        <f>B12/$B$52</f>
        <v/>
      </c>
      <c r="D12" s="7">
        <f>'OECD Mapping'!A19</f>
        <v/>
      </c>
      <c r="E12" s="7">
        <f>'OECD Mapping'!B19</f>
        <v/>
      </c>
      <c r="F12" s="14" t="inlineStr">
        <is>
          <t>Mapping based on I-JEDI and judgment</t>
        </is>
      </c>
    </row>
    <row r="13" ht="15.75" customHeight="1" thickBot="1">
      <c r="A13" s="20" t="inlineStr">
        <is>
          <t xml:space="preserve">    Overhead wires (conductor and insulators and shield wire)</t>
        </is>
      </c>
      <c r="B13" s="58" t="n">
        <v>3300000</v>
      </c>
      <c r="C13" s="39">
        <f>B13/$B$52</f>
        <v/>
      </c>
      <c r="D13" s="9">
        <f>'OECD Mapping'!A21</f>
        <v/>
      </c>
      <c r="E13" s="9">
        <f>'OECD Mapping'!B21</f>
        <v/>
      </c>
      <c r="F13" s="16" t="inlineStr">
        <is>
          <t>Mapping based on I-JEDI and judgment</t>
        </is>
      </c>
    </row>
    <row r="14" customFormat="1" s="13">
      <c r="A14" s="18" t="inlineStr">
        <is>
          <t xml:space="preserve">  Subtotal Materials &amp; Equipment</t>
        </is>
      </c>
      <c r="B14" s="56" t="n">
        <v>8850000</v>
      </c>
      <c r="C14" s="39" t="n"/>
      <c r="D14" s="59" t="n"/>
      <c r="E14" s="59" t="n"/>
      <c r="F14" s="16" t="inlineStr">
        <is>
          <t>Mapping based on I-JEDI and judgment</t>
        </is>
      </c>
    </row>
    <row r="15">
      <c r="A15" s="17" t="inlineStr">
        <is>
          <t xml:space="preserve">  Labor/Installation</t>
        </is>
      </c>
      <c r="B15" s="55" t="n"/>
      <c r="C15" s="39" t="n"/>
      <c r="D15" s="46" t="n"/>
      <c r="E15" s="46" t="n"/>
      <c r="F15" s="16" t="inlineStr">
        <is>
          <t>Mapping based on I-JEDI and judgment</t>
        </is>
      </c>
    </row>
    <row r="16" ht="15.75" customFormat="1" customHeight="1" s="12" thickBot="1">
      <c r="A16" s="20" t="inlineStr">
        <is>
          <t xml:space="preserve">    Civil (grading, roads, site prep, foundations, fencing)</t>
        </is>
      </c>
      <c r="B16" s="58" t="n">
        <v>1765400.179856115</v>
      </c>
      <c r="C16" s="39">
        <f>B16/$B$52</f>
        <v/>
      </c>
      <c r="D16" s="3">
        <f>'OECD Mapping'!A29</f>
        <v/>
      </c>
      <c r="E16" s="3">
        <f>'OECD Mapping'!B29</f>
        <v/>
      </c>
      <c r="F16" s="15" t="inlineStr">
        <is>
          <t>Mapping based on I-JEDI and judgment</t>
        </is>
      </c>
    </row>
    <row r="17" ht="15.75" customHeight="1" thickBot="1">
      <c r="A17" s="20" t="inlineStr">
        <is>
          <t xml:space="preserve">    Heavy Construction (Tower erection, Conductor stringing)</t>
        </is>
      </c>
      <c r="B17" s="58" t="n">
        <v>3276000</v>
      </c>
      <c r="C17" s="39">
        <f>B17/$B$52</f>
        <v/>
      </c>
      <c r="D17" s="3">
        <f>'OECD Mapping'!A29</f>
        <v/>
      </c>
      <c r="E17" s="3">
        <f>'OECD Mapping'!B29</f>
        <v/>
      </c>
      <c r="F17" s="15" t="inlineStr">
        <is>
          <t>Mapping based on I-JEDI and judgment</t>
        </is>
      </c>
    </row>
    <row r="18" ht="15.75" customHeight="1" thickBot="1">
      <c r="A18" s="18" t="inlineStr">
        <is>
          <t xml:space="preserve">  Subtotal Labor/Installation</t>
        </is>
      </c>
      <c r="B18" s="56" t="n">
        <v>5041400.179856115</v>
      </c>
      <c r="C18" s="39" t="n"/>
      <c r="D18" s="3" t="n"/>
      <c r="E18" s="8" t="n"/>
      <c r="F18" s="15" t="inlineStr">
        <is>
          <t>Mapping based on I-JEDI and judgment</t>
        </is>
      </c>
    </row>
    <row r="19" ht="15.75" customHeight="1" thickBot="1">
      <c r="A19" s="21" t="inlineStr">
        <is>
          <t xml:space="preserve">  Total Transmission Line Cost</t>
        </is>
      </c>
      <c r="B19" s="60" t="n">
        <v>16205036.54349248</v>
      </c>
      <c r="C19" s="39" t="n"/>
      <c r="D19" s="3" t="n"/>
      <c r="E19" s="7" t="n"/>
      <c r="F19" s="15" t="inlineStr">
        <is>
          <t>Mapping based on I-JEDI and judgment</t>
        </is>
      </c>
    </row>
    <row r="20" ht="15.75" customHeight="1" thickBot="1">
      <c r="A20" s="17" t="inlineStr">
        <is>
          <t xml:space="preserve"> Infrastructure Costs</t>
        </is>
      </c>
      <c r="B20" s="55" t="n"/>
      <c r="C20" s="39" t="n"/>
      <c r="D20" s="3" t="n"/>
      <c r="E20" s="7" t="n"/>
      <c r="F20" s="15" t="inlineStr">
        <is>
          <t>Mapping based on I-JEDI and judgment</t>
        </is>
      </c>
    </row>
    <row r="21" ht="15.75" customHeight="1" thickBot="1">
      <c r="A21" s="19" t="inlineStr">
        <is>
          <t xml:space="preserve">  Materials &amp; Equipment</t>
        </is>
      </c>
      <c r="B21" s="57" t="n"/>
      <c r="C21" s="39" t="n"/>
      <c r="D21" s="3" t="n"/>
      <c r="E21" s="8" t="n"/>
      <c r="F21" s="15" t="inlineStr">
        <is>
          <t>Mapping based on I-JEDI and judgment</t>
        </is>
      </c>
    </row>
    <row r="22" ht="15.75" customHeight="1" thickBot="1">
      <c r="A22" s="18" t="inlineStr">
        <is>
          <t xml:space="preserve">    Positions (new bays/circuits)</t>
        </is>
      </c>
      <c r="B22" s="56" t="n">
        <v>1800000</v>
      </c>
      <c r="C22" s="39">
        <f>B22/$B$52</f>
        <v/>
      </c>
      <c r="D22" s="3">
        <f>'OECD Mapping'!$A$21</f>
        <v/>
      </c>
      <c r="E22" s="7">
        <f>'OECD Mapping'!$B$21</f>
        <v/>
      </c>
      <c r="F22" s="15" t="inlineStr">
        <is>
          <t>Mapping based on I-JEDI and judgment</t>
        </is>
      </c>
    </row>
    <row r="23" ht="15.75" customHeight="1" thickBot="1">
      <c r="A23" s="22" t="inlineStr">
        <is>
          <t xml:space="preserve">    New Substation Facilities</t>
        </is>
      </c>
      <c r="B23" s="61" t="n">
        <v>650000</v>
      </c>
      <c r="C23" s="39">
        <f>B23/$B$52</f>
        <v/>
      </c>
      <c r="D23" s="3">
        <f>'OECD Mapping'!$A$21</f>
        <v/>
      </c>
      <c r="E23" s="7">
        <f>'OECD Mapping'!$B$21</f>
        <v/>
      </c>
      <c r="F23" s="15" t="inlineStr">
        <is>
          <t>Mapping based on I-JEDI and judgment</t>
        </is>
      </c>
    </row>
    <row r="24" ht="15.75" customHeight="1" thickBot="1">
      <c r="A24" s="22" t="inlineStr">
        <is>
          <t xml:space="preserve">    Existing Substation Facilities (upgrades)</t>
        </is>
      </c>
      <c r="B24" s="61" t="n">
        <v>20000</v>
      </c>
      <c r="C24" s="39">
        <f>B24/$B$52</f>
        <v/>
      </c>
      <c r="D24" s="3">
        <f>'OECD Mapping'!$A$21</f>
        <v/>
      </c>
      <c r="E24" s="7">
        <f>'OECD Mapping'!$B$21</f>
        <v/>
      </c>
      <c r="F24" s="15" t="inlineStr">
        <is>
          <t>Mapping based on I-JEDI and judgment</t>
        </is>
      </c>
    </row>
    <row r="25" ht="15.75" customHeight="1" thickBot="1">
      <c r="A25" s="18" t="inlineStr">
        <is>
          <t xml:space="preserve">    Transformers, Series Compensation, etc.</t>
        </is>
      </c>
      <c r="B25" s="56" t="n">
        <v>4800000</v>
      </c>
      <c r="C25" s="39">
        <f>B25/$B$52</f>
        <v/>
      </c>
      <c r="D25" s="3">
        <f>'OECD Mapping'!$A$21</f>
        <v/>
      </c>
      <c r="E25" s="7">
        <f>'OECD Mapping'!$B$21</f>
        <v/>
      </c>
      <c r="F25" s="15" t="inlineStr">
        <is>
          <t>Mapping based on I-JEDI and judgment</t>
        </is>
      </c>
    </row>
    <row r="26" ht="15.75" customHeight="1" thickBot="1">
      <c r="A26" s="22" t="inlineStr">
        <is>
          <t xml:space="preserve">    Converter Station (includes ground electrode)</t>
        </is>
      </c>
      <c r="B26" s="61" t="n">
        <v>0</v>
      </c>
      <c r="C26" s="39">
        <f>B26/$B$52</f>
        <v/>
      </c>
      <c r="D26" s="3">
        <f>'OECD Mapping'!$A$21</f>
        <v/>
      </c>
      <c r="E26" s="7">
        <f>'OECD Mapping'!$B$21</f>
        <v/>
      </c>
      <c r="F26" s="15" t="inlineStr">
        <is>
          <t>Mapping based on I-JEDI and judgment</t>
        </is>
      </c>
    </row>
    <row r="27" ht="15.75" customHeight="1" thickBot="1">
      <c r="A27" s="18" t="inlineStr">
        <is>
          <t xml:space="preserve">  Subtotal Materials &amp; Equipment</t>
        </is>
      </c>
      <c r="B27" s="56" t="n">
        <v>7270000</v>
      </c>
      <c r="C27" s="39" t="n"/>
      <c r="D27" s="3" t="n"/>
      <c r="E27" s="8" t="n"/>
      <c r="F27" s="15" t="inlineStr">
        <is>
          <t>Mapping based on I-JEDI and judgment</t>
        </is>
      </c>
    </row>
    <row r="28" ht="15.75" customHeight="1" thickBot="1">
      <c r="A28" s="17" t="inlineStr">
        <is>
          <t xml:space="preserve">  Labor</t>
        </is>
      </c>
      <c r="B28" s="55" t="n"/>
      <c r="C28" s="39">
        <f>B28/$B$52</f>
        <v/>
      </c>
      <c r="D28" s="3" t="n"/>
      <c r="E28" s="7" t="n"/>
      <c r="F28" s="15" t="inlineStr">
        <is>
          <t>Mapping based on I-JEDI and judgment</t>
        </is>
      </c>
    </row>
    <row r="29" ht="15.75" customHeight="1" thickBot="1">
      <c r="A29" s="18" t="inlineStr">
        <is>
          <t xml:space="preserve">    Positions (new bays/circuits)</t>
        </is>
      </c>
      <c r="B29" s="56" t="n">
        <v>2092500</v>
      </c>
      <c r="C29" s="39">
        <f>B29/$B$52</f>
        <v/>
      </c>
      <c r="D29" s="7">
        <f>'OECD Mapping'!$A$29</f>
        <v/>
      </c>
      <c r="E29" s="7">
        <f>'OECD Mapping'!$B$29</f>
        <v/>
      </c>
      <c r="F29" s="15" t="inlineStr">
        <is>
          <t>Mapping based on I-JEDI and judgment</t>
        </is>
      </c>
    </row>
    <row r="30" ht="15.75" customHeight="1" thickBot="1">
      <c r="A30" s="22" t="inlineStr">
        <is>
          <t xml:space="preserve">    New Substation</t>
        </is>
      </c>
      <c r="B30" s="61" t="n">
        <v>744000</v>
      </c>
      <c r="C30" s="39">
        <f>B30/$B$52</f>
        <v/>
      </c>
      <c r="D30" s="7">
        <f>'OECD Mapping'!$A$29</f>
        <v/>
      </c>
      <c r="E30" s="8">
        <f>'OECD Mapping'!$B$29</f>
        <v/>
      </c>
      <c r="F30" s="15" t="inlineStr">
        <is>
          <t>Mapping based on I-JEDI and judgment</t>
        </is>
      </c>
    </row>
    <row r="31" ht="15.75" customHeight="1" thickBot="1">
      <c r="A31" s="22" t="inlineStr">
        <is>
          <t xml:space="preserve">    Existing Substation Facilities (upgrades)</t>
        </is>
      </c>
      <c r="B31" s="61" t="n">
        <v>27900</v>
      </c>
      <c r="C31" s="39">
        <f>B31/$B$52</f>
        <v/>
      </c>
      <c r="D31" s="7">
        <f>'OECD Mapping'!$A$29</f>
        <v/>
      </c>
      <c r="E31" s="7">
        <f>'OECD Mapping'!$B$29</f>
        <v/>
      </c>
      <c r="F31" s="15" t="inlineStr">
        <is>
          <t>Mapping based on I-JEDI and judgment</t>
        </is>
      </c>
    </row>
    <row r="32" ht="15.75" customHeight="1" thickBot="1">
      <c r="A32" s="20" t="inlineStr">
        <is>
          <t xml:space="preserve">    Transformers, Series Compensation, etc.</t>
        </is>
      </c>
      <c r="B32" s="58" t="n">
        <v>0</v>
      </c>
      <c r="C32" s="39">
        <f>B32/$B$52</f>
        <v/>
      </c>
      <c r="D32" s="7">
        <f>'OECD Mapping'!$A$29</f>
        <v/>
      </c>
      <c r="E32" s="7">
        <f>'OECD Mapping'!$B$29</f>
        <v/>
      </c>
      <c r="F32" s="15" t="inlineStr">
        <is>
          <t>Mapping based on I-JEDI and judgment</t>
        </is>
      </c>
    </row>
    <row r="33" ht="15.75" customHeight="1" thickBot="1">
      <c r="A33" s="20" t="inlineStr">
        <is>
          <t xml:space="preserve">    Converter Station</t>
        </is>
      </c>
      <c r="B33" s="58" t="n">
        <v>0</v>
      </c>
      <c r="C33" s="39">
        <f>B33/$B$52</f>
        <v/>
      </c>
      <c r="D33" s="7">
        <f>'OECD Mapping'!$A$29</f>
        <v/>
      </c>
      <c r="E33" s="8">
        <f>'OECD Mapping'!$B$29</f>
        <v/>
      </c>
      <c r="F33" s="15" t="inlineStr">
        <is>
          <t>Mapping based on I-JEDI and judgment</t>
        </is>
      </c>
    </row>
    <row r="34" ht="15.75" customHeight="1" thickBot="1">
      <c r="A34" s="18" t="inlineStr">
        <is>
          <t xml:space="preserve">  Subtotal Labor</t>
        </is>
      </c>
      <c r="B34" s="56" t="n">
        <v>2864400</v>
      </c>
      <c r="C34" s="39" t="n"/>
      <c r="D34" s="3" t="n"/>
      <c r="E34" s="7" t="n"/>
      <c r="F34" s="15" t="inlineStr">
        <is>
          <t>Mapping based on I-JEDI and judgment</t>
        </is>
      </c>
    </row>
    <row r="35" ht="15.75" customHeight="1" thickBot="1">
      <c r="A35" s="19" t="inlineStr">
        <is>
          <t xml:space="preserve">  Total Infrastructure Costs</t>
        </is>
      </c>
      <c r="B35" s="57" t="n">
        <v>10134400</v>
      </c>
      <c r="C35" s="39" t="n"/>
      <c r="D35" s="3" t="n"/>
      <c r="E35" s="7" t="n"/>
      <c r="F35" s="15" t="inlineStr">
        <is>
          <t>Mapping based on I-JEDI and judgment</t>
        </is>
      </c>
    </row>
    <row r="36" ht="15.75" customHeight="1" thickBot="1">
      <c r="A36" s="17" t="inlineStr">
        <is>
          <t>Services/Other Costs</t>
        </is>
      </c>
      <c r="B36" s="55" t="inlineStr">
        <is>
          <t>Cost</t>
        </is>
      </c>
      <c r="C36" s="39" t="n"/>
      <c r="D36" s="3" t="n"/>
      <c r="E36" s="8" t="n"/>
      <c r="F36" s="15" t="inlineStr">
        <is>
          <t>Mapping based on I-JEDI and judgment</t>
        </is>
      </c>
    </row>
    <row r="37" ht="15.75" customHeight="1" thickBot="1">
      <c r="A37" s="17" t="inlineStr">
        <is>
          <t xml:space="preserve"> Transmission Line Services</t>
        </is>
      </c>
      <c r="B37" s="55" t="n"/>
      <c r="C37" s="39" t="n"/>
      <c r="D37" s="3" t="n"/>
      <c r="E37" s="7" t="n"/>
      <c r="F37" s="15" t="inlineStr">
        <is>
          <t>Mapping based on I-JEDI and judgment</t>
        </is>
      </c>
    </row>
    <row r="38" ht="15.75" customHeight="1" thickBot="1">
      <c r="A38" s="18" t="inlineStr">
        <is>
          <t xml:space="preserve">  T-Line Management Services (Site mgmt, legal, lands, ins, PR, etc.)</t>
        </is>
      </c>
      <c r="B38" s="56" t="n">
        <v>375000</v>
      </c>
      <c r="C38" s="39">
        <f>B38/$B$52</f>
        <v/>
      </c>
      <c r="D38" s="3">
        <f>'OECD Mapping'!A38</f>
        <v/>
      </c>
      <c r="E38" s="7">
        <f>'OECD Mapping'!B38</f>
        <v/>
      </c>
      <c r="F38" s="15" t="inlineStr">
        <is>
          <t>Mapping based on I-JEDI and judgment</t>
        </is>
      </c>
    </row>
    <row r="39" ht="15.75" customHeight="1" thickBot="1">
      <c r="A39" s="18" t="inlineStr">
        <is>
          <t xml:space="preserve">  T-Line Engineering, Const Mgmt, &amp; Environmental Monitoring</t>
        </is>
      </c>
      <c r="B39" s="56" t="n">
        <v>750000</v>
      </c>
      <c r="C39" s="39">
        <f>B39/$B$52</f>
        <v/>
      </c>
      <c r="D39" s="42">
        <f>'OECD Mapping'!A38</f>
        <v/>
      </c>
      <c r="E39" s="8">
        <f>'OECD Mapping'!B38</f>
        <v/>
      </c>
      <c r="F39" s="15" t="inlineStr">
        <is>
          <t>Mapping based on I-JEDI and judgment</t>
        </is>
      </c>
    </row>
    <row r="40" ht="15.75" customHeight="1" thickBot="1">
      <c r="A40" s="18" t="inlineStr">
        <is>
          <t xml:space="preserve"> Subtotal</t>
        </is>
      </c>
      <c r="B40" s="56" t="n">
        <v>1125000</v>
      </c>
      <c r="C40" s="39" t="n"/>
      <c r="D40" s="3" t="n"/>
      <c r="E40" s="7" t="n"/>
      <c r="F40" s="15" t="inlineStr">
        <is>
          <t>Mapping based on I-JEDI and judgment</t>
        </is>
      </c>
    </row>
    <row r="41" ht="15.75" customHeight="1" thickBot="1">
      <c r="A41" s="19" t="inlineStr">
        <is>
          <t xml:space="preserve"> Infrastructure Services</t>
        </is>
      </c>
      <c r="B41" s="57" t="n"/>
      <c r="C41" s="39" t="n"/>
      <c r="D41" s="3" t="n"/>
      <c r="E41" s="7" t="n"/>
      <c r="F41" s="15" t="inlineStr">
        <is>
          <t>Mapping based on I-JEDI and judgment</t>
        </is>
      </c>
    </row>
    <row r="42" ht="15.75" customHeight="1" thickBot="1">
      <c r="A42" s="18" t="inlineStr">
        <is>
          <t xml:space="preserve">  Substation Management Services (Site mgmt, legal, lands, PR, etc.)</t>
        </is>
      </c>
      <c r="B42" s="56" t="n">
        <v>222000</v>
      </c>
      <c r="C42" s="39">
        <f>B42/$B$52</f>
        <v/>
      </c>
      <c r="D42" s="42">
        <f>'OECD Mapping'!A38</f>
        <v/>
      </c>
      <c r="E42" s="8">
        <f>'OECD Mapping'!B38</f>
        <v/>
      </c>
      <c r="F42" s="15" t="inlineStr">
        <is>
          <t>Mapping based on I-JEDI and judgment</t>
        </is>
      </c>
    </row>
    <row r="43" ht="15.75" customHeight="1" thickBot="1">
      <c r="A43" s="18" t="inlineStr">
        <is>
          <t xml:space="preserve">  Substation Engineering, Const Mgmt, &amp; Environmental Monitoring</t>
        </is>
      </c>
      <c r="B43" s="56" t="n">
        <v>1110000</v>
      </c>
      <c r="C43" s="39">
        <f>B43/$B$52</f>
        <v/>
      </c>
      <c r="D43" s="42">
        <f>'OECD Mapping'!A38</f>
        <v/>
      </c>
      <c r="E43" s="7">
        <f>'OECD Mapping'!B38</f>
        <v/>
      </c>
      <c r="F43" s="15" t="inlineStr">
        <is>
          <t>Mapping based on I-JEDI and judgment</t>
        </is>
      </c>
    </row>
    <row r="44" ht="15.75" customHeight="1" thickBot="1">
      <c r="A44" s="18" t="inlineStr">
        <is>
          <t xml:space="preserve"> Subtotal</t>
        </is>
      </c>
      <c r="B44" s="56" t="n">
        <v>1332000</v>
      </c>
      <c r="C44" s="39" t="n"/>
      <c r="D44" s="3" t="n"/>
      <c r="E44" s="7" t="n"/>
      <c r="F44" s="15" t="inlineStr">
        <is>
          <t>Mapping based on I-JEDI and judgment</t>
        </is>
      </c>
    </row>
    <row r="45" ht="15.75" customHeight="1" thickBot="1">
      <c r="A45" s="19" t="inlineStr">
        <is>
          <t xml:space="preserve"> Other Costs</t>
        </is>
      </c>
      <c r="B45" s="57" t="n"/>
      <c r="C45" s="39" t="n"/>
      <c r="D45" s="3" t="n"/>
      <c r="E45" s="8" t="n"/>
      <c r="F45" s="15" t="inlineStr">
        <is>
          <t>Mapping based on I-JEDI and judgment</t>
        </is>
      </c>
    </row>
    <row r="46" ht="15.75" customHeight="1" thickBot="1">
      <c r="A46" s="20" t="inlineStr">
        <is>
          <t xml:space="preserve">  Environmental Mitigation</t>
        </is>
      </c>
      <c r="B46" s="58" t="n">
        <v>0</v>
      </c>
      <c r="C46" s="39">
        <f>B46/$B$52</f>
        <v/>
      </c>
      <c r="D46" s="42">
        <f>'OECD Mapping'!$A$38</f>
        <v/>
      </c>
      <c r="E46" s="7">
        <f>'OECD Mapping'!$B$38</f>
        <v/>
      </c>
      <c r="F46" s="15" t="inlineStr">
        <is>
          <t>Mapping based on I-JEDI and judgment</t>
        </is>
      </c>
    </row>
    <row r="47" ht="15.75" customHeight="1" thickBot="1">
      <c r="A47" s="20" t="inlineStr">
        <is>
          <t xml:space="preserve">  System Operator and Regulator Fees</t>
        </is>
      </c>
      <c r="B47" s="58" t="n">
        <v>0</v>
      </c>
      <c r="C47" s="39">
        <f>B47/$B$52</f>
        <v/>
      </c>
      <c r="D47" s="42">
        <f>'OECD Mapping'!$A$38</f>
        <v/>
      </c>
      <c r="E47" s="7">
        <f>'OECD Mapping'!$B$38</f>
        <v/>
      </c>
      <c r="F47" s="15" t="inlineStr">
        <is>
          <t>Mapping based on I-JEDI and judgment</t>
        </is>
      </c>
    </row>
    <row r="48" ht="15.75" customHeight="1" thickBot="1">
      <c r="A48" s="20" t="inlineStr">
        <is>
          <t xml:space="preserve">  Miscellanous Business Services and Utilities</t>
        </is>
      </c>
      <c r="B48" s="58" t="n">
        <v>0</v>
      </c>
      <c r="C48" s="39">
        <f>B48/$B$52</f>
        <v/>
      </c>
      <c r="D48" s="42">
        <f>'OECD Mapping'!$A$38</f>
        <v/>
      </c>
      <c r="E48" s="8">
        <f>'OECD Mapping'!$B$38</f>
        <v/>
      </c>
      <c r="F48" s="15" t="inlineStr">
        <is>
          <t>Mapping based on I-JEDI and judgment</t>
        </is>
      </c>
    </row>
    <row r="49" ht="15.75" customHeight="1" thickBot="1">
      <c r="A49" s="23" t="inlineStr">
        <is>
          <t xml:space="preserve">  Construction Insurance (Substation)</t>
        </is>
      </c>
      <c r="B49" s="58" t="n">
        <v>55500</v>
      </c>
      <c r="C49" s="39">
        <f>B49/$B$52</f>
        <v/>
      </c>
      <c r="D49" s="42">
        <f>'OECD Mapping'!A36</f>
        <v/>
      </c>
      <c r="E49" s="7">
        <f>'OECD Mapping'!B36</f>
        <v/>
      </c>
      <c r="F49" s="15" t="inlineStr">
        <is>
          <t>Mapping based on I-JEDI and judgment</t>
        </is>
      </c>
    </row>
    <row r="50" ht="15.75" customHeight="1" thickBot="1">
      <c r="A50" s="20" t="inlineStr">
        <is>
          <t xml:space="preserve"> Subtotal Other Costs</t>
        </is>
      </c>
      <c r="B50" s="58" t="n">
        <v>55500</v>
      </c>
      <c r="C50" s="39" t="n"/>
      <c r="D50" s="3" t="n"/>
      <c r="E50" s="7" t="n"/>
      <c r="F50" s="15" t="inlineStr">
        <is>
          <t>Mapping based on I-JEDI and judgment</t>
        </is>
      </c>
    </row>
    <row r="51" ht="15.75" customHeight="1" thickBot="1">
      <c r="A51" s="24" t="inlineStr">
        <is>
          <t xml:space="preserve"> Total Services/Other Costs</t>
        </is>
      </c>
      <c r="B51" s="62" t="n">
        <v>2512500</v>
      </c>
      <c r="C51" s="39" t="n"/>
      <c r="D51" s="3" t="n"/>
      <c r="E51" s="8" t="n"/>
      <c r="F51" s="15" t="inlineStr">
        <is>
          <t>Mapping based on I-JEDI and judgment</t>
        </is>
      </c>
    </row>
    <row r="52" ht="15.75" customHeight="1" thickBot="1">
      <c r="A52" s="17" t="inlineStr">
        <is>
          <t>Subtotal All Costs (without sales tax)</t>
        </is>
      </c>
      <c r="B52" s="55" t="n">
        <v>28851936.54349248</v>
      </c>
      <c r="C52" s="39" t="n"/>
      <c r="D52" s="3" t="n"/>
      <c r="E52" s="7" t="n"/>
      <c r="F52" s="15" t="inlineStr">
        <is>
          <t>Mapping based on I-JEDI and judgment</t>
        </is>
      </c>
    </row>
    <row r="53" ht="15.75" customHeight="1" thickBot="1">
      <c r="A53" s="25" t="inlineStr">
        <is>
          <t>Sales Tax (Materials &amp; Equipment Purchases)</t>
        </is>
      </c>
      <c r="B53" s="63" t="n">
        <v>1007500</v>
      </c>
      <c r="C53" s="39" t="n"/>
      <c r="D53" s="3" t="n"/>
      <c r="E53" s="7" t="n"/>
      <c r="F53" s="15" t="inlineStr">
        <is>
          <t>Mapping based on I-JEDI and judgment</t>
        </is>
      </c>
    </row>
    <row r="54">
      <c r="A54" s="19" t="inlineStr">
        <is>
          <t>Total Project Cost</t>
        </is>
      </c>
      <c r="B54" s="19" t="n">
        <v>29859436.54349248</v>
      </c>
    </row>
    <row r="55">
      <c r="C55" s="40" t="n"/>
    </row>
    <row r="56">
      <c r="C56" s="40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Q10"/>
  <sheetViews>
    <sheetView workbookViewId="0">
      <selection activeCell="E35" sqref="E35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44" t="inlineStr">
        <is>
          <t>Unit: dimensionless (% of costs)</t>
        </is>
      </c>
      <c r="B1" s="43" t="inlineStr">
        <is>
          <t>ISIC 01T03</t>
        </is>
      </c>
      <c r="C1" s="43" t="inlineStr">
        <is>
          <t>ISIC 05</t>
        </is>
      </c>
      <c r="D1" s="43" t="inlineStr">
        <is>
          <t>ISIC 06</t>
        </is>
      </c>
      <c r="E1" s="43" t="inlineStr">
        <is>
          <t>ISIC 07T08</t>
        </is>
      </c>
      <c r="F1" s="43" t="inlineStr">
        <is>
          <t>ISIC 09</t>
        </is>
      </c>
      <c r="G1" s="43" t="inlineStr">
        <is>
          <t>ISIC 10T12</t>
        </is>
      </c>
      <c r="H1" s="43" t="inlineStr">
        <is>
          <t>ISIC 13T15</t>
        </is>
      </c>
      <c r="I1" s="43" t="inlineStr">
        <is>
          <t>ISIC 16</t>
        </is>
      </c>
      <c r="J1" s="43" t="inlineStr">
        <is>
          <t>ISIC 17T18</t>
        </is>
      </c>
      <c r="K1" s="43" t="inlineStr">
        <is>
          <t>ISIC 19</t>
        </is>
      </c>
      <c r="L1" s="43" t="inlineStr">
        <is>
          <t>ISIC 20</t>
        </is>
      </c>
      <c r="M1" s="43" t="inlineStr">
        <is>
          <t>ISIC 21</t>
        </is>
      </c>
      <c r="N1" s="43" t="inlineStr">
        <is>
          <t>ISIC 22</t>
        </is>
      </c>
      <c r="O1" s="43" t="inlineStr">
        <is>
          <t>ISIC 231</t>
        </is>
      </c>
      <c r="P1" s="43" t="inlineStr">
        <is>
          <t>ISIC 239</t>
        </is>
      </c>
      <c r="Q1" s="43" t="inlineStr">
        <is>
          <t>ISIC 241</t>
        </is>
      </c>
      <c r="R1" s="43" t="inlineStr">
        <is>
          <t>ISIC 242</t>
        </is>
      </c>
      <c r="S1" s="43" t="inlineStr">
        <is>
          <t>ISIC 25</t>
        </is>
      </c>
      <c r="T1" s="43" t="inlineStr">
        <is>
          <t>ISIC 26</t>
        </is>
      </c>
      <c r="U1" s="43" t="inlineStr">
        <is>
          <t>ISIC 27</t>
        </is>
      </c>
      <c r="V1" s="43" t="inlineStr">
        <is>
          <t>ISIC 28</t>
        </is>
      </c>
      <c r="W1" s="43" t="inlineStr">
        <is>
          <t>ISIC 29</t>
        </is>
      </c>
      <c r="X1" s="43" t="inlineStr">
        <is>
          <t>ISIC 30</t>
        </is>
      </c>
      <c r="Y1" s="43" t="inlineStr">
        <is>
          <t>ISIC 31T33</t>
        </is>
      </c>
      <c r="Z1" s="43" t="inlineStr">
        <is>
          <t>ISIC 351</t>
        </is>
      </c>
      <c r="AA1" s="43" t="inlineStr">
        <is>
          <t>ISIC 352T353</t>
        </is>
      </c>
      <c r="AB1" s="43" t="inlineStr">
        <is>
          <t>ISIC 36T39</t>
        </is>
      </c>
      <c r="AC1" s="43" t="inlineStr">
        <is>
          <t>ISIC 41T43</t>
        </is>
      </c>
      <c r="AD1" s="43" t="inlineStr">
        <is>
          <t>ISIC 45T47</t>
        </is>
      </c>
      <c r="AE1" s="43" t="inlineStr">
        <is>
          <t>ISIC 49T53</t>
        </is>
      </c>
      <c r="AF1" s="43" t="inlineStr">
        <is>
          <t>ISIC 55T56</t>
        </is>
      </c>
      <c r="AG1" s="43" t="inlineStr">
        <is>
          <t>ISIC 58T60</t>
        </is>
      </c>
      <c r="AH1" s="43" t="inlineStr">
        <is>
          <t>ISIC 61</t>
        </is>
      </c>
      <c r="AI1" s="43" t="inlineStr">
        <is>
          <t>ISIC 62T63</t>
        </is>
      </c>
      <c r="AJ1" s="43" t="inlineStr">
        <is>
          <t>ISIC 64T66</t>
        </is>
      </c>
      <c r="AK1" s="43" t="inlineStr">
        <is>
          <t>ISIC 68</t>
        </is>
      </c>
      <c r="AL1" s="43" t="inlineStr">
        <is>
          <t>ISIC 69T82</t>
        </is>
      </c>
      <c r="AM1" s="43" t="inlineStr">
        <is>
          <t>ISIC 84</t>
        </is>
      </c>
      <c r="AN1" s="43" t="inlineStr">
        <is>
          <t>ISIC 85</t>
        </is>
      </c>
      <c r="AO1" s="43" t="inlineStr">
        <is>
          <t>ISIC 86T88</t>
        </is>
      </c>
      <c r="AP1" s="43" t="inlineStr">
        <is>
          <t>ISIC 90T96</t>
        </is>
      </c>
      <c r="AQ1" s="43" t="inlineStr">
        <is>
          <t>ISIC 97T98</t>
        </is>
      </c>
    </row>
    <row r="2">
      <c r="A2" t="inlineStr">
        <is>
          <t>transmission costs</t>
        </is>
      </c>
      <c r="B2" s="64">
        <f>SUMIF('Cost Breakdowns'!$E$3:$E$49,SoTaDCCbIC!B$1,'Cost Breakdowns'!$C$3:$C$49)</f>
        <v/>
      </c>
      <c r="C2" s="64">
        <f>SUMIF('Cost Breakdowns'!$E$3:$E$49,SoTaDCCbIC!C$1,'Cost Breakdowns'!$C$3:$C$49)</f>
        <v/>
      </c>
      <c r="D2" s="64">
        <f>SUMIF('Cost Breakdowns'!$E$3:$E$49,SoTaDCCbIC!D$1,'Cost Breakdowns'!$C$3:$C$49)</f>
        <v/>
      </c>
      <c r="E2" s="64">
        <f>SUMIF('Cost Breakdowns'!$E$3:$E$49,SoTaDCCbIC!E$1,'Cost Breakdowns'!$C$3:$C$49)</f>
        <v/>
      </c>
      <c r="F2" s="64">
        <f>SUMIF('Cost Breakdowns'!$E$3:$E$49,SoTaDCCbIC!F$1,'Cost Breakdowns'!$C$3:$C$49)</f>
        <v/>
      </c>
      <c r="G2" s="64">
        <f>SUMIF('Cost Breakdowns'!$E$3:$E$49,SoTaDCCbIC!G$1,'Cost Breakdowns'!$C$3:$C$49)</f>
        <v/>
      </c>
      <c r="H2" s="64">
        <f>SUMIF('Cost Breakdowns'!$E$3:$E$49,SoTaDCCbIC!H$1,'Cost Breakdowns'!$C$3:$C$49)</f>
        <v/>
      </c>
      <c r="I2" s="64">
        <f>SUMIF('Cost Breakdowns'!$E$3:$E$49,SoTaDCCbIC!I$1,'Cost Breakdowns'!$C$3:$C$49)</f>
        <v/>
      </c>
      <c r="J2" s="64">
        <f>SUMIF('Cost Breakdowns'!$E$3:$E$49,SoTaDCCbIC!J$1,'Cost Breakdowns'!$C$3:$C$49)</f>
        <v/>
      </c>
      <c r="K2" s="64">
        <f>SUMIF('Cost Breakdowns'!$E$3:$E$49,SoTaDCCbIC!K$1,'Cost Breakdowns'!$C$3:$C$49)</f>
        <v/>
      </c>
      <c r="L2" s="64">
        <f>SUMIF('Cost Breakdowns'!$E$3:$E$49,SoTaDCCbIC!L$1,'Cost Breakdowns'!$C$3:$C$49)</f>
        <v/>
      </c>
      <c r="M2" s="64">
        <f>SUMIF('Cost Breakdowns'!$E$3:$E$49,SoTaDCCbIC!M$1,'Cost Breakdowns'!$C$3:$C$49)</f>
        <v/>
      </c>
      <c r="N2" s="64">
        <f>SUMIF('Cost Breakdowns'!$E$3:$E$49,SoTaDCCbIC!N$1,'Cost Breakdowns'!$C$3:$C$49)</f>
        <v/>
      </c>
      <c r="O2" s="64">
        <f>SUMIF('Cost Breakdowns'!$E$3:$E$49,SoTaDCCbIC!O$1,'Cost Breakdowns'!$C$3:$C$49)</f>
        <v/>
      </c>
      <c r="P2" s="64">
        <f>SUMIF('Cost Breakdowns'!$E$3:$E$49,SoTaDCCbIC!P$1,'Cost Breakdowns'!$C$3:$C$49)</f>
        <v/>
      </c>
      <c r="Q2" s="64">
        <f>SUMIF('Cost Breakdowns'!$E$3:$E$49,SoTaDCCbIC!Q$1,'Cost Breakdowns'!$C$3:$C$49)</f>
        <v/>
      </c>
      <c r="R2" s="64">
        <f>SUMIF('Cost Breakdowns'!$E$3:$E$49,SoTaDCCbIC!R$1,'Cost Breakdowns'!$C$3:$C$49)</f>
        <v/>
      </c>
      <c r="S2" s="64">
        <f>SUMIF('Cost Breakdowns'!$E$3:$E$49,SoTaDCCbIC!S$1,'Cost Breakdowns'!$C$3:$C$49)</f>
        <v/>
      </c>
      <c r="T2" s="64">
        <f>SUMIF('Cost Breakdowns'!$E$3:$E$49,SoTaDCCbIC!T$1,'Cost Breakdowns'!$C$3:$C$49)</f>
        <v/>
      </c>
      <c r="U2" s="64">
        <f>SUMIF('Cost Breakdowns'!$E$3:$E$49,SoTaDCCbIC!U$1,'Cost Breakdowns'!$C$3:$C$49)</f>
        <v/>
      </c>
      <c r="V2" s="64">
        <f>SUMIF('Cost Breakdowns'!$E$3:$E$49,SoTaDCCbIC!V$1,'Cost Breakdowns'!$C$3:$C$49)</f>
        <v/>
      </c>
      <c r="W2" s="64">
        <f>SUMIF('Cost Breakdowns'!$E$3:$E$49,SoTaDCCbIC!W$1,'Cost Breakdowns'!$C$3:$C$49)</f>
        <v/>
      </c>
      <c r="X2" s="64">
        <f>SUMIF('Cost Breakdowns'!$E$3:$E$49,SoTaDCCbIC!X$1,'Cost Breakdowns'!$C$3:$C$49)</f>
        <v/>
      </c>
      <c r="Y2" s="64">
        <f>SUMIF('Cost Breakdowns'!$E$3:$E$49,SoTaDCCbIC!Y$1,'Cost Breakdowns'!$C$3:$C$49)</f>
        <v/>
      </c>
      <c r="Z2" s="64">
        <f>SUMIF('Cost Breakdowns'!$E$3:$E$49,SoTaDCCbIC!Z$1,'Cost Breakdowns'!$C$3:$C$49)</f>
        <v/>
      </c>
      <c r="AA2" s="64">
        <f>SUMIF('Cost Breakdowns'!$E$3:$E$49,SoTaDCCbIC!AA$1,'Cost Breakdowns'!$C$3:$C$49)</f>
        <v/>
      </c>
      <c r="AB2" s="64">
        <f>SUMIF('Cost Breakdowns'!$E$3:$E$49,SoTaDCCbIC!AB$1,'Cost Breakdowns'!$C$3:$C$49)</f>
        <v/>
      </c>
      <c r="AC2" s="64">
        <f>SUMIF('Cost Breakdowns'!$E$3:$E$49,SoTaDCCbIC!AC$1,'Cost Breakdowns'!$C$3:$C$49)</f>
        <v/>
      </c>
      <c r="AD2" s="64">
        <f>SUMIF('Cost Breakdowns'!$E$3:$E$49,SoTaDCCbIC!AD$1,'Cost Breakdowns'!$C$3:$C$49)</f>
        <v/>
      </c>
      <c r="AE2" s="64">
        <f>SUMIF('Cost Breakdowns'!$E$3:$E$49,SoTaDCCbIC!AE$1,'Cost Breakdowns'!$C$3:$C$49)</f>
        <v/>
      </c>
      <c r="AF2" s="64">
        <f>SUMIF('Cost Breakdowns'!$E$3:$E$49,SoTaDCCbIC!AF$1,'Cost Breakdowns'!$C$3:$C$49)</f>
        <v/>
      </c>
      <c r="AG2" s="64">
        <f>SUMIF('Cost Breakdowns'!$E$3:$E$49,SoTaDCCbIC!AG$1,'Cost Breakdowns'!$C$3:$C$49)</f>
        <v/>
      </c>
      <c r="AH2" s="64">
        <f>SUMIF('Cost Breakdowns'!$E$3:$E$49,SoTaDCCbIC!AH$1,'Cost Breakdowns'!$C$3:$C$49)</f>
        <v/>
      </c>
      <c r="AI2" s="64">
        <f>SUMIF('Cost Breakdowns'!$E$3:$E$49,SoTaDCCbIC!AI$1,'Cost Breakdowns'!$C$3:$C$49)</f>
        <v/>
      </c>
      <c r="AJ2" s="64">
        <f>SUMIF('Cost Breakdowns'!$E$3:$E$49,SoTaDCCbIC!AJ$1,'Cost Breakdowns'!$C$3:$C$49)</f>
        <v/>
      </c>
      <c r="AK2" s="64">
        <f>SUMIF('Cost Breakdowns'!$E$3:$E$49,SoTaDCCbIC!AK$1,'Cost Breakdowns'!$C$3:$C$49)</f>
        <v/>
      </c>
      <c r="AL2" s="64">
        <f>SUMIF('Cost Breakdowns'!$E$3:$E$49,SoTaDCCbIC!AL$1,'Cost Breakdowns'!$C$3:$C$49)</f>
        <v/>
      </c>
      <c r="AM2" s="64">
        <f>SUMIF('Cost Breakdowns'!$E$3:$E$49,SoTaDCCbIC!AM$1,'Cost Breakdowns'!$C$3:$C$49)</f>
        <v/>
      </c>
      <c r="AN2" s="64">
        <f>SUMIF('Cost Breakdowns'!$E$3:$E$49,SoTaDCCbIC!AN$1,'Cost Breakdowns'!$C$3:$C$49)</f>
        <v/>
      </c>
      <c r="AO2" s="64">
        <f>SUMIF('Cost Breakdowns'!$E$3:$E$49,SoTaDCCbIC!AO$1,'Cost Breakdowns'!$C$3:$C$49)</f>
        <v/>
      </c>
      <c r="AP2" s="64">
        <f>SUMIF('Cost Breakdowns'!$E$3:$E$49,SoTaDCCbIC!AP$1,'Cost Breakdowns'!$C$3:$C$49)</f>
        <v/>
      </c>
      <c r="AQ2" s="64">
        <f>SUMIF('Cost Breakdowns'!$E$3:$E$49,SoTaDCCbIC!AQ$1,'Cost Breakdowns'!$C$3:$C$49)</f>
        <v/>
      </c>
    </row>
    <row r="10">
      <c r="F10" s="64" t="n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2026-07-21T20:48:08Z</dcterms:modified>
  <cp:lastModifiedBy>Megan Mahajan</cp:lastModifiedBy>
</cp:coreProperties>
</file>