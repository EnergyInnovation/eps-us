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elec\SoECRbA\"/>
    </mc:Choice>
  </mc:AlternateContent>
  <xr:revisionPtr revIDLastSave="0" documentId="13_ncr:1_{ACDB51B3-5683-4C37-9916-9B9CA925CF79}" xr6:coauthVersionLast="47" xr6:coauthVersionMax="47" xr10:uidLastSave="{00000000-0000-0000-0000-000000000000}"/>
  <bookViews>
    <workbookView xWindow="-28020" yWindow="780" windowWidth="21600" windowHeight="12645" xr2:uid="{00000000-000D-0000-FFFF-FFFF00000000}"/>
  </bookViews>
  <sheets>
    <sheet name="About" sheetId="1" r:id="rId1"/>
    <sheet name="calcs" sheetId="3" r:id="rId2"/>
    <sheet name="SoECRb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15" i="2" l="1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CX8" i="2"/>
  <c r="CW8" i="2"/>
  <c r="CV8" i="2"/>
  <c r="CU8" i="2"/>
  <c r="CT8" i="2"/>
  <c r="CS8" i="2"/>
  <c r="CR8" i="2"/>
  <c r="CQ8" i="2"/>
  <c r="CP8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CX7" i="2"/>
  <c r="CW7" i="2"/>
  <c r="CV7" i="2"/>
  <c r="CU7" i="2"/>
  <c r="CT7" i="2"/>
  <c r="CS7" i="2"/>
  <c r="CR7" i="2"/>
  <c r="CQ7" i="2"/>
  <c r="CP7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B8" i="2"/>
  <c r="D6" i="3"/>
  <c r="D5" i="3"/>
  <c r="C4" i="3"/>
  <c r="C3" i="3"/>
  <c r="AP6" i="3"/>
  <c r="AO6" i="3"/>
  <c r="AN6" i="3"/>
  <c r="AM6" i="3"/>
  <c r="AL6" i="3"/>
  <c r="AK6" i="3"/>
  <c r="AJ6" i="3"/>
  <c r="AI6" i="3"/>
  <c r="AH6" i="3"/>
  <c r="AG6" i="3"/>
  <c r="T6" i="3"/>
  <c r="S6" i="3"/>
  <c r="R6" i="3"/>
  <c r="Q6" i="3"/>
  <c r="P6" i="3"/>
  <c r="O6" i="3"/>
  <c r="N6" i="3"/>
  <c r="M6" i="3"/>
  <c r="L6" i="3"/>
  <c r="K6" i="3"/>
  <c r="AV5" i="3"/>
  <c r="AU5" i="3"/>
  <c r="AT5" i="3"/>
  <c r="AS5" i="3"/>
  <c r="AR5" i="3"/>
  <c r="AQ5" i="3"/>
  <c r="AP5" i="3"/>
  <c r="AO5" i="3"/>
  <c r="AN5" i="3"/>
  <c r="AM5" i="3"/>
  <c r="AL5" i="3"/>
  <c r="Z5" i="3"/>
  <c r="Y5" i="3"/>
  <c r="X5" i="3"/>
  <c r="W5" i="3"/>
  <c r="V5" i="3"/>
  <c r="U5" i="3"/>
  <c r="T5" i="3"/>
  <c r="S5" i="3"/>
  <c r="R5" i="3"/>
  <c r="Q5" i="3"/>
  <c r="P5" i="3"/>
  <c r="AZ4" i="3"/>
  <c r="AZ6" i="3" s="1"/>
  <c r="AY4" i="3"/>
  <c r="AY6" i="3" s="1"/>
  <c r="AX4" i="3"/>
  <c r="AX6" i="3" s="1"/>
  <c r="AW4" i="3"/>
  <c r="AW6" i="3" s="1"/>
  <c r="AV4" i="3"/>
  <c r="AV6" i="3" s="1"/>
  <c r="AU4" i="3"/>
  <c r="AU6" i="3" s="1"/>
  <c r="AT4" i="3"/>
  <c r="AT6" i="3" s="1"/>
  <c r="AS4" i="3"/>
  <c r="AS6" i="3" s="1"/>
  <c r="AR4" i="3"/>
  <c r="AR6" i="3" s="1"/>
  <c r="AQ4" i="3"/>
  <c r="AQ6" i="3" s="1"/>
  <c r="AP4" i="3"/>
  <c r="AO4" i="3"/>
  <c r="AN4" i="3"/>
  <c r="AM4" i="3"/>
  <c r="AL4" i="3"/>
  <c r="AK4" i="3"/>
  <c r="AJ4" i="3"/>
  <c r="AI4" i="3"/>
  <c r="AH4" i="3"/>
  <c r="AG4" i="3"/>
  <c r="AF4" i="3"/>
  <c r="AF6" i="3" s="1"/>
  <c r="AE4" i="3"/>
  <c r="AE6" i="3" s="1"/>
  <c r="AD4" i="3"/>
  <c r="AD6" i="3" s="1"/>
  <c r="AC4" i="3"/>
  <c r="AC6" i="3" s="1"/>
  <c r="AB4" i="3"/>
  <c r="AB6" i="3" s="1"/>
  <c r="AA4" i="3"/>
  <c r="AA6" i="3" s="1"/>
  <c r="Z4" i="3"/>
  <c r="Z6" i="3" s="1"/>
  <c r="Y4" i="3"/>
  <c r="Y6" i="3" s="1"/>
  <c r="X4" i="3"/>
  <c r="X6" i="3" s="1"/>
  <c r="W4" i="3"/>
  <c r="W6" i="3" s="1"/>
  <c r="V4" i="3"/>
  <c r="V6" i="3" s="1"/>
  <c r="U4" i="3"/>
  <c r="U6" i="3" s="1"/>
  <c r="T4" i="3"/>
  <c r="S4" i="3"/>
  <c r="R4" i="3"/>
  <c r="Q4" i="3"/>
  <c r="P4" i="3"/>
  <c r="O4" i="3"/>
  <c r="N4" i="3"/>
  <c r="M4" i="3"/>
  <c r="L4" i="3"/>
  <c r="K4" i="3"/>
  <c r="J4" i="3"/>
  <c r="J6" i="3" s="1"/>
  <c r="I4" i="3"/>
  <c r="I6" i="3" s="1"/>
  <c r="H4" i="3"/>
  <c r="H6" i="3" s="1"/>
  <c r="G4" i="3"/>
  <c r="G6" i="3" s="1"/>
  <c r="F4" i="3"/>
  <c r="F6" i="3" s="1"/>
  <c r="E4" i="3"/>
  <c r="E6" i="3" s="1"/>
  <c r="D4" i="3"/>
  <c r="AZ3" i="3"/>
  <c r="AZ5" i="3" s="1"/>
  <c r="AY3" i="3"/>
  <c r="AY5" i="3" s="1"/>
  <c r="AX3" i="3"/>
  <c r="AX5" i="3" s="1"/>
  <c r="AW3" i="3"/>
  <c r="AW5" i="3" s="1"/>
  <c r="AV3" i="3"/>
  <c r="AU3" i="3"/>
  <c r="AT3" i="3"/>
  <c r="AS3" i="3"/>
  <c r="AR3" i="3"/>
  <c r="AQ3" i="3"/>
  <c r="AP3" i="3"/>
  <c r="AO3" i="3"/>
  <c r="AN3" i="3"/>
  <c r="AM3" i="3"/>
  <c r="AL3" i="3"/>
  <c r="AK3" i="3"/>
  <c r="AK5" i="3" s="1"/>
  <c r="AJ3" i="3"/>
  <c r="AJ5" i="3" s="1"/>
  <c r="AI3" i="3"/>
  <c r="AI5" i="3" s="1"/>
  <c r="AH3" i="3"/>
  <c r="AH5" i="3" s="1"/>
  <c r="AG3" i="3"/>
  <c r="AG5" i="3" s="1"/>
  <c r="AF3" i="3"/>
  <c r="AF5" i="3" s="1"/>
  <c r="AE3" i="3"/>
  <c r="AE5" i="3" s="1"/>
  <c r="AD3" i="3"/>
  <c r="AD5" i="3" s="1"/>
  <c r="AC3" i="3"/>
  <c r="AC5" i="3" s="1"/>
  <c r="AB3" i="3"/>
  <c r="AB5" i="3" s="1"/>
  <c r="AA3" i="3"/>
  <c r="AA5" i="3" s="1"/>
  <c r="Z3" i="3"/>
  <c r="Y3" i="3"/>
  <c r="X3" i="3"/>
  <c r="W3" i="3"/>
  <c r="V3" i="3"/>
  <c r="U3" i="3"/>
  <c r="T3" i="3"/>
  <c r="S3" i="3"/>
  <c r="R3" i="3"/>
  <c r="Q3" i="3"/>
  <c r="P3" i="3"/>
  <c r="O3" i="3"/>
  <c r="O5" i="3" s="1"/>
  <c r="N3" i="3"/>
  <c r="N5" i="3" s="1"/>
  <c r="M3" i="3"/>
  <c r="M5" i="3" s="1"/>
  <c r="L3" i="3"/>
  <c r="L5" i="3" s="1"/>
  <c r="K3" i="3"/>
  <c r="K5" i="3" s="1"/>
  <c r="J3" i="3"/>
  <c r="J5" i="3" s="1"/>
  <c r="I3" i="3"/>
  <c r="I5" i="3" s="1"/>
  <c r="H3" i="3"/>
  <c r="H5" i="3" s="1"/>
  <c r="G3" i="3"/>
  <c r="G5" i="3" s="1"/>
  <c r="F3" i="3"/>
  <c r="F5" i="3" s="1"/>
  <c r="E3" i="3"/>
  <c r="E5" i="3" s="1"/>
  <c r="D3" i="3"/>
</calcChain>
</file>

<file path=xl/sharedStrings.xml><?xml version="1.0" encoding="utf-8"?>
<sst xmlns="http://schemas.openxmlformats.org/spreadsheetml/2006/main" count="144" uniqueCount="143">
  <si>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</si>
  <si>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</si>
  <si>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</si>
  <si>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</si>
  <si>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</si>
  <si>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</si>
  <si>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</si>
  <si>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</si>
  <si>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</si>
  <si>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</si>
  <si>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</si>
  <si>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</si>
  <si>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</si>
  <si>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</si>
  <si>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</si>
  <si>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</si>
  <si>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</si>
  <si>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</si>
  <si>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</si>
  <si>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</si>
  <si>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</si>
  <si>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</si>
  <si>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</si>
  <si>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</si>
  <si>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electricity source and age</t>
  </si>
  <si>
    <t>age0</t>
  </si>
  <si>
    <t>age1</t>
  </si>
  <si>
    <t>age</t>
  </si>
  <si>
    <t>solar</t>
  </si>
  <si>
    <t>wind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</si>
  <si>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</si>
  <si>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</si>
  <si>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</si>
  <si>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</si>
  <si>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</si>
  <si>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</si>
  <si>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</si>
  <si>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</si>
  <si>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</si>
  <si>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</si>
  <si>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</si>
  <si>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</si>
  <si>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</si>
  <si>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</si>
  <si>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</si>
  <si>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</si>
  <si>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</si>
  <si>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</si>
  <si>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</si>
  <si>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</si>
  <si>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</si>
  <si>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</si>
  <si>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</si>
  <si>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</si>
  <si>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</si>
  <si>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</si>
  <si>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</si>
  <si>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</si>
  <si>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</si>
  <si>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age31</t>
  </si>
  <si>
    <t>age32</t>
  </si>
  <si>
    <t>age33</t>
  </si>
  <si>
    <t>age34</t>
  </si>
  <si>
    <t>age35</t>
  </si>
  <si>
    <t>age36</t>
  </si>
  <si>
    <t>age37</t>
  </si>
  <si>
    <t>age38</t>
  </si>
  <si>
    <t>age39</t>
  </si>
  <si>
    <t>age40</t>
  </si>
  <si>
    <t>age41</t>
  </si>
  <si>
    <t>age42</t>
  </si>
  <si>
    <t>age43</t>
  </si>
  <si>
    <t>age44</t>
  </si>
  <si>
    <t>age45</t>
  </si>
  <si>
    <t>age46</t>
  </si>
  <si>
    <t>age47</t>
  </si>
  <si>
    <t>age48</t>
  </si>
  <si>
    <t>age49</t>
  </si>
  <si>
    <t>age50</t>
  </si>
  <si>
    <t>age51</t>
  </si>
  <si>
    <t>age52</t>
  </si>
  <si>
    <t>age53</t>
  </si>
  <si>
    <t>age54</t>
  </si>
  <si>
    <t>age55</t>
  </si>
  <si>
    <t>age56</t>
  </si>
  <si>
    <t>age57</t>
  </si>
  <si>
    <t>age58</t>
  </si>
  <si>
    <t>age59</t>
  </si>
  <si>
    <t>age60</t>
  </si>
  <si>
    <t>age61</t>
  </si>
  <si>
    <t>age62</t>
  </si>
  <si>
    <t>age63</t>
  </si>
  <si>
    <t>age64</t>
  </si>
  <si>
    <t>age65</t>
  </si>
  <si>
    <t>age66</t>
  </si>
  <si>
    <t>age67</t>
  </si>
  <si>
    <t>age68</t>
  </si>
  <si>
    <t>age69</t>
  </si>
  <si>
    <t>age70</t>
  </si>
  <si>
    <t>age71</t>
  </si>
  <si>
    <t>age72</t>
  </si>
  <si>
    <t>age73</t>
  </si>
  <si>
    <t>age74</t>
  </si>
  <si>
    <t>age75</t>
  </si>
  <si>
    <t>age76</t>
  </si>
  <si>
    <t>age77</t>
  </si>
  <si>
    <t>age78</t>
  </si>
  <si>
    <t>age79</t>
  </si>
  <si>
    <t>age80</t>
  </si>
  <si>
    <t>age81</t>
  </si>
  <si>
    <t>age82</t>
  </si>
  <si>
    <t>age83</t>
  </si>
  <si>
    <t>age84</t>
  </si>
  <si>
    <t>age85</t>
  </si>
  <si>
    <t>age86</t>
  </si>
  <si>
    <t>age87</t>
  </si>
  <si>
    <t>age88</t>
  </si>
  <si>
    <t>age89</t>
  </si>
  <si>
    <t>age90</t>
  </si>
  <si>
    <t>age91</t>
  </si>
  <si>
    <t>age92</t>
  </si>
  <si>
    <t>age93</t>
  </si>
  <si>
    <t>age94</t>
  </si>
  <si>
    <t>age95</t>
  </si>
  <si>
    <t>age96</t>
  </si>
  <si>
    <t>age97</t>
  </si>
  <si>
    <t>age98</t>
  </si>
  <si>
    <t>age99</t>
  </si>
  <si>
    <t>age100</t>
  </si>
  <si>
    <t>solar cumulative retired</t>
  </si>
  <si>
    <t>wind cumulative retired</t>
  </si>
  <si>
    <t>solar this year retired</t>
  </si>
  <si>
    <t>wind this year retired</t>
  </si>
  <si>
    <t>(assumptions)</t>
  </si>
  <si>
    <t>S(t) = exp(−(t/η)^β)</t>
  </si>
  <si>
    <t>η</t>
  </si>
  <si>
    <t>β</t>
  </si>
  <si>
    <t>PMCRS Policy Mandated Capacity Retrofit Schedule</t>
  </si>
  <si>
    <t>Sources:</t>
  </si>
  <si>
    <t>Note:</t>
  </si>
  <si>
    <t>none</t>
  </si>
  <si>
    <t>This variable specifies the share of surviving capacity of a specific electricity source</t>
  </si>
  <si>
    <t>that is retired by age of the vintage.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</si>
</sst>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1" fillId="3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calcs!$B$3</c:f>
              <c:strCache>
                <c:ptCount val="1"/>
                <c:pt idx="0">
                  <c:v>solar cumulative retired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calcs!$C$2:$BA$2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calcs!$C$3:$BA$3</c:f>
              <c:numCache>
                <c:formatCode>General</c:formatCode>
                <c:ptCount val="51"/>
                <c:pt idx="0">
                  <c:v>0</c:v>
                </c:pt>
                <c:pt idx="1">
                  <c:v>4.1152262486576774E-8</c:v>
                </c:pt>
                <c:pt idx="2">
                  <c:v>1.316871560907984E-6</c:v>
                </c:pt>
                <c:pt idx="3">
                  <c:v>9.9999500001723973E-6</c:v>
                </c:pt>
                <c:pt idx="4">
                  <c:v>4.2139029821641749E-5</c:v>
                </c:pt>
                <c:pt idx="5">
                  <c:v>1.2859255431385552E-4</c:v>
                </c:pt>
                <c:pt idx="6">
                  <c:v>3.1994880546093452E-4</c:v>
                </c:pt>
                <c:pt idx="7">
                  <c:v>6.9140695851244161E-4</c:v>
                </c:pt>
                <c:pt idx="8">
                  <c:v>1.3475685791902725E-3</c:v>
                </c:pt>
                <c:pt idx="9">
                  <c:v>2.4270499400323997E-3</c:v>
                </c:pt>
                <c:pt idx="10">
                  <c:v>4.1067703968908909E-3</c:v>
                </c:pt>
                <c:pt idx="11">
                  <c:v>6.6056989802152355E-3</c:v>
                </c:pt>
                <c:pt idx="12">
                  <c:v>1.0187749699777426E-2</c:v>
                </c:pt>
                <c:pt idx="13">
                  <c:v>1.5163407316539756E-2</c:v>
                </c:pt>
                <c:pt idx="14">
                  <c:v>2.1889544261914473E-2</c:v>
                </c:pt>
                <c:pt idx="15">
                  <c:v>3.076676552365587E-2</c:v>
                </c:pt>
                <c:pt idx="16">
                  <c:v>4.2233507708321572E-2</c:v>
                </c:pt>
                <c:pt idx="17">
                  <c:v>5.6756045345705108E-2</c:v>
                </c:pt>
                <c:pt idx="18">
                  <c:v>7.4813555352983507E-2</c:v>
                </c:pt>
                <c:pt idx="19">
                  <c:v>9.6877502111535563E-2</c:v>
                </c:pt>
                <c:pt idx="20">
                  <c:v>0.12338488009829629</c:v>
                </c:pt>
                <c:pt idx="21">
                  <c:v>0.15470533801270059</c:v>
                </c:pt>
                <c:pt idx="22">
                  <c:v>0.19110294636511582</c:v>
                </c:pt>
                <c:pt idx="23">
                  <c:v>0.23269436992020565</c:v>
                </c:pt>
                <c:pt idx="24">
                  <c:v>0.27940642724187204</c:v>
                </c:pt>
                <c:pt idx="25">
                  <c:v>0.33093734733218128</c:v>
                </c:pt>
                <c:pt idx="26">
                  <c:v>0.3867272593851443</c:v>
                </c:pt>
                <c:pt idx="27">
                  <c:v>0.4459442690988904</c:v>
                </c:pt>
                <c:pt idx="28">
                  <c:v>0.50749250327432294</c:v>
                </c:pt>
                <c:pt idx="29">
                  <c:v>0.57004735564290299</c:v>
                </c:pt>
                <c:pt idx="30">
                  <c:v>0.63212055882855767</c:v>
                </c:pt>
                <c:pt idx="31">
                  <c:v>0.69215361244924756</c:v>
                </c:pt>
                <c:pt idx="32">
                  <c:v>0.74863289107934139</c:v>
                </c:pt>
                <c:pt idx="33">
                  <c:v>0.80021430261706838</c:v>
                </c:pt>
                <c:pt idx="34">
                  <c:v>0.84584096813769971</c:v>
                </c:pt>
                <c:pt idx="35">
                  <c:v>0.88483553397217274</c:v>
                </c:pt>
                <c:pt idx="36">
                  <c:v>0.91695062761288726</c:v>
                </c:pt>
                <c:pt idx="37">
                  <c:v>0.94236704744492317</c:v>
                </c:pt>
                <c:pt idx="38">
                  <c:v>0.96163871388620015</c:v>
                </c:pt>
                <c:pt idx="39">
                  <c:v>0.9755940909055304</c:v>
                </c:pt>
                <c:pt idx="40">
                  <c:v>0.98521277681748209</c:v>
                </c:pt>
                <c:pt idx="41">
                  <c:v>0.99150047413066056</c:v>
                </c:pt>
                <c:pt idx="42">
                  <c:v>0.99538406116262723</c:v>
                </c:pt>
                <c:pt idx="43">
                  <c:v>0.99764150167304644</c:v>
                </c:pt>
                <c:pt idx="44">
                  <c:v>0.99887128547779391</c:v>
                </c:pt>
                <c:pt idx="45">
                  <c:v>0.99949641095026309</c:v>
                </c:pt>
                <c:pt idx="46">
                  <c:v>0.99979155652023644</c:v>
                </c:pt>
                <c:pt idx="47">
                  <c:v>0.99992036573808774</c:v>
                </c:pt>
                <c:pt idx="48">
                  <c:v>0.99997206862642452</c:v>
                </c:pt>
                <c:pt idx="49">
                  <c:v>0.99999105571559477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33-46CC-87DC-4AE0C0E5008B}"/>
            </c:ext>
          </c:extLst>
        </c:ser>
        <c:ser>
          <c:idx val="1"/>
          <c:order val="1"/>
          <c:tx>
            <c:strRef>
              <c:f>calcs!$B$4</c:f>
              <c:strCache>
                <c:ptCount val="1"/>
                <c:pt idx="0">
                  <c:v>wind cumulative retired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calcs!$C$2:$BA$2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calcs!$C$4:$BA$4</c:f>
              <c:numCache>
                <c:formatCode>General</c:formatCode>
                <c:ptCount val="51"/>
                <c:pt idx="0">
                  <c:v>0</c:v>
                </c:pt>
                <c:pt idx="1">
                  <c:v>1.6269249573097611E-6</c:v>
                </c:pt>
                <c:pt idx="2">
                  <c:v>2.6030481692584928E-5</c:v>
                </c:pt>
                <c:pt idx="3">
                  <c:v>1.3177234599970333E-4</c:v>
                </c:pt>
                <c:pt idx="4">
                  <c:v>4.1640640664064588E-4</c:v>
                </c:pt>
                <c:pt idx="5">
                  <c:v>1.0163121300948985E-3</c:v>
                </c:pt>
                <c:pt idx="6">
                  <c:v>2.1062751426352833E-3</c:v>
                </c:pt>
                <c:pt idx="7">
                  <c:v>3.8986305298824853E-3</c:v>
                </c:pt>
                <c:pt idx="8">
                  <c:v>6.6417355695238545E-3</c:v>
                </c:pt>
                <c:pt idx="9">
                  <c:v>1.0617495543286726E-2</c:v>
                </c:pt>
                <c:pt idx="10">
                  <c:v>1.6137633156895759E-2</c:v>
                </c:pt>
                <c:pt idx="11">
                  <c:v>2.3538374729767275E-2</c:v>
                </c:pt>
                <c:pt idx="12">
                  <c:v>3.3173232035190625E-2</c:v>
                </c:pt>
                <c:pt idx="13">
                  <c:v>4.540359606039468E-2</c:v>
                </c:pt>
                <c:pt idx="14">
                  <c:v>6.0586937186524192E-2</c:v>
                </c:pt>
                <c:pt idx="15">
                  <c:v>7.9062533992855011E-2</c:v>
                </c:pt>
                <c:pt idx="16">
                  <c:v>0.1011348364913025</c:v>
                </c:pt>
                <c:pt idx="17">
                  <c:v>0.12705481111130768</c:v>
                </c:pt>
                <c:pt idx="18">
                  <c:v>0.15699990917871565</c:v>
                </c:pt>
                <c:pt idx="19">
                  <c:v>0.1910536332277194</c:v>
                </c:pt>
                <c:pt idx="20">
                  <c:v>0.2291860194671661</c:v>
                </c:pt>
                <c:pt idx="21">
                  <c:v>0.27123667008050878</c:v>
                </c:pt>
                <c:pt idx="22">
                  <c:v>0.3169022033841058</c:v>
                </c:pt>
                <c:pt idx="23">
                  <c:v>0.36573008221984049</c:v>
                </c:pt>
                <c:pt idx="24">
                  <c:v>0.4171206691394852</c:v>
                </c:pt>
                <c:pt idx="25">
                  <c:v>0.47033898870843349</c:v>
                </c:pt>
                <c:pt idx="26">
                  <c:v>0.52453702434549954</c:v>
                </c:pt>
                <c:pt idx="27">
                  <c:v>0.57878645012675634</c:v>
                </c:pt>
                <c:pt idx="28">
                  <c:v>0.63212055882855767</c:v>
                </c:pt>
                <c:pt idx="29">
                  <c:v>0.68358291509762625</c:v>
                </c:pt>
                <c:pt idx="30">
                  <c:v>0.73227910758884684</c:v>
                </c:pt>
                <c:pt idx="31">
                  <c:v>0.77742709891042694</c:v>
                </c:pt>
                <c:pt idx="32">
                  <c:v>0.81840127826219322</c:v>
                </c:pt>
                <c:pt idx="33">
                  <c:v>0.85476556393868819</c:v>
                </c:pt>
                <c:pt idx="34">
                  <c:v>0.8862918451483166</c:v>
                </c:pt>
                <c:pt idx="35">
                  <c:v>0.91296163234377647</c:v>
                </c:pt>
                <c:pt idx="36">
                  <c:v>0.93495080257466867</c:v>
                </c:pt>
                <c:pt idx="37">
                  <c:v>0.95259946603184786</c:v>
                </c:pt>
                <c:pt idx="38">
                  <c:v>0.96637086777859671</c:v>
                </c:pt>
                <c:pt idx="39">
                  <c:v>0.97680452266537654</c:v>
                </c:pt>
                <c:pt idx="40">
                  <c:v>0.98446921784000008</c:v>
                </c:pt>
                <c:pt idx="41">
                  <c:v>0.9899210363479729</c:v>
                </c:pt>
                <c:pt idx="42">
                  <c:v>0.99367028457251427</c:v>
                </c:pt>
                <c:pt idx="43">
                  <c:v>0.99615944040616833</c:v>
                </c:pt>
                <c:pt idx="44">
                  <c:v>0.99775236310831383</c:v>
                </c:pt>
                <c:pt idx="45">
                  <c:v>0.99873339423186591</c:v>
                </c:pt>
                <c:pt idx="46">
                  <c:v>0.99931390251721652</c:v>
                </c:pt>
                <c:pt idx="47">
                  <c:v>0.99964339479641096</c:v>
                </c:pt>
                <c:pt idx="48">
                  <c:v>0.99982247542348168</c:v>
                </c:pt>
                <c:pt idx="49">
                  <c:v>0.99991551243971499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33-46CC-87DC-4AE0C0E5008B}"/>
            </c:ext>
          </c:extLst>
        </c:ser>
        <c:ser>
          <c:idx val="2"/>
          <c:order val="2"/>
          <c:tx>
            <c:strRef>
              <c:f>calcs!$B$5</c:f>
              <c:strCache>
                <c:ptCount val="1"/>
                <c:pt idx="0">
                  <c:v>solar this year retired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calcs!$C$2:$BA$2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calcs!$C$5:$BA$5</c:f>
              <c:numCache>
                <c:formatCode>General</c:formatCode>
                <c:ptCount val="51"/>
                <c:pt idx="0">
                  <c:v>0</c:v>
                </c:pt>
                <c:pt idx="1">
                  <c:v>4.1152262486576774E-8</c:v>
                </c:pt>
                <c:pt idx="2">
                  <c:v>1.2757193509201448E-6</c:v>
                </c:pt>
                <c:pt idx="3">
                  <c:v>8.6830898737785291E-6</c:v>
                </c:pt>
                <c:pt idx="4">
                  <c:v>3.2139401213874527E-5</c:v>
                </c:pt>
                <c:pt idx="5">
                  <c:v>8.6457167713382342E-5</c:v>
                </c:pt>
                <c:pt idx="6">
                  <c:v>1.9138086130088047E-4</c:v>
                </c:pt>
                <c:pt idx="7">
                  <c:v>3.7157703868116986E-4</c:v>
                </c:pt>
                <c:pt idx="8">
                  <c:v>6.5661560927915441E-4</c:v>
                </c:pt>
                <c:pt idx="9">
                  <c:v>1.080937998925532E-3</c:v>
                </c:pt>
                <c:pt idx="10">
                  <c:v>1.6838071408787872E-3</c:v>
                </c:pt>
                <c:pt idx="11">
                  <c:v>2.5092334288889951E-3</c:v>
                </c:pt>
                <c:pt idx="12">
                  <c:v>3.6058700114194129E-3</c:v>
                </c:pt>
                <c:pt idx="13">
                  <c:v>5.0268701112288214E-3</c:v>
                </c:pt>
                <c:pt idx="14">
                  <c:v>6.8296984447414697E-3</c:v>
                </c:pt>
                <c:pt idx="15">
                  <c:v>9.0758883208569893E-3</c:v>
                </c:pt>
                <c:pt idx="16">
                  <c:v>1.1830735654520695E-2</c:v>
                </c:pt>
                <c:pt idx="17">
                  <c:v>1.516292097736161E-2</c:v>
                </c:pt>
                <c:pt idx="18">
                  <c:v>1.9144050611908343E-2</c:v>
                </c:pt>
                <c:pt idx="19">
                  <c:v>2.3848108547429102E-2</c:v>
                </c:pt>
                <c:pt idx="20">
                  <c:v>2.9350811267282135E-2</c:v>
                </c:pt>
                <c:pt idx="21">
                  <c:v>3.5728858883835257E-2</c:v>
                </c:pt>
                <c:pt idx="22">
                  <c:v>4.305907749002455E-2</c:v>
                </c:pt>
                <c:pt idx="23">
                  <c:v>5.1417449684349012E-2</c:v>
                </c:pt>
                <c:pt idx="24">
                  <c:v>6.0878032807876917E-2</c:v>
                </c:pt>
                <c:pt idx="25">
                  <c:v>7.1511767573877505E-2</c:v>
                </c:pt>
                <c:pt idx="26">
                  <c:v>8.3385183480958719E-2</c:v>
                </c:pt>
                <c:pt idx="27">
                  <c:v>9.6559011663189601E-2</c:v>
                </c:pt>
                <c:pt idx="28">
                  <c:v>0.11108672059998591</c:v>
                </c:pt>
                <c:pt idx="29">
                  <c:v>0.12701299530354687</c:v>
                </c:pt>
                <c:pt idx="30">
                  <c:v>0.14437218610080185</c:v>
                </c:pt>
                <c:pt idx="31">
                  <c:v>0.16318675876402883</c:v>
                </c:pt>
                <c:pt idx="32">
                  <c:v>0.18346578330656063</c:v>
                </c:pt>
                <c:pt idx="33">
                  <c:v>0.20520350398750112</c:v>
                </c:pt>
                <c:pt idx="34">
                  <c:v>0.22837803765891287</c:v>
                </c:pt>
                <c:pt idx="35">
                  <c:v>0.25295025120100784</c:v>
                </c:pt>
                <c:pt idx="36">
                  <c:v>0.27886287106089241</c:v>
                </c:pt>
                <c:pt idx="37">
                  <c:v>0.30603987846607644</c:v>
                </c:pt>
                <c:pt idx="38">
                  <c:v>0.33438624236473125</c:v>
                </c:pt>
                <c:pt idx="39">
                  <c:v>0.36378803823029354</c:v>
                </c:pt>
                <c:pt idx="40">
                  <c:v>0.39411299430478081</c:v>
                </c:pt>
                <c:pt idx="41">
                  <c:v>0.42521149749143244</c:v>
                </c:pt>
                <c:pt idx="42">
                  <c:v>0.45691807892202985</c:v>
                </c:pt>
                <c:pt idx="43">
                  <c:v>0.48905338436071283</c:v>
                </c:pt>
                <c:pt idx="44">
                  <c:v>0.52142661739174057</c:v>
                </c:pt>
                <c:pt idx="45">
                  <c:v>0.55383842430534458</c:v>
                </c:pt>
                <c:pt idx="46">
                  <c:v>0.58608416947814324</c:v>
                </c:pt>
                <c:pt idx="47">
                  <c:v>0.61795752976973406</c:v>
                </c:pt>
                <c:pt idx="48">
                  <c:v>0.64925431711469017</c:v>
                </c:pt>
                <c:pt idx="49">
                  <c:v>0.6797764212683538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33-46CC-87DC-4AE0C0E5008B}"/>
            </c:ext>
          </c:extLst>
        </c:ser>
        <c:ser>
          <c:idx val="3"/>
          <c:order val="3"/>
          <c:tx>
            <c:strRef>
              <c:f>calcs!$B$6</c:f>
              <c:strCache>
                <c:ptCount val="1"/>
                <c:pt idx="0">
                  <c:v>wind this year retired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calcs!$C$2:$BA$2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xVal>
          <c:yVal>
            <c:numRef>
              <c:f>calcs!$C$6:$BA$6</c:f>
              <c:numCache>
                <c:formatCode>General</c:formatCode>
                <c:ptCount val="51"/>
                <c:pt idx="0">
                  <c:v>0</c:v>
                </c:pt>
                <c:pt idx="1">
                  <c:v>1.6269249573097611E-6</c:v>
                </c:pt>
                <c:pt idx="2">
                  <c:v>2.4403596438095259E-5</c:v>
                </c:pt>
                <c:pt idx="3">
                  <c:v>1.0574461689043246E-4</c:v>
                </c:pt>
                <c:pt idx="4">
                  <c:v>2.8467157248188792E-4</c:v>
                </c:pt>
                <c:pt idx="5">
                  <c:v>6.0015563210444236E-4</c:v>
                </c:pt>
                <c:pt idx="6">
                  <c:v>1.091071882128998E-3</c:v>
                </c:pt>
                <c:pt idx="7">
                  <c:v>1.7961385492261661E-3</c:v>
                </c:pt>
                <c:pt idx="8">
                  <c:v>2.7538412492099889E-3</c:v>
                </c:pt>
                <c:pt idx="9">
                  <c:v>4.0023424741347478E-3</c:v>
                </c:pt>
                <c:pt idx="10">
                  <c:v>5.5793766200062673E-3</c:v>
                </c:pt>
                <c:pt idx="11">
                  <c:v>7.5221309629090703E-3</c:v>
                </c:pt>
                <c:pt idx="12">
                  <c:v>9.8671131113390476E-3</c:v>
                </c:pt>
                <c:pt idx="13">
                  <c:v>1.2650005596089595E-2</c:v>
                </c:pt>
                <c:pt idx="14">
                  <c:v>1.5905508404879892E-2</c:v>
                </c:pt>
                <c:pt idx="15">
                  <c:v>1.9667170425539657E-2</c:v>
                </c:pt>
                <c:pt idx="16">
                  <c:v>2.3967210927083999E-2</c:v>
                </c:pt>
                <c:pt idx="17">
                  <c:v>2.8836332380295177E-2</c:v>
                </c:pt>
                <c:pt idx="18">
                  <c:v>3.4303526095985179E-2</c:v>
                </c:pt>
                <c:pt idx="19">
                  <c:v>4.0395872337127811E-2</c:v>
                </c:pt>
                <c:pt idx="20">
                  <c:v>4.7138336737447779E-2</c:v>
                </c:pt>
                <c:pt idx="21">
                  <c:v>5.4553565030404205E-2</c:v>
                </c:pt>
                <c:pt idx="22">
                  <c:v>6.2661678255191339E-2</c:v>
                </c:pt>
                <c:pt idx="23">
                  <c:v>7.1480070756531233E-2</c:v>
                </c:pt>
                <c:pt idx="24">
                  <c:v>8.102321342860358E-2</c:v>
                </c:pt>
                <c:pt idx="25">
                  <c:v>9.1302464766388564E-2</c:v>
                </c:pt>
                <c:pt idx="26">
                  <c:v>0.10232589237577701</c:v>
                </c:pt>
                <c:pt idx="27">
                  <c:v>0.1140981076530292</c:v>
                </c:pt>
                <c:pt idx="28">
                  <c:v>0.12662011637054704</c:v>
                </c:pt>
                <c:pt idx="29">
                  <c:v>0.13988918789589455</c:v>
                </c:pt>
                <c:pt idx="30">
                  <c:v>0.15389874572115836</c:v>
                </c:pt>
                <c:pt idx="31">
                  <c:v>0.16863828188740657</c:v>
                </c:pt>
                <c:pt idx="32">
                  <c:v>0.18409329775180708</c:v>
                </c:pt>
                <c:pt idx="33">
                  <c:v>0.20024527336154888</c:v>
                </c:pt>
                <c:pt idx="34">
                  <c:v>0.21707166746817097</c:v>
                </c:pt>
                <c:pt idx="35">
                  <c:v>0.23454594993865593</c:v>
                </c:pt>
                <c:pt idx="36">
                  <c:v>0.25263766799652176</c:v>
                </c:pt>
                <c:pt idx="37">
                  <c:v>0.27131254735983085</c:v>
                </c:pt>
                <c:pt idx="38">
                  <c:v>0.29053262893624132</c:v>
                </c:pt>
                <c:pt idx="39">
                  <c:v>0.31025644129286578</c:v>
                </c:pt>
                <c:pt idx="40">
                  <c:v>0.33043920864618676</c:v>
                </c:pt>
                <c:pt idx="41">
                  <c:v>0.35103309362062773</c:v>
                </c:pt>
                <c:pt idx="42">
                  <c:v>0.37198747351244932</c:v>
                </c:pt>
                <c:pt idx="43">
                  <c:v>0.39324924827509844</c:v>
                </c:pt>
                <c:pt idx="44">
                  <c:v>0.4147631779243578</c:v>
                </c:pt>
                <c:pt idx="45">
                  <c:v>0.43647224655407468</c:v>
                </c:pt>
                <c:pt idx="46">
                  <c:v>0.45831804966891371</c:v>
                </c:pt>
                <c:pt idx="47">
                  <c:v>0.48024120108660368</c:v>
                </c:pt>
                <c:pt idx="48">
                  <c:v>0.50218175525307596</c:v>
                </c:pt>
                <c:pt idx="49">
                  <c:v>0.52407964045311017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33-46CC-87DC-4AE0C0E50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381264"/>
        <c:axId val="1102384144"/>
      </c:scatterChart>
      <c:valAx>
        <c:axId val="110238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384144"/>
        <c:crosses val="autoZero"/>
        <c:crossBetween val="midCat"/>
      </c:valAx>
      <c:valAx>
        <c:axId val="11023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381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28014</xdr:colOff>
      <xdr:row>9</xdr:row>
      <xdr:rowOff>12326</xdr:rowOff>
    </xdr:from>
    <xdr:to>
      <xdr:col>14</xdr:col>
      <xdr:colOff>364190</xdr:colOff>
      <xdr:row>23</xdr:row>
      <xdr:rowOff>88526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A329A-F382-1ECF-601C-D1C9C590C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3" sqref="B3"/>
    </sheetView>
  </sheetViews>
  <sheetFormatPr defaultRowHeight="15" x14ac:dyDescent="0.25"/>
  <cols>
    <col min="2" max="2" width="61.7109375" customWidth="1"/>
  </cols>
  <sheetData>
    <row r="1" spans="1:2" x14ac:dyDescent="0.25">
      <c r="A1" s="2" t="s">
        <v>137</v>
      </c>
      <c r="B1" s="3"/>
    </row>
    <row r="3" spans="1:2" x14ac:dyDescent="0.25">
      <c r="A3" s="2" t="s">
        <v>138</v>
      </c>
      <c r="B3" s="4" t="s">
        <v>140</v>
      </c>
    </row>
    <row r="6" spans="1:2" x14ac:dyDescent="0.25">
      <c r="B6" s="5"/>
    </row>
    <row r="10" spans="1:2" x14ac:dyDescent="0.25">
      <c r="A10" s="2" t="s">
        <v>139</v>
      </c>
    </row>
    <row r="11" spans="1:2" x14ac:dyDescent="0.25">
      <c r="A11" t="s">
        <v>141</v>
      </c>
    </row>
    <row r="12" spans="1:2" x14ac:dyDescent="0.25">
      <c r="A1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E472-944F-4BAA-BC9D-AD01CC5246A9}">
  <dimension ref="B2:CY12"/>
  <sheetViews>
    <sheetView zoomScale="85" zoomScaleNormal="85" workbookViewId="0">
      <selection activeCell="A3" sqref="A3"/>
    </sheetView>
  </sheetViews>
  <sheetFormatPr defaultRowHeight="15" x14ac:dyDescent="0.25"/>
  <cols>
    <col min="2" max="2" width="23.85546875" customWidth="1"/>
    <col min="3" max="3" width="12" bestFit="1" customWidth="1"/>
    <col min="4" max="4" width="12.28515625" bestFit="1" customWidth="1"/>
  </cols>
  <sheetData>
    <row r="2" spans="2:103" x14ac:dyDescent="0.25">
      <c r="B2" t="s">
        <v>27</v>
      </c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I2">
        <v>6</v>
      </c>
      <c r="J2">
        <v>7</v>
      </c>
      <c r="K2">
        <v>8</v>
      </c>
      <c r="L2">
        <v>9</v>
      </c>
      <c r="M2">
        <v>10</v>
      </c>
      <c r="N2">
        <v>11</v>
      </c>
      <c r="O2">
        <v>12</v>
      </c>
      <c r="P2">
        <v>13</v>
      </c>
      <c r="Q2">
        <v>14</v>
      </c>
      <c r="R2">
        <v>15</v>
      </c>
      <c r="S2">
        <v>16</v>
      </c>
      <c r="T2">
        <v>17</v>
      </c>
      <c r="U2">
        <v>18</v>
      </c>
      <c r="V2">
        <v>19</v>
      </c>
      <c r="W2">
        <v>20</v>
      </c>
      <c r="X2">
        <v>21</v>
      </c>
      <c r="Y2">
        <v>22</v>
      </c>
      <c r="Z2">
        <v>23</v>
      </c>
      <c r="AA2">
        <v>24</v>
      </c>
      <c r="AB2">
        <v>25</v>
      </c>
      <c r="AC2">
        <v>26</v>
      </c>
      <c r="AD2">
        <v>27</v>
      </c>
      <c r="AE2">
        <v>28</v>
      </c>
      <c r="AF2">
        <v>29</v>
      </c>
      <c r="AG2">
        <v>30</v>
      </c>
      <c r="AH2">
        <v>31</v>
      </c>
      <c r="AI2">
        <v>32</v>
      </c>
      <c r="AJ2">
        <v>33</v>
      </c>
      <c r="AK2">
        <v>34</v>
      </c>
      <c r="AL2">
        <v>35</v>
      </c>
      <c r="AM2">
        <v>36</v>
      </c>
      <c r="AN2">
        <v>37</v>
      </c>
      <c r="AO2">
        <v>38</v>
      </c>
      <c r="AP2">
        <v>39</v>
      </c>
      <c r="AQ2">
        <v>40</v>
      </c>
      <c r="AR2">
        <v>41</v>
      </c>
      <c r="AS2">
        <v>42</v>
      </c>
      <c r="AT2">
        <v>43</v>
      </c>
      <c r="AU2">
        <v>44</v>
      </c>
      <c r="AV2">
        <v>45</v>
      </c>
      <c r="AW2">
        <v>46</v>
      </c>
      <c r="AX2">
        <v>47</v>
      </c>
      <c r="AY2">
        <v>48</v>
      </c>
      <c r="AZ2">
        <v>49</v>
      </c>
      <c r="BA2">
        <v>50</v>
      </c>
      <c r="BB2">
        <v>51</v>
      </c>
      <c r="BC2">
        <v>52</v>
      </c>
      <c r="BD2">
        <v>53</v>
      </c>
      <c r="BE2">
        <v>54</v>
      </c>
      <c r="BF2">
        <v>55</v>
      </c>
      <c r="BG2">
        <v>56</v>
      </c>
      <c r="BH2">
        <v>57</v>
      </c>
      <c r="BI2">
        <v>58</v>
      </c>
      <c r="BJ2">
        <v>59</v>
      </c>
      <c r="BK2">
        <v>60</v>
      </c>
      <c r="BL2">
        <v>61</v>
      </c>
      <c r="BM2">
        <v>62</v>
      </c>
      <c r="BN2">
        <v>63</v>
      </c>
      <c r="BO2">
        <v>64</v>
      </c>
      <c r="BP2">
        <v>65</v>
      </c>
      <c r="BQ2">
        <v>66</v>
      </c>
      <c r="BR2">
        <v>67</v>
      </c>
      <c r="BS2">
        <v>68</v>
      </c>
      <c r="BT2">
        <v>69</v>
      </c>
      <c r="BU2">
        <v>70</v>
      </c>
      <c r="BV2">
        <v>71</v>
      </c>
      <c r="BW2">
        <v>72</v>
      </c>
      <c r="BX2">
        <v>73</v>
      </c>
      <c r="BY2">
        <v>74</v>
      </c>
      <c r="BZ2">
        <v>75</v>
      </c>
      <c r="CA2">
        <v>76</v>
      </c>
      <c r="CB2">
        <v>77</v>
      </c>
      <c r="CC2">
        <v>78</v>
      </c>
      <c r="CD2">
        <v>79</v>
      </c>
      <c r="CE2">
        <v>80</v>
      </c>
      <c r="CF2">
        <v>81</v>
      </c>
      <c r="CG2">
        <v>82</v>
      </c>
      <c r="CH2">
        <v>83</v>
      </c>
      <c r="CI2">
        <v>84</v>
      </c>
      <c r="CJ2">
        <v>85</v>
      </c>
      <c r="CK2">
        <v>86</v>
      </c>
      <c r="CL2">
        <v>87</v>
      </c>
      <c r="CM2">
        <v>88</v>
      </c>
      <c r="CN2">
        <v>89</v>
      </c>
      <c r="CO2">
        <v>90</v>
      </c>
      <c r="CP2">
        <v>91</v>
      </c>
      <c r="CQ2">
        <v>92</v>
      </c>
      <c r="CR2">
        <v>93</v>
      </c>
      <c r="CS2">
        <v>94</v>
      </c>
      <c r="CT2">
        <v>95</v>
      </c>
      <c r="CU2">
        <v>96</v>
      </c>
      <c r="CV2">
        <v>97</v>
      </c>
      <c r="CW2">
        <v>98</v>
      </c>
      <c r="CX2">
        <v>99</v>
      </c>
      <c r="CY2">
        <v>100</v>
      </c>
    </row>
    <row r="3" spans="2:103" x14ac:dyDescent="0.25">
      <c r="B3" t="s">
        <v>129</v>
      </c>
      <c r="C3">
        <f>1-EXP(-((C$2/$C9)^$D9))</f>
        <v>0</v>
      </c>
      <c r="D3">
        <f>1-EXP(-((D$2/$C9)^$D9))</f>
        <v>4.1152262486576774E-8</v>
      </c>
      <c r="E3">
        <f>1-EXP(-((E$2/$C9)^$D9))</f>
        <v>1.316871560907984E-6</v>
      </c>
      <c r="F3">
        <f>1-EXP(-((F$2/$C9)^$D9))</f>
        <v>9.9999500001723973E-6</v>
      </c>
      <c r="G3">
        <f>1-EXP(-((G$2/$C9)^$D9))</f>
        <v>4.2139029821641749E-5</v>
      </c>
      <c r="H3">
        <f>1-EXP(-((H$2/$C9)^$D9))</f>
        <v>1.2859255431385552E-4</v>
      </c>
      <c r="I3">
        <f>1-EXP(-((I$2/$C9)^$D9))</f>
        <v>3.1994880546093452E-4</v>
      </c>
      <c r="J3">
        <f>1-EXP(-((J$2/$C9)^$D9))</f>
        <v>6.9140695851244161E-4</v>
      </c>
      <c r="K3">
        <f>1-EXP(-((K$2/$C9)^$D9))</f>
        <v>1.3475685791902725E-3</v>
      </c>
      <c r="L3">
        <f>1-EXP(-((L$2/$C9)^$D9))</f>
        <v>2.4270499400323997E-3</v>
      </c>
      <c r="M3">
        <f>1-EXP(-((M$2/$C9)^$D9))</f>
        <v>4.1067703968908909E-3</v>
      </c>
      <c r="N3">
        <f>1-EXP(-((N$2/$C9)^$D9))</f>
        <v>6.6056989802152355E-3</v>
      </c>
      <c r="O3">
        <f>1-EXP(-((O$2/$C9)^$D9))</f>
        <v>1.0187749699777426E-2</v>
      </c>
      <c r="P3">
        <f>1-EXP(-((P$2/$C9)^$D9))</f>
        <v>1.5163407316539756E-2</v>
      </c>
      <c r="Q3">
        <f>1-EXP(-((Q$2/$C9)^$D9))</f>
        <v>2.1889544261914473E-2</v>
      </c>
      <c r="R3">
        <f>1-EXP(-((R$2/$C9)^$D9))</f>
        <v>3.076676552365587E-2</v>
      </c>
      <c r="S3">
        <f>1-EXP(-((S$2/$C9)^$D9))</f>
        <v>4.2233507708321572E-2</v>
      </c>
      <c r="T3">
        <f>1-EXP(-((T$2/$C9)^$D9))</f>
        <v>5.6756045345705108E-2</v>
      </c>
      <c r="U3">
        <f>1-EXP(-((U$2/$C9)^$D9))</f>
        <v>7.4813555352983507E-2</v>
      </c>
      <c r="V3">
        <f>1-EXP(-((V$2/$C9)^$D9))</f>
        <v>9.6877502111535563E-2</v>
      </c>
      <c r="W3">
        <f>1-EXP(-((W$2/$C9)^$D9))</f>
        <v>0.12338488009829629</v>
      </c>
      <c r="X3">
        <f>1-EXP(-((X$2/$C9)^$D9))</f>
        <v>0.15470533801270059</v>
      </c>
      <c r="Y3">
        <f>1-EXP(-((Y$2/$C9)^$D9))</f>
        <v>0.19110294636511582</v>
      </c>
      <c r="Z3">
        <f>1-EXP(-((Z$2/$C9)^$D9))</f>
        <v>0.23269436992020565</v>
      </c>
      <c r="AA3">
        <f>1-EXP(-((AA$2/$C9)^$D9))</f>
        <v>0.27940642724187204</v>
      </c>
      <c r="AB3">
        <f>1-EXP(-((AB$2/$C9)^$D9))</f>
        <v>0.33093734733218128</v>
      </c>
      <c r="AC3">
        <f>1-EXP(-((AC$2/$C9)^$D9))</f>
        <v>0.3867272593851443</v>
      </c>
      <c r="AD3">
        <f>1-EXP(-((AD$2/$C9)^$D9))</f>
        <v>0.4459442690988904</v>
      </c>
      <c r="AE3">
        <f>1-EXP(-((AE$2/$C9)^$D9))</f>
        <v>0.50749250327432294</v>
      </c>
      <c r="AF3">
        <f>1-EXP(-((AF$2/$C9)^$D9))</f>
        <v>0.57004735564290299</v>
      </c>
      <c r="AG3">
        <f>1-EXP(-((AG$2/$C9)^$D9))</f>
        <v>0.63212055882855767</v>
      </c>
      <c r="AH3">
        <f>1-EXP(-((AH$2/$C9)^$D9))</f>
        <v>0.69215361244924756</v>
      </c>
      <c r="AI3">
        <f>1-EXP(-((AI$2/$C9)^$D9))</f>
        <v>0.74863289107934139</v>
      </c>
      <c r="AJ3">
        <f>1-EXP(-((AJ$2/$C9)^$D9))</f>
        <v>0.80021430261706838</v>
      </c>
      <c r="AK3">
        <f>1-EXP(-((AK$2/$C9)^$D9))</f>
        <v>0.84584096813769971</v>
      </c>
      <c r="AL3">
        <f>1-EXP(-((AL$2/$C9)^$D9))</f>
        <v>0.88483553397217274</v>
      </c>
      <c r="AM3">
        <f>1-EXP(-((AM$2/$C9)^$D9))</f>
        <v>0.91695062761288726</v>
      </c>
      <c r="AN3">
        <f>1-EXP(-((AN$2/$C9)^$D9))</f>
        <v>0.94236704744492317</v>
      </c>
      <c r="AO3">
        <f>1-EXP(-((AO$2/$C9)^$D9))</f>
        <v>0.96163871388620015</v>
      </c>
      <c r="AP3">
        <f>1-EXP(-((AP$2/$C9)^$D9))</f>
        <v>0.9755940909055304</v>
      </c>
      <c r="AQ3">
        <f>1-EXP(-((AQ$2/$C9)^$D9))</f>
        <v>0.98521277681748209</v>
      </c>
      <c r="AR3">
        <f>1-EXP(-((AR$2/$C9)^$D9))</f>
        <v>0.99150047413066056</v>
      </c>
      <c r="AS3">
        <f>1-EXP(-((AS$2/$C9)^$D9))</f>
        <v>0.99538406116262723</v>
      </c>
      <c r="AT3">
        <f>1-EXP(-((AT$2/$C9)^$D9))</f>
        <v>0.99764150167304644</v>
      </c>
      <c r="AU3">
        <f>1-EXP(-((AU$2/$C9)^$D9))</f>
        <v>0.99887128547779391</v>
      </c>
      <c r="AV3">
        <f>1-EXP(-((AV$2/$C9)^$D9))</f>
        <v>0.99949641095026309</v>
      </c>
      <c r="AW3">
        <f>1-EXP(-((AW$2/$C9)^$D9))</f>
        <v>0.99979155652023644</v>
      </c>
      <c r="AX3">
        <f>1-EXP(-((AX$2/$C9)^$D9))</f>
        <v>0.99992036573808774</v>
      </c>
      <c r="AY3">
        <f>1-EXP(-((AY$2/$C9)^$D9))</f>
        <v>0.99997206862642452</v>
      </c>
      <c r="AZ3">
        <f>1-EXP(-((AZ$2/$C9)^$D9))</f>
        <v>0.99999105571559477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</row>
    <row r="4" spans="2:103" x14ac:dyDescent="0.25">
      <c r="B4" t="s">
        <v>130</v>
      </c>
      <c r="C4">
        <f>1-EXP(-((C$2/$C10)^$D10))</f>
        <v>0</v>
      </c>
      <c r="D4">
        <f>1-EXP(-((D$2/$C10)^$D10))</f>
        <v>1.6269249573097611E-6</v>
      </c>
      <c r="E4">
        <f>1-EXP(-((E$2/$C10)^$D10))</f>
        <v>2.6030481692584928E-5</v>
      </c>
      <c r="F4">
        <f>1-EXP(-((F$2/$C10)^$D10))</f>
        <v>1.3177234599970333E-4</v>
      </c>
      <c r="G4">
        <f>1-EXP(-((G$2/$C10)^$D10))</f>
        <v>4.1640640664064588E-4</v>
      </c>
      <c r="H4">
        <f>1-EXP(-((H$2/$C10)^$D10))</f>
        <v>1.0163121300948985E-3</v>
      </c>
      <c r="I4">
        <f>1-EXP(-((I$2/$C10)^$D10))</f>
        <v>2.1062751426352833E-3</v>
      </c>
      <c r="J4">
        <f>1-EXP(-((J$2/$C10)^$D10))</f>
        <v>3.8986305298824853E-3</v>
      </c>
      <c r="K4">
        <f>1-EXP(-((K$2/$C10)^$D10))</f>
        <v>6.6417355695238545E-3</v>
      </c>
      <c r="L4">
        <f>1-EXP(-((L$2/$C10)^$D10))</f>
        <v>1.0617495543286726E-2</v>
      </c>
      <c r="M4">
        <f>1-EXP(-((M$2/$C10)^$D10))</f>
        <v>1.6137633156895759E-2</v>
      </c>
      <c r="N4">
        <f>1-EXP(-((N$2/$C10)^$D10))</f>
        <v>2.3538374729767275E-2</v>
      </c>
      <c r="O4">
        <f>1-EXP(-((O$2/$C10)^$D10))</f>
        <v>3.3173232035190625E-2</v>
      </c>
      <c r="P4">
        <f>1-EXP(-((P$2/$C10)^$D10))</f>
        <v>4.540359606039468E-2</v>
      </c>
      <c r="Q4">
        <f>1-EXP(-((Q$2/$C10)^$D10))</f>
        <v>6.0586937186524192E-2</v>
      </c>
      <c r="R4">
        <f>1-EXP(-((R$2/$C10)^$D10))</f>
        <v>7.9062533992855011E-2</v>
      </c>
      <c r="S4">
        <f>1-EXP(-((S$2/$C10)^$D10))</f>
        <v>0.1011348364913025</v>
      </c>
      <c r="T4">
        <f>1-EXP(-((T$2/$C10)^$D10))</f>
        <v>0.12705481111130768</v>
      </c>
      <c r="U4">
        <f>1-EXP(-((U$2/$C10)^$D10))</f>
        <v>0.15699990917871565</v>
      </c>
      <c r="V4">
        <f>1-EXP(-((V$2/$C10)^$D10))</f>
        <v>0.1910536332277194</v>
      </c>
      <c r="W4">
        <f>1-EXP(-((W$2/$C10)^$D10))</f>
        <v>0.2291860194671661</v>
      </c>
      <c r="X4">
        <f>1-EXP(-((X$2/$C10)^$D10))</f>
        <v>0.27123667008050878</v>
      </c>
      <c r="Y4">
        <f>1-EXP(-((Y$2/$C10)^$D10))</f>
        <v>0.3169022033841058</v>
      </c>
      <c r="Z4">
        <f>1-EXP(-((Z$2/$C10)^$D10))</f>
        <v>0.36573008221984049</v>
      </c>
      <c r="AA4">
        <f>1-EXP(-((AA$2/$C10)^$D10))</f>
        <v>0.4171206691394852</v>
      </c>
      <c r="AB4">
        <f>1-EXP(-((AB$2/$C10)^$D10))</f>
        <v>0.47033898870843349</v>
      </c>
      <c r="AC4">
        <f>1-EXP(-((AC$2/$C10)^$D10))</f>
        <v>0.52453702434549954</v>
      </c>
      <c r="AD4">
        <f>1-EXP(-((AD$2/$C10)^$D10))</f>
        <v>0.57878645012675634</v>
      </c>
      <c r="AE4">
        <f>1-EXP(-((AE$2/$C10)^$D10))</f>
        <v>0.63212055882855767</v>
      </c>
      <c r="AF4">
        <f>1-EXP(-((AF$2/$C10)^$D10))</f>
        <v>0.68358291509762625</v>
      </c>
      <c r="AG4">
        <f>1-EXP(-((AG$2/$C10)^$D10))</f>
        <v>0.73227910758884684</v>
      </c>
      <c r="AH4">
        <f>1-EXP(-((AH$2/$C10)^$D10))</f>
        <v>0.77742709891042694</v>
      </c>
      <c r="AI4">
        <f>1-EXP(-((AI$2/$C10)^$D10))</f>
        <v>0.81840127826219322</v>
      </c>
      <c r="AJ4">
        <f>1-EXP(-((AJ$2/$C10)^$D10))</f>
        <v>0.85476556393868819</v>
      </c>
      <c r="AK4">
        <f>1-EXP(-((AK$2/$C10)^$D10))</f>
        <v>0.8862918451483166</v>
      </c>
      <c r="AL4">
        <f>1-EXP(-((AL$2/$C10)^$D10))</f>
        <v>0.91296163234377647</v>
      </c>
      <c r="AM4">
        <f>1-EXP(-((AM$2/$C10)^$D10))</f>
        <v>0.93495080257466867</v>
      </c>
      <c r="AN4">
        <f>1-EXP(-((AN$2/$C10)^$D10))</f>
        <v>0.95259946603184786</v>
      </c>
      <c r="AO4">
        <f>1-EXP(-((AO$2/$C10)^$D10))</f>
        <v>0.96637086777859671</v>
      </c>
      <c r="AP4">
        <f>1-EXP(-((AP$2/$C10)^$D10))</f>
        <v>0.97680452266537654</v>
      </c>
      <c r="AQ4">
        <f>1-EXP(-((AQ$2/$C10)^$D10))</f>
        <v>0.98446921784000008</v>
      </c>
      <c r="AR4">
        <f>1-EXP(-((AR$2/$C10)^$D10))</f>
        <v>0.9899210363479729</v>
      </c>
      <c r="AS4">
        <f>1-EXP(-((AS$2/$C10)^$D10))</f>
        <v>0.99367028457251427</v>
      </c>
      <c r="AT4">
        <f>1-EXP(-((AT$2/$C10)^$D10))</f>
        <v>0.99615944040616833</v>
      </c>
      <c r="AU4">
        <f>1-EXP(-((AU$2/$C10)^$D10))</f>
        <v>0.99775236310831383</v>
      </c>
      <c r="AV4">
        <f>1-EXP(-((AV$2/$C10)^$D10))</f>
        <v>0.99873339423186591</v>
      </c>
      <c r="AW4">
        <f>1-EXP(-((AW$2/$C10)^$D10))</f>
        <v>0.99931390251721652</v>
      </c>
      <c r="AX4">
        <f>1-EXP(-((AX$2/$C10)^$D10))</f>
        <v>0.99964339479641096</v>
      </c>
      <c r="AY4">
        <f>1-EXP(-((AY$2/$C10)^$D10))</f>
        <v>0.99982247542348168</v>
      </c>
      <c r="AZ4">
        <f>1-EXP(-((AZ$2/$C10)^$D10))</f>
        <v>0.99991551243971499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</row>
    <row r="5" spans="2:103" x14ac:dyDescent="0.25">
      <c r="B5" t="s">
        <v>131</v>
      </c>
      <c r="C5" s="1">
        <v>0</v>
      </c>
      <c r="D5">
        <f>(D3-C3)/(1-C3)</f>
        <v>4.1152262486576774E-8</v>
      </c>
      <c r="E5">
        <f>(E3-D3)/(1-D3)</f>
        <v>1.2757193509201448E-6</v>
      </c>
      <c r="F5">
        <f t="shared" ref="F5:BA6" si="0">(F3-E3)/(1-E3)</f>
        <v>8.6830898737785291E-6</v>
      </c>
      <c r="G5">
        <f t="shared" si="0"/>
        <v>3.2139401213874527E-5</v>
      </c>
      <c r="H5">
        <f t="shared" si="0"/>
        <v>8.6457167713382342E-5</v>
      </c>
      <c r="I5">
        <f t="shared" si="0"/>
        <v>1.9138086130088047E-4</v>
      </c>
      <c r="J5">
        <f t="shared" si="0"/>
        <v>3.7157703868116986E-4</v>
      </c>
      <c r="K5">
        <f t="shared" si="0"/>
        <v>6.5661560927915441E-4</v>
      </c>
      <c r="L5">
        <f t="shared" si="0"/>
        <v>1.080937998925532E-3</v>
      </c>
      <c r="M5">
        <f t="shared" si="0"/>
        <v>1.6838071408787872E-3</v>
      </c>
      <c r="N5">
        <f t="shared" si="0"/>
        <v>2.5092334288889951E-3</v>
      </c>
      <c r="O5">
        <f t="shared" si="0"/>
        <v>3.6058700114194129E-3</v>
      </c>
      <c r="P5">
        <f t="shared" si="0"/>
        <v>5.0268701112288214E-3</v>
      </c>
      <c r="Q5">
        <f t="shared" si="0"/>
        <v>6.8296984447414697E-3</v>
      </c>
      <c r="R5">
        <f t="shared" si="0"/>
        <v>9.0758883208569893E-3</v>
      </c>
      <c r="S5">
        <f t="shared" si="0"/>
        <v>1.1830735654520695E-2</v>
      </c>
      <c r="T5">
        <f t="shared" si="0"/>
        <v>1.516292097736161E-2</v>
      </c>
      <c r="U5">
        <f t="shared" si="0"/>
        <v>1.9144050611908343E-2</v>
      </c>
      <c r="V5">
        <f t="shared" si="0"/>
        <v>2.3848108547429102E-2</v>
      </c>
      <c r="W5">
        <f t="shared" si="0"/>
        <v>2.9350811267282135E-2</v>
      </c>
      <c r="X5">
        <f t="shared" si="0"/>
        <v>3.5728858883835257E-2</v>
      </c>
      <c r="Y5">
        <f t="shared" si="0"/>
        <v>4.305907749002455E-2</v>
      </c>
      <c r="Z5">
        <f t="shared" si="0"/>
        <v>5.1417449684349012E-2</v>
      </c>
      <c r="AA5">
        <f t="shared" si="0"/>
        <v>6.0878032807876917E-2</v>
      </c>
      <c r="AB5">
        <f t="shared" si="0"/>
        <v>7.1511767573877505E-2</v>
      </c>
      <c r="AC5">
        <f t="shared" si="0"/>
        <v>8.3385183480958719E-2</v>
      </c>
      <c r="AD5">
        <f t="shared" si="0"/>
        <v>9.6559011663189601E-2</v>
      </c>
      <c r="AE5">
        <f t="shared" si="0"/>
        <v>0.11108672059998591</v>
      </c>
      <c r="AF5">
        <f t="shared" si="0"/>
        <v>0.12701299530354687</v>
      </c>
      <c r="AG5">
        <f t="shared" si="0"/>
        <v>0.14437218610080185</v>
      </c>
      <c r="AH5">
        <f t="shared" si="0"/>
        <v>0.16318675876402883</v>
      </c>
      <c r="AI5">
        <f t="shared" si="0"/>
        <v>0.18346578330656063</v>
      </c>
      <c r="AJ5">
        <f t="shared" si="0"/>
        <v>0.20520350398750112</v>
      </c>
      <c r="AK5">
        <f t="shared" si="0"/>
        <v>0.22837803765891287</v>
      </c>
      <c r="AL5">
        <f t="shared" si="0"/>
        <v>0.25295025120100784</v>
      </c>
      <c r="AM5">
        <f t="shared" si="0"/>
        <v>0.27886287106089241</v>
      </c>
      <c r="AN5">
        <f t="shared" si="0"/>
        <v>0.30603987846607644</v>
      </c>
      <c r="AO5">
        <f t="shared" si="0"/>
        <v>0.33438624236473125</v>
      </c>
      <c r="AP5">
        <f t="shared" si="0"/>
        <v>0.36378803823029354</v>
      </c>
      <c r="AQ5">
        <f t="shared" si="0"/>
        <v>0.39411299430478081</v>
      </c>
      <c r="AR5">
        <f t="shared" si="0"/>
        <v>0.42521149749143244</v>
      </c>
      <c r="AS5">
        <f t="shared" si="0"/>
        <v>0.45691807892202985</v>
      </c>
      <c r="AT5">
        <f t="shared" si="0"/>
        <v>0.48905338436071283</v>
      </c>
      <c r="AU5">
        <f t="shared" si="0"/>
        <v>0.52142661739174057</v>
      </c>
      <c r="AV5">
        <f t="shared" si="0"/>
        <v>0.55383842430534458</v>
      </c>
      <c r="AW5">
        <f t="shared" si="0"/>
        <v>0.58608416947814324</v>
      </c>
      <c r="AX5">
        <f t="shared" si="0"/>
        <v>0.61795752976973406</v>
      </c>
      <c r="AY5">
        <f t="shared" si="0"/>
        <v>0.64925431711469017</v>
      </c>
      <c r="AZ5">
        <f t="shared" si="0"/>
        <v>0.6797764212683538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</row>
    <row r="6" spans="2:103" x14ac:dyDescent="0.25">
      <c r="B6" t="s">
        <v>132</v>
      </c>
      <c r="C6" s="1">
        <v>0</v>
      </c>
      <c r="D6">
        <f>(D4-C4)/(1-C4)</f>
        <v>1.6269249573097611E-6</v>
      </c>
      <c r="E6">
        <f>(E4-D4)/(1-D4)</f>
        <v>2.4403596438095259E-5</v>
      </c>
      <c r="F6">
        <f t="shared" si="0"/>
        <v>1.0574461689043246E-4</v>
      </c>
      <c r="G6">
        <f t="shared" si="0"/>
        <v>2.8467157248188792E-4</v>
      </c>
      <c r="H6">
        <f t="shared" si="0"/>
        <v>6.0015563210444236E-4</v>
      </c>
      <c r="I6">
        <f t="shared" si="0"/>
        <v>1.091071882128998E-3</v>
      </c>
      <c r="J6">
        <f t="shared" si="0"/>
        <v>1.7961385492261661E-3</v>
      </c>
      <c r="K6">
        <f t="shared" si="0"/>
        <v>2.7538412492099889E-3</v>
      </c>
      <c r="L6">
        <f t="shared" si="0"/>
        <v>4.0023424741347478E-3</v>
      </c>
      <c r="M6">
        <f t="shared" si="0"/>
        <v>5.5793766200062673E-3</v>
      </c>
      <c r="N6">
        <f t="shared" si="0"/>
        <v>7.5221309629090703E-3</v>
      </c>
      <c r="O6">
        <f t="shared" si="0"/>
        <v>9.8671131113390476E-3</v>
      </c>
      <c r="P6">
        <f t="shared" si="0"/>
        <v>1.2650005596089595E-2</v>
      </c>
      <c r="Q6">
        <f t="shared" si="0"/>
        <v>1.5905508404879892E-2</v>
      </c>
      <c r="R6">
        <f t="shared" si="0"/>
        <v>1.9667170425539657E-2</v>
      </c>
      <c r="S6">
        <f t="shared" si="0"/>
        <v>2.3967210927083999E-2</v>
      </c>
      <c r="T6">
        <f t="shared" si="0"/>
        <v>2.8836332380295177E-2</v>
      </c>
      <c r="U6">
        <f t="shared" si="0"/>
        <v>3.4303526095985179E-2</v>
      </c>
      <c r="V6">
        <f t="shared" si="0"/>
        <v>4.0395872337127811E-2</v>
      </c>
      <c r="W6">
        <f t="shared" si="0"/>
        <v>4.7138336737447779E-2</v>
      </c>
      <c r="X6">
        <f t="shared" si="0"/>
        <v>5.4553565030404205E-2</v>
      </c>
      <c r="Y6">
        <f t="shared" si="0"/>
        <v>6.2661678255191339E-2</v>
      </c>
      <c r="Z6">
        <f t="shared" si="0"/>
        <v>7.1480070756531233E-2</v>
      </c>
      <c r="AA6">
        <f t="shared" si="0"/>
        <v>8.102321342860358E-2</v>
      </c>
      <c r="AB6">
        <f t="shared" si="0"/>
        <v>9.1302464766388564E-2</v>
      </c>
      <c r="AC6">
        <f t="shared" si="0"/>
        <v>0.10232589237577701</v>
      </c>
      <c r="AD6">
        <f t="shared" si="0"/>
        <v>0.1140981076530292</v>
      </c>
      <c r="AE6">
        <f t="shared" si="0"/>
        <v>0.12662011637054704</v>
      </c>
      <c r="AF6">
        <f t="shared" si="0"/>
        <v>0.13988918789589455</v>
      </c>
      <c r="AG6">
        <f t="shared" si="0"/>
        <v>0.15389874572115836</v>
      </c>
      <c r="AH6">
        <f t="shared" si="0"/>
        <v>0.16863828188740657</v>
      </c>
      <c r="AI6">
        <f t="shared" si="0"/>
        <v>0.18409329775180708</v>
      </c>
      <c r="AJ6">
        <f t="shared" si="0"/>
        <v>0.20024527336154888</v>
      </c>
      <c r="AK6">
        <f t="shared" si="0"/>
        <v>0.21707166746817097</v>
      </c>
      <c r="AL6">
        <f t="shared" si="0"/>
        <v>0.23454594993865593</v>
      </c>
      <c r="AM6">
        <f t="shared" si="0"/>
        <v>0.25263766799652176</v>
      </c>
      <c r="AN6">
        <f t="shared" si="0"/>
        <v>0.27131254735983085</v>
      </c>
      <c r="AO6">
        <f t="shared" si="0"/>
        <v>0.29053262893624132</v>
      </c>
      <c r="AP6">
        <f t="shared" si="0"/>
        <v>0.31025644129286578</v>
      </c>
      <c r="AQ6">
        <f t="shared" si="0"/>
        <v>0.33043920864618676</v>
      </c>
      <c r="AR6">
        <f t="shared" si="0"/>
        <v>0.35103309362062773</v>
      </c>
      <c r="AS6">
        <f t="shared" si="0"/>
        <v>0.37198747351244932</v>
      </c>
      <c r="AT6">
        <f t="shared" si="0"/>
        <v>0.39324924827509844</v>
      </c>
      <c r="AU6">
        <f t="shared" si="0"/>
        <v>0.4147631779243578</v>
      </c>
      <c r="AV6">
        <f t="shared" si="0"/>
        <v>0.43647224655407468</v>
      </c>
      <c r="AW6">
        <f t="shared" si="0"/>
        <v>0.45831804966891371</v>
      </c>
      <c r="AX6">
        <f t="shared" si="0"/>
        <v>0.48024120108660368</v>
      </c>
      <c r="AY6">
        <f t="shared" si="0"/>
        <v>0.50218175525307596</v>
      </c>
      <c r="AZ6">
        <f t="shared" si="0"/>
        <v>0.52407964045311017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</row>
    <row r="8" spans="2:103" x14ac:dyDescent="0.25">
      <c r="C8" t="s">
        <v>135</v>
      </c>
      <c r="D8" t="s">
        <v>136</v>
      </c>
    </row>
    <row r="9" spans="2:103" x14ac:dyDescent="0.25">
      <c r="B9" t="s">
        <v>28</v>
      </c>
      <c r="C9">
        <v>30</v>
      </c>
      <c r="D9">
        <v>5</v>
      </c>
      <c r="E9" t="s">
        <v>133</v>
      </c>
    </row>
    <row r="10" spans="2:103" x14ac:dyDescent="0.25">
      <c r="B10" t="s">
        <v>29</v>
      </c>
      <c r="C10">
        <v>28</v>
      </c>
      <c r="D10">
        <v>4</v>
      </c>
      <c r="E10" t="s">
        <v>133</v>
      </c>
    </row>
    <row r="12" spans="2:103" x14ac:dyDescent="0.25">
      <c r="B12" t="s">
        <v>134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9308-39CB-4990-9D37-00FC2D5C25DE}">
  <sheetPr>
    <tabColor theme="8"/>
  </sheetPr>
  <dimension ref="A1:CX25"/>
  <sheetViews>
    <sheetView zoomScale="70" zoomScaleNormal="70" workbookViewId="0">
      <selection activeCell="H13" sqref="H13"/>
    </sheetView>
  </sheetViews>
  <sheetFormatPr defaultRowHeight="15" x14ac:dyDescent="0.25"/>
  <cols>
    <col min="1" max="1" width="31.140625" bestFit="1" customWidth="1"/>
  </cols>
  <sheetData>
    <row r="1" spans="1:102" x14ac:dyDescent="0.25">
      <c r="A1" t="s">
        <v>24</v>
      </c>
      <c r="B1" t="s">
        <v>25</v>
      </c>
      <c r="C1" t="s">
        <v>26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  <c r="BA1" t="s">
        <v>79</v>
      </c>
      <c r="BB1" t="s">
        <v>80</v>
      </c>
      <c r="BC1" t="s">
        <v>81</v>
      </c>
      <c r="BD1" t="s">
        <v>82</v>
      </c>
      <c r="BE1" t="s">
        <v>83</v>
      </c>
      <c r="BF1" t="s">
        <v>84</v>
      </c>
      <c r="BG1" t="s">
        <v>85</v>
      </c>
      <c r="BH1" t="s">
        <v>86</v>
      </c>
      <c r="BI1" t="s">
        <v>87</v>
      </c>
      <c r="BJ1" t="s">
        <v>88</v>
      </c>
      <c r="BK1" t="s">
        <v>89</v>
      </c>
      <c r="BL1" t="s">
        <v>90</v>
      </c>
      <c r="BM1" t="s">
        <v>91</v>
      </c>
      <c r="BN1" t="s">
        <v>92</v>
      </c>
      <c r="BO1" t="s">
        <v>93</v>
      </c>
      <c r="BP1" t="s">
        <v>94</v>
      </c>
      <c r="BQ1" t="s">
        <v>95</v>
      </c>
      <c r="BR1" t="s">
        <v>96</v>
      </c>
      <c r="BS1" t="s">
        <v>97</v>
      </c>
      <c r="BT1" t="s">
        <v>98</v>
      </c>
      <c r="BU1" t="s">
        <v>99</v>
      </c>
      <c r="BV1" t="s">
        <v>100</v>
      </c>
      <c r="BW1" t="s">
        <v>101</v>
      </c>
      <c r="BX1" t="s">
        <v>102</v>
      </c>
      <c r="BY1" t="s">
        <v>103</v>
      </c>
      <c r="BZ1" t="s">
        <v>104</v>
      </c>
      <c r="CA1" t="s">
        <v>105</v>
      </c>
      <c r="CB1" t="s">
        <v>106</v>
      </c>
      <c r="CC1" t="s">
        <v>107</v>
      </c>
      <c r="CD1" t="s">
        <v>108</v>
      </c>
      <c r="CE1" t="s">
        <v>109</v>
      </c>
      <c r="CF1" t="s">
        <v>110</v>
      </c>
      <c r="CG1" t="s">
        <v>111</v>
      </c>
      <c r="CH1" t="s">
        <v>112</v>
      </c>
      <c r="CI1" t="s">
        <v>113</v>
      </c>
      <c r="CJ1" t="s">
        <v>114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  <c r="CP1" t="s">
        <v>120</v>
      </c>
      <c r="CQ1" t="s">
        <v>121</v>
      </c>
      <c r="CR1" t="s">
        <v>122</v>
      </c>
      <c r="CS1" t="s">
        <v>123</v>
      </c>
      <c r="CT1" t="s">
        <v>124</v>
      </c>
      <c r="CU1" t="s">
        <v>125</v>
      </c>
      <c r="CV1" t="s">
        <v>126</v>
      </c>
      <c r="CW1" t="s">
        <v>127</v>
      </c>
      <c r="CX1" t="s">
        <v>128</v>
      </c>
    </row>
    <row r="2" spans="1:102" x14ac:dyDescent="0.2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</row>
    <row r="3" spans="1:102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</row>
    <row r="4" spans="1:102" x14ac:dyDescent="0.2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</row>
    <row r="5" spans="1:102" x14ac:dyDescent="0.2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</row>
    <row r="6" spans="1:102" x14ac:dyDescent="0.2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</row>
    <row r="7" spans="1:102" x14ac:dyDescent="0.25">
      <c r="A7" t="s">
        <v>5</v>
      </c>
      <c r="B7">
        <f>calcs!C6</f>
        <v>0</v>
      </c>
      <c r="C7">
        <f>calcs!D6</f>
        <v>1.6269249573097611E-6</v>
      </c>
      <c r="D7">
        <f>calcs!E6</f>
        <v>2.4403596438095259E-5</v>
      </c>
      <c r="E7">
        <f>calcs!F6</f>
        <v>1.0574461689043246E-4</v>
      </c>
      <c r="F7">
        <f>calcs!G6</f>
        <v>2.8467157248188792E-4</v>
      </c>
      <c r="G7">
        <f>calcs!H6</f>
        <v>6.0015563210444236E-4</v>
      </c>
      <c r="H7">
        <f>calcs!I6</f>
        <v>1.091071882128998E-3</v>
      </c>
      <c r="I7">
        <f>calcs!J6</f>
        <v>1.7961385492261661E-3</v>
      </c>
      <c r="J7">
        <f>calcs!K6</f>
        <v>2.7538412492099889E-3</v>
      </c>
      <c r="K7">
        <f>calcs!L6</f>
        <v>4.0023424741347478E-3</v>
      </c>
      <c r="L7">
        <f>calcs!M6</f>
        <v>5.5793766200062673E-3</v>
      </c>
      <c r="M7">
        <f>calcs!N6</f>
        <v>7.5221309629090703E-3</v>
      </c>
      <c r="N7">
        <f>calcs!O6</f>
        <v>9.8671131113390476E-3</v>
      </c>
      <c r="O7">
        <f>calcs!P6</f>
        <v>1.2650005596089595E-2</v>
      </c>
      <c r="P7">
        <f>calcs!Q6</f>
        <v>1.5905508404879892E-2</v>
      </c>
      <c r="Q7">
        <f>calcs!R6</f>
        <v>1.9667170425539657E-2</v>
      </c>
      <c r="R7">
        <f>calcs!S6</f>
        <v>2.3967210927083999E-2</v>
      </c>
      <c r="S7">
        <f>calcs!T6</f>
        <v>2.8836332380295177E-2</v>
      </c>
      <c r="T7">
        <f>calcs!U6</f>
        <v>3.4303526095985179E-2</v>
      </c>
      <c r="U7">
        <f>calcs!V6</f>
        <v>4.0395872337127811E-2</v>
      </c>
      <c r="V7">
        <f>calcs!W6</f>
        <v>4.7138336737447779E-2</v>
      </c>
      <c r="W7">
        <f>calcs!X6</f>
        <v>5.4553565030404205E-2</v>
      </c>
      <c r="X7">
        <f>calcs!Y6</f>
        <v>6.2661678255191339E-2</v>
      </c>
      <c r="Y7">
        <f>calcs!Z6</f>
        <v>7.1480070756531233E-2</v>
      </c>
      <c r="Z7">
        <f>calcs!AA6</f>
        <v>8.102321342860358E-2</v>
      </c>
      <c r="AA7">
        <f>calcs!AB6</f>
        <v>9.1302464766388564E-2</v>
      </c>
      <c r="AB7">
        <f>calcs!AC6</f>
        <v>0.10232589237577701</v>
      </c>
      <c r="AC7">
        <f>calcs!AD6</f>
        <v>0.1140981076530292</v>
      </c>
      <c r="AD7">
        <f>calcs!AE6</f>
        <v>0.12662011637054704</v>
      </c>
      <c r="AE7">
        <f>calcs!AF6</f>
        <v>0.13988918789589455</v>
      </c>
      <c r="AF7">
        <f>calcs!AG6</f>
        <v>0.15389874572115836</v>
      </c>
      <c r="AG7">
        <f>calcs!AH6</f>
        <v>0.16863828188740657</v>
      </c>
      <c r="AH7">
        <f>calcs!AI6</f>
        <v>0.18409329775180708</v>
      </c>
      <c r="AI7">
        <f>calcs!AJ6</f>
        <v>0.20024527336154888</v>
      </c>
      <c r="AJ7">
        <f>calcs!AK6</f>
        <v>0.21707166746817097</v>
      </c>
      <c r="AK7">
        <f>calcs!AL6</f>
        <v>0.23454594993865593</v>
      </c>
      <c r="AL7">
        <f>calcs!AM6</f>
        <v>0.25263766799652176</v>
      </c>
      <c r="AM7">
        <f>calcs!AN6</f>
        <v>0.27131254735983085</v>
      </c>
      <c r="AN7">
        <f>calcs!AO6</f>
        <v>0.29053262893624132</v>
      </c>
      <c r="AO7">
        <f>calcs!AP6</f>
        <v>0.31025644129286578</v>
      </c>
      <c r="AP7">
        <f>calcs!AQ6</f>
        <v>0.33043920864618676</v>
      </c>
      <c r="AQ7">
        <f>calcs!AR6</f>
        <v>0.35103309362062773</v>
      </c>
      <c r="AR7">
        <f>calcs!AS6</f>
        <v>0.37198747351244932</v>
      </c>
      <c r="AS7">
        <f>calcs!AT6</f>
        <v>0.39324924827509844</v>
      </c>
      <c r="AT7">
        <f>calcs!AU6</f>
        <v>0.4147631779243578</v>
      </c>
      <c r="AU7">
        <f>calcs!AV6</f>
        <v>0.43647224655407468</v>
      </c>
      <c r="AV7">
        <f>calcs!AW6</f>
        <v>0.45831804966891371</v>
      </c>
      <c r="AW7">
        <f>calcs!AX6</f>
        <v>0.48024120108660368</v>
      </c>
      <c r="AX7">
        <f>calcs!AY6</f>
        <v>0.50218175525307596</v>
      </c>
      <c r="AY7">
        <f>calcs!AZ6</f>
        <v>0.52407964045311017</v>
      </c>
      <c r="AZ7">
        <f>calcs!BA6</f>
        <v>1</v>
      </c>
      <c r="BA7">
        <f>calcs!BB6</f>
        <v>0</v>
      </c>
      <c r="BB7">
        <f>calcs!BC6</f>
        <v>0</v>
      </c>
      <c r="BC7">
        <f>calcs!BD6</f>
        <v>0</v>
      </c>
      <c r="BD7">
        <f>calcs!BE6</f>
        <v>0</v>
      </c>
      <c r="BE7">
        <f>calcs!BF6</f>
        <v>0</v>
      </c>
      <c r="BF7">
        <f>calcs!BG6</f>
        <v>0</v>
      </c>
      <c r="BG7">
        <f>calcs!BH6</f>
        <v>0</v>
      </c>
      <c r="BH7">
        <f>calcs!BI6</f>
        <v>0</v>
      </c>
      <c r="BI7">
        <f>calcs!BJ6</f>
        <v>0</v>
      </c>
      <c r="BJ7">
        <f>calcs!BK6</f>
        <v>0</v>
      </c>
      <c r="BK7">
        <f>calcs!BL6</f>
        <v>0</v>
      </c>
      <c r="BL7">
        <f>calcs!BM6</f>
        <v>0</v>
      </c>
      <c r="BM7">
        <f>calcs!BN6</f>
        <v>0</v>
      </c>
      <c r="BN7">
        <f>calcs!BO6</f>
        <v>0</v>
      </c>
      <c r="BO7">
        <f>calcs!BP6</f>
        <v>0</v>
      </c>
      <c r="BP7">
        <f>calcs!BQ6</f>
        <v>0</v>
      </c>
      <c r="BQ7">
        <f>calcs!BR6</f>
        <v>0</v>
      </c>
      <c r="BR7">
        <f>calcs!BS6</f>
        <v>0</v>
      </c>
      <c r="BS7">
        <f>calcs!BT6</f>
        <v>0</v>
      </c>
      <c r="BT7">
        <f>calcs!BU6</f>
        <v>0</v>
      </c>
      <c r="BU7">
        <f>calcs!BV6</f>
        <v>0</v>
      </c>
      <c r="BV7">
        <f>calcs!BW6</f>
        <v>0</v>
      </c>
      <c r="BW7">
        <f>calcs!BX6</f>
        <v>0</v>
      </c>
      <c r="BX7">
        <f>calcs!BY6</f>
        <v>0</v>
      </c>
      <c r="BY7">
        <f>calcs!BZ6</f>
        <v>0</v>
      </c>
      <c r="BZ7">
        <f>calcs!CA6</f>
        <v>0</v>
      </c>
      <c r="CA7">
        <f>calcs!CB6</f>
        <v>0</v>
      </c>
      <c r="CB7">
        <f>calcs!CC6</f>
        <v>0</v>
      </c>
      <c r="CC7">
        <f>calcs!CD6</f>
        <v>0</v>
      </c>
      <c r="CD7">
        <f>calcs!CE6</f>
        <v>0</v>
      </c>
      <c r="CE7">
        <f>calcs!CF6</f>
        <v>0</v>
      </c>
      <c r="CF7">
        <f>calcs!CG6</f>
        <v>0</v>
      </c>
      <c r="CG7">
        <f>calcs!CH6</f>
        <v>0</v>
      </c>
      <c r="CH7">
        <f>calcs!CI6</f>
        <v>0</v>
      </c>
      <c r="CI7">
        <f>calcs!CJ6</f>
        <v>0</v>
      </c>
      <c r="CJ7">
        <f>calcs!CK6</f>
        <v>0</v>
      </c>
      <c r="CK7">
        <f>calcs!CL6</f>
        <v>0</v>
      </c>
      <c r="CL7">
        <f>calcs!CM6</f>
        <v>0</v>
      </c>
      <c r="CM7">
        <f>calcs!CN6</f>
        <v>0</v>
      </c>
      <c r="CN7">
        <f>calcs!CO6</f>
        <v>0</v>
      </c>
      <c r="CO7">
        <f>calcs!CP6</f>
        <v>0</v>
      </c>
      <c r="CP7">
        <f>calcs!CQ6</f>
        <v>0</v>
      </c>
      <c r="CQ7">
        <f>calcs!CR6</f>
        <v>0</v>
      </c>
      <c r="CR7">
        <f>calcs!CS6</f>
        <v>0</v>
      </c>
      <c r="CS7">
        <f>calcs!CT6</f>
        <v>0</v>
      </c>
      <c r="CT7">
        <f>calcs!CU6</f>
        <v>0</v>
      </c>
      <c r="CU7">
        <f>calcs!CV6</f>
        <v>0</v>
      </c>
      <c r="CV7">
        <f>calcs!CW6</f>
        <v>0</v>
      </c>
      <c r="CW7">
        <f>calcs!CX6</f>
        <v>0</v>
      </c>
      <c r="CX7">
        <f>calcs!CY6</f>
        <v>0</v>
      </c>
    </row>
    <row r="8" spans="1:102" x14ac:dyDescent="0.25">
      <c r="A8" t="s">
        <v>6</v>
      </c>
      <c r="B8">
        <f>calcs!C5</f>
        <v>0</v>
      </c>
      <c r="C8">
        <f>calcs!D5</f>
        <v>4.1152262486576774E-8</v>
      </c>
      <c r="D8">
        <f>calcs!E5</f>
        <v>1.2757193509201448E-6</v>
      </c>
      <c r="E8">
        <f>calcs!F5</f>
        <v>8.6830898737785291E-6</v>
      </c>
      <c r="F8">
        <f>calcs!G5</f>
        <v>3.2139401213874527E-5</v>
      </c>
      <c r="G8">
        <f>calcs!H5</f>
        <v>8.6457167713382342E-5</v>
      </c>
      <c r="H8">
        <f>calcs!I5</f>
        <v>1.9138086130088047E-4</v>
      </c>
      <c r="I8">
        <f>calcs!J5</f>
        <v>3.7157703868116986E-4</v>
      </c>
      <c r="J8">
        <f>calcs!K5</f>
        <v>6.5661560927915441E-4</v>
      </c>
      <c r="K8">
        <f>calcs!L5</f>
        <v>1.080937998925532E-3</v>
      </c>
      <c r="L8">
        <f>calcs!M5</f>
        <v>1.6838071408787872E-3</v>
      </c>
      <c r="M8">
        <f>calcs!N5</f>
        <v>2.5092334288889951E-3</v>
      </c>
      <c r="N8">
        <f>calcs!O5</f>
        <v>3.6058700114194129E-3</v>
      </c>
      <c r="O8">
        <f>calcs!P5</f>
        <v>5.0268701112288214E-3</v>
      </c>
      <c r="P8">
        <f>calcs!Q5</f>
        <v>6.8296984447414697E-3</v>
      </c>
      <c r="Q8">
        <f>calcs!R5</f>
        <v>9.0758883208569893E-3</v>
      </c>
      <c r="R8">
        <f>calcs!S5</f>
        <v>1.1830735654520695E-2</v>
      </c>
      <c r="S8">
        <f>calcs!T5</f>
        <v>1.516292097736161E-2</v>
      </c>
      <c r="T8">
        <f>calcs!U5</f>
        <v>1.9144050611908343E-2</v>
      </c>
      <c r="U8">
        <f>calcs!V5</f>
        <v>2.3848108547429102E-2</v>
      </c>
      <c r="V8">
        <f>calcs!W5</f>
        <v>2.9350811267282135E-2</v>
      </c>
      <c r="W8">
        <f>calcs!X5</f>
        <v>3.5728858883835257E-2</v>
      </c>
      <c r="X8">
        <f>calcs!Y5</f>
        <v>4.305907749002455E-2</v>
      </c>
      <c r="Y8">
        <f>calcs!Z5</f>
        <v>5.1417449684349012E-2</v>
      </c>
      <c r="Z8">
        <f>calcs!AA5</f>
        <v>6.0878032807876917E-2</v>
      </c>
      <c r="AA8">
        <f>calcs!AB5</f>
        <v>7.1511767573877505E-2</v>
      </c>
      <c r="AB8">
        <f>calcs!AC5</f>
        <v>8.3385183480958719E-2</v>
      </c>
      <c r="AC8">
        <f>calcs!AD5</f>
        <v>9.6559011663189601E-2</v>
      </c>
      <c r="AD8">
        <f>calcs!AE5</f>
        <v>0.11108672059998591</v>
      </c>
      <c r="AE8">
        <f>calcs!AF5</f>
        <v>0.12701299530354687</v>
      </c>
      <c r="AF8">
        <f>calcs!AG5</f>
        <v>0.14437218610080185</v>
      </c>
      <c r="AG8">
        <f>calcs!AH5</f>
        <v>0.16318675876402883</v>
      </c>
      <c r="AH8">
        <f>calcs!AI5</f>
        <v>0.18346578330656063</v>
      </c>
      <c r="AI8">
        <f>calcs!AJ5</f>
        <v>0.20520350398750112</v>
      </c>
      <c r="AJ8">
        <f>calcs!AK5</f>
        <v>0.22837803765891287</v>
      </c>
      <c r="AK8">
        <f>calcs!AL5</f>
        <v>0.25295025120100784</v>
      </c>
      <c r="AL8">
        <f>calcs!AM5</f>
        <v>0.27886287106089241</v>
      </c>
      <c r="AM8">
        <f>calcs!AN5</f>
        <v>0.30603987846607644</v>
      </c>
      <c r="AN8">
        <f>calcs!AO5</f>
        <v>0.33438624236473125</v>
      </c>
      <c r="AO8">
        <f>calcs!AP5</f>
        <v>0.36378803823029354</v>
      </c>
      <c r="AP8">
        <f>calcs!AQ5</f>
        <v>0.39411299430478081</v>
      </c>
      <c r="AQ8">
        <f>calcs!AR5</f>
        <v>0.42521149749143244</v>
      </c>
      <c r="AR8">
        <f>calcs!AS5</f>
        <v>0.45691807892202985</v>
      </c>
      <c r="AS8">
        <f>calcs!AT5</f>
        <v>0.48905338436071283</v>
      </c>
      <c r="AT8">
        <f>calcs!AU5</f>
        <v>0.52142661739174057</v>
      </c>
      <c r="AU8">
        <f>calcs!AV5</f>
        <v>0.55383842430534458</v>
      </c>
      <c r="AV8">
        <f>calcs!AW5</f>
        <v>0.58608416947814324</v>
      </c>
      <c r="AW8">
        <f>calcs!AX5</f>
        <v>0.61795752976973406</v>
      </c>
      <c r="AX8">
        <f>calcs!AY5</f>
        <v>0.64925431711469017</v>
      </c>
      <c r="AY8">
        <f>calcs!AZ5</f>
        <v>0.6797764212683538</v>
      </c>
      <c r="AZ8">
        <f>calcs!BA5</f>
        <v>1</v>
      </c>
      <c r="BA8">
        <f>calcs!BB5</f>
        <v>0</v>
      </c>
      <c r="BB8">
        <f>calcs!BC5</f>
        <v>0</v>
      </c>
      <c r="BC8">
        <f>calcs!BD5</f>
        <v>0</v>
      </c>
      <c r="BD8">
        <f>calcs!BE5</f>
        <v>0</v>
      </c>
      <c r="BE8">
        <f>calcs!BF5</f>
        <v>0</v>
      </c>
      <c r="BF8">
        <f>calcs!BG5</f>
        <v>0</v>
      </c>
      <c r="BG8">
        <f>calcs!BH5</f>
        <v>0</v>
      </c>
      <c r="BH8">
        <f>calcs!BI5</f>
        <v>0</v>
      </c>
      <c r="BI8">
        <f>calcs!BJ5</f>
        <v>0</v>
      </c>
      <c r="BJ8">
        <f>calcs!BK5</f>
        <v>0</v>
      </c>
      <c r="BK8">
        <f>calcs!BL5</f>
        <v>0</v>
      </c>
      <c r="BL8">
        <f>calcs!BM5</f>
        <v>0</v>
      </c>
      <c r="BM8">
        <f>calcs!BN5</f>
        <v>0</v>
      </c>
      <c r="BN8">
        <f>calcs!BO5</f>
        <v>0</v>
      </c>
      <c r="BO8">
        <f>calcs!BP5</f>
        <v>0</v>
      </c>
      <c r="BP8">
        <f>calcs!BQ5</f>
        <v>0</v>
      </c>
      <c r="BQ8">
        <f>calcs!BR5</f>
        <v>0</v>
      </c>
      <c r="BR8">
        <f>calcs!BS5</f>
        <v>0</v>
      </c>
      <c r="BS8">
        <f>calcs!BT5</f>
        <v>0</v>
      </c>
      <c r="BT8">
        <f>calcs!BU5</f>
        <v>0</v>
      </c>
      <c r="BU8">
        <f>calcs!BV5</f>
        <v>0</v>
      </c>
      <c r="BV8">
        <f>calcs!BW5</f>
        <v>0</v>
      </c>
      <c r="BW8">
        <f>calcs!BX5</f>
        <v>0</v>
      </c>
      <c r="BX8">
        <f>calcs!BY5</f>
        <v>0</v>
      </c>
      <c r="BY8">
        <f>calcs!BZ5</f>
        <v>0</v>
      </c>
      <c r="BZ8">
        <f>calcs!CA5</f>
        <v>0</v>
      </c>
      <c r="CA8">
        <f>calcs!CB5</f>
        <v>0</v>
      </c>
      <c r="CB8">
        <f>calcs!CC5</f>
        <v>0</v>
      </c>
      <c r="CC8">
        <f>calcs!CD5</f>
        <v>0</v>
      </c>
      <c r="CD8">
        <f>calcs!CE5</f>
        <v>0</v>
      </c>
      <c r="CE8">
        <f>calcs!CF5</f>
        <v>0</v>
      </c>
      <c r="CF8">
        <f>calcs!CG5</f>
        <v>0</v>
      </c>
      <c r="CG8">
        <f>calcs!CH5</f>
        <v>0</v>
      </c>
      <c r="CH8">
        <f>calcs!CI5</f>
        <v>0</v>
      </c>
      <c r="CI8">
        <f>calcs!CJ5</f>
        <v>0</v>
      </c>
      <c r="CJ8">
        <f>calcs!CK5</f>
        <v>0</v>
      </c>
      <c r="CK8">
        <f>calcs!CL5</f>
        <v>0</v>
      </c>
      <c r="CL8">
        <f>calcs!CM5</f>
        <v>0</v>
      </c>
      <c r="CM8">
        <f>calcs!CN5</f>
        <v>0</v>
      </c>
      <c r="CN8">
        <f>calcs!CO5</f>
        <v>0</v>
      </c>
      <c r="CO8">
        <f>calcs!CP5</f>
        <v>0</v>
      </c>
      <c r="CP8">
        <f>calcs!CQ5</f>
        <v>0</v>
      </c>
      <c r="CQ8">
        <f>calcs!CR5</f>
        <v>0</v>
      </c>
      <c r="CR8">
        <f>calcs!CS5</f>
        <v>0</v>
      </c>
      <c r="CS8">
        <f>calcs!CT5</f>
        <v>0</v>
      </c>
      <c r="CT8">
        <f>calcs!CU5</f>
        <v>0</v>
      </c>
      <c r="CU8">
        <f>calcs!CV5</f>
        <v>0</v>
      </c>
      <c r="CV8">
        <f>calcs!CW5</f>
        <v>0</v>
      </c>
      <c r="CW8">
        <f>calcs!CX5</f>
        <v>0</v>
      </c>
      <c r="CX8">
        <f>calcs!CY5</f>
        <v>0</v>
      </c>
    </row>
    <row r="9" spans="1:102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</row>
    <row r="10" spans="1:102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</row>
    <row r="11" spans="1:102" x14ac:dyDescent="0.25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25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</row>
    <row r="13" spans="1:102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</row>
    <row r="14" spans="1:102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</row>
    <row r="15" spans="1:102" x14ac:dyDescent="0.25">
      <c r="A15" t="s">
        <v>13</v>
      </c>
      <c r="B15">
        <f>calcs!C6</f>
        <v>0</v>
      </c>
      <c r="C15">
        <f>calcs!D6</f>
        <v>1.6269249573097611E-6</v>
      </c>
      <c r="D15">
        <f>calcs!E6</f>
        <v>2.4403596438095259E-5</v>
      </c>
      <c r="E15">
        <f>calcs!F6</f>
        <v>1.0574461689043246E-4</v>
      </c>
      <c r="F15">
        <f>calcs!G6</f>
        <v>2.8467157248188792E-4</v>
      </c>
      <c r="G15">
        <f>calcs!H6</f>
        <v>6.0015563210444236E-4</v>
      </c>
      <c r="H15">
        <f>calcs!I6</f>
        <v>1.091071882128998E-3</v>
      </c>
      <c r="I15">
        <f>calcs!J6</f>
        <v>1.7961385492261661E-3</v>
      </c>
      <c r="J15">
        <f>calcs!K6</f>
        <v>2.7538412492099889E-3</v>
      </c>
      <c r="K15">
        <f>calcs!L6</f>
        <v>4.0023424741347478E-3</v>
      </c>
      <c r="L15">
        <f>calcs!M6</f>
        <v>5.5793766200062673E-3</v>
      </c>
      <c r="M15">
        <f>calcs!N6</f>
        <v>7.5221309629090703E-3</v>
      </c>
      <c r="N15">
        <f>calcs!O6</f>
        <v>9.8671131113390476E-3</v>
      </c>
      <c r="O15">
        <f>calcs!P6</f>
        <v>1.2650005596089595E-2</v>
      </c>
      <c r="P15">
        <f>calcs!Q6</f>
        <v>1.5905508404879892E-2</v>
      </c>
      <c r="Q15">
        <f>calcs!R6</f>
        <v>1.9667170425539657E-2</v>
      </c>
      <c r="R15">
        <f>calcs!S6</f>
        <v>2.3967210927083999E-2</v>
      </c>
      <c r="S15">
        <f>calcs!T6</f>
        <v>2.8836332380295177E-2</v>
      </c>
      <c r="T15">
        <f>calcs!U6</f>
        <v>3.4303526095985179E-2</v>
      </c>
      <c r="U15">
        <f>calcs!V6</f>
        <v>4.0395872337127811E-2</v>
      </c>
      <c r="V15">
        <f>calcs!W6</f>
        <v>4.7138336737447779E-2</v>
      </c>
      <c r="W15">
        <f>calcs!X6</f>
        <v>5.4553565030404205E-2</v>
      </c>
      <c r="X15">
        <f>calcs!Y6</f>
        <v>6.2661678255191339E-2</v>
      </c>
      <c r="Y15">
        <f>calcs!Z6</f>
        <v>7.1480070756531233E-2</v>
      </c>
      <c r="Z15">
        <f>calcs!AA6</f>
        <v>8.102321342860358E-2</v>
      </c>
      <c r="AA15">
        <f>calcs!AB6</f>
        <v>9.1302464766388564E-2</v>
      </c>
      <c r="AB15">
        <f>calcs!AC6</f>
        <v>0.10232589237577701</v>
      </c>
      <c r="AC15">
        <f>calcs!AD6</f>
        <v>0.1140981076530292</v>
      </c>
      <c r="AD15">
        <f>calcs!AE6</f>
        <v>0.12662011637054704</v>
      </c>
      <c r="AE15">
        <f>calcs!AF6</f>
        <v>0.13988918789589455</v>
      </c>
      <c r="AF15">
        <f>calcs!AG6</f>
        <v>0.15389874572115836</v>
      </c>
      <c r="AG15">
        <f>calcs!AH6</f>
        <v>0.16863828188740657</v>
      </c>
      <c r="AH15">
        <f>calcs!AI6</f>
        <v>0.18409329775180708</v>
      </c>
      <c r="AI15">
        <f>calcs!AJ6</f>
        <v>0.20024527336154888</v>
      </c>
      <c r="AJ15">
        <f>calcs!AK6</f>
        <v>0.21707166746817097</v>
      </c>
      <c r="AK15">
        <f>calcs!AL6</f>
        <v>0.23454594993865593</v>
      </c>
      <c r="AL15">
        <f>calcs!AM6</f>
        <v>0.25263766799652176</v>
      </c>
      <c r="AM15">
        <f>calcs!AN6</f>
        <v>0.27131254735983085</v>
      </c>
      <c r="AN15">
        <f>calcs!AO6</f>
        <v>0.29053262893624132</v>
      </c>
      <c r="AO15">
        <f>calcs!AP6</f>
        <v>0.31025644129286578</v>
      </c>
      <c r="AP15">
        <f>calcs!AQ6</f>
        <v>0.33043920864618676</v>
      </c>
      <c r="AQ15">
        <f>calcs!AR6</f>
        <v>0.35103309362062773</v>
      </c>
      <c r="AR15">
        <f>calcs!AS6</f>
        <v>0.37198747351244932</v>
      </c>
      <c r="AS15">
        <f>calcs!AT6</f>
        <v>0.39324924827509844</v>
      </c>
      <c r="AT15">
        <f>calcs!AU6</f>
        <v>0.4147631779243578</v>
      </c>
      <c r="AU15">
        <f>calcs!AV6</f>
        <v>0.43647224655407468</v>
      </c>
      <c r="AV15">
        <f>calcs!AW6</f>
        <v>0.45831804966891371</v>
      </c>
      <c r="AW15">
        <f>calcs!AX6</f>
        <v>0.48024120108660368</v>
      </c>
      <c r="AX15">
        <f>calcs!AY6</f>
        <v>0.50218175525307596</v>
      </c>
      <c r="AY15">
        <f>calcs!AZ6</f>
        <v>0.52407964045311017</v>
      </c>
      <c r="AZ15">
        <f>calcs!BA6</f>
        <v>1</v>
      </c>
      <c r="BA15">
        <f>calcs!BB6</f>
        <v>0</v>
      </c>
      <c r="BB15">
        <f>calcs!BC6</f>
        <v>0</v>
      </c>
      <c r="BC15">
        <f>calcs!BD6</f>
        <v>0</v>
      </c>
      <c r="BD15">
        <f>calcs!BE6</f>
        <v>0</v>
      </c>
      <c r="BE15">
        <f>calcs!BF6</f>
        <v>0</v>
      </c>
      <c r="BF15">
        <f>calcs!BG6</f>
        <v>0</v>
      </c>
      <c r="BG15">
        <f>calcs!BH6</f>
        <v>0</v>
      </c>
      <c r="BH15">
        <f>calcs!BI6</f>
        <v>0</v>
      </c>
      <c r="BI15">
        <f>calcs!BJ6</f>
        <v>0</v>
      </c>
      <c r="BJ15">
        <f>calcs!BK6</f>
        <v>0</v>
      </c>
      <c r="BK15">
        <f>calcs!BL6</f>
        <v>0</v>
      </c>
      <c r="BL15">
        <f>calcs!BM6</f>
        <v>0</v>
      </c>
      <c r="BM15">
        <f>calcs!BN6</f>
        <v>0</v>
      </c>
      <c r="BN15">
        <f>calcs!BO6</f>
        <v>0</v>
      </c>
      <c r="BO15">
        <f>calcs!BP6</f>
        <v>0</v>
      </c>
      <c r="BP15">
        <f>calcs!BQ6</f>
        <v>0</v>
      </c>
      <c r="BQ15">
        <f>calcs!BR6</f>
        <v>0</v>
      </c>
      <c r="BR15">
        <f>calcs!BS6</f>
        <v>0</v>
      </c>
      <c r="BS15">
        <f>calcs!BT6</f>
        <v>0</v>
      </c>
      <c r="BT15">
        <f>calcs!BU6</f>
        <v>0</v>
      </c>
      <c r="BU15">
        <f>calcs!BV6</f>
        <v>0</v>
      </c>
      <c r="BV15">
        <f>calcs!BW6</f>
        <v>0</v>
      </c>
      <c r="BW15">
        <f>calcs!BX6</f>
        <v>0</v>
      </c>
      <c r="BX15">
        <f>calcs!BY6</f>
        <v>0</v>
      </c>
      <c r="BY15">
        <f>calcs!BZ6</f>
        <v>0</v>
      </c>
      <c r="BZ15">
        <f>calcs!CA6</f>
        <v>0</v>
      </c>
      <c r="CA15">
        <f>calcs!CB6</f>
        <v>0</v>
      </c>
      <c r="CB15">
        <f>calcs!CC6</f>
        <v>0</v>
      </c>
      <c r="CC15">
        <f>calcs!CD6</f>
        <v>0</v>
      </c>
      <c r="CD15">
        <f>calcs!CE6</f>
        <v>0</v>
      </c>
      <c r="CE15">
        <f>calcs!CF6</f>
        <v>0</v>
      </c>
      <c r="CF15">
        <f>calcs!CG6</f>
        <v>0</v>
      </c>
      <c r="CG15">
        <f>calcs!CH6</f>
        <v>0</v>
      </c>
      <c r="CH15">
        <f>calcs!CI6</f>
        <v>0</v>
      </c>
      <c r="CI15">
        <f>calcs!CJ6</f>
        <v>0</v>
      </c>
      <c r="CJ15">
        <f>calcs!CK6</f>
        <v>0</v>
      </c>
      <c r="CK15">
        <f>calcs!CL6</f>
        <v>0</v>
      </c>
      <c r="CL15">
        <f>calcs!CM6</f>
        <v>0</v>
      </c>
      <c r="CM15">
        <f>calcs!CN6</f>
        <v>0</v>
      </c>
      <c r="CN15">
        <f>calcs!CO6</f>
        <v>0</v>
      </c>
      <c r="CO15">
        <f>calcs!CP6</f>
        <v>0</v>
      </c>
      <c r="CP15">
        <f>calcs!CQ6</f>
        <v>0</v>
      </c>
      <c r="CQ15">
        <f>calcs!CR6</f>
        <v>0</v>
      </c>
      <c r="CR15">
        <f>calcs!CS6</f>
        <v>0</v>
      </c>
      <c r="CS15">
        <f>calcs!CT6</f>
        <v>0</v>
      </c>
      <c r="CT15">
        <f>calcs!CU6</f>
        <v>0</v>
      </c>
      <c r="CU15">
        <f>calcs!CV6</f>
        <v>0</v>
      </c>
      <c r="CV15">
        <f>calcs!CW6</f>
        <v>0</v>
      </c>
      <c r="CW15">
        <f>calcs!CX6</f>
        <v>0</v>
      </c>
      <c r="CX15">
        <f>calcs!CY6</f>
        <v>0</v>
      </c>
    </row>
    <row r="16" spans="1:102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</row>
    <row r="17" spans="1:102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</row>
    <row r="18" spans="1:102" x14ac:dyDescent="0.2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</row>
    <row r="19" spans="1:102" x14ac:dyDescent="0.2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</row>
    <row r="20" spans="1:102" x14ac:dyDescent="0.25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</row>
    <row r="21" spans="1:102" x14ac:dyDescent="0.2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</row>
    <row r="22" spans="1:102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</row>
    <row r="23" spans="1:102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</row>
    <row r="24" spans="1:102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</row>
    <row r="25" spans="1:102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calcs</vt:lpstr>
      <vt:lpstr>SoECRbA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2015-06-05T18:17:20Z</dcterms:created>
  <dcterms:modified xsi:type="dcterms:W3CDTF">2026-05-20T23:21:46Z</dcterms:modified>
</cp:coreProperties>
</file>