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RCDC\"/>
    </mc:Choice>
  </mc:AlternateContent>
  <xr:revisionPtr revIDLastSave="0" documentId="13_ncr:1_{5F648F49-D6B0-48E1-A695-EF26763708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Parameters" sheetId="2" r:id="rId2"/>
    <sheet name="Curve" sheetId="3" r:id="rId3"/>
    <sheet name="Checks" sheetId="4" r:id="rId4"/>
    <sheet name="RCD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2" i="5"/>
  <c r="B7" i="4"/>
  <c r="C7" i="4" s="1"/>
  <c r="B6" i="4"/>
  <c r="C6" i="4" s="1"/>
  <c r="C52" i="3"/>
  <c r="B52" i="3"/>
  <c r="C51" i="3"/>
  <c r="B51" i="3"/>
  <c r="C50" i="3"/>
  <c r="B50" i="3"/>
  <c r="C49" i="3"/>
  <c r="B49" i="3"/>
  <c r="C48" i="3"/>
  <c r="B48" i="3"/>
  <c r="C47" i="3"/>
  <c r="B47" i="3"/>
  <c r="B3" i="4" s="1"/>
  <c r="C3" i="4" s="1"/>
  <c r="C46" i="3"/>
  <c r="B46" i="3"/>
  <c r="C45" i="3"/>
  <c r="B45" i="3"/>
  <c r="C44" i="3"/>
  <c r="B44" i="3"/>
  <c r="C43" i="3"/>
  <c r="B43" i="3"/>
  <c r="C42" i="3"/>
  <c r="B42" i="3"/>
  <c r="B4" i="4" s="1"/>
  <c r="C4" i="4" s="1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B2" i="4" s="1"/>
  <c r="C2" i="4" s="1"/>
  <c r="B5" i="4" l="1"/>
  <c r="C5" i="4" s="1"/>
</calcChain>
</file>

<file path=xl/sharedStrings.xml><?xml version="1.0" encoding="utf-8"?>
<sst xmlns="http://schemas.openxmlformats.org/spreadsheetml/2006/main" count="43" uniqueCount="42">
  <si>
    <t>RCDC Reliability Credit Derate Curve</t>
  </si>
  <si>
    <t>Sources:</t>
  </si>
  <si>
    <t>Parameter selection (shape a, scale b)</t>
  </si>
  <si>
    <t>Energy Innovation (internal)</t>
  </si>
  <si>
    <t>Reliability Credit Redesign design doc (Reliability-Credit-Redesign-2026-08-19.md) and parameter sweep, RCO</t>
  </si>
  <si>
    <t>Parameters chosen from the redesign's parameter sweep (a in {8,15}, b in {0.8,0.9,1.0}), not calibrated to external evidence. a was raised 8 -&gt; 15 in the 2026-08-20 refinement so the new-entrant credit stays &gt;= 0.995 through 2027 and the derate bites only once the 5-year-foresight requirement passes ~76%. Recalibration once the design is ratified is an open item (see the design doc's Remaining Work).</t>
  </si>
  <si>
    <t>Notes:</t>
  </si>
  <si>
    <t>Role in the model</t>
  </si>
  <si>
    <t>This file sets the two constants of the Weibull-form reliability credit derate applied to NEW-ENTRANT capacity in the unified reliability capacity market: Reliability Credit Ratio for Non Qualifying Sources = EXP(-(F / b)^a), where F = Five Year Foresight Elec Portfolio Values for Reliability Check (the RPS/CES requirement five years ahead). It steers new reliability builds away from non-qualifying sources as the clean-electricity requirement approaches 100%. It is one part of the three-part split credit: the EXISTING fleet uses a separate physical energy-budget ratio (not this curve), and the endgame is handled by the rampdown + fossil backstop variables.</t>
  </si>
  <si>
    <t>How the model reads it</t>
  </si>
  <si>
    <t>GET DIRECT CONSTANTS from RCDC.csv: cell B2 = RCDCa Reliability Credit Derate Curve Shape Parameter, cell B3 = RCDCb Reliability Credit Derate Curve Scale Parameter. Both scenarios (policy and BAU) share the same constants. Export the RCDC tab of this workbook as RCDC.csv (CSV layout must stay: header row, then 'shape parameter a', then 'scale parameter b').</t>
  </si>
  <si>
    <t>Behavior at the chosen values (a=15, b=0.9)</t>
  </si>
  <si>
    <t>Credit ~1.00 below ~65% foresight requirement; ~0.98 at 76%; 0.105 at 95%; 0.008 at 100%. Higher a sharpens the transition; b positions it (credit = 1/e when F = b). The Curve tab computes the full curve from the Parameters tab and marks these landmarks; the Checks tab verifies monotonicity and the 95% landmark against the validated run evidence (REL_CA95: ratio 0.1054 from 2035).</t>
  </si>
  <si>
    <t>Provenance</t>
  </si>
  <si>
    <t>Introduced with the 2026-08 reliability credit redesign (eps-us develop_4.0.6; CSV committed 50643afc). Design history, the rejected single-factor variant, and the sweep evidence trail are in Reliability-Credit-Redesign-2026-08-19.md (Robbie Orvis / RCO).</t>
  </si>
  <si>
    <t>Editable parameters (all Curve/Checks/RCDC cells recompute)</t>
  </si>
  <si>
    <t>RCDCa shape parameter a</t>
  </si>
  <si>
    <t>RCDCb scale parameter b</t>
  </si>
  <si>
    <t>Comparison curve (Curve tab column C, for reference only)</t>
  </si>
  <si>
    <t>comparison shape a</t>
  </si>
  <si>
    <t>comparison scale b</t>
  </si>
  <si>
    <t>Foresight requirement F</t>
  </si>
  <si>
    <t>Credit = EXP(-(F/b)^a)</t>
  </si>
  <si>
    <t>Comparison curve</t>
  </si>
  <si>
    <t>Landmark</t>
  </si>
  <si>
    <t>credit ~1 at mid-range requirements</t>
  </si>
  <si>
    <t>derate begins to bite (design intent of a=15)</t>
  </si>
  <si>
    <t>credit = 1/e when F = b</t>
  </si>
  <si>
    <t>ClimateAmbition 95% CES plateau (run: 0.1054)</t>
  </si>
  <si>
    <t>full requirement</t>
  </si>
  <si>
    <t>Check</t>
  </si>
  <si>
    <t>Value</t>
  </si>
  <si>
    <t>Status</t>
  </si>
  <si>
    <t>Credit at F=0.50 (should be ~1, &gt; 0.999)</t>
  </si>
  <si>
    <t>Credit at F=0.95 (validated run landmark 0.1054, +/-0.02)</t>
  </si>
  <si>
    <t>Credit at F=b equals 1/e (definition of scale parameter)</t>
  </si>
  <si>
    <t>Curve monotonically decreasing (count of rises, must be 0)</t>
  </si>
  <si>
    <t>Output tab a matches Parameters</t>
  </si>
  <si>
    <t>Output tab b matches Parameters</t>
  </si>
  <si>
    <t>Parameter</t>
  </si>
  <si>
    <t>shape parameter a</t>
  </si>
  <si>
    <t>scale parameter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</si>
</sst>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Reliability credit derate vs 5-yr foresight requirement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Curve!$B$1</c:f>
              <c:strCache>
                <c:ptCount val="1"/>
                <c:pt idx="0">
                  <c:v>Credit = EXP(-(F/b)^a)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Curve!$A$2:$A$52</c:f>
              <c:numCache>
                <c:formatCode>General</c:formatCode>
                <c:ptCount val="51"/>
                <c:pt idx="0">
                  <c:v>0.5</c:v>
                </c:pt>
                <c:pt idx="1">
                  <c:v>0.51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0.59</c:v>
                </c:pt>
                <c:pt idx="10">
                  <c:v>0.6</c:v>
                </c:pt>
                <c:pt idx="11">
                  <c:v>0.61</c:v>
                </c:pt>
                <c:pt idx="12">
                  <c:v>0.62</c:v>
                </c:pt>
                <c:pt idx="13">
                  <c:v>0.63</c:v>
                </c:pt>
                <c:pt idx="14">
                  <c:v>0.64</c:v>
                </c:pt>
                <c:pt idx="15">
                  <c:v>0.65</c:v>
                </c:pt>
                <c:pt idx="16">
                  <c:v>0.66</c:v>
                </c:pt>
                <c:pt idx="17">
                  <c:v>0.67</c:v>
                </c:pt>
                <c:pt idx="18">
                  <c:v>0.68</c:v>
                </c:pt>
                <c:pt idx="19">
                  <c:v>0.69</c:v>
                </c:pt>
                <c:pt idx="20">
                  <c:v>0.7</c:v>
                </c:pt>
                <c:pt idx="21">
                  <c:v>0.71</c:v>
                </c:pt>
                <c:pt idx="22">
                  <c:v>0.72</c:v>
                </c:pt>
                <c:pt idx="23">
                  <c:v>0.73</c:v>
                </c:pt>
                <c:pt idx="24">
                  <c:v>0.74</c:v>
                </c:pt>
                <c:pt idx="25">
                  <c:v>0.75</c:v>
                </c:pt>
                <c:pt idx="26">
                  <c:v>0.76</c:v>
                </c:pt>
                <c:pt idx="27">
                  <c:v>0.77</c:v>
                </c:pt>
                <c:pt idx="28">
                  <c:v>0.78</c:v>
                </c:pt>
                <c:pt idx="29">
                  <c:v>0.79</c:v>
                </c:pt>
                <c:pt idx="30">
                  <c:v>0.8</c:v>
                </c:pt>
                <c:pt idx="31">
                  <c:v>0.81</c:v>
                </c:pt>
                <c:pt idx="32">
                  <c:v>0.82</c:v>
                </c:pt>
                <c:pt idx="33">
                  <c:v>0.83</c:v>
                </c:pt>
                <c:pt idx="34">
                  <c:v>0.84</c:v>
                </c:pt>
                <c:pt idx="35">
                  <c:v>0.85</c:v>
                </c:pt>
                <c:pt idx="36">
                  <c:v>0.86</c:v>
                </c:pt>
                <c:pt idx="37">
                  <c:v>0.87</c:v>
                </c:pt>
                <c:pt idx="38">
                  <c:v>0.88</c:v>
                </c:pt>
                <c:pt idx="39">
                  <c:v>0.89</c:v>
                </c:pt>
                <c:pt idx="40">
                  <c:v>0.9</c:v>
                </c:pt>
                <c:pt idx="41">
                  <c:v>0.91</c:v>
                </c:pt>
                <c:pt idx="42">
                  <c:v>0.92</c:v>
                </c:pt>
                <c:pt idx="43">
                  <c:v>0.93</c:v>
                </c:pt>
                <c:pt idx="44">
                  <c:v>0.94</c:v>
                </c:pt>
                <c:pt idx="45">
                  <c:v>0.95</c:v>
                </c:pt>
                <c:pt idx="46">
                  <c:v>0.96</c:v>
                </c:pt>
                <c:pt idx="47">
                  <c:v>0.97</c:v>
                </c:pt>
                <c:pt idx="48">
                  <c:v>0.98</c:v>
                </c:pt>
                <c:pt idx="49">
                  <c:v>0.99</c:v>
                </c:pt>
                <c:pt idx="50">
                  <c:v>1</c:v>
                </c:pt>
              </c:numCache>
            </c:numRef>
          </c:cat>
          <c:val>
            <c:numRef>
              <c:f>Curve!$B$2:$B$52</c:f>
              <c:numCache>
                <c:formatCode>General</c:formatCode>
                <c:ptCount val="51"/>
                <c:pt idx="0">
                  <c:v>0.99985178906813843</c:v>
                </c:pt>
                <c:pt idx="1">
                  <c:v>0.99980053271220326</c:v>
                </c:pt>
                <c:pt idx="2">
                  <c:v>0.99973309632779328</c:v>
                </c:pt>
                <c:pt idx="3">
                  <c:v>0.9996448406363887</c:v>
                </c:pt>
                <c:pt idx="4">
                  <c:v>0.99952992553506159</c:v>
                </c:pt>
                <c:pt idx="5">
                  <c:v>0.99938103191177063</c:v>
                </c:pt>
                <c:pt idx="6">
                  <c:v>0.99918902661159981</c:v>
                </c:pt>
                <c:pt idx="7">
                  <c:v>0.99894256063866815</c:v>
                </c:pt>
                <c:pt idx="8">
                  <c:v>0.99862758936086526</c:v>
                </c:pt>
                <c:pt idx="9">
                  <c:v>0.9982268021206756</c:v>
                </c:pt>
                <c:pt idx="10">
                  <c:v>0.99771894730322119</c:v>
                </c:pt>
                <c:pt idx="11">
                  <c:v>0.99707803766350556</c:v>
                </c:pt>
                <c:pt idx="12">
                  <c:v>0.99627241970636837</c:v>
                </c:pt>
                <c:pt idx="13">
                  <c:v>0.99526369034686579</c:v>
                </c:pt>
                <c:pt idx="14">
                  <c:v>0.9940054442452253</c:v>
                </c:pt>
                <c:pt idx="15">
                  <c:v>0.99244183651626561</c:v>
                </c:pt>
                <c:pt idx="16">
                  <c:v>0.99050594852028617</c:v>
                </c:pt>
                <c:pt idx="17">
                  <c:v>0.98811794991345081</c:v>
                </c:pt>
                <c:pt idx="18">
                  <c:v>0.98518305908624415</c:v>
                </c:pt>
                <c:pt idx="19">
                  <c:v>0.9815893178742876</c:v>
                </c:pt>
                <c:pt idx="20">
                  <c:v>0.97720521667631477</c:v>
                </c:pt>
                <c:pt idx="21">
                  <c:v>0.9718772349511261</c:v>
                </c:pt>
                <c:pt idx="22">
                  <c:v>0.96542740198091992</c:v>
                </c:pt>
                <c:pt idx="23">
                  <c:v>0.95765103659495876</c:v>
                </c:pt>
                <c:pt idx="24">
                  <c:v>0.94831489515950462</c:v>
                </c:pt>
                <c:pt idx="25">
                  <c:v>0.93715604712820655</c:v>
                </c:pt>
                <c:pt idx="26">
                  <c:v>0.92388190824322569</c:v>
                </c:pt>
                <c:pt idx="27">
                  <c:v>0.90817199206874721</c:v>
                </c:pt>
                <c:pt idx="28">
                  <c:v>0.88968208547265737</c:v>
                </c:pt>
                <c:pt idx="29">
                  <c:v>0.86805170020223177</c:v>
                </c:pt>
                <c:pt idx="30">
                  <c:v>0.84291577700412446</c:v>
                </c:pt>
                <c:pt idx="31">
                  <c:v>0.81392168140828058</c:v>
                </c:pt>
                <c:pt idx="32">
                  <c:v>0.78075247180673624</c:v>
                </c:pt>
                <c:pt idx="33">
                  <c:v>0.74315715827695872</c:v>
                </c:pt>
                <c:pt idx="34">
                  <c:v>0.70098810094382646</c:v>
                </c:pt>
                <c:pt idx="35">
                  <c:v>0.6542447057904941</c:v>
                </c:pt>
                <c:pt idx="36">
                  <c:v>0.60312106739174987</c:v>
                </c:pt>
                <c:pt idx="37">
                  <c:v>0.54805315386037645</c:v>
                </c:pt>
                <c:pt idx="38">
                  <c:v>0.48975864753859899</c:v>
                </c:pt>
                <c:pt idx="39">
                  <c:v>0.42926001026535926</c:v>
                </c:pt>
                <c:pt idx="40">
                  <c:v>0.36787944117144233</c:v>
                </c:pt>
                <c:pt idx="41">
                  <c:v>0.30719421933310798</c:v>
                </c:pt>
                <c:pt idx="42">
                  <c:v>0.24894380347319775</c:v>
                </c:pt>
                <c:pt idx="43">
                  <c:v>0.19488717963512692</c:v>
                </c:pt>
                <c:pt idx="44">
                  <c:v>0.14662061642984672</c:v>
                </c:pt>
                <c:pt idx="45">
                  <c:v>0.10538070351429552</c:v>
                </c:pt>
                <c:pt idx="46">
                  <c:v>7.1871267063016817E-2</c:v>
                </c:pt>
                <c:pt idx="47">
                  <c:v>4.6159137636557247E-2</c:v>
                </c:pt>
                <c:pt idx="48">
                  <c:v>2.7676193432202945E-2</c:v>
                </c:pt>
                <c:pt idx="49">
                  <c:v>1.5340664445433723E-2</c:v>
                </c:pt>
                <c:pt idx="50">
                  <c:v>7.7742697386385395E-3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0-4ED7-8CCD-59E2A98BDB03}"/>
            </c:ext>
          </c:extLst>
        </c:ser>
        <c:ser>
          <c:idx val="1"/>
          <c:order val="1"/>
          <c:tx>
            <c:strRef>
              <c:f>Curve!$C$1</c:f>
              <c:strCache>
                <c:ptCount val="1"/>
                <c:pt idx="0">
                  <c:v>Comparison curve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Curve!$A$2:$A$52</c:f>
              <c:numCache>
                <c:formatCode>General</c:formatCode>
                <c:ptCount val="51"/>
                <c:pt idx="0">
                  <c:v>0.5</c:v>
                </c:pt>
                <c:pt idx="1">
                  <c:v>0.51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0.59</c:v>
                </c:pt>
                <c:pt idx="10">
                  <c:v>0.6</c:v>
                </c:pt>
                <c:pt idx="11">
                  <c:v>0.61</c:v>
                </c:pt>
                <c:pt idx="12">
                  <c:v>0.62</c:v>
                </c:pt>
                <c:pt idx="13">
                  <c:v>0.63</c:v>
                </c:pt>
                <c:pt idx="14">
                  <c:v>0.64</c:v>
                </c:pt>
                <c:pt idx="15">
                  <c:v>0.65</c:v>
                </c:pt>
                <c:pt idx="16">
                  <c:v>0.66</c:v>
                </c:pt>
                <c:pt idx="17">
                  <c:v>0.67</c:v>
                </c:pt>
                <c:pt idx="18">
                  <c:v>0.68</c:v>
                </c:pt>
                <c:pt idx="19">
                  <c:v>0.69</c:v>
                </c:pt>
                <c:pt idx="20">
                  <c:v>0.7</c:v>
                </c:pt>
                <c:pt idx="21">
                  <c:v>0.71</c:v>
                </c:pt>
                <c:pt idx="22">
                  <c:v>0.72</c:v>
                </c:pt>
                <c:pt idx="23">
                  <c:v>0.73</c:v>
                </c:pt>
                <c:pt idx="24">
                  <c:v>0.74</c:v>
                </c:pt>
                <c:pt idx="25">
                  <c:v>0.75</c:v>
                </c:pt>
                <c:pt idx="26">
                  <c:v>0.76</c:v>
                </c:pt>
                <c:pt idx="27">
                  <c:v>0.77</c:v>
                </c:pt>
                <c:pt idx="28">
                  <c:v>0.78</c:v>
                </c:pt>
                <c:pt idx="29">
                  <c:v>0.79</c:v>
                </c:pt>
                <c:pt idx="30">
                  <c:v>0.8</c:v>
                </c:pt>
                <c:pt idx="31">
                  <c:v>0.81</c:v>
                </c:pt>
                <c:pt idx="32">
                  <c:v>0.82</c:v>
                </c:pt>
                <c:pt idx="33">
                  <c:v>0.83</c:v>
                </c:pt>
                <c:pt idx="34">
                  <c:v>0.84</c:v>
                </c:pt>
                <c:pt idx="35">
                  <c:v>0.85</c:v>
                </c:pt>
                <c:pt idx="36">
                  <c:v>0.86</c:v>
                </c:pt>
                <c:pt idx="37">
                  <c:v>0.87</c:v>
                </c:pt>
                <c:pt idx="38">
                  <c:v>0.88</c:v>
                </c:pt>
                <c:pt idx="39">
                  <c:v>0.89</c:v>
                </c:pt>
                <c:pt idx="40">
                  <c:v>0.9</c:v>
                </c:pt>
                <c:pt idx="41">
                  <c:v>0.91</c:v>
                </c:pt>
                <c:pt idx="42">
                  <c:v>0.92</c:v>
                </c:pt>
                <c:pt idx="43">
                  <c:v>0.93</c:v>
                </c:pt>
                <c:pt idx="44">
                  <c:v>0.94</c:v>
                </c:pt>
                <c:pt idx="45">
                  <c:v>0.95</c:v>
                </c:pt>
                <c:pt idx="46">
                  <c:v>0.96</c:v>
                </c:pt>
                <c:pt idx="47">
                  <c:v>0.97</c:v>
                </c:pt>
                <c:pt idx="48">
                  <c:v>0.98</c:v>
                </c:pt>
                <c:pt idx="49">
                  <c:v>0.99</c:v>
                </c:pt>
                <c:pt idx="50">
                  <c:v>1</c:v>
                </c:pt>
              </c:numCache>
            </c:numRef>
          </c:cat>
          <c:val>
            <c:numRef>
              <c:f>Curve!$C$2:$C$52</c:f>
              <c:numCache>
                <c:formatCode>General</c:formatCode>
                <c:ptCount val="51"/>
                <c:pt idx="0">
                  <c:v>0.9909666058694675</c:v>
                </c:pt>
                <c:pt idx="1">
                  <c:v>0.98942416575403069</c:v>
                </c:pt>
                <c:pt idx="2">
                  <c:v>0.98765779622281225</c:v>
                </c:pt>
                <c:pt idx="3">
                  <c:v>0.98564080793156006</c:v>
                </c:pt>
                <c:pt idx="4">
                  <c:v>0.98334410907015013</c:v>
                </c:pt>
                <c:pt idx="5">
                  <c:v>0.98073609327936306</c:v>
                </c:pt>
                <c:pt idx="6">
                  <c:v>0.97778253962769257</c:v>
                </c:pt>
                <c:pt idx="7">
                  <c:v>0.97444652890630234</c:v>
                </c:pt>
                <c:pt idx="8">
                  <c:v>0.9706883811970537</c:v>
                </c:pt>
                <c:pt idx="9">
                  <c:v>0.96646562042396722</c:v>
                </c:pt>
                <c:pt idx="10">
                  <c:v>0.96173297240460009</c:v>
                </c:pt>
                <c:pt idx="11">
                  <c:v>0.9564424037616257</c:v>
                </c:pt>
                <c:pt idx="12">
                  <c:v>0.95054320991717323</c:v>
                </c:pt>
                <c:pt idx="13">
                  <c:v>0.94398216124633616</c:v>
                </c:pt>
                <c:pt idx="14">
                  <c:v>0.93670371727559276</c:v>
                </c:pt>
                <c:pt idx="15">
                  <c:v>0.92865031952983157</c:v>
                </c:pt>
                <c:pt idx="16">
                  <c:v>0.91976277419898378</c:v>
                </c:pt>
                <c:pt idx="17">
                  <c:v>0.90998073613885999</c:v>
                </c:pt>
                <c:pt idx="18">
                  <c:v>0.89924330575270328</c:v>
                </c:pt>
                <c:pt idx="19">
                  <c:v>0.88748974991673224</c:v>
                </c:pt>
                <c:pt idx="20">
                  <c:v>0.87466035719595125</c:v>
                </c:pt>
                <c:pt idx="21">
                  <c:v>0.8606974360135391</c:v>
                </c:pt>
                <c:pt idx="22">
                  <c:v>0.845546462045629</c:v>
                </c:pt>
                <c:pt idx="23">
                  <c:v>0.82915737776579013</c:v>
                </c:pt>
                <c:pt idx="24">
                  <c:v>0.81148604261585033</c:v>
                </c:pt>
                <c:pt idx="25">
                  <c:v>0.7924958266024279</c:v>
                </c:pt>
                <c:pt idx="26">
                  <c:v>0.77215933311225249</c:v>
                </c:pt>
                <c:pt idx="27">
                  <c:v>0.75046022835386261</c:v>
                </c:pt>
                <c:pt idx="28">
                  <c:v>0.72739514509097936</c:v>
                </c:pt>
                <c:pt idx="29">
                  <c:v>0.70297561735570235</c:v>
                </c:pt>
                <c:pt idx="30">
                  <c:v>0.67722999086847635</c:v>
                </c:pt>
                <c:pt idx="31">
                  <c:v>0.65020524135636382</c:v>
                </c:pt>
                <c:pt idx="32">
                  <c:v>0.62196862044780166</c:v>
                </c:pt>
                <c:pt idx="33">
                  <c:v>0.59260903713445334</c:v>
                </c:pt>
                <c:pt idx="34">
                  <c:v>0.56223807294906447</c:v>
                </c:pt>
                <c:pt idx="35">
                  <c:v>0.53099052223894372</c:v>
                </c:pt>
                <c:pt idx="36">
                  <c:v>0.49902434661532558</c:v>
                </c:pt>
                <c:pt idx="37">
                  <c:v>0.46651993632845667</c:v>
                </c:pt>
                <c:pt idx="38">
                  <c:v>0.43367858244900037</c:v>
                </c:pt>
                <c:pt idx="39">
                  <c:v>0.40072008366116979</c:v>
                </c:pt>
                <c:pt idx="40">
                  <c:v>0.36787944117144233</c:v>
                </c:pt>
                <c:pt idx="41">
                  <c:v>0.33540263510572338</c:v>
                </c:pt>
                <c:pt idx="42">
                  <c:v>0.30354152537535811</c:v>
                </c:pt>
                <c:pt idx="43">
                  <c:v>0.2725479778402356</c:v>
                </c:pt>
                <c:pt idx="44">
                  <c:v>0.24266737993234269</c:v>
                </c:pt>
                <c:pt idx="45">
                  <c:v>0.21413177462434702</c:v>
                </c:pt>
                <c:pt idx="46">
                  <c:v>0.18715290234129819</c:v>
                </c:pt>
                <c:pt idx="47">
                  <c:v>0.16191549068554034</c:v>
                </c:pt>
                <c:pt idx="48">
                  <c:v>0.13857116468888556</c:v>
                </c:pt>
                <c:pt idx="49">
                  <c:v>0.11723335891016903</c:v>
                </c:pt>
                <c:pt idx="50">
                  <c:v>9.7973591360314832E-2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0-4ED7-8CCD-59E2A98BD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Foresight requirement 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Credit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2026</v>
      </c>
    </row>
    <row r="8" spans="1:2" ht="60" x14ac:dyDescent="0.25">
      <c r="B8" s="3" t="s">
        <v>5</v>
      </c>
    </row>
    <row r="11" spans="1:2" x14ac:dyDescent="0.25">
      <c r="A11" s="1" t="s">
        <v>6</v>
      </c>
    </row>
    <row r="12" spans="1:2" ht="90" x14ac:dyDescent="0.25">
      <c r="A12" s="1" t="s">
        <v>7</v>
      </c>
      <c r="B12" s="3" t="s">
        <v>8</v>
      </c>
    </row>
    <row r="13" spans="1:2" ht="60" x14ac:dyDescent="0.25">
      <c r="A13" s="1" t="s">
        <v>9</v>
      </c>
      <c r="B13" s="3" t="s">
        <v>10</v>
      </c>
    </row>
    <row r="14" spans="1:2" ht="60" x14ac:dyDescent="0.25">
      <c r="A14" s="1" t="s">
        <v>11</v>
      </c>
      <c r="B14" s="3" t="s">
        <v>12</v>
      </c>
    </row>
    <row r="15" spans="1:2" ht="45" x14ac:dyDescent="0.25">
      <c r="A15" s="1" t="s">
        <v>13</v>
      </c>
      <c r="B15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46" customWidth="1"/>
    <col min="2" max="2" width="12" customWidth="1"/>
  </cols>
  <sheetData>
    <row r="1" spans="1:2" x14ac:dyDescent="0.25">
      <c r="A1" s="1" t="s">
        <v>15</v>
      </c>
    </row>
    <row r="2" spans="1:2" x14ac:dyDescent="0.25">
      <c r="A2" t="s">
        <v>16</v>
      </c>
      <c r="B2">
        <v>15</v>
      </c>
    </row>
    <row r="3" spans="1:2" x14ac:dyDescent="0.25">
      <c r="A3" t="s">
        <v>17</v>
      </c>
      <c r="B3">
        <v>0.9</v>
      </c>
    </row>
    <row r="5" spans="1:2" x14ac:dyDescent="0.25">
      <c r="A5" s="1" t="s">
        <v>18</v>
      </c>
    </row>
    <row r="6" spans="1:2" x14ac:dyDescent="0.25">
      <c r="A6" t="s">
        <v>19</v>
      </c>
      <c r="B6">
        <v>8</v>
      </c>
    </row>
    <row r="7" spans="1:2" x14ac:dyDescent="0.25">
      <c r="A7" t="s">
        <v>20</v>
      </c>
      <c r="B7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8" customWidth="1"/>
    <col min="4" max="4" width="44" customWidth="1"/>
  </cols>
  <sheetData>
    <row r="1" spans="1:4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>
        <v>0.5</v>
      </c>
      <c r="B2">
        <f>EXP(-((A2/Parameters!$B$3)^Parameters!$B$2))</f>
        <v>0.99985178906813843</v>
      </c>
      <c r="C2">
        <f>EXP(-((A2/Parameters!$B$7)^Parameters!$B$6))</f>
        <v>0.9909666058694675</v>
      </c>
    </row>
    <row r="3" spans="1:4" x14ac:dyDescent="0.25">
      <c r="A3">
        <v>0.51</v>
      </c>
      <c r="B3">
        <f>EXP(-((A3/Parameters!$B$3)^Parameters!$B$2))</f>
        <v>0.99980053271220326</v>
      </c>
      <c r="C3">
        <f>EXP(-((A3/Parameters!$B$7)^Parameters!$B$6))</f>
        <v>0.98942416575403069</v>
      </c>
    </row>
    <row r="4" spans="1:4" x14ac:dyDescent="0.25">
      <c r="A4">
        <v>0.52</v>
      </c>
      <c r="B4">
        <f>EXP(-((A4/Parameters!$B$3)^Parameters!$B$2))</f>
        <v>0.99973309632779328</v>
      </c>
      <c r="C4">
        <f>EXP(-((A4/Parameters!$B$7)^Parameters!$B$6))</f>
        <v>0.98765779622281225</v>
      </c>
    </row>
    <row r="5" spans="1:4" x14ac:dyDescent="0.25">
      <c r="A5">
        <v>0.53</v>
      </c>
      <c r="B5">
        <f>EXP(-((A5/Parameters!$B$3)^Parameters!$B$2))</f>
        <v>0.9996448406363887</v>
      </c>
      <c r="C5">
        <f>EXP(-((A5/Parameters!$B$7)^Parameters!$B$6))</f>
        <v>0.98564080793156006</v>
      </c>
    </row>
    <row r="6" spans="1:4" x14ac:dyDescent="0.25">
      <c r="A6">
        <v>0.54</v>
      </c>
      <c r="B6">
        <f>EXP(-((A6/Parameters!$B$3)^Parameters!$B$2))</f>
        <v>0.99952992553506159</v>
      </c>
      <c r="C6">
        <f>EXP(-((A6/Parameters!$B$7)^Parameters!$B$6))</f>
        <v>0.98334410907015013</v>
      </c>
    </row>
    <row r="7" spans="1:4" x14ac:dyDescent="0.25">
      <c r="A7">
        <v>0.55000000000000004</v>
      </c>
      <c r="B7">
        <f>EXP(-((A7/Parameters!$B$3)^Parameters!$B$2))</f>
        <v>0.99938103191177063</v>
      </c>
      <c r="C7">
        <f>EXP(-((A7/Parameters!$B$7)^Parameters!$B$6))</f>
        <v>0.98073609327936306</v>
      </c>
      <c r="D7" t="s">
        <v>25</v>
      </c>
    </row>
    <row r="8" spans="1:4" x14ac:dyDescent="0.25">
      <c r="A8">
        <v>0.56000000000000005</v>
      </c>
      <c r="B8">
        <f>EXP(-((A8/Parameters!$B$3)^Parameters!$B$2))</f>
        <v>0.99918902661159981</v>
      </c>
      <c r="C8">
        <f>EXP(-((A8/Parameters!$B$7)^Parameters!$B$6))</f>
        <v>0.97778253962769257</v>
      </c>
    </row>
    <row r="9" spans="1:4" x14ac:dyDescent="0.25">
      <c r="A9">
        <v>0.56999999999999995</v>
      </c>
      <c r="B9">
        <f>EXP(-((A9/Parameters!$B$3)^Parameters!$B$2))</f>
        <v>0.99894256063866815</v>
      </c>
      <c r="C9">
        <f>EXP(-((A9/Parameters!$B$7)^Parameters!$B$6))</f>
        <v>0.97444652890630234</v>
      </c>
    </row>
    <row r="10" spans="1:4" x14ac:dyDescent="0.25">
      <c r="A10">
        <v>0.57999999999999996</v>
      </c>
      <c r="B10">
        <f>EXP(-((A10/Parameters!$B$3)^Parameters!$B$2))</f>
        <v>0.99862758936086526</v>
      </c>
      <c r="C10">
        <f>EXP(-((A10/Parameters!$B$7)^Parameters!$B$6))</f>
        <v>0.9706883811970537</v>
      </c>
    </row>
    <row r="11" spans="1:4" x14ac:dyDescent="0.25">
      <c r="A11">
        <v>0.59</v>
      </c>
      <c r="B11">
        <f>EXP(-((A11/Parameters!$B$3)^Parameters!$B$2))</f>
        <v>0.9982268021206756</v>
      </c>
      <c r="C11">
        <f>EXP(-((A11/Parameters!$B$7)^Parameters!$B$6))</f>
        <v>0.96646562042396722</v>
      </c>
    </row>
    <row r="12" spans="1:4" x14ac:dyDescent="0.25">
      <c r="A12">
        <v>0.6</v>
      </c>
      <c r="B12">
        <f>EXP(-((A12/Parameters!$B$3)^Parameters!$B$2))</f>
        <v>0.99771894730322119</v>
      </c>
      <c r="C12">
        <f>EXP(-((A12/Parameters!$B$7)^Parameters!$B$6))</f>
        <v>0.96173297240460009</v>
      </c>
    </row>
    <row r="13" spans="1:4" x14ac:dyDescent="0.25">
      <c r="A13">
        <v>0.61</v>
      </c>
      <c r="B13">
        <f>EXP(-((A13/Parameters!$B$3)^Parameters!$B$2))</f>
        <v>0.99707803766350556</v>
      </c>
      <c r="C13">
        <f>EXP(-((A13/Parameters!$B$7)^Parameters!$B$6))</f>
        <v>0.9564424037616257</v>
      </c>
    </row>
    <row r="14" spans="1:4" x14ac:dyDescent="0.25">
      <c r="A14">
        <v>0.62</v>
      </c>
      <c r="B14">
        <f>EXP(-((A14/Parameters!$B$3)^Parameters!$B$2))</f>
        <v>0.99627241970636837</v>
      </c>
      <c r="C14">
        <f>EXP(-((A14/Parameters!$B$7)^Parameters!$B$6))</f>
        <v>0.95054320991717323</v>
      </c>
    </row>
    <row r="15" spans="1:4" x14ac:dyDescent="0.25">
      <c r="A15">
        <v>0.63</v>
      </c>
      <c r="B15">
        <f>EXP(-((A15/Parameters!$B$3)^Parameters!$B$2))</f>
        <v>0.99526369034686579</v>
      </c>
      <c r="C15">
        <f>EXP(-((A15/Parameters!$B$7)^Parameters!$B$6))</f>
        <v>0.94398216124633616</v>
      </c>
    </row>
    <row r="16" spans="1:4" x14ac:dyDescent="0.25">
      <c r="A16">
        <v>0.64</v>
      </c>
      <c r="B16">
        <f>EXP(-((A16/Parameters!$B$3)^Parameters!$B$2))</f>
        <v>0.9940054442452253</v>
      </c>
      <c r="C16">
        <f>EXP(-((A16/Parameters!$B$7)^Parameters!$B$6))</f>
        <v>0.93670371727559276</v>
      </c>
    </row>
    <row r="17" spans="1:4" x14ac:dyDescent="0.25">
      <c r="A17">
        <v>0.65</v>
      </c>
      <c r="B17">
        <f>EXP(-((A17/Parameters!$B$3)^Parameters!$B$2))</f>
        <v>0.99244183651626561</v>
      </c>
      <c r="C17">
        <f>EXP(-((A17/Parameters!$B$7)^Parameters!$B$6))</f>
        <v>0.92865031952983157</v>
      </c>
    </row>
    <row r="18" spans="1:4" x14ac:dyDescent="0.25">
      <c r="A18">
        <v>0.66</v>
      </c>
      <c r="B18">
        <f>EXP(-((A18/Parameters!$B$3)^Parameters!$B$2))</f>
        <v>0.99050594852028617</v>
      </c>
      <c r="C18">
        <f>EXP(-((A18/Parameters!$B$7)^Parameters!$B$6))</f>
        <v>0.91976277419898378</v>
      </c>
    </row>
    <row r="19" spans="1:4" x14ac:dyDescent="0.25">
      <c r="A19">
        <v>0.67</v>
      </c>
      <c r="B19">
        <f>EXP(-((A19/Parameters!$B$3)^Parameters!$B$2))</f>
        <v>0.98811794991345081</v>
      </c>
      <c r="C19">
        <f>EXP(-((A19/Parameters!$B$7)^Parameters!$B$6))</f>
        <v>0.90998073613885999</v>
      </c>
    </row>
    <row r="20" spans="1:4" x14ac:dyDescent="0.25">
      <c r="A20">
        <v>0.68</v>
      </c>
      <c r="B20">
        <f>EXP(-((A20/Parameters!$B$3)^Parameters!$B$2))</f>
        <v>0.98518305908624415</v>
      </c>
      <c r="C20">
        <f>EXP(-((A20/Parameters!$B$7)^Parameters!$B$6))</f>
        <v>0.89924330575270328</v>
      </c>
    </row>
    <row r="21" spans="1:4" x14ac:dyDescent="0.25">
      <c r="A21">
        <v>0.69</v>
      </c>
      <c r="B21">
        <f>EXP(-((A21/Parameters!$B$3)^Parameters!$B$2))</f>
        <v>0.9815893178742876</v>
      </c>
      <c r="C21">
        <f>EXP(-((A21/Parameters!$B$7)^Parameters!$B$6))</f>
        <v>0.88748974991673224</v>
      </c>
    </row>
    <row r="22" spans="1:4" x14ac:dyDescent="0.25">
      <c r="A22">
        <v>0.7</v>
      </c>
      <c r="B22">
        <f>EXP(-((A22/Parameters!$B$3)^Parameters!$B$2))</f>
        <v>0.97720521667631477</v>
      </c>
      <c r="C22">
        <f>EXP(-((A22/Parameters!$B$7)^Parameters!$B$6))</f>
        <v>0.87466035719595125</v>
      </c>
    </row>
    <row r="23" spans="1:4" x14ac:dyDescent="0.25">
      <c r="A23">
        <v>0.71</v>
      </c>
      <c r="B23">
        <f>EXP(-((A23/Parameters!$B$3)^Parameters!$B$2))</f>
        <v>0.9718772349511261</v>
      </c>
      <c r="C23">
        <f>EXP(-((A23/Parameters!$B$7)^Parameters!$B$6))</f>
        <v>0.8606974360135391</v>
      </c>
    </row>
    <row r="24" spans="1:4" x14ac:dyDescent="0.25">
      <c r="A24">
        <v>0.72</v>
      </c>
      <c r="B24">
        <f>EXP(-((A24/Parameters!$B$3)^Parameters!$B$2))</f>
        <v>0.96542740198091992</v>
      </c>
      <c r="C24">
        <f>EXP(-((A24/Parameters!$B$7)^Parameters!$B$6))</f>
        <v>0.845546462045629</v>
      </c>
    </row>
    <row r="25" spans="1:4" x14ac:dyDescent="0.25">
      <c r="A25">
        <v>0.73</v>
      </c>
      <c r="B25">
        <f>EXP(-((A25/Parameters!$B$3)^Parameters!$B$2))</f>
        <v>0.95765103659495876</v>
      </c>
      <c r="C25">
        <f>EXP(-((A25/Parameters!$B$7)^Parameters!$B$6))</f>
        <v>0.82915737776579013</v>
      </c>
    </row>
    <row r="26" spans="1:4" x14ac:dyDescent="0.25">
      <c r="A26">
        <v>0.74</v>
      </c>
      <c r="B26">
        <f>EXP(-((A26/Parameters!$B$3)^Parameters!$B$2))</f>
        <v>0.94831489515950462</v>
      </c>
      <c r="C26">
        <f>EXP(-((A26/Parameters!$B$7)^Parameters!$B$6))</f>
        <v>0.81148604261585033</v>
      </c>
    </row>
    <row r="27" spans="1:4" x14ac:dyDescent="0.25">
      <c r="A27">
        <v>0.75</v>
      </c>
      <c r="B27">
        <f>EXP(-((A27/Parameters!$B$3)^Parameters!$B$2))</f>
        <v>0.93715604712820655</v>
      </c>
      <c r="C27">
        <f>EXP(-((A27/Parameters!$B$7)^Parameters!$B$6))</f>
        <v>0.7924958266024279</v>
      </c>
    </row>
    <row r="28" spans="1:4" x14ac:dyDescent="0.25">
      <c r="A28">
        <v>0.76</v>
      </c>
      <c r="B28">
        <f>EXP(-((A28/Parameters!$B$3)^Parameters!$B$2))</f>
        <v>0.92388190824322569</v>
      </c>
      <c r="C28">
        <f>EXP(-((A28/Parameters!$B$7)^Parameters!$B$6))</f>
        <v>0.77215933311225249</v>
      </c>
      <c r="D28" t="s">
        <v>26</v>
      </c>
    </row>
    <row r="29" spans="1:4" x14ac:dyDescent="0.25">
      <c r="A29">
        <v>0.77</v>
      </c>
      <c r="B29">
        <f>EXP(-((A29/Parameters!$B$3)^Parameters!$B$2))</f>
        <v>0.90817199206874721</v>
      </c>
      <c r="C29">
        <f>EXP(-((A29/Parameters!$B$7)^Parameters!$B$6))</f>
        <v>0.75046022835386261</v>
      </c>
    </row>
    <row r="30" spans="1:4" x14ac:dyDescent="0.25">
      <c r="A30">
        <v>0.78</v>
      </c>
      <c r="B30">
        <f>EXP(-((A30/Parameters!$B$3)^Parameters!$B$2))</f>
        <v>0.88968208547265737</v>
      </c>
      <c r="C30">
        <f>EXP(-((A30/Parameters!$B$7)^Parameters!$B$6))</f>
        <v>0.72739514509097936</v>
      </c>
    </row>
    <row r="31" spans="1:4" x14ac:dyDescent="0.25">
      <c r="A31">
        <v>0.79</v>
      </c>
      <c r="B31">
        <f>EXP(-((A31/Parameters!$B$3)^Parameters!$B$2))</f>
        <v>0.86805170020223177</v>
      </c>
      <c r="C31">
        <f>EXP(-((A31/Parameters!$B$7)^Parameters!$B$6))</f>
        <v>0.70297561735570235</v>
      </c>
    </row>
    <row r="32" spans="1:4" x14ac:dyDescent="0.25">
      <c r="A32">
        <v>0.8</v>
      </c>
      <c r="B32">
        <f>EXP(-((A32/Parameters!$B$3)^Parameters!$B$2))</f>
        <v>0.84291577700412446</v>
      </c>
      <c r="C32">
        <f>EXP(-((A32/Parameters!$B$7)^Parameters!$B$6))</f>
        <v>0.67722999086847635</v>
      </c>
    </row>
    <row r="33" spans="1:4" x14ac:dyDescent="0.25">
      <c r="A33">
        <v>0.81</v>
      </c>
      <c r="B33">
        <f>EXP(-((A33/Parameters!$B$3)^Parameters!$B$2))</f>
        <v>0.81392168140828058</v>
      </c>
      <c r="C33">
        <f>EXP(-((A33/Parameters!$B$7)^Parameters!$B$6))</f>
        <v>0.65020524135636382</v>
      </c>
    </row>
    <row r="34" spans="1:4" x14ac:dyDescent="0.25">
      <c r="A34">
        <v>0.82</v>
      </c>
      <c r="B34">
        <f>EXP(-((A34/Parameters!$B$3)^Parameters!$B$2))</f>
        <v>0.78075247180673624</v>
      </c>
      <c r="C34">
        <f>EXP(-((A34/Parameters!$B$7)^Parameters!$B$6))</f>
        <v>0.62196862044780166</v>
      </c>
    </row>
    <row r="35" spans="1:4" x14ac:dyDescent="0.25">
      <c r="A35">
        <v>0.83</v>
      </c>
      <c r="B35">
        <f>EXP(-((A35/Parameters!$B$3)^Parameters!$B$2))</f>
        <v>0.74315715827695872</v>
      </c>
      <c r="C35">
        <f>EXP(-((A35/Parameters!$B$7)^Parameters!$B$6))</f>
        <v>0.59260903713445334</v>
      </c>
    </row>
    <row r="36" spans="1:4" x14ac:dyDescent="0.25">
      <c r="A36">
        <v>0.84</v>
      </c>
      <c r="B36">
        <f>EXP(-((A36/Parameters!$B$3)^Parameters!$B$2))</f>
        <v>0.70098810094382646</v>
      </c>
      <c r="C36">
        <f>EXP(-((A36/Parameters!$B$7)^Parameters!$B$6))</f>
        <v>0.56223807294906447</v>
      </c>
    </row>
    <row r="37" spans="1:4" x14ac:dyDescent="0.25">
      <c r="A37">
        <v>0.85</v>
      </c>
      <c r="B37">
        <f>EXP(-((A37/Parameters!$B$3)^Parameters!$B$2))</f>
        <v>0.6542447057904941</v>
      </c>
      <c r="C37">
        <f>EXP(-((A37/Parameters!$B$7)^Parameters!$B$6))</f>
        <v>0.53099052223894372</v>
      </c>
    </row>
    <row r="38" spans="1:4" x14ac:dyDescent="0.25">
      <c r="A38">
        <v>0.86</v>
      </c>
      <c r="B38">
        <f>EXP(-((A38/Parameters!$B$3)^Parameters!$B$2))</f>
        <v>0.60312106739174987</v>
      </c>
      <c r="C38">
        <f>EXP(-((A38/Parameters!$B$7)^Parameters!$B$6))</f>
        <v>0.49902434661532558</v>
      </c>
    </row>
    <row r="39" spans="1:4" x14ac:dyDescent="0.25">
      <c r="A39">
        <v>0.87</v>
      </c>
      <c r="B39">
        <f>EXP(-((A39/Parameters!$B$3)^Parameters!$B$2))</f>
        <v>0.54805315386037645</v>
      </c>
      <c r="C39">
        <f>EXP(-((A39/Parameters!$B$7)^Parameters!$B$6))</f>
        <v>0.46651993632845667</v>
      </c>
    </row>
    <row r="40" spans="1:4" x14ac:dyDescent="0.25">
      <c r="A40">
        <v>0.88</v>
      </c>
      <c r="B40">
        <f>EXP(-((A40/Parameters!$B$3)^Parameters!$B$2))</f>
        <v>0.48975864753859899</v>
      </c>
      <c r="C40">
        <f>EXP(-((A40/Parameters!$B$7)^Parameters!$B$6))</f>
        <v>0.43367858244900037</v>
      </c>
    </row>
    <row r="41" spans="1:4" x14ac:dyDescent="0.25">
      <c r="A41">
        <v>0.89</v>
      </c>
      <c r="B41">
        <f>EXP(-((A41/Parameters!$B$3)^Parameters!$B$2))</f>
        <v>0.42926001026535926</v>
      </c>
      <c r="C41">
        <f>EXP(-((A41/Parameters!$B$7)^Parameters!$B$6))</f>
        <v>0.40072008366116979</v>
      </c>
    </row>
    <row r="42" spans="1:4" x14ac:dyDescent="0.25">
      <c r="A42">
        <v>0.9</v>
      </c>
      <c r="B42">
        <f>EXP(-((A42/Parameters!$B$3)^Parameters!$B$2))</f>
        <v>0.36787944117144233</v>
      </c>
      <c r="C42">
        <f>EXP(-((A42/Parameters!$B$7)^Parameters!$B$6))</f>
        <v>0.36787944117144233</v>
      </c>
      <c r="D42" t="s">
        <v>27</v>
      </c>
    </row>
    <row r="43" spans="1:4" x14ac:dyDescent="0.25">
      <c r="A43">
        <v>0.91</v>
      </c>
      <c r="B43">
        <f>EXP(-((A43/Parameters!$B$3)^Parameters!$B$2))</f>
        <v>0.30719421933310798</v>
      </c>
      <c r="C43">
        <f>EXP(-((A43/Parameters!$B$7)^Parameters!$B$6))</f>
        <v>0.33540263510572338</v>
      </c>
    </row>
    <row r="44" spans="1:4" x14ac:dyDescent="0.25">
      <c r="A44">
        <v>0.92</v>
      </c>
      <c r="B44">
        <f>EXP(-((A44/Parameters!$B$3)^Parameters!$B$2))</f>
        <v>0.24894380347319775</v>
      </c>
      <c r="C44">
        <f>EXP(-((A44/Parameters!$B$7)^Parameters!$B$6))</f>
        <v>0.30354152537535811</v>
      </c>
    </row>
    <row r="45" spans="1:4" x14ac:dyDescent="0.25">
      <c r="A45">
        <v>0.93</v>
      </c>
      <c r="B45">
        <f>EXP(-((A45/Parameters!$B$3)^Parameters!$B$2))</f>
        <v>0.19488717963512692</v>
      </c>
      <c r="C45">
        <f>EXP(-((A45/Parameters!$B$7)^Parameters!$B$6))</f>
        <v>0.2725479778402356</v>
      </c>
    </row>
    <row r="46" spans="1:4" x14ac:dyDescent="0.25">
      <c r="A46">
        <v>0.94</v>
      </c>
      <c r="B46">
        <f>EXP(-((A46/Parameters!$B$3)^Parameters!$B$2))</f>
        <v>0.14662061642984672</v>
      </c>
      <c r="C46">
        <f>EXP(-((A46/Parameters!$B$7)^Parameters!$B$6))</f>
        <v>0.24266737993234269</v>
      </c>
    </row>
    <row r="47" spans="1:4" x14ac:dyDescent="0.25">
      <c r="A47">
        <v>0.95</v>
      </c>
      <c r="B47">
        <f>EXP(-((A47/Parameters!$B$3)^Parameters!$B$2))</f>
        <v>0.10538070351429552</v>
      </c>
      <c r="C47">
        <f>EXP(-((A47/Parameters!$B$7)^Parameters!$B$6))</f>
        <v>0.21413177462434702</v>
      </c>
      <c r="D47" t="s">
        <v>28</v>
      </c>
    </row>
    <row r="48" spans="1:4" x14ac:dyDescent="0.25">
      <c r="A48">
        <v>0.96</v>
      </c>
      <c r="B48">
        <f>EXP(-((A48/Parameters!$B$3)^Parameters!$B$2))</f>
        <v>7.1871267063016817E-2</v>
      </c>
      <c r="C48">
        <f>EXP(-((A48/Parameters!$B$7)^Parameters!$B$6))</f>
        <v>0.18715290234129819</v>
      </c>
    </row>
    <row r="49" spans="1:4" x14ac:dyDescent="0.25">
      <c r="A49">
        <v>0.97</v>
      </c>
      <c r="B49">
        <f>EXP(-((A49/Parameters!$B$3)^Parameters!$B$2))</f>
        <v>4.6159137636557247E-2</v>
      </c>
      <c r="C49">
        <f>EXP(-((A49/Parameters!$B$7)^Parameters!$B$6))</f>
        <v>0.16191549068554034</v>
      </c>
    </row>
    <row r="50" spans="1:4" x14ac:dyDescent="0.25">
      <c r="A50">
        <v>0.98</v>
      </c>
      <c r="B50">
        <f>EXP(-((A50/Parameters!$B$3)^Parameters!$B$2))</f>
        <v>2.7676193432202945E-2</v>
      </c>
      <c r="C50">
        <f>EXP(-((A50/Parameters!$B$7)^Parameters!$B$6))</f>
        <v>0.13857116468888556</v>
      </c>
    </row>
    <row r="51" spans="1:4" x14ac:dyDescent="0.25">
      <c r="A51">
        <v>0.99</v>
      </c>
      <c r="B51">
        <f>EXP(-((A51/Parameters!$B$3)^Parameters!$B$2))</f>
        <v>1.5340664445433723E-2</v>
      </c>
      <c r="C51">
        <f>EXP(-((A51/Parameters!$B$7)^Parameters!$B$6))</f>
        <v>0.11723335891016903</v>
      </c>
    </row>
    <row r="52" spans="1:4" x14ac:dyDescent="0.25">
      <c r="A52">
        <v>1</v>
      </c>
      <c r="B52">
        <f>EXP(-((A52/Parameters!$B$3)^Parameters!$B$2))</f>
        <v>7.7742697386385395E-3</v>
      </c>
      <c r="C52">
        <f>EXP(-((A52/Parameters!$B$7)^Parameters!$B$6))</f>
        <v>9.7973591360314832E-2</v>
      </c>
      <c r="D52" t="s">
        <v>29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cols>
    <col min="1" max="1" width="58" customWidth="1"/>
    <col min="2" max="2" width="14" customWidth="1"/>
    <col min="3" max="3" width="12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x14ac:dyDescent="0.25">
      <c r="A2" s="3" t="s">
        <v>33</v>
      </c>
      <c r="B2">
        <f>Curve!B2</f>
        <v>0.99985178906813843</v>
      </c>
      <c r="C2" t="str">
        <f>IF(B2&gt;0.999,"PASS","FAIL")</f>
        <v>PASS</v>
      </c>
    </row>
    <row r="3" spans="1:3" x14ac:dyDescent="0.25">
      <c r="A3" s="3" t="s">
        <v>34</v>
      </c>
      <c r="B3">
        <f>Curve!B47</f>
        <v>0.10538070351429552</v>
      </c>
      <c r="C3" t="str">
        <f>IF(ABS(B3-0.1054)&lt;0.02,"PASS","FAIL")</f>
        <v>PASS</v>
      </c>
    </row>
    <row r="4" spans="1:3" x14ac:dyDescent="0.25">
      <c r="A4" s="3" t="s">
        <v>35</v>
      </c>
      <c r="B4">
        <f>Curve!B42</f>
        <v>0.36787944117144233</v>
      </c>
      <c r="C4" t="str">
        <f>IF(ABS(B4-EXP(-1))&lt;0.0001,"PASS","FAIL")</f>
        <v>PASS</v>
      </c>
    </row>
    <row r="5" spans="1:3" x14ac:dyDescent="0.25">
      <c r="A5" s="3" t="s">
        <v>36</v>
      </c>
      <c r="B5">
        <f>SUMPRODUCT(--(Curve!B3:B52&gt;Curve!B2:B51))</f>
        <v>0</v>
      </c>
      <c r="C5" t="str">
        <f>IF(B5=0,"PASS","FAIL")</f>
        <v>PASS</v>
      </c>
    </row>
    <row r="6" spans="1:3" x14ac:dyDescent="0.25">
      <c r="A6" s="3" t="s">
        <v>37</v>
      </c>
      <c r="B6">
        <f>RCDC!B2</f>
        <v>15</v>
      </c>
      <c r="C6" t="str">
        <f>IF(B6=Parameters!B2,"PASS","FAIL")</f>
        <v>PASS</v>
      </c>
    </row>
    <row r="7" spans="1:3" x14ac:dyDescent="0.25">
      <c r="A7" s="3" t="s">
        <v>38</v>
      </c>
      <c r="B7">
        <f>RCDC!B3</f>
        <v>0.9</v>
      </c>
      <c r="C7" t="str">
        <f>IF(B7=Parameters!B3,"PASS","FAIL")</f>
        <v>PASS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B3"/>
  <sheetViews>
    <sheetView workbookViewId="0"/>
  </sheetViews>
  <sheetFormatPr defaultRowHeight="15" x14ac:dyDescent="0.25"/>
  <cols>
    <col min="1" max="1" width="20" customWidth="1"/>
  </cols>
  <sheetData>
    <row r="1" spans="1:2" x14ac:dyDescent="0.25">
      <c r="A1" t="s">
        <v>39</v>
      </c>
      <c r="B1" t="s">
        <v>31</v>
      </c>
    </row>
    <row r="2" spans="1:2" x14ac:dyDescent="0.25">
      <c r="A2" t="s">
        <v>40</v>
      </c>
      <c r="B2">
        <f>Parameters!B2</f>
        <v>15</v>
      </c>
    </row>
    <row r="3" spans="1:2" x14ac:dyDescent="0.25">
      <c r="A3" t="s">
        <v>41</v>
      </c>
      <c r="B3">
        <f>Parameters!B3</f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Parameters</vt:lpstr>
      <vt:lpstr>Curve</vt:lpstr>
      <vt:lpstr>Checks</vt:lpstr>
      <vt:lpstr>RCDC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Mahajan</cp:lastModifiedBy>
  <dcterms:created xsi:type="dcterms:W3CDTF">2026-08-20T21:06:46Z</dcterms:created>
  <dcterms:modified xsi:type="dcterms:W3CDTF">2026-08-25T16:35:39Z</dcterms:modified>
</cp:coreProperties>
</file>