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bout" sheetId="1" state="visible" r:id="rId1"/>
    <sheet xmlns:r="http://schemas.openxmlformats.org/officeDocument/2006/relationships" name="Parameters" sheetId="2" state="visible" r:id="rId2"/>
    <sheet xmlns:r="http://schemas.openxmlformats.org/officeDocument/2006/relationships" name="Curve" sheetId="3" state="visible" r:id="rId3"/>
    <sheet xmlns:r="http://schemas.openxmlformats.org/officeDocument/2006/relationships" name="Checks" sheetId="4" state="visible" r:id="rId4"/>
    <sheet xmlns:r="http://schemas.openxmlformats.org/officeDocument/2006/relationships" name="RCDC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D9D9"/>
        <b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1" fillId="2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Reliability credit derate vs 5-yr foresight requirement</a:t>
            </a:r>
          </a:p>
        </rich>
      </tx>
    </title>
    <plotArea>
      <lineChart>
        <grouping val="standard"/>
        <ser>
          <idx val="0"/>
          <order val="0"/>
          <tx>
            <strRef>
              <f>'Curve'!B1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'Curve'!$A$2:$A$52</f>
            </numRef>
          </cat>
          <val>
            <numRef>
              <f>'Curve'!$B$2:$B$52</f>
            </numRef>
          </val>
        </ser>
        <ser>
          <idx val="1"/>
          <order val="1"/>
          <tx>
            <strRef>
              <f>'Curve'!C1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'Curve'!$A$2:$A$52</f>
            </numRef>
          </cat>
          <val>
            <numRef>
              <f>'Curve'!$C$2:$C$52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Foresight requirement F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Credit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14" customWidth="1" min="1" max="1"/>
    <col width="110" customWidth="1" min="2" max="2"/>
  </cols>
  <sheetData>
    <row r="1">
      <c r="A1" s="1" t="inlineStr">
        <is>
          <t>RCDC Reliability Credit Derate Curve</t>
        </is>
      </c>
    </row>
    <row r="3">
      <c r="A3" s="1" t="inlineStr">
        <is>
          <t>Sources:</t>
        </is>
      </c>
      <c r="B3" s="2" t="inlineStr">
        <is>
          <t>Parameter selection (shape a, scale b)</t>
        </is>
      </c>
    </row>
    <row r="4">
      <c r="B4" s="3" t="inlineStr">
        <is>
          <t>Energy Innovation (internal)</t>
        </is>
      </c>
    </row>
    <row r="5">
      <c r="B5" s="3" t="inlineStr">
        <is>
          <t>Reliability Credit Redesign design doc (Reliability-Credit-Redesign-2026-08-19.md) and parameter sweep, RCO</t>
        </is>
      </c>
    </row>
    <row r="6">
      <c r="B6" s="3" t="n">
        <v>2026</v>
      </c>
    </row>
    <row r="8">
      <c r="B8" s="3" t="inlineStr">
        <is>
          <t>Parameters chosen from the redesign's parameter sweep (a in {8,15}, b in {0.8,0.9,1.0}), not calibrated to external evidence. a was raised 8 -&gt; 15 in the 2026-08-20 refinement so the new-entrant credit stays &gt;= 0.995 through 2027 and the derate bites only once the 5-year-foresight requirement passes ~76%. Recalibration once the design is ratified is an open item (see the design doc's Remaining Work).</t>
        </is>
      </c>
    </row>
    <row r="11">
      <c r="A11" s="1" t="inlineStr">
        <is>
          <t>Notes:</t>
        </is>
      </c>
    </row>
    <row r="12">
      <c r="A12" s="1" t="inlineStr">
        <is>
          <t>Role in the model</t>
        </is>
      </c>
      <c r="B12" s="3" t="inlineStr">
        <is>
          <t>This file sets the two constants of the Weibull-form reliability credit derate applied to NEW-ENTRANT capacity in the unified reliability capacity market: Reliability Credit Ratio for Non Qualifying Sources = EXP(-(F / b)^a), where F = Five Year Foresight Elec Portfolio Values for Reliability Check (the RPS/CES requirement five years ahead). It steers new reliability builds away from non-qualifying sources as the clean-electricity requirement approaches 100%. It is one part of the three-part split credit: the EXISTING fleet uses a separate physical energy-budget ratio (not this curve), and the endgame is handled by the rampdown + fossil backstop variables.</t>
        </is>
      </c>
    </row>
    <row r="13">
      <c r="A13" s="1" t="inlineStr">
        <is>
          <t>How the model reads it</t>
        </is>
      </c>
      <c r="B13" s="3" t="inlineStr">
        <is>
          <t>GET DIRECT CONSTANTS from RCDC.csv: cell B2 = RCDCa Reliability Credit Derate Curve Shape Parameter, cell B3 = RCDCb Reliability Credit Derate Curve Scale Parameter. Both scenarios (policy and BAU) share the same constants. Export the RCDC tab of this workbook as RCDC.csv (CSV layout must stay: header row, then 'shape parameter a', then 'scale parameter b').</t>
        </is>
      </c>
    </row>
    <row r="14">
      <c r="A14" s="1" t="inlineStr">
        <is>
          <t>Behavior at the chosen values (a=15, b=0.9)</t>
        </is>
      </c>
      <c r="B14" s="3" t="inlineStr">
        <is>
          <t>Credit ~1.00 below ~65% foresight requirement; ~0.98 at 76%; 0.105 at 95%; 0.008 at 100%. Higher a sharpens the transition; b positions it (credit = 1/e when F = b). The Curve tab computes the full curve from the Parameters tab and marks these landmarks; the Checks tab verifies monotonicity and the 95% landmark against the validated run evidence (REL_CA95: ratio 0.1054 from 2035).</t>
        </is>
      </c>
    </row>
    <row r="15">
      <c r="A15" s="1" t="inlineStr">
        <is>
          <t>Provenance</t>
        </is>
      </c>
      <c r="B15" s="3" t="inlineStr">
        <is>
          <t>Introduced with the 2026-08 reliability credit redesign (eps-us develop_4.0.6; CSV committed 50643afc). Design history, the rejected single-factor variant, and the sweep evidence trail are in Reliability-Credit-Redesign-2026-08-19.md (Robbie Orvis / RCO).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46" customWidth="1" min="1" max="1"/>
    <col width="12" customWidth="1" min="2" max="2"/>
  </cols>
  <sheetData>
    <row r="1">
      <c r="A1" s="1" t="inlineStr">
        <is>
          <t>Editable parameters (all Curve/Checks/RCDC cells recompute)</t>
        </is>
      </c>
    </row>
    <row r="2">
      <c r="A2" t="inlineStr">
        <is>
          <t>RCDCa shape parameter a</t>
        </is>
      </c>
      <c r="B2" t="n">
        <v>15</v>
      </c>
    </row>
    <row r="3">
      <c r="A3" t="inlineStr">
        <is>
          <t>RCDCb scale parameter b</t>
        </is>
      </c>
      <c r="B3" t="n">
        <v>0.9</v>
      </c>
    </row>
    <row r="5">
      <c r="A5" s="1" t="inlineStr">
        <is>
          <t>Comparison curve (Curve tab column C, for reference only)</t>
        </is>
      </c>
    </row>
    <row r="6">
      <c r="A6" t="inlineStr">
        <is>
          <t>comparison shape a</t>
        </is>
      </c>
      <c r="B6" t="n">
        <v>8</v>
      </c>
    </row>
    <row r="7">
      <c r="A7" t="inlineStr">
        <is>
          <t>comparison scale b</t>
        </is>
      </c>
      <c r="B7" t="n">
        <v>0.9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18" customWidth="1" min="3" max="3"/>
    <col width="44" customWidth="1" min="4" max="4"/>
  </cols>
  <sheetData>
    <row r="1">
      <c r="A1" s="1" t="inlineStr">
        <is>
          <t>Foresight requirement F</t>
        </is>
      </c>
      <c r="B1" s="1" t="inlineStr">
        <is>
          <t>Credit = EXP(-(F/b)^a)</t>
        </is>
      </c>
      <c r="C1" s="1" t="inlineStr">
        <is>
          <t>Comparison curve</t>
        </is>
      </c>
      <c r="D1" s="1" t="inlineStr">
        <is>
          <t>Landmark</t>
        </is>
      </c>
    </row>
    <row r="2">
      <c r="A2" t="n">
        <v>0.5</v>
      </c>
      <c r="B2">
        <f>EXP(-((A2/Parameters!$B$3)^Parameters!$B$2))</f>
        <v/>
      </c>
      <c r="C2">
        <f>EXP(-((A2/Parameters!$B$7)^Parameters!$B$6))</f>
        <v/>
      </c>
    </row>
    <row r="3">
      <c r="A3" t="n">
        <v>0.51</v>
      </c>
      <c r="B3">
        <f>EXP(-((A3/Parameters!$B$3)^Parameters!$B$2))</f>
        <v/>
      </c>
      <c r="C3">
        <f>EXP(-((A3/Parameters!$B$7)^Parameters!$B$6))</f>
        <v/>
      </c>
    </row>
    <row r="4">
      <c r="A4" t="n">
        <v>0.52</v>
      </c>
      <c r="B4">
        <f>EXP(-((A4/Parameters!$B$3)^Parameters!$B$2))</f>
        <v/>
      </c>
      <c r="C4">
        <f>EXP(-((A4/Parameters!$B$7)^Parameters!$B$6))</f>
        <v/>
      </c>
    </row>
    <row r="5">
      <c r="A5" t="n">
        <v>0.53</v>
      </c>
      <c r="B5">
        <f>EXP(-((A5/Parameters!$B$3)^Parameters!$B$2))</f>
        <v/>
      </c>
      <c r="C5">
        <f>EXP(-((A5/Parameters!$B$7)^Parameters!$B$6))</f>
        <v/>
      </c>
    </row>
    <row r="6">
      <c r="A6" t="n">
        <v>0.54</v>
      </c>
      <c r="B6">
        <f>EXP(-((A6/Parameters!$B$3)^Parameters!$B$2))</f>
        <v/>
      </c>
      <c r="C6">
        <f>EXP(-((A6/Parameters!$B$7)^Parameters!$B$6))</f>
        <v/>
      </c>
    </row>
    <row r="7">
      <c r="A7" t="n">
        <v>0.55</v>
      </c>
      <c r="B7">
        <f>EXP(-((A7/Parameters!$B$3)^Parameters!$B$2))</f>
        <v/>
      </c>
      <c r="C7">
        <f>EXP(-((A7/Parameters!$B$7)^Parameters!$B$6))</f>
        <v/>
      </c>
      <c r="D7" t="inlineStr">
        <is>
          <t>credit ~1 at mid-range requirements</t>
        </is>
      </c>
    </row>
    <row r="8">
      <c r="A8" t="n">
        <v>0.5600000000000001</v>
      </c>
      <c r="B8">
        <f>EXP(-((A8/Parameters!$B$3)^Parameters!$B$2))</f>
        <v/>
      </c>
      <c r="C8">
        <f>EXP(-((A8/Parameters!$B$7)^Parameters!$B$6))</f>
        <v/>
      </c>
    </row>
    <row r="9">
      <c r="A9" t="n">
        <v>0.57</v>
      </c>
      <c r="B9">
        <f>EXP(-((A9/Parameters!$B$3)^Parameters!$B$2))</f>
        <v/>
      </c>
      <c r="C9">
        <f>EXP(-((A9/Parameters!$B$7)^Parameters!$B$6))</f>
        <v/>
      </c>
    </row>
    <row r="10">
      <c r="A10" t="n">
        <v>0.58</v>
      </c>
      <c r="B10">
        <f>EXP(-((A10/Parameters!$B$3)^Parameters!$B$2))</f>
        <v/>
      </c>
      <c r="C10">
        <f>EXP(-((A10/Parameters!$B$7)^Parameters!$B$6))</f>
        <v/>
      </c>
    </row>
    <row r="11">
      <c r="A11" t="n">
        <v>0.59</v>
      </c>
      <c r="B11">
        <f>EXP(-((A11/Parameters!$B$3)^Parameters!$B$2))</f>
        <v/>
      </c>
      <c r="C11">
        <f>EXP(-((A11/Parameters!$B$7)^Parameters!$B$6))</f>
        <v/>
      </c>
    </row>
    <row r="12">
      <c r="A12" t="n">
        <v>0.6</v>
      </c>
      <c r="B12">
        <f>EXP(-((A12/Parameters!$B$3)^Parameters!$B$2))</f>
        <v/>
      </c>
      <c r="C12">
        <f>EXP(-((A12/Parameters!$B$7)^Parameters!$B$6))</f>
        <v/>
      </c>
    </row>
    <row r="13">
      <c r="A13" t="n">
        <v>0.61</v>
      </c>
      <c r="B13">
        <f>EXP(-((A13/Parameters!$B$3)^Parameters!$B$2))</f>
        <v/>
      </c>
      <c r="C13">
        <f>EXP(-((A13/Parameters!$B$7)^Parameters!$B$6))</f>
        <v/>
      </c>
    </row>
    <row r="14">
      <c r="A14" t="n">
        <v>0.62</v>
      </c>
      <c r="B14">
        <f>EXP(-((A14/Parameters!$B$3)^Parameters!$B$2))</f>
        <v/>
      </c>
      <c r="C14">
        <f>EXP(-((A14/Parameters!$B$7)^Parameters!$B$6))</f>
        <v/>
      </c>
    </row>
    <row r="15">
      <c r="A15" t="n">
        <v>0.63</v>
      </c>
      <c r="B15">
        <f>EXP(-((A15/Parameters!$B$3)^Parameters!$B$2))</f>
        <v/>
      </c>
      <c r="C15">
        <f>EXP(-((A15/Parameters!$B$7)^Parameters!$B$6))</f>
        <v/>
      </c>
    </row>
    <row r="16">
      <c r="A16" t="n">
        <v>0.64</v>
      </c>
      <c r="B16">
        <f>EXP(-((A16/Parameters!$B$3)^Parameters!$B$2))</f>
        <v/>
      </c>
      <c r="C16">
        <f>EXP(-((A16/Parameters!$B$7)^Parameters!$B$6))</f>
        <v/>
      </c>
    </row>
    <row r="17">
      <c r="A17" t="n">
        <v>0.65</v>
      </c>
      <c r="B17">
        <f>EXP(-((A17/Parameters!$B$3)^Parameters!$B$2))</f>
        <v/>
      </c>
      <c r="C17">
        <f>EXP(-((A17/Parameters!$B$7)^Parameters!$B$6))</f>
        <v/>
      </c>
    </row>
    <row r="18">
      <c r="A18" t="n">
        <v>0.66</v>
      </c>
      <c r="B18">
        <f>EXP(-((A18/Parameters!$B$3)^Parameters!$B$2))</f>
        <v/>
      </c>
      <c r="C18">
        <f>EXP(-((A18/Parameters!$B$7)^Parameters!$B$6))</f>
        <v/>
      </c>
    </row>
    <row r="19">
      <c r="A19" t="n">
        <v>0.67</v>
      </c>
      <c r="B19">
        <f>EXP(-((A19/Parameters!$B$3)^Parameters!$B$2))</f>
        <v/>
      </c>
      <c r="C19">
        <f>EXP(-((A19/Parameters!$B$7)^Parameters!$B$6))</f>
        <v/>
      </c>
    </row>
    <row r="20">
      <c r="A20" t="n">
        <v>0.68</v>
      </c>
      <c r="B20">
        <f>EXP(-((A20/Parameters!$B$3)^Parameters!$B$2))</f>
        <v/>
      </c>
      <c r="C20">
        <f>EXP(-((A20/Parameters!$B$7)^Parameters!$B$6))</f>
        <v/>
      </c>
    </row>
    <row r="21">
      <c r="A21" t="n">
        <v>0.6899999999999999</v>
      </c>
      <c r="B21">
        <f>EXP(-((A21/Parameters!$B$3)^Parameters!$B$2))</f>
        <v/>
      </c>
      <c r="C21">
        <f>EXP(-((A21/Parameters!$B$7)^Parameters!$B$6))</f>
        <v/>
      </c>
    </row>
    <row r="22">
      <c r="A22" t="n">
        <v>0.7</v>
      </c>
      <c r="B22">
        <f>EXP(-((A22/Parameters!$B$3)^Parameters!$B$2))</f>
        <v/>
      </c>
      <c r="C22">
        <f>EXP(-((A22/Parameters!$B$7)^Parameters!$B$6))</f>
        <v/>
      </c>
    </row>
    <row r="23">
      <c r="A23" t="n">
        <v>0.71</v>
      </c>
      <c r="B23">
        <f>EXP(-((A23/Parameters!$B$3)^Parameters!$B$2))</f>
        <v/>
      </c>
      <c r="C23">
        <f>EXP(-((A23/Parameters!$B$7)^Parameters!$B$6))</f>
        <v/>
      </c>
    </row>
    <row r="24">
      <c r="A24" t="n">
        <v>0.72</v>
      </c>
      <c r="B24">
        <f>EXP(-((A24/Parameters!$B$3)^Parameters!$B$2))</f>
        <v/>
      </c>
      <c r="C24">
        <f>EXP(-((A24/Parameters!$B$7)^Parameters!$B$6))</f>
        <v/>
      </c>
    </row>
    <row r="25">
      <c r="A25" t="n">
        <v>0.73</v>
      </c>
      <c r="B25">
        <f>EXP(-((A25/Parameters!$B$3)^Parameters!$B$2))</f>
        <v/>
      </c>
      <c r="C25">
        <f>EXP(-((A25/Parameters!$B$7)^Parameters!$B$6))</f>
        <v/>
      </c>
    </row>
    <row r="26">
      <c r="A26" t="n">
        <v>0.74</v>
      </c>
      <c r="B26">
        <f>EXP(-((A26/Parameters!$B$3)^Parameters!$B$2))</f>
        <v/>
      </c>
      <c r="C26">
        <f>EXP(-((A26/Parameters!$B$7)^Parameters!$B$6))</f>
        <v/>
      </c>
    </row>
    <row r="27">
      <c r="A27" t="n">
        <v>0.75</v>
      </c>
      <c r="B27">
        <f>EXP(-((A27/Parameters!$B$3)^Parameters!$B$2))</f>
        <v/>
      </c>
      <c r="C27">
        <f>EXP(-((A27/Parameters!$B$7)^Parameters!$B$6))</f>
        <v/>
      </c>
    </row>
    <row r="28">
      <c r="A28" t="n">
        <v>0.76</v>
      </c>
      <c r="B28">
        <f>EXP(-((A28/Parameters!$B$3)^Parameters!$B$2))</f>
        <v/>
      </c>
      <c r="C28">
        <f>EXP(-((A28/Parameters!$B$7)^Parameters!$B$6))</f>
        <v/>
      </c>
      <c r="D28" t="inlineStr">
        <is>
          <t>derate begins to bite (design intent of a=15)</t>
        </is>
      </c>
    </row>
    <row r="29">
      <c r="A29" t="n">
        <v>0.77</v>
      </c>
      <c r="B29">
        <f>EXP(-((A29/Parameters!$B$3)^Parameters!$B$2))</f>
        <v/>
      </c>
      <c r="C29">
        <f>EXP(-((A29/Parameters!$B$7)^Parameters!$B$6))</f>
        <v/>
      </c>
    </row>
    <row r="30">
      <c r="A30" t="n">
        <v>0.78</v>
      </c>
      <c r="B30">
        <f>EXP(-((A30/Parameters!$B$3)^Parameters!$B$2))</f>
        <v/>
      </c>
      <c r="C30">
        <f>EXP(-((A30/Parameters!$B$7)^Parameters!$B$6))</f>
        <v/>
      </c>
    </row>
    <row r="31">
      <c r="A31" t="n">
        <v>0.79</v>
      </c>
      <c r="B31">
        <f>EXP(-((A31/Parameters!$B$3)^Parameters!$B$2))</f>
        <v/>
      </c>
      <c r="C31">
        <f>EXP(-((A31/Parameters!$B$7)^Parameters!$B$6))</f>
        <v/>
      </c>
    </row>
    <row r="32">
      <c r="A32" t="n">
        <v>0.8</v>
      </c>
      <c r="B32">
        <f>EXP(-((A32/Parameters!$B$3)^Parameters!$B$2))</f>
        <v/>
      </c>
      <c r="C32">
        <f>EXP(-((A32/Parameters!$B$7)^Parameters!$B$6))</f>
        <v/>
      </c>
    </row>
    <row r="33">
      <c r="A33" t="n">
        <v>0.8100000000000001</v>
      </c>
      <c r="B33">
        <f>EXP(-((A33/Parameters!$B$3)^Parameters!$B$2))</f>
        <v/>
      </c>
      <c r="C33">
        <f>EXP(-((A33/Parameters!$B$7)^Parameters!$B$6))</f>
        <v/>
      </c>
    </row>
    <row r="34">
      <c r="A34" t="n">
        <v>0.82</v>
      </c>
      <c r="B34">
        <f>EXP(-((A34/Parameters!$B$3)^Parameters!$B$2))</f>
        <v/>
      </c>
      <c r="C34">
        <f>EXP(-((A34/Parameters!$B$7)^Parameters!$B$6))</f>
        <v/>
      </c>
    </row>
    <row r="35">
      <c r="A35" t="n">
        <v>0.83</v>
      </c>
      <c r="B35">
        <f>EXP(-((A35/Parameters!$B$3)^Parameters!$B$2))</f>
        <v/>
      </c>
      <c r="C35">
        <f>EXP(-((A35/Parameters!$B$7)^Parameters!$B$6))</f>
        <v/>
      </c>
    </row>
    <row r="36">
      <c r="A36" t="n">
        <v>0.84</v>
      </c>
      <c r="B36">
        <f>EXP(-((A36/Parameters!$B$3)^Parameters!$B$2))</f>
        <v/>
      </c>
      <c r="C36">
        <f>EXP(-((A36/Parameters!$B$7)^Parameters!$B$6))</f>
        <v/>
      </c>
    </row>
    <row r="37">
      <c r="A37" t="n">
        <v>0.85</v>
      </c>
      <c r="B37">
        <f>EXP(-((A37/Parameters!$B$3)^Parameters!$B$2))</f>
        <v/>
      </c>
      <c r="C37">
        <f>EXP(-((A37/Parameters!$B$7)^Parameters!$B$6))</f>
        <v/>
      </c>
    </row>
    <row r="38">
      <c r="A38" t="n">
        <v>0.86</v>
      </c>
      <c r="B38">
        <f>EXP(-((A38/Parameters!$B$3)^Parameters!$B$2))</f>
        <v/>
      </c>
      <c r="C38">
        <f>EXP(-((A38/Parameters!$B$7)^Parameters!$B$6))</f>
        <v/>
      </c>
    </row>
    <row r="39">
      <c r="A39" t="n">
        <v>0.87</v>
      </c>
      <c r="B39">
        <f>EXP(-((A39/Parameters!$B$3)^Parameters!$B$2))</f>
        <v/>
      </c>
      <c r="C39">
        <f>EXP(-((A39/Parameters!$B$7)^Parameters!$B$6))</f>
        <v/>
      </c>
    </row>
    <row r="40">
      <c r="A40" t="n">
        <v>0.88</v>
      </c>
      <c r="B40">
        <f>EXP(-((A40/Parameters!$B$3)^Parameters!$B$2))</f>
        <v/>
      </c>
      <c r="C40">
        <f>EXP(-((A40/Parameters!$B$7)^Parameters!$B$6))</f>
        <v/>
      </c>
    </row>
    <row r="41">
      <c r="A41" t="n">
        <v>0.89</v>
      </c>
      <c r="B41">
        <f>EXP(-((A41/Parameters!$B$3)^Parameters!$B$2))</f>
        <v/>
      </c>
      <c r="C41">
        <f>EXP(-((A41/Parameters!$B$7)^Parameters!$B$6))</f>
        <v/>
      </c>
    </row>
    <row r="42">
      <c r="A42" t="n">
        <v>0.9</v>
      </c>
      <c r="B42">
        <f>EXP(-((A42/Parameters!$B$3)^Parameters!$B$2))</f>
        <v/>
      </c>
      <c r="C42">
        <f>EXP(-((A42/Parameters!$B$7)^Parameters!$B$6))</f>
        <v/>
      </c>
      <c r="D42" t="inlineStr">
        <is>
          <t>credit = 1/e when F = b</t>
        </is>
      </c>
    </row>
    <row r="43">
      <c r="A43" t="n">
        <v>0.91</v>
      </c>
      <c r="B43">
        <f>EXP(-((A43/Parameters!$B$3)^Parameters!$B$2))</f>
        <v/>
      </c>
      <c r="C43">
        <f>EXP(-((A43/Parameters!$B$7)^Parameters!$B$6))</f>
        <v/>
      </c>
    </row>
    <row r="44">
      <c r="A44" t="n">
        <v>0.92</v>
      </c>
      <c r="B44">
        <f>EXP(-((A44/Parameters!$B$3)^Parameters!$B$2))</f>
        <v/>
      </c>
      <c r="C44">
        <f>EXP(-((A44/Parameters!$B$7)^Parameters!$B$6))</f>
        <v/>
      </c>
    </row>
    <row r="45">
      <c r="A45" t="n">
        <v>0.93</v>
      </c>
      <c r="B45">
        <f>EXP(-((A45/Parameters!$B$3)^Parameters!$B$2))</f>
        <v/>
      </c>
      <c r="C45">
        <f>EXP(-((A45/Parameters!$B$7)^Parameters!$B$6))</f>
        <v/>
      </c>
    </row>
    <row r="46">
      <c r="A46" t="n">
        <v>0.9399999999999999</v>
      </c>
      <c r="B46">
        <f>EXP(-((A46/Parameters!$B$3)^Parameters!$B$2))</f>
        <v/>
      </c>
      <c r="C46">
        <f>EXP(-((A46/Parameters!$B$7)^Parameters!$B$6))</f>
        <v/>
      </c>
    </row>
    <row r="47">
      <c r="A47" t="n">
        <v>0.95</v>
      </c>
      <c r="B47">
        <f>EXP(-((A47/Parameters!$B$3)^Parameters!$B$2))</f>
        <v/>
      </c>
      <c r="C47">
        <f>EXP(-((A47/Parameters!$B$7)^Parameters!$B$6))</f>
        <v/>
      </c>
      <c r="D47" t="inlineStr">
        <is>
          <t>ClimateAmbition 95% CES plateau (run: 0.1054)</t>
        </is>
      </c>
    </row>
    <row r="48">
      <c r="A48" t="n">
        <v>0.96</v>
      </c>
      <c r="B48">
        <f>EXP(-((A48/Parameters!$B$3)^Parameters!$B$2))</f>
        <v/>
      </c>
      <c r="C48">
        <f>EXP(-((A48/Parameters!$B$7)^Parameters!$B$6))</f>
        <v/>
      </c>
    </row>
    <row r="49">
      <c r="A49" t="n">
        <v>0.97</v>
      </c>
      <c r="B49">
        <f>EXP(-((A49/Parameters!$B$3)^Parameters!$B$2))</f>
        <v/>
      </c>
      <c r="C49">
        <f>EXP(-((A49/Parameters!$B$7)^Parameters!$B$6))</f>
        <v/>
      </c>
    </row>
    <row r="50">
      <c r="A50" t="n">
        <v>0.98</v>
      </c>
      <c r="B50">
        <f>EXP(-((A50/Parameters!$B$3)^Parameters!$B$2))</f>
        <v/>
      </c>
      <c r="C50">
        <f>EXP(-((A50/Parameters!$B$7)^Parameters!$B$6))</f>
        <v/>
      </c>
    </row>
    <row r="51">
      <c r="A51" t="n">
        <v>0.99</v>
      </c>
      <c r="B51">
        <f>EXP(-((A51/Parameters!$B$3)^Parameters!$B$2))</f>
        <v/>
      </c>
      <c r="C51">
        <f>EXP(-((A51/Parameters!$B$7)^Parameters!$B$6))</f>
        <v/>
      </c>
    </row>
    <row r="52">
      <c r="A52" t="n">
        <v>1</v>
      </c>
      <c r="B52">
        <f>EXP(-((A52/Parameters!$B$3)^Parameters!$B$2))</f>
        <v/>
      </c>
      <c r="C52">
        <f>EXP(-((A52/Parameters!$B$7)^Parameters!$B$6))</f>
        <v/>
      </c>
      <c r="D52" t="inlineStr">
        <is>
          <t>full requirement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58" customWidth="1" min="1" max="1"/>
    <col width="14" customWidth="1" min="2" max="2"/>
    <col width="12" customWidth="1" min="3" max="3"/>
  </cols>
  <sheetData>
    <row r="1">
      <c r="A1" s="1" t="inlineStr">
        <is>
          <t>Check</t>
        </is>
      </c>
      <c r="B1" s="1" t="inlineStr">
        <is>
          <t>Value</t>
        </is>
      </c>
      <c r="C1" s="1" t="inlineStr">
        <is>
          <t>Status</t>
        </is>
      </c>
    </row>
    <row r="2">
      <c r="A2" s="3" t="inlineStr">
        <is>
          <t>Credit at F=0.50 (should be ~1, &gt; 0.999)</t>
        </is>
      </c>
      <c r="B2">
        <f>Curve!B2</f>
        <v/>
      </c>
      <c r="C2">
        <f>IF(B2&gt;0.999,"PASS","FAIL")</f>
        <v/>
      </c>
    </row>
    <row r="3">
      <c r="A3" s="3" t="inlineStr">
        <is>
          <t>Credit at F=0.95 (validated run landmark 0.1054, +/-0.02)</t>
        </is>
      </c>
      <c r="B3">
        <f>Curve!B47</f>
        <v/>
      </c>
      <c r="C3">
        <f>IF(ABS(B3-0.1054)&lt;0.02,"PASS","FAIL")</f>
        <v/>
      </c>
    </row>
    <row r="4">
      <c r="A4" s="3" t="inlineStr">
        <is>
          <t>Credit at F=b equals 1/e (definition of scale parameter)</t>
        </is>
      </c>
      <c r="B4">
        <f>Curve!B42</f>
        <v/>
      </c>
      <c r="C4">
        <f>IF(ABS(B4-EXP(-1))&lt;0.0001,"PASS","FAIL")</f>
        <v/>
      </c>
    </row>
    <row r="5">
      <c r="A5" s="3" t="inlineStr">
        <is>
          <t>Curve monotonically decreasing (count of rises, must be 0)</t>
        </is>
      </c>
      <c r="B5">
        <f>SUMPRODUCT(--(Curve!B3:B52&gt;Curve!B2:B51))</f>
        <v/>
      </c>
      <c r="C5">
        <f>IF(B5=0,"PASS","FAIL")</f>
        <v/>
      </c>
    </row>
    <row r="6">
      <c r="A6" s="3" t="inlineStr">
        <is>
          <t>Output tab a matches Parameters</t>
        </is>
      </c>
      <c r="B6">
        <f>'RCDC'!B2</f>
        <v/>
      </c>
      <c r="C6">
        <f>IF(B6=Parameters!B2,"PASS","FAIL")</f>
        <v/>
      </c>
    </row>
    <row r="7">
      <c r="A7" s="3" t="inlineStr">
        <is>
          <t>Output tab b matches Parameters</t>
        </is>
      </c>
      <c r="B7">
        <f>'RCDC'!B3</f>
        <v/>
      </c>
      <c r="C7">
        <f>IF(B7=Parameters!B3,"PASS","FAIL")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F3864"/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20" customWidth="1" min="1" max="1"/>
  </cols>
  <sheetData>
    <row r="1">
      <c r="A1" t="inlineStr">
        <is>
          <t>Parameter</t>
        </is>
      </c>
      <c r="B1" t="inlineStr">
        <is>
          <t>Value</t>
        </is>
      </c>
    </row>
    <row r="2">
      <c r="A2" t="inlineStr">
        <is>
          <t>shape parameter a</t>
        </is>
      </c>
      <c r="B2">
        <f>Parameters!B2</f>
        <v/>
      </c>
    </row>
    <row r="3">
      <c r="A3" t="inlineStr">
        <is>
          <t>scale parameter b</t>
        </is>
      </c>
      <c r="B3">
        <f>Parameters!B3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2026-08-20T21:06:46Z</dcterms:created>
  <dcterms:modified xmlns:dcterms="http://purl.org/dc/terms/" xmlns:xsi="http://www.w3.org/2001/XMLSchema-instance" xsi:type="dcterms:W3CDTF">2026-08-20T21:06:46Z</dcterms:modified>
</cp:coreProperties>
</file>